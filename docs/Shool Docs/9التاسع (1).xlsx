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E:\ED\2026-2025\خاص بالامتحانات\اللجان\الصحائف\"/>
    </mc:Choice>
  </mc:AlternateContent>
  <xr:revisionPtr revIDLastSave="0" documentId="13_ncr:1_{487ABDBF-B470-4225-AACF-4D1B9E7963E1}" xr6:coauthVersionLast="47" xr6:coauthVersionMax="47" xr10:uidLastSave="{00000000-0000-0000-0000-000000000000}"/>
  <bookViews>
    <workbookView xWindow="-108" yWindow="-108" windowWidth="16608" windowHeight="8832" tabRatio="537" activeTab="1" xr2:uid="{00000000-000D-0000-FFFF-FFFF00000000}"/>
  </bookViews>
  <sheets>
    <sheet name="مجموع الفترتين" sheetId="16" r:id="rId1"/>
    <sheet name="ص الفترة الاولى" sheetId="18" r:id="rId2"/>
    <sheet name="الفترة الاولى" sheetId="1" r:id="rId3"/>
  </sheets>
  <definedNames>
    <definedName name="_xlnm.Print_Area" localSheetId="1">'ص الفترة الاولى'!$A$1:$BO$134</definedName>
    <definedName name="_xlnm.Print_Area" localSheetId="0">'مجموع الفترتين'!$A$1:$AH$416</definedName>
    <definedName name="_xlnm.Print_Titles" localSheetId="2">'الفترة الاولى'!$2:$10</definedName>
    <definedName name="_xlnm.Print_Titles" localSheetId="0">'مجموع الفترتين'!$1:$9</definedName>
    <definedName name="اسم">'مجموع الفترتين'!$A$11:$C$542</definedName>
    <definedName name="الاسماء">'الفترة الاولى'!$A$11:$C$510</definedName>
    <definedName name="امتحانات" localSheetId="0">'مجموع الفترتين'!$A$11:$A$430</definedName>
    <definedName name="بيان">'مجموع الفترتين'!$C$11:$AR$1706</definedName>
    <definedName name="تسلسل">'الفترة الاولى'!$A$11:$A$723</definedName>
    <definedName name="درجات">'الفترة الاولى'!$C$11:$EO$510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1" i="18" l="1"/>
  <c r="BN1" i="18" s="1"/>
  <c r="I7" i="18"/>
  <c r="E25" i="16"/>
  <c r="AC21" i="16"/>
  <c r="AC22" i="16"/>
  <c r="AC23" i="16"/>
  <c r="Z21" i="16"/>
  <c r="Z22" i="16"/>
  <c r="Z23" i="16"/>
  <c r="W21" i="16"/>
  <c r="W22" i="16"/>
  <c r="W23" i="16"/>
  <c r="W24" i="16"/>
  <c r="T21" i="16"/>
  <c r="T22" i="16"/>
  <c r="T23" i="16"/>
  <c r="T24" i="16"/>
  <c r="Q21" i="16"/>
  <c r="Q22" i="16"/>
  <c r="Q23" i="16"/>
  <c r="N21" i="16"/>
  <c r="N22" i="16"/>
  <c r="N23" i="16"/>
  <c r="K21" i="16"/>
  <c r="K22" i="16"/>
  <c r="K23" i="16"/>
  <c r="H21" i="16"/>
  <c r="H22" i="16"/>
  <c r="H23" i="16"/>
  <c r="E23" i="16"/>
  <c r="E22" i="16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11" i="1"/>
  <c r="BQ12" i="1"/>
  <c r="BQ13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11" i="1"/>
  <c r="BQ15" i="1"/>
  <c r="BN30" i="1"/>
  <c r="BN29" i="1"/>
  <c r="BN28" i="1"/>
  <c r="BN27" i="1"/>
  <c r="BN26" i="1"/>
  <c r="BN25" i="1"/>
  <c r="BN24" i="1"/>
  <c r="BN23" i="1"/>
  <c r="BN22" i="1"/>
  <c r="BN21" i="1"/>
  <c r="BL33" i="1"/>
  <c r="BL34" i="1"/>
  <c r="BL35" i="1"/>
  <c r="BL36" i="1"/>
  <c r="BL37" i="1"/>
  <c r="BK12" i="1"/>
  <c r="BK13" i="1"/>
  <c r="BK14" i="1"/>
  <c r="BK11" i="1"/>
  <c r="BH12" i="1"/>
  <c r="BH70" i="1"/>
  <c r="BH71" i="1"/>
  <c r="BH11" i="1"/>
  <c r="AZ10" i="1"/>
  <c r="BE11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12" i="1"/>
  <c r="BE107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1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1" i="1"/>
  <c r="AV12" i="1"/>
  <c r="AV13" i="1"/>
  <c r="AS12" i="1"/>
  <c r="AS13" i="1"/>
  <c r="AS14" i="1"/>
  <c r="AS15" i="1"/>
  <c r="AS16" i="1"/>
  <c r="AS17" i="1"/>
  <c r="AS18" i="1"/>
  <c r="AS19" i="1"/>
  <c r="AS20" i="1"/>
  <c r="AS21" i="1"/>
  <c r="E21" i="16" s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11" i="1"/>
  <c r="G18" i="1"/>
  <c r="Y20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11" i="1"/>
  <c r="Y12" i="1"/>
  <c r="Y13" i="1"/>
  <c r="Y14" i="1"/>
  <c r="Y15" i="1"/>
  <c r="Y16" i="1"/>
  <c r="Y17" i="1"/>
  <c r="Y18" i="1"/>
  <c r="Y19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11" i="1"/>
  <c r="G21" i="1"/>
  <c r="G12" i="1"/>
  <c r="G13" i="1"/>
  <c r="G14" i="1"/>
  <c r="G15" i="1"/>
  <c r="G16" i="1"/>
  <c r="G17" i="1"/>
  <c r="G19" i="1"/>
  <c r="G20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11" i="1"/>
  <c r="BQ14" i="1" l="1"/>
  <c r="BQ17" i="1"/>
  <c r="BK16" i="1"/>
  <c r="BK15" i="1"/>
  <c r="BH14" i="1"/>
  <c r="BH16" i="1"/>
  <c r="BH13" i="1"/>
  <c r="H10" i="1"/>
  <c r="I10" i="1"/>
  <c r="BQ19" i="1" l="1"/>
  <c r="BQ16" i="1"/>
  <c r="BK17" i="1"/>
  <c r="BK18" i="1"/>
  <c r="BH15" i="1"/>
  <c r="BH18" i="1"/>
  <c r="C2" i="18"/>
  <c r="B2" i="18"/>
  <c r="BQ21" i="1" l="1"/>
  <c r="BQ18" i="1"/>
  <c r="BK20" i="1"/>
  <c r="BH17" i="1"/>
  <c r="BH20" i="1"/>
  <c r="C15" i="18"/>
  <c r="D15" i="18" s="1"/>
  <c r="C14" i="18"/>
  <c r="D14" i="18" s="1"/>
  <c r="C13" i="18"/>
  <c r="D13" i="18" s="1"/>
  <c r="C12" i="18"/>
  <c r="D12" i="18" s="1"/>
  <c r="G12" i="18" s="1"/>
  <c r="C11" i="18"/>
  <c r="D11" i="18" s="1"/>
  <c r="C10" i="18"/>
  <c r="D10" i="18" s="1"/>
  <c r="C9" i="18"/>
  <c r="D9" i="18" s="1"/>
  <c r="G9" i="18" s="1"/>
  <c r="C8" i="18"/>
  <c r="D8" i="18" s="1"/>
  <c r="C7" i="18"/>
  <c r="D7" i="18" s="1"/>
  <c r="BQ8" i="1"/>
  <c r="BO8" i="1"/>
  <c r="BN8" i="1"/>
  <c r="BL8" i="1"/>
  <c r="BK8" i="1"/>
  <c r="BI8" i="1"/>
  <c r="BH8" i="1"/>
  <c r="BF8" i="1"/>
  <c r="BE8" i="1"/>
  <c r="BC8" i="1"/>
  <c r="BB8" i="1"/>
  <c r="AZ8" i="1"/>
  <c r="AY8" i="1"/>
  <c r="AW8" i="1"/>
  <c r="AV8" i="1"/>
  <c r="AT8" i="1"/>
  <c r="AS8" i="1"/>
  <c r="AQ8" i="1"/>
  <c r="BQ23" i="1" l="1"/>
  <c r="BK19" i="1"/>
  <c r="BH22" i="1"/>
  <c r="F15" i="18"/>
  <c r="F14" i="18"/>
  <c r="W15" i="18"/>
  <c r="G15" i="18"/>
  <c r="BP10" i="1"/>
  <c r="BO10" i="1"/>
  <c r="BQ10" i="1" s="1"/>
  <c r="G7" i="18"/>
  <c r="F7" i="18"/>
  <c r="E7" i="18"/>
  <c r="F8" i="18"/>
  <c r="G8" i="18"/>
  <c r="G10" i="18"/>
  <c r="F10" i="18"/>
  <c r="E10" i="18"/>
  <c r="F11" i="18"/>
  <c r="G11" i="18"/>
  <c r="G13" i="18"/>
  <c r="F13" i="18"/>
  <c r="E13" i="18"/>
  <c r="G14" i="18"/>
  <c r="E9" i="18"/>
  <c r="E12" i="18"/>
  <c r="E15" i="18"/>
  <c r="F9" i="18"/>
  <c r="F12" i="18"/>
  <c r="E8" i="18"/>
  <c r="E11" i="18"/>
  <c r="E14" i="18"/>
  <c r="BM10" i="1"/>
  <c r="BL10" i="1"/>
  <c r="BJ10" i="1"/>
  <c r="BI10" i="1"/>
  <c r="BG10" i="1"/>
  <c r="BF10" i="1"/>
  <c r="BD10" i="1"/>
  <c r="BC10" i="1"/>
  <c r="BA10" i="1"/>
  <c r="BB10" i="1"/>
  <c r="AX10" i="1"/>
  <c r="AW10" i="1"/>
  <c r="AU10" i="1"/>
  <c r="AT10" i="1"/>
  <c r="AV10" i="1" s="1"/>
  <c r="AR10" i="1"/>
  <c r="AQ10" i="1"/>
  <c r="BQ25" i="1" l="1"/>
  <c r="BQ20" i="1"/>
  <c r="BK22" i="1"/>
  <c r="BH19" i="1"/>
  <c r="BH21" i="1"/>
  <c r="BN10" i="1"/>
  <c r="AY10" i="1"/>
  <c r="BK10" i="1"/>
  <c r="BH10" i="1"/>
  <c r="BE10" i="1"/>
  <c r="AS10" i="1"/>
  <c r="A4" i="16"/>
  <c r="A5" i="16"/>
  <c r="K10" i="1"/>
  <c r="L10" i="1"/>
  <c r="N10" i="1"/>
  <c r="O10" i="1"/>
  <c r="Q10" i="1"/>
  <c r="R10" i="1"/>
  <c r="T10" i="1"/>
  <c r="U10" i="1"/>
  <c r="W10" i="1"/>
  <c r="X10" i="1"/>
  <c r="Z10" i="1"/>
  <c r="AA10" i="1"/>
  <c r="AC10" i="1"/>
  <c r="AD10" i="1"/>
  <c r="AF10" i="1"/>
  <c r="AG10" i="1"/>
  <c r="F10" i="1"/>
  <c r="E10" i="1"/>
  <c r="BQ22" i="1" l="1"/>
  <c r="BK21" i="1"/>
  <c r="BK24" i="1"/>
  <c r="BH24" i="1"/>
  <c r="BH23" i="1"/>
  <c r="AB10" i="1"/>
  <c r="AE10" i="1"/>
  <c r="J10" i="1"/>
  <c r="AH10" i="1"/>
  <c r="Y10" i="1"/>
  <c r="V10" i="1"/>
  <c r="P10" i="1"/>
  <c r="M10" i="1"/>
  <c r="S10" i="1"/>
  <c r="BR14" i="1"/>
  <c r="BT14" i="1" s="1"/>
  <c r="BR15" i="1"/>
  <c r="BT15" i="1" s="1"/>
  <c r="BR16" i="1"/>
  <c r="BT16" i="1" s="1"/>
  <c r="BR17" i="1"/>
  <c r="BT17" i="1" s="1"/>
  <c r="BR18" i="1"/>
  <c r="BT18" i="1" s="1"/>
  <c r="BR19" i="1"/>
  <c r="BT19" i="1" s="1"/>
  <c r="BR20" i="1"/>
  <c r="BT20" i="1" s="1"/>
  <c r="AQ36" i="1"/>
  <c r="AS36" i="1" s="1"/>
  <c r="AW36" i="1"/>
  <c r="AY36" i="1" s="1"/>
  <c r="BN36" i="1"/>
  <c r="BR36" i="1"/>
  <c r="BT36" i="1" s="1"/>
  <c r="AQ37" i="1"/>
  <c r="AS37" i="1" s="1"/>
  <c r="AW37" i="1"/>
  <c r="AY37" i="1" s="1"/>
  <c r="BN37" i="1"/>
  <c r="BR37" i="1"/>
  <c r="BT37" i="1" s="1"/>
  <c r="AQ38" i="1"/>
  <c r="AS38" i="1" s="1"/>
  <c r="AW38" i="1"/>
  <c r="AY38" i="1" s="1"/>
  <c r="BR38" i="1"/>
  <c r="BT38" i="1" s="1"/>
  <c r="AQ39" i="1"/>
  <c r="AS39" i="1" s="1"/>
  <c r="AW39" i="1"/>
  <c r="AY39" i="1" s="1"/>
  <c r="BR39" i="1"/>
  <c r="BT39" i="1" s="1"/>
  <c r="AQ40" i="1"/>
  <c r="AS40" i="1" s="1"/>
  <c r="AW40" i="1"/>
  <c r="AY40" i="1" s="1"/>
  <c r="BR40" i="1"/>
  <c r="BT40" i="1" s="1"/>
  <c r="AQ41" i="1"/>
  <c r="AS41" i="1" s="1"/>
  <c r="AW41" i="1"/>
  <c r="AY41" i="1" s="1"/>
  <c r="BR41" i="1"/>
  <c r="BT41" i="1" s="1"/>
  <c r="AQ42" i="1"/>
  <c r="AS42" i="1" s="1"/>
  <c r="AW42" i="1"/>
  <c r="AY42" i="1" s="1"/>
  <c r="BR42" i="1"/>
  <c r="BT42" i="1" s="1"/>
  <c r="AQ43" i="1"/>
  <c r="AS43" i="1" s="1"/>
  <c r="AW43" i="1"/>
  <c r="AY43" i="1" s="1"/>
  <c r="BR43" i="1"/>
  <c r="BT43" i="1" s="1"/>
  <c r="AQ44" i="1"/>
  <c r="AS44" i="1" s="1"/>
  <c r="AW44" i="1"/>
  <c r="AY44" i="1" s="1"/>
  <c r="BR44" i="1"/>
  <c r="BT44" i="1" s="1"/>
  <c r="AQ45" i="1"/>
  <c r="AS45" i="1" s="1"/>
  <c r="AW45" i="1"/>
  <c r="AY45" i="1" s="1"/>
  <c r="BO45" i="1"/>
  <c r="BR45" i="1"/>
  <c r="BT45" i="1" s="1"/>
  <c r="AQ46" i="1"/>
  <c r="AS46" i="1" s="1"/>
  <c r="AW46" i="1"/>
  <c r="AY46" i="1" s="1"/>
  <c r="BO46" i="1"/>
  <c r="BR46" i="1"/>
  <c r="BT46" i="1" s="1"/>
  <c r="AQ47" i="1"/>
  <c r="AS47" i="1" s="1"/>
  <c r="AW47" i="1"/>
  <c r="AY47" i="1" s="1"/>
  <c r="BO47" i="1"/>
  <c r="BR47" i="1"/>
  <c r="BT47" i="1" s="1"/>
  <c r="AQ48" i="1"/>
  <c r="AS48" i="1" s="1"/>
  <c r="AW48" i="1"/>
  <c r="AY48" i="1" s="1"/>
  <c r="BO48" i="1"/>
  <c r="BR48" i="1"/>
  <c r="BT48" i="1" s="1"/>
  <c r="AQ49" i="1"/>
  <c r="AS49" i="1" s="1"/>
  <c r="AW49" i="1"/>
  <c r="AY49" i="1" s="1"/>
  <c r="BO49" i="1"/>
  <c r="BR49" i="1"/>
  <c r="BT49" i="1" s="1"/>
  <c r="AQ50" i="1"/>
  <c r="AS50" i="1" s="1"/>
  <c r="AW50" i="1"/>
  <c r="AY50" i="1" s="1"/>
  <c r="BL50" i="1"/>
  <c r="BO50" i="1"/>
  <c r="BR50" i="1"/>
  <c r="BT50" i="1" s="1"/>
  <c r="AQ51" i="1"/>
  <c r="AS51" i="1" s="1"/>
  <c r="AW51" i="1"/>
  <c r="AY51" i="1" s="1"/>
  <c r="BL51" i="1"/>
  <c r="BN51" i="1" s="1"/>
  <c r="BO51" i="1"/>
  <c r="BR51" i="1"/>
  <c r="BT51" i="1" s="1"/>
  <c r="AQ52" i="1"/>
  <c r="AS52" i="1" s="1"/>
  <c r="AW52" i="1"/>
  <c r="AY52" i="1" s="1"/>
  <c r="BL52" i="1"/>
  <c r="BN52" i="1" s="1"/>
  <c r="BO52" i="1"/>
  <c r="BR52" i="1"/>
  <c r="BT52" i="1" s="1"/>
  <c r="AQ53" i="1"/>
  <c r="AS53" i="1" s="1"/>
  <c r="AW53" i="1"/>
  <c r="AY53" i="1" s="1"/>
  <c r="BL53" i="1"/>
  <c r="BN53" i="1" s="1"/>
  <c r="BO53" i="1"/>
  <c r="BR53" i="1"/>
  <c r="BT53" i="1" s="1"/>
  <c r="AQ54" i="1"/>
  <c r="AS54" i="1" s="1"/>
  <c r="AW54" i="1"/>
  <c r="AY54" i="1" s="1"/>
  <c r="BL54" i="1"/>
  <c r="BN54" i="1" s="1"/>
  <c r="BO54" i="1"/>
  <c r="BR54" i="1"/>
  <c r="BT54" i="1" s="1"/>
  <c r="AQ55" i="1"/>
  <c r="AS55" i="1" s="1"/>
  <c r="AW55" i="1"/>
  <c r="AY55" i="1" s="1"/>
  <c r="BL55" i="1"/>
  <c r="BN55" i="1" s="1"/>
  <c r="BO55" i="1"/>
  <c r="BR55" i="1"/>
  <c r="BT55" i="1" s="1"/>
  <c r="AQ56" i="1"/>
  <c r="AS56" i="1" s="1"/>
  <c r="AW56" i="1"/>
  <c r="AY56" i="1" s="1"/>
  <c r="BL56" i="1"/>
  <c r="BN56" i="1" s="1"/>
  <c r="BO56" i="1"/>
  <c r="BR56" i="1"/>
  <c r="BT56" i="1" s="1"/>
  <c r="AQ57" i="1"/>
  <c r="AS57" i="1" s="1"/>
  <c r="AW57" i="1"/>
  <c r="AY57" i="1" s="1"/>
  <c r="BL57" i="1"/>
  <c r="BN57" i="1" s="1"/>
  <c r="BO57" i="1"/>
  <c r="BR57" i="1"/>
  <c r="BT57" i="1" s="1"/>
  <c r="AQ58" i="1"/>
  <c r="AS58" i="1" s="1"/>
  <c r="AW58" i="1"/>
  <c r="AY58" i="1" s="1"/>
  <c r="BL58" i="1"/>
  <c r="BN58" i="1" s="1"/>
  <c r="BO58" i="1"/>
  <c r="BR58" i="1"/>
  <c r="BT58" i="1" s="1"/>
  <c r="AQ59" i="1"/>
  <c r="AS59" i="1" s="1"/>
  <c r="AW59" i="1"/>
  <c r="AY59" i="1" s="1"/>
  <c r="BL59" i="1"/>
  <c r="BN59" i="1" s="1"/>
  <c r="BO59" i="1"/>
  <c r="BR59" i="1"/>
  <c r="BT59" i="1" s="1"/>
  <c r="AQ60" i="1"/>
  <c r="AS60" i="1" s="1"/>
  <c r="AW60" i="1"/>
  <c r="AY60" i="1" s="1"/>
  <c r="BL60" i="1"/>
  <c r="BN60" i="1" s="1"/>
  <c r="BO60" i="1"/>
  <c r="BR60" i="1"/>
  <c r="BT60" i="1" s="1"/>
  <c r="AQ61" i="1"/>
  <c r="AS61" i="1" s="1"/>
  <c r="AW61" i="1"/>
  <c r="AY61" i="1" s="1"/>
  <c r="BL61" i="1"/>
  <c r="BN61" i="1" s="1"/>
  <c r="BO61" i="1"/>
  <c r="BR61" i="1"/>
  <c r="BT61" i="1" s="1"/>
  <c r="AQ62" i="1"/>
  <c r="AS62" i="1" s="1"/>
  <c r="AW62" i="1"/>
  <c r="AY62" i="1" s="1"/>
  <c r="BL62" i="1"/>
  <c r="BN62" i="1" s="1"/>
  <c r="BO62" i="1"/>
  <c r="BR62" i="1"/>
  <c r="BT62" i="1" s="1"/>
  <c r="AQ63" i="1"/>
  <c r="AS63" i="1" s="1"/>
  <c r="AW63" i="1"/>
  <c r="AY63" i="1" s="1"/>
  <c r="BL63" i="1"/>
  <c r="BN63" i="1" s="1"/>
  <c r="BO63" i="1"/>
  <c r="BR63" i="1"/>
  <c r="BT63" i="1" s="1"/>
  <c r="AQ64" i="1"/>
  <c r="AS64" i="1" s="1"/>
  <c r="AW64" i="1"/>
  <c r="AY64" i="1" s="1"/>
  <c r="BL64" i="1"/>
  <c r="BN64" i="1" s="1"/>
  <c r="BO64" i="1"/>
  <c r="BR64" i="1"/>
  <c r="BT64" i="1" s="1"/>
  <c r="AQ65" i="1"/>
  <c r="AS65" i="1" s="1"/>
  <c r="AW65" i="1"/>
  <c r="AY65" i="1" s="1"/>
  <c r="BL65" i="1"/>
  <c r="BN65" i="1" s="1"/>
  <c r="BO65" i="1"/>
  <c r="BR65" i="1"/>
  <c r="BT65" i="1" s="1"/>
  <c r="AQ66" i="1"/>
  <c r="AS66" i="1" s="1"/>
  <c r="AW66" i="1"/>
  <c r="AY66" i="1" s="1"/>
  <c r="BL66" i="1"/>
  <c r="BN66" i="1" s="1"/>
  <c r="BO66" i="1"/>
  <c r="BR66" i="1"/>
  <c r="BT66" i="1" s="1"/>
  <c r="AQ67" i="1"/>
  <c r="AS67" i="1" s="1"/>
  <c r="AW67" i="1"/>
  <c r="AY67" i="1" s="1"/>
  <c r="BL67" i="1"/>
  <c r="BN67" i="1" s="1"/>
  <c r="BO67" i="1"/>
  <c r="BR67" i="1"/>
  <c r="BT67" i="1" s="1"/>
  <c r="AQ68" i="1"/>
  <c r="AS68" i="1" s="1"/>
  <c r="AW68" i="1"/>
  <c r="AY68" i="1" s="1"/>
  <c r="BL68" i="1"/>
  <c r="BN68" i="1" s="1"/>
  <c r="BO68" i="1"/>
  <c r="BR68" i="1"/>
  <c r="BT68" i="1" s="1"/>
  <c r="AQ69" i="1"/>
  <c r="AS69" i="1" s="1"/>
  <c r="AW69" i="1"/>
  <c r="AY69" i="1" s="1"/>
  <c r="BL69" i="1"/>
  <c r="BN69" i="1" s="1"/>
  <c r="BO69" i="1"/>
  <c r="BR69" i="1"/>
  <c r="BT69" i="1" s="1"/>
  <c r="AQ70" i="1"/>
  <c r="AS70" i="1" s="1"/>
  <c r="AW70" i="1"/>
  <c r="AY70" i="1" s="1"/>
  <c r="BL70" i="1"/>
  <c r="BN70" i="1" s="1"/>
  <c r="BO70" i="1"/>
  <c r="BR70" i="1"/>
  <c r="BT70" i="1" s="1"/>
  <c r="AQ71" i="1"/>
  <c r="AS71" i="1" s="1"/>
  <c r="AW71" i="1"/>
  <c r="AY71" i="1" s="1"/>
  <c r="BL71" i="1"/>
  <c r="BN71" i="1" s="1"/>
  <c r="BO71" i="1"/>
  <c r="BR71" i="1"/>
  <c r="BT71" i="1" s="1"/>
  <c r="AQ72" i="1"/>
  <c r="AS72" i="1" s="1"/>
  <c r="AW72" i="1"/>
  <c r="AY72" i="1" s="1"/>
  <c r="BH72" i="1"/>
  <c r="BL72" i="1"/>
  <c r="BN72" i="1" s="1"/>
  <c r="BO72" i="1"/>
  <c r="BQ72" i="1" s="1"/>
  <c r="BR72" i="1"/>
  <c r="BT72" i="1" s="1"/>
  <c r="AQ73" i="1"/>
  <c r="AS73" i="1" s="1"/>
  <c r="AW73" i="1"/>
  <c r="AY73" i="1" s="1"/>
  <c r="BH73" i="1"/>
  <c r="BL73" i="1"/>
  <c r="BN73" i="1" s="1"/>
  <c r="BO73" i="1"/>
  <c r="BQ73" i="1" s="1"/>
  <c r="BR73" i="1"/>
  <c r="BT73" i="1" s="1"/>
  <c r="AQ74" i="1"/>
  <c r="AS74" i="1" s="1"/>
  <c r="AW74" i="1"/>
  <c r="AY74" i="1" s="1"/>
  <c r="BH74" i="1"/>
  <c r="BL74" i="1"/>
  <c r="BN74" i="1" s="1"/>
  <c r="BO74" i="1"/>
  <c r="BQ74" i="1" s="1"/>
  <c r="BR74" i="1"/>
  <c r="BT74" i="1" s="1"/>
  <c r="AQ75" i="1"/>
  <c r="AS75" i="1" s="1"/>
  <c r="AW75" i="1"/>
  <c r="AY75" i="1" s="1"/>
  <c r="BH75" i="1"/>
  <c r="BL75" i="1"/>
  <c r="BN75" i="1" s="1"/>
  <c r="BO75" i="1"/>
  <c r="BQ75" i="1" s="1"/>
  <c r="BR75" i="1"/>
  <c r="BT75" i="1" s="1"/>
  <c r="AQ76" i="1"/>
  <c r="AS76" i="1" s="1"/>
  <c r="AW76" i="1"/>
  <c r="AY76" i="1" s="1"/>
  <c r="BH76" i="1"/>
  <c r="BL76" i="1"/>
  <c r="BN76" i="1" s="1"/>
  <c r="BO76" i="1"/>
  <c r="BQ76" i="1" s="1"/>
  <c r="BR76" i="1"/>
  <c r="BT76" i="1" s="1"/>
  <c r="AQ77" i="1"/>
  <c r="AS77" i="1" s="1"/>
  <c r="AW77" i="1"/>
  <c r="AY77" i="1" s="1"/>
  <c r="BH77" i="1"/>
  <c r="BL77" i="1"/>
  <c r="BN77" i="1" s="1"/>
  <c r="BO77" i="1"/>
  <c r="BQ77" i="1" s="1"/>
  <c r="BR77" i="1"/>
  <c r="BT77" i="1" s="1"/>
  <c r="AQ78" i="1"/>
  <c r="AS78" i="1" s="1"/>
  <c r="AW78" i="1"/>
  <c r="AY78" i="1" s="1"/>
  <c r="BH78" i="1"/>
  <c r="BL78" i="1"/>
  <c r="BN78" i="1" s="1"/>
  <c r="BO78" i="1"/>
  <c r="BQ78" i="1" s="1"/>
  <c r="BR78" i="1"/>
  <c r="BT78" i="1" s="1"/>
  <c r="AQ79" i="1"/>
  <c r="AS79" i="1" s="1"/>
  <c r="AW79" i="1"/>
  <c r="AY79" i="1" s="1"/>
  <c r="BH79" i="1"/>
  <c r="BL79" i="1"/>
  <c r="BN79" i="1" s="1"/>
  <c r="BO79" i="1"/>
  <c r="BQ79" i="1" s="1"/>
  <c r="BR79" i="1"/>
  <c r="BT79" i="1" s="1"/>
  <c r="AQ80" i="1"/>
  <c r="AS80" i="1" s="1"/>
  <c r="AW80" i="1"/>
  <c r="AY80" i="1" s="1"/>
  <c r="BH80" i="1"/>
  <c r="BK80" i="1"/>
  <c r="BL80" i="1"/>
  <c r="BN80" i="1" s="1"/>
  <c r="BO80" i="1"/>
  <c r="BQ80" i="1" s="1"/>
  <c r="BR80" i="1"/>
  <c r="BT80" i="1" s="1"/>
  <c r="AQ81" i="1"/>
  <c r="AS81" i="1" s="1"/>
  <c r="AW81" i="1"/>
  <c r="AY81" i="1" s="1"/>
  <c r="BH81" i="1"/>
  <c r="BK81" i="1"/>
  <c r="BL81" i="1"/>
  <c r="BN81" i="1" s="1"/>
  <c r="BO81" i="1"/>
  <c r="BQ81" i="1" s="1"/>
  <c r="BR81" i="1"/>
  <c r="BT81" i="1" s="1"/>
  <c r="AQ82" i="1"/>
  <c r="AS82" i="1" s="1"/>
  <c r="AW82" i="1"/>
  <c r="AY82" i="1" s="1"/>
  <c r="BH82" i="1"/>
  <c r="BI82" i="1"/>
  <c r="BK82" i="1" s="1"/>
  <c r="BL82" i="1"/>
  <c r="BN82" i="1" s="1"/>
  <c r="BO82" i="1"/>
  <c r="BQ82" i="1" s="1"/>
  <c r="BR82" i="1"/>
  <c r="BT82" i="1" s="1"/>
  <c r="AQ83" i="1"/>
  <c r="AS83" i="1" s="1"/>
  <c r="AW83" i="1"/>
  <c r="AY83" i="1" s="1"/>
  <c r="BH83" i="1"/>
  <c r="BI83" i="1"/>
  <c r="BK83" i="1" s="1"/>
  <c r="BL83" i="1"/>
  <c r="BN83" i="1" s="1"/>
  <c r="BO83" i="1"/>
  <c r="BQ83" i="1" s="1"/>
  <c r="BR83" i="1"/>
  <c r="BT83" i="1" s="1"/>
  <c r="AQ84" i="1"/>
  <c r="AS84" i="1" s="1"/>
  <c r="AW84" i="1"/>
  <c r="AY84" i="1" s="1"/>
  <c r="BH84" i="1"/>
  <c r="BI84" i="1"/>
  <c r="BK84" i="1" s="1"/>
  <c r="BL84" i="1"/>
  <c r="BN84" i="1" s="1"/>
  <c r="BO84" i="1"/>
  <c r="BQ84" i="1" s="1"/>
  <c r="BR84" i="1"/>
  <c r="BT84" i="1" s="1"/>
  <c r="AQ85" i="1"/>
  <c r="AS85" i="1" s="1"/>
  <c r="AW85" i="1"/>
  <c r="AY85" i="1" s="1"/>
  <c r="BH85" i="1"/>
  <c r="BI85" i="1"/>
  <c r="BK85" i="1" s="1"/>
  <c r="BL85" i="1"/>
  <c r="BN85" i="1" s="1"/>
  <c r="BO85" i="1"/>
  <c r="BQ85" i="1" s="1"/>
  <c r="BR85" i="1"/>
  <c r="BT85" i="1" s="1"/>
  <c r="AQ86" i="1"/>
  <c r="AS86" i="1"/>
  <c r="AW86" i="1"/>
  <c r="AY86" i="1" s="1"/>
  <c r="BH86" i="1"/>
  <c r="BI86" i="1"/>
  <c r="BK86" i="1" s="1"/>
  <c r="BL86" i="1"/>
  <c r="BN86" i="1" s="1"/>
  <c r="BO86" i="1"/>
  <c r="BQ86" i="1" s="1"/>
  <c r="BR86" i="1"/>
  <c r="BT86" i="1" s="1"/>
  <c r="AQ87" i="1"/>
  <c r="AS87" i="1" s="1"/>
  <c r="AW87" i="1"/>
  <c r="AY87" i="1" s="1"/>
  <c r="BH87" i="1"/>
  <c r="BI87" i="1"/>
  <c r="BK87" i="1" s="1"/>
  <c r="BL87" i="1"/>
  <c r="BN87" i="1" s="1"/>
  <c r="BO87" i="1"/>
  <c r="BQ87" i="1" s="1"/>
  <c r="BR87" i="1"/>
  <c r="BT87" i="1" s="1"/>
  <c r="AQ88" i="1"/>
  <c r="AS88" i="1" s="1"/>
  <c r="AW88" i="1"/>
  <c r="AY88" i="1" s="1"/>
  <c r="BH88" i="1"/>
  <c r="BI88" i="1"/>
  <c r="BK88" i="1" s="1"/>
  <c r="BL88" i="1"/>
  <c r="BN88" i="1" s="1"/>
  <c r="BO88" i="1"/>
  <c r="BQ88" i="1" s="1"/>
  <c r="BR88" i="1"/>
  <c r="BT88" i="1"/>
  <c r="AQ89" i="1"/>
  <c r="AS89" i="1" s="1"/>
  <c r="AW89" i="1"/>
  <c r="AY89" i="1" s="1"/>
  <c r="BH89" i="1"/>
  <c r="BI89" i="1"/>
  <c r="BK89" i="1" s="1"/>
  <c r="BL89" i="1"/>
  <c r="BN89" i="1" s="1"/>
  <c r="BO89" i="1"/>
  <c r="BQ89" i="1" s="1"/>
  <c r="BR89" i="1"/>
  <c r="BT89" i="1" s="1"/>
  <c r="AQ90" i="1"/>
  <c r="AS90" i="1" s="1"/>
  <c r="AW90" i="1"/>
  <c r="AY90" i="1" s="1"/>
  <c r="BH90" i="1"/>
  <c r="BI90" i="1"/>
  <c r="BK90" i="1" s="1"/>
  <c r="BL90" i="1"/>
  <c r="BN90" i="1" s="1"/>
  <c r="BO90" i="1"/>
  <c r="BQ90" i="1" s="1"/>
  <c r="BR90" i="1"/>
  <c r="BT90" i="1" s="1"/>
  <c r="AQ91" i="1"/>
  <c r="AS91" i="1" s="1"/>
  <c r="AW91" i="1"/>
  <c r="AY91" i="1" s="1"/>
  <c r="BH91" i="1"/>
  <c r="BI91" i="1"/>
  <c r="BK91" i="1" s="1"/>
  <c r="BL91" i="1"/>
  <c r="BN91" i="1" s="1"/>
  <c r="BO91" i="1"/>
  <c r="BQ91" i="1" s="1"/>
  <c r="BR91" i="1"/>
  <c r="BT91" i="1" s="1"/>
  <c r="AQ92" i="1"/>
  <c r="AS92" i="1"/>
  <c r="AW92" i="1"/>
  <c r="AY92" i="1" s="1"/>
  <c r="BH92" i="1"/>
  <c r="BI92" i="1"/>
  <c r="BK92" i="1" s="1"/>
  <c r="BL92" i="1"/>
  <c r="BN92" i="1" s="1"/>
  <c r="BO92" i="1"/>
  <c r="BQ92" i="1" s="1"/>
  <c r="BR92" i="1"/>
  <c r="BT92" i="1" s="1"/>
  <c r="AQ93" i="1"/>
  <c r="AS93" i="1" s="1"/>
  <c r="AW93" i="1"/>
  <c r="AY93" i="1" s="1"/>
  <c r="BH93" i="1"/>
  <c r="BI93" i="1"/>
  <c r="BK93" i="1" s="1"/>
  <c r="BL93" i="1"/>
  <c r="BN93" i="1" s="1"/>
  <c r="BO93" i="1"/>
  <c r="BQ93" i="1" s="1"/>
  <c r="BR93" i="1"/>
  <c r="BT93" i="1" s="1"/>
  <c r="AQ94" i="1"/>
  <c r="AS94" i="1" s="1"/>
  <c r="AW94" i="1"/>
  <c r="AY94" i="1" s="1"/>
  <c r="BH94" i="1"/>
  <c r="BI94" i="1"/>
  <c r="BK94" i="1" s="1"/>
  <c r="BL94" i="1"/>
  <c r="BN94" i="1" s="1"/>
  <c r="BO94" i="1"/>
  <c r="BQ94" i="1" s="1"/>
  <c r="BR94" i="1"/>
  <c r="BT94" i="1" s="1"/>
  <c r="AQ95" i="1"/>
  <c r="AS95" i="1" s="1"/>
  <c r="AW95" i="1"/>
  <c r="AY95" i="1" s="1"/>
  <c r="BH95" i="1"/>
  <c r="BI95" i="1"/>
  <c r="BK95" i="1" s="1"/>
  <c r="BL95" i="1"/>
  <c r="BN95" i="1" s="1"/>
  <c r="BO95" i="1"/>
  <c r="BQ95" i="1" s="1"/>
  <c r="BR95" i="1"/>
  <c r="BT95" i="1" s="1"/>
  <c r="AQ96" i="1"/>
  <c r="AS96" i="1" s="1"/>
  <c r="AW96" i="1"/>
  <c r="AY96" i="1" s="1"/>
  <c r="BH96" i="1"/>
  <c r="BI96" i="1"/>
  <c r="BK96" i="1" s="1"/>
  <c r="BL96" i="1"/>
  <c r="BN96" i="1" s="1"/>
  <c r="BO96" i="1"/>
  <c r="BQ96" i="1" s="1"/>
  <c r="BR96" i="1"/>
  <c r="BT96" i="1" s="1"/>
  <c r="AQ97" i="1"/>
  <c r="AS97" i="1" s="1"/>
  <c r="AW97" i="1"/>
  <c r="AY97" i="1" s="1"/>
  <c r="BH97" i="1"/>
  <c r="BI97" i="1"/>
  <c r="BK97" i="1" s="1"/>
  <c r="BL97" i="1"/>
  <c r="BN97" i="1" s="1"/>
  <c r="BO97" i="1"/>
  <c r="BQ97" i="1" s="1"/>
  <c r="BR97" i="1"/>
  <c r="BT97" i="1" s="1"/>
  <c r="AQ98" i="1"/>
  <c r="AS98" i="1" s="1"/>
  <c r="AW98" i="1"/>
  <c r="AY98" i="1" s="1"/>
  <c r="BH98" i="1"/>
  <c r="BI98" i="1"/>
  <c r="BK98" i="1" s="1"/>
  <c r="BL98" i="1"/>
  <c r="BN98" i="1" s="1"/>
  <c r="BO98" i="1"/>
  <c r="BQ98" i="1" s="1"/>
  <c r="BR98" i="1"/>
  <c r="BT98" i="1" s="1"/>
  <c r="AQ99" i="1"/>
  <c r="AS99" i="1" s="1"/>
  <c r="AW99" i="1"/>
  <c r="AY99" i="1" s="1"/>
  <c r="BH99" i="1"/>
  <c r="BI99" i="1"/>
  <c r="BK99" i="1" s="1"/>
  <c r="BL99" i="1"/>
  <c r="BN99" i="1" s="1"/>
  <c r="BO99" i="1"/>
  <c r="BQ99" i="1" s="1"/>
  <c r="BR99" i="1"/>
  <c r="BT99" i="1" s="1"/>
  <c r="AQ100" i="1"/>
  <c r="AS100" i="1" s="1"/>
  <c r="AW100" i="1"/>
  <c r="AY100" i="1" s="1"/>
  <c r="BH100" i="1"/>
  <c r="BI100" i="1"/>
  <c r="BK100" i="1" s="1"/>
  <c r="BL100" i="1"/>
  <c r="BN100" i="1" s="1"/>
  <c r="BO100" i="1"/>
  <c r="BQ100" i="1" s="1"/>
  <c r="BR100" i="1"/>
  <c r="BT100" i="1" s="1"/>
  <c r="AQ101" i="1"/>
  <c r="AS101" i="1" s="1"/>
  <c r="AW101" i="1"/>
  <c r="AY101" i="1" s="1"/>
  <c r="BH101" i="1"/>
  <c r="BI101" i="1"/>
  <c r="BK101" i="1" s="1"/>
  <c r="BL101" i="1"/>
  <c r="BN101" i="1" s="1"/>
  <c r="BO101" i="1"/>
  <c r="BQ101" i="1"/>
  <c r="BR101" i="1"/>
  <c r="BT101" i="1" s="1"/>
  <c r="AQ102" i="1"/>
  <c r="AS102" i="1" s="1"/>
  <c r="AW102" i="1"/>
  <c r="AY102" i="1" s="1"/>
  <c r="BH102" i="1"/>
  <c r="BI102" i="1"/>
  <c r="BK102" i="1" s="1"/>
  <c r="BL102" i="1"/>
  <c r="BN102" i="1" s="1"/>
  <c r="BO102" i="1"/>
  <c r="BQ102" i="1" s="1"/>
  <c r="BR102" i="1"/>
  <c r="BT102" i="1" s="1"/>
  <c r="AQ103" i="1"/>
  <c r="AS103" i="1" s="1"/>
  <c r="AW103" i="1"/>
  <c r="AY103" i="1" s="1"/>
  <c r="BH103" i="1"/>
  <c r="BI103" i="1"/>
  <c r="BK103" i="1" s="1"/>
  <c r="BL103" i="1"/>
  <c r="BN103" i="1" s="1"/>
  <c r="BO103" i="1"/>
  <c r="BQ103" i="1" s="1"/>
  <c r="BR103" i="1"/>
  <c r="BT103" i="1" s="1"/>
  <c r="AQ104" i="1"/>
  <c r="AS104" i="1" s="1"/>
  <c r="AW104" i="1"/>
  <c r="AY104" i="1" s="1"/>
  <c r="BH104" i="1"/>
  <c r="BI104" i="1"/>
  <c r="BK104" i="1" s="1"/>
  <c r="BL104" i="1"/>
  <c r="BN104" i="1" s="1"/>
  <c r="BO104" i="1"/>
  <c r="BQ104" i="1" s="1"/>
  <c r="BR104" i="1"/>
  <c r="BT104" i="1"/>
  <c r="AQ105" i="1"/>
  <c r="AS105" i="1" s="1"/>
  <c r="AW105" i="1"/>
  <c r="AY105" i="1" s="1"/>
  <c r="BH105" i="1"/>
  <c r="BI105" i="1"/>
  <c r="BK105" i="1" s="1"/>
  <c r="BL105" i="1"/>
  <c r="BN105" i="1" s="1"/>
  <c r="BO105" i="1"/>
  <c r="BQ105" i="1" s="1"/>
  <c r="BR105" i="1"/>
  <c r="BT105" i="1" s="1"/>
  <c r="AQ106" i="1"/>
  <c r="AS106" i="1" s="1"/>
  <c r="AW106" i="1"/>
  <c r="AY106" i="1" s="1"/>
  <c r="BH106" i="1"/>
  <c r="BI106" i="1"/>
  <c r="BK106" i="1"/>
  <c r="BL106" i="1"/>
  <c r="BN106" i="1" s="1"/>
  <c r="BO106" i="1"/>
  <c r="BQ106" i="1" s="1"/>
  <c r="BR106" i="1"/>
  <c r="BT106" i="1" s="1"/>
  <c r="AQ107" i="1"/>
  <c r="AS107" i="1" s="1"/>
  <c r="AW107" i="1"/>
  <c r="AY107" i="1" s="1"/>
  <c r="BH107" i="1"/>
  <c r="BI107" i="1"/>
  <c r="BK107" i="1" s="1"/>
  <c r="BL107" i="1"/>
  <c r="BN107" i="1" s="1"/>
  <c r="BO107" i="1"/>
  <c r="BQ107" i="1" s="1"/>
  <c r="BR107" i="1"/>
  <c r="BT107" i="1" s="1"/>
  <c r="AQ108" i="1"/>
  <c r="AS108" i="1" s="1"/>
  <c r="AW108" i="1"/>
  <c r="AY108" i="1" s="1"/>
  <c r="BE108" i="1"/>
  <c r="BH108" i="1"/>
  <c r="BI108" i="1"/>
  <c r="BK108" i="1" s="1"/>
  <c r="BL108" i="1"/>
  <c r="BN108" i="1" s="1"/>
  <c r="BO108" i="1"/>
  <c r="BQ108" i="1" s="1"/>
  <c r="BR108" i="1"/>
  <c r="BT108" i="1" s="1"/>
  <c r="AQ109" i="1"/>
  <c r="AS109" i="1"/>
  <c r="AW109" i="1"/>
  <c r="AY109" i="1" s="1"/>
  <c r="BE109" i="1"/>
  <c r="BH109" i="1"/>
  <c r="BI109" i="1"/>
  <c r="BK109" i="1" s="1"/>
  <c r="BL109" i="1"/>
  <c r="BN109" i="1" s="1"/>
  <c r="BO109" i="1"/>
  <c r="BQ109" i="1" s="1"/>
  <c r="BR109" i="1"/>
  <c r="BT109" i="1" s="1"/>
  <c r="AQ110" i="1"/>
  <c r="AS110" i="1" s="1"/>
  <c r="AW110" i="1"/>
  <c r="AY110" i="1" s="1"/>
  <c r="BE110" i="1"/>
  <c r="BH110" i="1"/>
  <c r="BI110" i="1"/>
  <c r="BK110" i="1" s="1"/>
  <c r="BL110" i="1"/>
  <c r="BN110" i="1" s="1"/>
  <c r="BO110" i="1"/>
  <c r="BQ110" i="1" s="1"/>
  <c r="BR110" i="1"/>
  <c r="BT110" i="1" s="1"/>
  <c r="AQ111" i="1"/>
  <c r="AS111" i="1" s="1"/>
  <c r="AW111" i="1"/>
  <c r="AY111" i="1" s="1"/>
  <c r="BE111" i="1"/>
  <c r="BH111" i="1"/>
  <c r="BI111" i="1"/>
  <c r="BK111" i="1" s="1"/>
  <c r="BL111" i="1"/>
  <c r="BN111" i="1" s="1"/>
  <c r="BO111" i="1"/>
  <c r="BQ111" i="1" s="1"/>
  <c r="BR111" i="1"/>
  <c r="BT111" i="1" s="1"/>
  <c r="AQ112" i="1"/>
  <c r="AS112" i="1" s="1"/>
  <c r="AW112" i="1"/>
  <c r="AY112" i="1" s="1"/>
  <c r="AZ112" i="1"/>
  <c r="BB112" i="1" s="1"/>
  <c r="BC112" i="1"/>
  <c r="BE112" i="1" s="1"/>
  <c r="BH112" i="1"/>
  <c r="BI112" i="1"/>
  <c r="BK112" i="1" s="1"/>
  <c r="BL112" i="1"/>
  <c r="BN112" i="1" s="1"/>
  <c r="BO112" i="1"/>
  <c r="BQ112" i="1" s="1"/>
  <c r="BR112" i="1"/>
  <c r="BT112" i="1" s="1"/>
  <c r="AQ113" i="1"/>
  <c r="AS113" i="1" s="1"/>
  <c r="AW113" i="1"/>
  <c r="AY113" i="1" s="1"/>
  <c r="AZ113" i="1"/>
  <c r="BB113" i="1" s="1"/>
  <c r="BC113" i="1"/>
  <c r="BE113" i="1" s="1"/>
  <c r="BH113" i="1"/>
  <c r="BI113" i="1"/>
  <c r="BK113" i="1" s="1"/>
  <c r="BL113" i="1"/>
  <c r="BN113" i="1" s="1"/>
  <c r="BO113" i="1"/>
  <c r="BQ113" i="1" s="1"/>
  <c r="BR113" i="1"/>
  <c r="BT113" i="1" s="1"/>
  <c r="AQ114" i="1"/>
  <c r="AS114" i="1" s="1"/>
  <c r="AW114" i="1"/>
  <c r="AY114" i="1" s="1"/>
  <c r="AZ114" i="1"/>
  <c r="BB114" i="1" s="1"/>
  <c r="BC114" i="1"/>
  <c r="BE114" i="1" s="1"/>
  <c r="BH114" i="1"/>
  <c r="BI114" i="1"/>
  <c r="BK114" i="1" s="1"/>
  <c r="BL114" i="1"/>
  <c r="BN114" i="1" s="1"/>
  <c r="BO114" i="1"/>
  <c r="BQ114" i="1" s="1"/>
  <c r="BR114" i="1"/>
  <c r="BT114" i="1" s="1"/>
  <c r="AQ115" i="1"/>
  <c r="AS115" i="1" s="1"/>
  <c r="AW115" i="1"/>
  <c r="AY115" i="1" s="1"/>
  <c r="AZ115" i="1"/>
  <c r="BB115" i="1" s="1"/>
  <c r="BC115" i="1"/>
  <c r="BE115" i="1" s="1"/>
  <c r="BH115" i="1"/>
  <c r="BI115" i="1"/>
  <c r="BK115" i="1" s="1"/>
  <c r="BL115" i="1"/>
  <c r="BN115" i="1" s="1"/>
  <c r="BO115" i="1"/>
  <c r="BQ115" i="1" s="1"/>
  <c r="BR115" i="1"/>
  <c r="BT115" i="1" s="1"/>
  <c r="AQ116" i="1"/>
  <c r="AS116" i="1" s="1"/>
  <c r="AW116" i="1"/>
  <c r="AY116" i="1" s="1"/>
  <c r="AZ116" i="1"/>
  <c r="BB116" i="1" s="1"/>
  <c r="BC116" i="1"/>
  <c r="BE116" i="1" s="1"/>
  <c r="BH116" i="1"/>
  <c r="BI116" i="1"/>
  <c r="BK116" i="1" s="1"/>
  <c r="BL116" i="1"/>
  <c r="BN116" i="1" s="1"/>
  <c r="BO116" i="1"/>
  <c r="BQ116" i="1" s="1"/>
  <c r="BR116" i="1"/>
  <c r="BT116" i="1" s="1"/>
  <c r="AQ117" i="1"/>
  <c r="AS117" i="1" s="1"/>
  <c r="AW117" i="1"/>
  <c r="AY117" i="1" s="1"/>
  <c r="AZ117" i="1"/>
  <c r="BB117" i="1" s="1"/>
  <c r="BC117" i="1"/>
  <c r="BE117" i="1" s="1"/>
  <c r="BH117" i="1"/>
  <c r="BI117" i="1"/>
  <c r="BK117" i="1" s="1"/>
  <c r="BL117" i="1"/>
  <c r="BN117" i="1" s="1"/>
  <c r="BO117" i="1"/>
  <c r="BQ117" i="1" s="1"/>
  <c r="BR117" i="1"/>
  <c r="BT117" i="1" s="1"/>
  <c r="AQ118" i="1"/>
  <c r="AS118" i="1" s="1"/>
  <c r="AW118" i="1"/>
  <c r="AY118" i="1" s="1"/>
  <c r="AZ118" i="1"/>
  <c r="BB118" i="1" s="1"/>
  <c r="BC118" i="1"/>
  <c r="BE118" i="1" s="1"/>
  <c r="BH118" i="1"/>
  <c r="BI118" i="1"/>
  <c r="BK118" i="1" s="1"/>
  <c r="BL118" i="1"/>
  <c r="BN118" i="1" s="1"/>
  <c r="BO118" i="1"/>
  <c r="BQ118" i="1" s="1"/>
  <c r="BR118" i="1"/>
  <c r="BT118" i="1" s="1"/>
  <c r="AQ119" i="1"/>
  <c r="AS119" i="1" s="1"/>
  <c r="AW119" i="1"/>
  <c r="AY119" i="1" s="1"/>
  <c r="AZ119" i="1"/>
  <c r="BB119" i="1"/>
  <c r="BC119" i="1"/>
  <c r="BE119" i="1" s="1"/>
  <c r="BH119" i="1"/>
  <c r="BI119" i="1"/>
  <c r="BK119" i="1" s="1"/>
  <c r="BL119" i="1"/>
  <c r="BN119" i="1" s="1"/>
  <c r="BO119" i="1"/>
  <c r="BQ119" i="1" s="1"/>
  <c r="BR119" i="1"/>
  <c r="BT119" i="1" s="1"/>
  <c r="AQ120" i="1"/>
  <c r="AS120" i="1" s="1"/>
  <c r="AW120" i="1"/>
  <c r="AY120" i="1" s="1"/>
  <c r="AZ120" i="1"/>
  <c r="BB120" i="1" s="1"/>
  <c r="BC120" i="1"/>
  <c r="BE120" i="1" s="1"/>
  <c r="BH120" i="1"/>
  <c r="BI120" i="1"/>
  <c r="BK120" i="1" s="1"/>
  <c r="BL120" i="1"/>
  <c r="BN120" i="1" s="1"/>
  <c r="BO120" i="1"/>
  <c r="BQ120" i="1" s="1"/>
  <c r="BR120" i="1"/>
  <c r="BT120" i="1" s="1"/>
  <c r="AQ121" i="1"/>
  <c r="AS121" i="1" s="1"/>
  <c r="AW121" i="1"/>
  <c r="AY121" i="1" s="1"/>
  <c r="AZ121" i="1"/>
  <c r="BB121" i="1" s="1"/>
  <c r="BC121" i="1"/>
  <c r="BE121" i="1" s="1"/>
  <c r="BH121" i="1"/>
  <c r="BI121" i="1"/>
  <c r="BK121" i="1" s="1"/>
  <c r="BL121" i="1"/>
  <c r="BN121" i="1"/>
  <c r="BO121" i="1"/>
  <c r="BQ121" i="1" s="1"/>
  <c r="BR121" i="1"/>
  <c r="BT121" i="1" s="1"/>
  <c r="AQ122" i="1"/>
  <c r="AS122" i="1" s="1"/>
  <c r="AW122" i="1"/>
  <c r="AY122" i="1" s="1"/>
  <c r="AZ122" i="1"/>
  <c r="BB122" i="1" s="1"/>
  <c r="BC122" i="1"/>
  <c r="BE122" i="1" s="1"/>
  <c r="BH122" i="1"/>
  <c r="BI122" i="1"/>
  <c r="BK122" i="1" s="1"/>
  <c r="BL122" i="1"/>
  <c r="BN122" i="1" s="1"/>
  <c r="BO122" i="1"/>
  <c r="BQ122" i="1" s="1"/>
  <c r="BR122" i="1"/>
  <c r="BT122" i="1" s="1"/>
  <c r="AQ123" i="1"/>
  <c r="AS123" i="1" s="1"/>
  <c r="AW123" i="1"/>
  <c r="AY123" i="1" s="1"/>
  <c r="AZ123" i="1"/>
  <c r="BB123" i="1" s="1"/>
  <c r="BC123" i="1"/>
  <c r="BE123" i="1"/>
  <c r="BH123" i="1"/>
  <c r="BI123" i="1"/>
  <c r="BK123" i="1" s="1"/>
  <c r="BL123" i="1"/>
  <c r="BN123" i="1" s="1"/>
  <c r="BO123" i="1"/>
  <c r="BQ123" i="1" s="1"/>
  <c r="BR123" i="1"/>
  <c r="BT123" i="1" s="1"/>
  <c r="AQ124" i="1"/>
  <c r="AS124" i="1" s="1"/>
  <c r="AW124" i="1"/>
  <c r="AY124" i="1" s="1"/>
  <c r="AZ124" i="1"/>
  <c r="BB124" i="1" s="1"/>
  <c r="BC124" i="1"/>
  <c r="BE124" i="1" s="1"/>
  <c r="BH124" i="1"/>
  <c r="BI124" i="1"/>
  <c r="BK124" i="1" s="1"/>
  <c r="BL124" i="1"/>
  <c r="BN124" i="1" s="1"/>
  <c r="BO124" i="1"/>
  <c r="BQ124" i="1" s="1"/>
  <c r="BR124" i="1"/>
  <c r="BT124" i="1" s="1"/>
  <c r="AQ125" i="1"/>
  <c r="AS125" i="1" s="1"/>
  <c r="AW125" i="1"/>
  <c r="AY125" i="1" s="1"/>
  <c r="AZ125" i="1"/>
  <c r="BB125" i="1" s="1"/>
  <c r="BC125" i="1"/>
  <c r="BE125" i="1" s="1"/>
  <c r="BH125" i="1"/>
  <c r="BI125" i="1"/>
  <c r="BK125" i="1" s="1"/>
  <c r="BL125" i="1"/>
  <c r="BN125" i="1" s="1"/>
  <c r="BO125" i="1"/>
  <c r="BQ125" i="1" s="1"/>
  <c r="BR125" i="1"/>
  <c r="BT125" i="1" s="1"/>
  <c r="AQ126" i="1"/>
  <c r="AS126" i="1" s="1"/>
  <c r="AW126" i="1"/>
  <c r="AY126" i="1" s="1"/>
  <c r="AZ126" i="1"/>
  <c r="BB126" i="1" s="1"/>
  <c r="BC126" i="1"/>
  <c r="BE126" i="1" s="1"/>
  <c r="BH126" i="1"/>
  <c r="BI126" i="1"/>
  <c r="BK126" i="1" s="1"/>
  <c r="BL126" i="1"/>
  <c r="BN126" i="1" s="1"/>
  <c r="BO126" i="1"/>
  <c r="BQ126" i="1" s="1"/>
  <c r="BR126" i="1"/>
  <c r="BT126" i="1" s="1"/>
  <c r="AQ127" i="1"/>
  <c r="AS127" i="1" s="1"/>
  <c r="AW127" i="1"/>
  <c r="AY127" i="1" s="1"/>
  <c r="AZ127" i="1"/>
  <c r="BB127" i="1" s="1"/>
  <c r="BC127" i="1"/>
  <c r="BE127" i="1" s="1"/>
  <c r="BH127" i="1"/>
  <c r="BI127" i="1"/>
  <c r="BK127" i="1" s="1"/>
  <c r="BL127" i="1"/>
  <c r="BN127" i="1" s="1"/>
  <c r="BO127" i="1"/>
  <c r="BQ127" i="1" s="1"/>
  <c r="BR127" i="1"/>
  <c r="BT127" i="1" s="1"/>
  <c r="AQ128" i="1"/>
  <c r="AS128" i="1" s="1"/>
  <c r="AW128" i="1"/>
  <c r="AY128" i="1" s="1"/>
  <c r="AZ128" i="1"/>
  <c r="BB128" i="1" s="1"/>
  <c r="BC128" i="1"/>
  <c r="BE128" i="1" s="1"/>
  <c r="BH128" i="1"/>
  <c r="BI128" i="1"/>
  <c r="BK128" i="1" s="1"/>
  <c r="BL128" i="1"/>
  <c r="BN128" i="1" s="1"/>
  <c r="BO128" i="1"/>
  <c r="BQ128" i="1" s="1"/>
  <c r="BR128" i="1"/>
  <c r="BT128" i="1" s="1"/>
  <c r="AQ129" i="1"/>
  <c r="AS129" i="1" s="1"/>
  <c r="AW129" i="1"/>
  <c r="AY129" i="1" s="1"/>
  <c r="AZ129" i="1"/>
  <c r="BB129" i="1" s="1"/>
  <c r="BC129" i="1"/>
  <c r="BE129" i="1" s="1"/>
  <c r="BF129" i="1"/>
  <c r="BH129" i="1" s="1"/>
  <c r="BI129" i="1"/>
  <c r="BK129" i="1" s="1"/>
  <c r="BL129" i="1"/>
  <c r="BN129" i="1" s="1"/>
  <c r="BO129" i="1"/>
  <c r="BQ129" i="1" s="1"/>
  <c r="BR129" i="1"/>
  <c r="BT129" i="1" s="1"/>
  <c r="AQ130" i="1"/>
  <c r="AS130" i="1" s="1"/>
  <c r="AW130" i="1"/>
  <c r="AY130" i="1" s="1"/>
  <c r="AZ130" i="1"/>
  <c r="BB130" i="1" s="1"/>
  <c r="BC130" i="1"/>
  <c r="BE130" i="1" s="1"/>
  <c r="BF130" i="1"/>
  <c r="BH130" i="1" s="1"/>
  <c r="BI130" i="1"/>
  <c r="BK130" i="1" s="1"/>
  <c r="BL130" i="1"/>
  <c r="BN130" i="1" s="1"/>
  <c r="BO130" i="1"/>
  <c r="BQ130" i="1" s="1"/>
  <c r="BR130" i="1"/>
  <c r="BT130" i="1" s="1"/>
  <c r="AQ131" i="1"/>
  <c r="AS131" i="1" s="1"/>
  <c r="AW131" i="1"/>
  <c r="AY131" i="1" s="1"/>
  <c r="AZ131" i="1"/>
  <c r="BB131" i="1" s="1"/>
  <c r="BC131" i="1"/>
  <c r="BE131" i="1" s="1"/>
  <c r="BF131" i="1"/>
  <c r="BH131" i="1" s="1"/>
  <c r="BI131" i="1"/>
  <c r="BK131" i="1" s="1"/>
  <c r="BL131" i="1"/>
  <c r="BN131" i="1" s="1"/>
  <c r="BO131" i="1"/>
  <c r="BQ131" i="1" s="1"/>
  <c r="BR131" i="1"/>
  <c r="BT131" i="1" s="1"/>
  <c r="AQ132" i="1"/>
  <c r="AS132" i="1" s="1"/>
  <c r="AW132" i="1"/>
  <c r="AY132" i="1" s="1"/>
  <c r="AZ132" i="1"/>
  <c r="BB132" i="1" s="1"/>
  <c r="BC132" i="1"/>
  <c r="BE132" i="1" s="1"/>
  <c r="BF132" i="1"/>
  <c r="BH132" i="1" s="1"/>
  <c r="BI132" i="1"/>
  <c r="BK132" i="1" s="1"/>
  <c r="BL132" i="1"/>
  <c r="BN132" i="1" s="1"/>
  <c r="BO132" i="1"/>
  <c r="BQ132" i="1" s="1"/>
  <c r="BR132" i="1"/>
  <c r="BT132" i="1" s="1"/>
  <c r="AQ133" i="1"/>
  <c r="AS133" i="1" s="1"/>
  <c r="AW133" i="1"/>
  <c r="AY133" i="1" s="1"/>
  <c r="AZ133" i="1"/>
  <c r="BB133" i="1" s="1"/>
  <c r="BC133" i="1"/>
  <c r="BE133" i="1" s="1"/>
  <c r="BF133" i="1"/>
  <c r="BH133" i="1" s="1"/>
  <c r="BI133" i="1"/>
  <c r="BK133" i="1" s="1"/>
  <c r="BL133" i="1"/>
  <c r="BN133" i="1" s="1"/>
  <c r="BO133" i="1"/>
  <c r="BQ133" i="1" s="1"/>
  <c r="BR133" i="1"/>
  <c r="BT133" i="1" s="1"/>
  <c r="AQ134" i="1"/>
  <c r="AS134" i="1" s="1"/>
  <c r="AW134" i="1"/>
  <c r="AY134" i="1" s="1"/>
  <c r="AZ134" i="1"/>
  <c r="BB134" i="1" s="1"/>
  <c r="BC134" i="1"/>
  <c r="BE134" i="1"/>
  <c r="BF134" i="1"/>
  <c r="BH134" i="1" s="1"/>
  <c r="BI134" i="1"/>
  <c r="BK134" i="1" s="1"/>
  <c r="BL134" i="1"/>
  <c r="BN134" i="1"/>
  <c r="BO134" i="1"/>
  <c r="BQ134" i="1" s="1"/>
  <c r="BR134" i="1"/>
  <c r="BT134" i="1" s="1"/>
  <c r="AQ135" i="1"/>
  <c r="AS135" i="1" s="1"/>
  <c r="AW135" i="1"/>
  <c r="AY135" i="1" s="1"/>
  <c r="AZ135" i="1"/>
  <c r="BB135" i="1" s="1"/>
  <c r="BC135" i="1"/>
  <c r="BE135" i="1" s="1"/>
  <c r="BF135" i="1"/>
  <c r="BH135" i="1" s="1"/>
  <c r="BI135" i="1"/>
  <c r="BK135" i="1" s="1"/>
  <c r="BL135" i="1"/>
  <c r="BN135" i="1" s="1"/>
  <c r="BO135" i="1"/>
  <c r="BQ135" i="1" s="1"/>
  <c r="BR135" i="1"/>
  <c r="BT135" i="1" s="1"/>
  <c r="AQ136" i="1"/>
  <c r="AS136" i="1" s="1"/>
  <c r="AW136" i="1"/>
  <c r="AY136" i="1" s="1"/>
  <c r="AZ136" i="1"/>
  <c r="BB136" i="1" s="1"/>
  <c r="BC136" i="1"/>
  <c r="BE136" i="1" s="1"/>
  <c r="BF136" i="1"/>
  <c r="BH136" i="1" s="1"/>
  <c r="BI136" i="1"/>
  <c r="BK136" i="1" s="1"/>
  <c r="BL136" i="1"/>
  <c r="BN136" i="1" s="1"/>
  <c r="BO136" i="1"/>
  <c r="BQ136" i="1"/>
  <c r="BR136" i="1"/>
  <c r="BT136" i="1" s="1"/>
  <c r="AQ137" i="1"/>
  <c r="AS137" i="1" s="1"/>
  <c r="AW137" i="1"/>
  <c r="AY137" i="1" s="1"/>
  <c r="AZ137" i="1"/>
  <c r="BB137" i="1" s="1"/>
  <c r="BC137" i="1"/>
  <c r="BE137" i="1" s="1"/>
  <c r="BF137" i="1"/>
  <c r="BH137" i="1" s="1"/>
  <c r="BI137" i="1"/>
  <c r="BK137" i="1" s="1"/>
  <c r="BL137" i="1"/>
  <c r="BN137" i="1" s="1"/>
  <c r="BO137" i="1"/>
  <c r="BQ137" i="1" s="1"/>
  <c r="BR137" i="1"/>
  <c r="BT137" i="1" s="1"/>
  <c r="AQ138" i="1"/>
  <c r="AS138" i="1" s="1"/>
  <c r="AW138" i="1"/>
  <c r="AY138" i="1" s="1"/>
  <c r="AZ138" i="1"/>
  <c r="BB138" i="1" s="1"/>
  <c r="BC138" i="1"/>
  <c r="BE138" i="1" s="1"/>
  <c r="BF138" i="1"/>
  <c r="BH138" i="1" s="1"/>
  <c r="BI138" i="1"/>
  <c r="BK138" i="1" s="1"/>
  <c r="BL138" i="1"/>
  <c r="BN138" i="1" s="1"/>
  <c r="BO138" i="1"/>
  <c r="BQ138" i="1" s="1"/>
  <c r="BR138" i="1"/>
  <c r="BT138" i="1" s="1"/>
  <c r="AQ139" i="1"/>
  <c r="AS139" i="1" s="1"/>
  <c r="AW139" i="1"/>
  <c r="AY139" i="1" s="1"/>
  <c r="AZ139" i="1"/>
  <c r="BB139" i="1" s="1"/>
  <c r="BC139" i="1"/>
  <c r="BE139" i="1" s="1"/>
  <c r="BF139" i="1"/>
  <c r="BH139" i="1" s="1"/>
  <c r="BI139" i="1"/>
  <c r="BK139" i="1" s="1"/>
  <c r="BL139" i="1"/>
  <c r="BN139" i="1" s="1"/>
  <c r="BO139" i="1"/>
  <c r="BQ139" i="1" s="1"/>
  <c r="BR139" i="1"/>
  <c r="BT139" i="1" s="1"/>
  <c r="AQ140" i="1"/>
  <c r="AS140" i="1" s="1"/>
  <c r="AW140" i="1"/>
  <c r="AY140" i="1" s="1"/>
  <c r="AZ140" i="1"/>
  <c r="BB140" i="1" s="1"/>
  <c r="BC140" i="1"/>
  <c r="BE140" i="1"/>
  <c r="BF140" i="1"/>
  <c r="BH140" i="1" s="1"/>
  <c r="BI140" i="1"/>
  <c r="BK140" i="1" s="1"/>
  <c r="BL140" i="1"/>
  <c r="BN140" i="1"/>
  <c r="BO140" i="1"/>
  <c r="BQ140" i="1" s="1"/>
  <c r="BR140" i="1"/>
  <c r="BT140" i="1" s="1"/>
  <c r="AQ141" i="1"/>
  <c r="AS141" i="1" s="1"/>
  <c r="AW141" i="1"/>
  <c r="AY141" i="1" s="1"/>
  <c r="AZ141" i="1"/>
  <c r="BB141" i="1" s="1"/>
  <c r="BC141" i="1"/>
  <c r="BE141" i="1" s="1"/>
  <c r="BF141" i="1"/>
  <c r="BH141" i="1" s="1"/>
  <c r="BI141" i="1"/>
  <c r="BK141" i="1" s="1"/>
  <c r="BL141" i="1"/>
  <c r="BN141" i="1" s="1"/>
  <c r="BO141" i="1"/>
  <c r="BQ141" i="1" s="1"/>
  <c r="BR141" i="1"/>
  <c r="BT141" i="1" s="1"/>
  <c r="AQ142" i="1"/>
  <c r="AS142" i="1" s="1"/>
  <c r="AW142" i="1"/>
  <c r="AY142" i="1" s="1"/>
  <c r="AZ142" i="1"/>
  <c r="BB142" i="1" s="1"/>
  <c r="BC142" i="1"/>
  <c r="BE142" i="1" s="1"/>
  <c r="BF142" i="1"/>
  <c r="BH142" i="1" s="1"/>
  <c r="BI142" i="1"/>
  <c r="BK142" i="1" s="1"/>
  <c r="BL142" i="1"/>
  <c r="BN142" i="1" s="1"/>
  <c r="BO142" i="1"/>
  <c r="BQ142" i="1" s="1"/>
  <c r="BR142" i="1"/>
  <c r="BT142" i="1" s="1"/>
  <c r="AQ143" i="1"/>
  <c r="AS143" i="1" s="1"/>
  <c r="AW143" i="1"/>
  <c r="AY143" i="1" s="1"/>
  <c r="AZ143" i="1"/>
  <c r="BB143" i="1" s="1"/>
  <c r="BC143" i="1"/>
  <c r="BE143" i="1" s="1"/>
  <c r="BF143" i="1"/>
  <c r="BH143" i="1" s="1"/>
  <c r="BI143" i="1"/>
  <c r="BK143" i="1" s="1"/>
  <c r="BL143" i="1"/>
  <c r="BN143" i="1" s="1"/>
  <c r="BO143" i="1"/>
  <c r="BQ143" i="1" s="1"/>
  <c r="BR143" i="1"/>
  <c r="BT143" i="1" s="1"/>
  <c r="AQ144" i="1"/>
  <c r="AS144" i="1" s="1"/>
  <c r="AW144" i="1"/>
  <c r="AY144" i="1" s="1"/>
  <c r="AZ144" i="1"/>
  <c r="BB144" i="1" s="1"/>
  <c r="BC144" i="1"/>
  <c r="BE144" i="1" s="1"/>
  <c r="BF144" i="1"/>
  <c r="BH144" i="1" s="1"/>
  <c r="BI144" i="1"/>
  <c r="BK144" i="1" s="1"/>
  <c r="BL144" i="1"/>
  <c r="BN144" i="1" s="1"/>
  <c r="BO144" i="1"/>
  <c r="BQ144" i="1" s="1"/>
  <c r="BR144" i="1"/>
  <c r="BT144" i="1" s="1"/>
  <c r="AQ145" i="1"/>
  <c r="AS145" i="1" s="1"/>
  <c r="AW145" i="1"/>
  <c r="AY145" i="1" s="1"/>
  <c r="AZ145" i="1"/>
  <c r="BB145" i="1" s="1"/>
  <c r="BC145" i="1"/>
  <c r="BE145" i="1" s="1"/>
  <c r="BF145" i="1"/>
  <c r="BH145" i="1" s="1"/>
  <c r="BI145" i="1"/>
  <c r="BK145" i="1" s="1"/>
  <c r="BL145" i="1"/>
  <c r="BN145" i="1" s="1"/>
  <c r="BO145" i="1"/>
  <c r="BQ145" i="1" s="1"/>
  <c r="BR145" i="1"/>
  <c r="BT145" i="1" s="1"/>
  <c r="AQ146" i="1"/>
  <c r="AS146" i="1" s="1"/>
  <c r="AW146" i="1"/>
  <c r="AY146" i="1" s="1"/>
  <c r="AZ146" i="1"/>
  <c r="BB146" i="1" s="1"/>
  <c r="BC146" i="1"/>
  <c r="BE146" i="1" s="1"/>
  <c r="BF146" i="1"/>
  <c r="BH146" i="1" s="1"/>
  <c r="BI146" i="1"/>
  <c r="BK146" i="1" s="1"/>
  <c r="BL146" i="1"/>
  <c r="BN146" i="1" s="1"/>
  <c r="BO146" i="1"/>
  <c r="BQ146" i="1" s="1"/>
  <c r="BR146" i="1"/>
  <c r="BT146" i="1" s="1"/>
  <c r="AQ147" i="1"/>
  <c r="AS147" i="1" s="1"/>
  <c r="AW147" i="1"/>
  <c r="AY147" i="1" s="1"/>
  <c r="AZ147" i="1"/>
  <c r="BB147" i="1" s="1"/>
  <c r="BC147" i="1"/>
  <c r="BE147" i="1" s="1"/>
  <c r="BF147" i="1"/>
  <c r="BH147" i="1" s="1"/>
  <c r="BI147" i="1"/>
  <c r="BK147" i="1" s="1"/>
  <c r="BL147" i="1"/>
  <c r="BN147" i="1" s="1"/>
  <c r="BO147" i="1"/>
  <c r="BQ147" i="1" s="1"/>
  <c r="BR147" i="1"/>
  <c r="BT147" i="1" s="1"/>
  <c r="AQ148" i="1"/>
  <c r="AS148" i="1" s="1"/>
  <c r="AW148" i="1"/>
  <c r="AY148" i="1" s="1"/>
  <c r="AZ148" i="1"/>
  <c r="BB148" i="1" s="1"/>
  <c r="BC148" i="1"/>
  <c r="BE148" i="1" s="1"/>
  <c r="BF148" i="1"/>
  <c r="BH148" i="1" s="1"/>
  <c r="BI148" i="1"/>
  <c r="BK148" i="1" s="1"/>
  <c r="BL148" i="1"/>
  <c r="BN148" i="1" s="1"/>
  <c r="BO148" i="1"/>
  <c r="BQ148" i="1" s="1"/>
  <c r="BR148" i="1"/>
  <c r="BT148" i="1" s="1"/>
  <c r="AQ149" i="1"/>
  <c r="AS149" i="1" s="1"/>
  <c r="AW149" i="1"/>
  <c r="AY149" i="1" s="1"/>
  <c r="AZ149" i="1"/>
  <c r="BB149" i="1" s="1"/>
  <c r="BC149" i="1"/>
  <c r="BE149" i="1" s="1"/>
  <c r="BF149" i="1"/>
  <c r="BH149" i="1" s="1"/>
  <c r="BI149" i="1"/>
  <c r="BK149" i="1" s="1"/>
  <c r="BL149" i="1"/>
  <c r="BN149" i="1" s="1"/>
  <c r="BO149" i="1"/>
  <c r="BQ149" i="1" s="1"/>
  <c r="BR149" i="1"/>
  <c r="BT149" i="1" s="1"/>
  <c r="AQ150" i="1"/>
  <c r="AS150" i="1" s="1"/>
  <c r="AW150" i="1"/>
  <c r="AY150" i="1" s="1"/>
  <c r="AZ150" i="1"/>
  <c r="BB150" i="1" s="1"/>
  <c r="BC150" i="1"/>
  <c r="BE150" i="1" s="1"/>
  <c r="BF150" i="1"/>
  <c r="BH150" i="1" s="1"/>
  <c r="BI150" i="1"/>
  <c r="BK150" i="1" s="1"/>
  <c r="BL150" i="1"/>
  <c r="BN150" i="1" s="1"/>
  <c r="BO150" i="1"/>
  <c r="BQ150" i="1" s="1"/>
  <c r="BR150" i="1"/>
  <c r="BT150" i="1" s="1"/>
  <c r="AQ151" i="1"/>
  <c r="AS151" i="1" s="1"/>
  <c r="AW151" i="1"/>
  <c r="AY151" i="1" s="1"/>
  <c r="AZ151" i="1"/>
  <c r="BB151" i="1" s="1"/>
  <c r="BC151" i="1"/>
  <c r="BE151" i="1" s="1"/>
  <c r="BF151" i="1"/>
  <c r="BH151" i="1" s="1"/>
  <c r="BI151" i="1"/>
  <c r="BK151" i="1" s="1"/>
  <c r="BL151" i="1"/>
  <c r="BN151" i="1" s="1"/>
  <c r="BO151" i="1"/>
  <c r="BQ151" i="1" s="1"/>
  <c r="BR151" i="1"/>
  <c r="BT151" i="1" s="1"/>
  <c r="AQ152" i="1"/>
  <c r="AS152" i="1" s="1"/>
  <c r="AW152" i="1"/>
  <c r="AY152" i="1" s="1"/>
  <c r="AZ152" i="1"/>
  <c r="BB152" i="1" s="1"/>
  <c r="BC152" i="1"/>
  <c r="BE152" i="1" s="1"/>
  <c r="BF152" i="1"/>
  <c r="BH152" i="1" s="1"/>
  <c r="BI152" i="1"/>
  <c r="BK152" i="1" s="1"/>
  <c r="BL152" i="1"/>
  <c r="BN152" i="1" s="1"/>
  <c r="BO152" i="1"/>
  <c r="BQ152" i="1" s="1"/>
  <c r="BR152" i="1"/>
  <c r="BT152" i="1" s="1"/>
  <c r="AQ153" i="1"/>
  <c r="AS153" i="1" s="1"/>
  <c r="AW153" i="1"/>
  <c r="AY153" i="1" s="1"/>
  <c r="AZ153" i="1"/>
  <c r="BB153" i="1" s="1"/>
  <c r="BC153" i="1"/>
  <c r="BE153" i="1" s="1"/>
  <c r="BF153" i="1"/>
  <c r="BH153" i="1" s="1"/>
  <c r="BI153" i="1"/>
  <c r="BK153" i="1" s="1"/>
  <c r="BL153" i="1"/>
  <c r="BN153" i="1" s="1"/>
  <c r="BO153" i="1"/>
  <c r="BQ153" i="1" s="1"/>
  <c r="BR153" i="1"/>
  <c r="BT153" i="1" s="1"/>
  <c r="AQ154" i="1"/>
  <c r="AS154" i="1" s="1"/>
  <c r="AW154" i="1"/>
  <c r="AY154" i="1" s="1"/>
  <c r="AZ154" i="1"/>
  <c r="BB154" i="1" s="1"/>
  <c r="BC154" i="1"/>
  <c r="BE154" i="1" s="1"/>
  <c r="BF154" i="1"/>
  <c r="BH154" i="1" s="1"/>
  <c r="BI154" i="1"/>
  <c r="BK154" i="1" s="1"/>
  <c r="BL154" i="1"/>
  <c r="BN154" i="1" s="1"/>
  <c r="BO154" i="1"/>
  <c r="BQ154" i="1" s="1"/>
  <c r="BR154" i="1"/>
  <c r="BT154" i="1" s="1"/>
  <c r="AQ155" i="1"/>
  <c r="AS155" i="1" s="1"/>
  <c r="AW155" i="1"/>
  <c r="AY155" i="1"/>
  <c r="AZ155" i="1"/>
  <c r="BB155" i="1" s="1"/>
  <c r="BC155" i="1"/>
  <c r="BE155" i="1" s="1"/>
  <c r="BF155" i="1"/>
  <c r="BH155" i="1" s="1"/>
  <c r="BI155" i="1"/>
  <c r="BK155" i="1" s="1"/>
  <c r="BL155" i="1"/>
  <c r="BN155" i="1" s="1"/>
  <c r="BO155" i="1"/>
  <c r="BQ155" i="1" s="1"/>
  <c r="BR155" i="1"/>
  <c r="BT155" i="1" s="1"/>
  <c r="AQ156" i="1"/>
  <c r="AS156" i="1" s="1"/>
  <c r="AW156" i="1"/>
  <c r="AY156" i="1" s="1"/>
  <c r="AZ156" i="1"/>
  <c r="BB156" i="1" s="1"/>
  <c r="BC156" i="1"/>
  <c r="BE156" i="1" s="1"/>
  <c r="BF156" i="1"/>
  <c r="BH156" i="1" s="1"/>
  <c r="BI156" i="1"/>
  <c r="BK156" i="1" s="1"/>
  <c r="BL156" i="1"/>
  <c r="BN156" i="1" s="1"/>
  <c r="BO156" i="1"/>
  <c r="BQ156" i="1" s="1"/>
  <c r="BR156" i="1"/>
  <c r="BT156" i="1" s="1"/>
  <c r="AQ157" i="1"/>
  <c r="AS157" i="1" s="1"/>
  <c r="AW157" i="1"/>
  <c r="AY157" i="1" s="1"/>
  <c r="AZ157" i="1"/>
  <c r="BB157" i="1" s="1"/>
  <c r="BC157" i="1"/>
  <c r="BE157" i="1" s="1"/>
  <c r="BF157" i="1"/>
  <c r="BH157" i="1" s="1"/>
  <c r="BI157" i="1"/>
  <c r="BK157" i="1" s="1"/>
  <c r="BL157" i="1"/>
  <c r="BN157" i="1" s="1"/>
  <c r="BO157" i="1"/>
  <c r="BQ157" i="1" s="1"/>
  <c r="BR157" i="1"/>
  <c r="BT157" i="1" s="1"/>
  <c r="AQ158" i="1"/>
  <c r="AS158" i="1" s="1"/>
  <c r="AW158" i="1"/>
  <c r="AY158" i="1" s="1"/>
  <c r="AZ158" i="1"/>
  <c r="BB158" i="1" s="1"/>
  <c r="BC158" i="1"/>
  <c r="BE158" i="1" s="1"/>
  <c r="BF158" i="1"/>
  <c r="BH158" i="1" s="1"/>
  <c r="BI158" i="1"/>
  <c r="BK158" i="1" s="1"/>
  <c r="BL158" i="1"/>
  <c r="BN158" i="1" s="1"/>
  <c r="BO158" i="1"/>
  <c r="BQ158" i="1"/>
  <c r="BR158" i="1"/>
  <c r="BT158" i="1" s="1"/>
  <c r="AQ159" i="1"/>
  <c r="AS159" i="1" s="1"/>
  <c r="AW159" i="1"/>
  <c r="AY159" i="1" s="1"/>
  <c r="AZ159" i="1"/>
  <c r="BB159" i="1"/>
  <c r="BC159" i="1"/>
  <c r="BE159" i="1" s="1"/>
  <c r="BF159" i="1"/>
  <c r="BH159" i="1" s="1"/>
  <c r="BI159" i="1"/>
  <c r="BK159" i="1"/>
  <c r="BL159" i="1"/>
  <c r="BN159" i="1" s="1"/>
  <c r="BO159" i="1"/>
  <c r="BQ159" i="1" s="1"/>
  <c r="BR159" i="1"/>
  <c r="BT159" i="1" s="1"/>
  <c r="AQ160" i="1"/>
  <c r="AS160" i="1" s="1"/>
  <c r="AW160" i="1"/>
  <c r="AY160" i="1" s="1"/>
  <c r="AZ160" i="1"/>
  <c r="BB160" i="1" s="1"/>
  <c r="BC160" i="1"/>
  <c r="BE160" i="1" s="1"/>
  <c r="BF160" i="1"/>
  <c r="BH160" i="1" s="1"/>
  <c r="BI160" i="1"/>
  <c r="BK160" i="1" s="1"/>
  <c r="BL160" i="1"/>
  <c r="BN160" i="1" s="1"/>
  <c r="BO160" i="1"/>
  <c r="BQ160" i="1" s="1"/>
  <c r="BR160" i="1"/>
  <c r="BT160" i="1" s="1"/>
  <c r="AQ161" i="1"/>
  <c r="AS161" i="1" s="1"/>
  <c r="AW161" i="1"/>
  <c r="AY161" i="1" s="1"/>
  <c r="AZ161" i="1"/>
  <c r="BB161" i="1" s="1"/>
  <c r="BC161" i="1"/>
  <c r="BE161" i="1" s="1"/>
  <c r="BF161" i="1"/>
  <c r="BH161" i="1" s="1"/>
  <c r="BI161" i="1"/>
  <c r="BK161" i="1" s="1"/>
  <c r="BL161" i="1"/>
  <c r="BN161" i="1" s="1"/>
  <c r="BO161" i="1"/>
  <c r="BQ161" i="1" s="1"/>
  <c r="BR161" i="1"/>
  <c r="BT161" i="1" s="1"/>
  <c r="AQ162" i="1"/>
  <c r="AS162" i="1"/>
  <c r="AW162" i="1"/>
  <c r="AY162" i="1" s="1"/>
  <c r="AZ162" i="1"/>
  <c r="BB162" i="1" s="1"/>
  <c r="BC162" i="1"/>
  <c r="BE162" i="1" s="1"/>
  <c r="BF162" i="1"/>
  <c r="BH162" i="1" s="1"/>
  <c r="BI162" i="1"/>
  <c r="BK162" i="1" s="1"/>
  <c r="BL162" i="1"/>
  <c r="BN162" i="1" s="1"/>
  <c r="BO162" i="1"/>
  <c r="BQ162" i="1" s="1"/>
  <c r="BR162" i="1"/>
  <c r="BT162" i="1"/>
  <c r="AQ163" i="1"/>
  <c r="AS163" i="1" s="1"/>
  <c r="AW163" i="1"/>
  <c r="AY163" i="1" s="1"/>
  <c r="AZ163" i="1"/>
  <c r="BB163" i="1" s="1"/>
  <c r="BC163" i="1"/>
  <c r="BE163" i="1" s="1"/>
  <c r="BF163" i="1"/>
  <c r="BH163" i="1" s="1"/>
  <c r="BI163" i="1"/>
  <c r="BK163" i="1" s="1"/>
  <c r="BL163" i="1"/>
  <c r="BN163" i="1" s="1"/>
  <c r="BO163" i="1"/>
  <c r="BQ163" i="1" s="1"/>
  <c r="BR163" i="1"/>
  <c r="BT163" i="1" s="1"/>
  <c r="AQ164" i="1"/>
  <c r="AS164" i="1" s="1"/>
  <c r="AW164" i="1"/>
  <c r="AY164" i="1" s="1"/>
  <c r="AZ164" i="1"/>
  <c r="BB164" i="1" s="1"/>
  <c r="BC164" i="1"/>
  <c r="BE164" i="1" s="1"/>
  <c r="BF164" i="1"/>
  <c r="BH164" i="1" s="1"/>
  <c r="BI164" i="1"/>
  <c r="BK164" i="1" s="1"/>
  <c r="BL164" i="1"/>
  <c r="BN164" i="1" s="1"/>
  <c r="BO164" i="1"/>
  <c r="BQ164" i="1"/>
  <c r="BR164" i="1"/>
  <c r="BT164" i="1" s="1"/>
  <c r="AQ165" i="1"/>
  <c r="AS165" i="1" s="1"/>
  <c r="AW165" i="1"/>
  <c r="AY165" i="1" s="1"/>
  <c r="AZ165" i="1"/>
  <c r="BB165" i="1" s="1"/>
  <c r="BC165" i="1"/>
  <c r="BE165" i="1" s="1"/>
  <c r="BF165" i="1"/>
  <c r="BH165" i="1" s="1"/>
  <c r="BI165" i="1"/>
  <c r="BK165" i="1" s="1"/>
  <c r="BL165" i="1"/>
  <c r="BN165" i="1" s="1"/>
  <c r="BO165" i="1"/>
  <c r="BQ165" i="1" s="1"/>
  <c r="BR165" i="1"/>
  <c r="BT165" i="1" s="1"/>
  <c r="AQ166" i="1"/>
  <c r="AS166" i="1"/>
  <c r="AW166" i="1"/>
  <c r="AY166" i="1" s="1"/>
  <c r="AZ166" i="1"/>
  <c r="BB166" i="1" s="1"/>
  <c r="BC166" i="1"/>
  <c r="BE166" i="1" s="1"/>
  <c r="BF166" i="1"/>
  <c r="BH166" i="1"/>
  <c r="BI166" i="1"/>
  <c r="BK166" i="1" s="1"/>
  <c r="BL166" i="1"/>
  <c r="BN166" i="1" s="1"/>
  <c r="BO166" i="1"/>
  <c r="BQ166" i="1"/>
  <c r="BR166" i="1"/>
  <c r="BT166" i="1" s="1"/>
  <c r="AQ167" i="1"/>
  <c r="AS167" i="1" s="1"/>
  <c r="AW167" i="1"/>
  <c r="AY167" i="1" s="1"/>
  <c r="AZ167" i="1"/>
  <c r="BB167" i="1" s="1"/>
  <c r="BC167" i="1"/>
  <c r="BE167" i="1" s="1"/>
  <c r="BF167" i="1"/>
  <c r="BH167" i="1" s="1"/>
  <c r="BI167" i="1"/>
  <c r="BK167" i="1" s="1"/>
  <c r="BL167" i="1"/>
  <c r="BN167" i="1" s="1"/>
  <c r="BO167" i="1"/>
  <c r="BQ167" i="1" s="1"/>
  <c r="BR167" i="1"/>
  <c r="BT167" i="1" s="1"/>
  <c r="AQ168" i="1"/>
  <c r="AS168" i="1" s="1"/>
  <c r="AW168" i="1"/>
  <c r="AY168" i="1" s="1"/>
  <c r="AZ168" i="1"/>
  <c r="BB168" i="1" s="1"/>
  <c r="BC168" i="1"/>
  <c r="BE168" i="1" s="1"/>
  <c r="BF168" i="1"/>
  <c r="BH168" i="1" s="1"/>
  <c r="BI168" i="1"/>
  <c r="BK168" i="1" s="1"/>
  <c r="BL168" i="1"/>
  <c r="BN168" i="1" s="1"/>
  <c r="BO168" i="1"/>
  <c r="BQ168" i="1" s="1"/>
  <c r="BR168" i="1"/>
  <c r="BT168" i="1" s="1"/>
  <c r="AQ169" i="1"/>
  <c r="AS169" i="1" s="1"/>
  <c r="AW169" i="1"/>
  <c r="AY169" i="1" s="1"/>
  <c r="AZ169" i="1"/>
  <c r="BB169" i="1" s="1"/>
  <c r="BC169" i="1"/>
  <c r="BE169" i="1" s="1"/>
  <c r="BF169" i="1"/>
  <c r="BH169" i="1" s="1"/>
  <c r="BI169" i="1"/>
  <c r="BK169" i="1" s="1"/>
  <c r="BL169" i="1"/>
  <c r="BN169" i="1" s="1"/>
  <c r="BO169" i="1"/>
  <c r="BQ169" i="1" s="1"/>
  <c r="BR169" i="1"/>
  <c r="BT169" i="1" s="1"/>
  <c r="AQ170" i="1"/>
  <c r="AS170" i="1" s="1"/>
  <c r="AW170" i="1"/>
  <c r="AY170" i="1" s="1"/>
  <c r="AZ170" i="1"/>
  <c r="BB170" i="1" s="1"/>
  <c r="BC170" i="1"/>
  <c r="BE170" i="1" s="1"/>
  <c r="BF170" i="1"/>
  <c r="BH170" i="1" s="1"/>
  <c r="BI170" i="1"/>
  <c r="BK170" i="1" s="1"/>
  <c r="BL170" i="1"/>
  <c r="BN170" i="1" s="1"/>
  <c r="BO170" i="1"/>
  <c r="BQ170" i="1" s="1"/>
  <c r="BR170" i="1"/>
  <c r="BT170" i="1" s="1"/>
  <c r="AQ171" i="1"/>
  <c r="AS171" i="1" s="1"/>
  <c r="AW171" i="1"/>
  <c r="AY171" i="1" s="1"/>
  <c r="AZ171" i="1"/>
  <c r="BB171" i="1" s="1"/>
  <c r="BC171" i="1"/>
  <c r="BE171" i="1" s="1"/>
  <c r="BF171" i="1"/>
  <c r="BH171" i="1" s="1"/>
  <c r="BI171" i="1"/>
  <c r="BK171" i="1" s="1"/>
  <c r="BL171" i="1"/>
  <c r="BN171" i="1" s="1"/>
  <c r="BO171" i="1"/>
  <c r="BQ171" i="1" s="1"/>
  <c r="BR171" i="1"/>
  <c r="BT171" i="1" s="1"/>
  <c r="AQ172" i="1"/>
  <c r="AS172" i="1" s="1"/>
  <c r="AW172" i="1"/>
  <c r="AY172" i="1" s="1"/>
  <c r="AZ172" i="1"/>
  <c r="BB172" i="1" s="1"/>
  <c r="BC172" i="1"/>
  <c r="BE172" i="1" s="1"/>
  <c r="BF172" i="1"/>
  <c r="BH172" i="1" s="1"/>
  <c r="BI172" i="1"/>
  <c r="BK172" i="1" s="1"/>
  <c r="BL172" i="1"/>
  <c r="BN172" i="1" s="1"/>
  <c r="BO172" i="1"/>
  <c r="BQ172" i="1" s="1"/>
  <c r="BR172" i="1"/>
  <c r="BT172" i="1" s="1"/>
  <c r="AQ173" i="1"/>
  <c r="AS173" i="1" s="1"/>
  <c r="AW173" i="1"/>
  <c r="AY173" i="1" s="1"/>
  <c r="AZ173" i="1"/>
  <c r="BB173" i="1" s="1"/>
  <c r="BC173" i="1"/>
  <c r="BE173" i="1" s="1"/>
  <c r="BF173" i="1"/>
  <c r="BH173" i="1" s="1"/>
  <c r="BI173" i="1"/>
  <c r="BK173" i="1" s="1"/>
  <c r="BL173" i="1"/>
  <c r="BN173" i="1" s="1"/>
  <c r="BO173" i="1"/>
  <c r="BQ173" i="1" s="1"/>
  <c r="BR173" i="1"/>
  <c r="BT173" i="1" s="1"/>
  <c r="AQ174" i="1"/>
  <c r="AS174" i="1" s="1"/>
  <c r="AW174" i="1"/>
  <c r="AY174" i="1" s="1"/>
  <c r="AZ174" i="1"/>
  <c r="BB174" i="1" s="1"/>
  <c r="BC174" i="1"/>
  <c r="BE174" i="1" s="1"/>
  <c r="BF174" i="1"/>
  <c r="BH174" i="1" s="1"/>
  <c r="BI174" i="1"/>
  <c r="BK174" i="1" s="1"/>
  <c r="BL174" i="1"/>
  <c r="BN174" i="1" s="1"/>
  <c r="BO174" i="1"/>
  <c r="BQ174" i="1" s="1"/>
  <c r="BR174" i="1"/>
  <c r="BT174" i="1" s="1"/>
  <c r="AQ175" i="1"/>
  <c r="AS175" i="1" s="1"/>
  <c r="AW175" i="1"/>
  <c r="AY175" i="1" s="1"/>
  <c r="AZ175" i="1"/>
  <c r="BB175" i="1" s="1"/>
  <c r="BC175" i="1"/>
  <c r="BE175" i="1" s="1"/>
  <c r="BF175" i="1"/>
  <c r="BH175" i="1" s="1"/>
  <c r="BI175" i="1"/>
  <c r="BK175" i="1" s="1"/>
  <c r="BL175" i="1"/>
  <c r="BN175" i="1" s="1"/>
  <c r="BO175" i="1"/>
  <c r="BQ175" i="1" s="1"/>
  <c r="BR175" i="1"/>
  <c r="BT175" i="1" s="1"/>
  <c r="AQ176" i="1"/>
  <c r="AS176" i="1" s="1"/>
  <c r="AW176" i="1"/>
  <c r="AY176" i="1" s="1"/>
  <c r="AZ176" i="1"/>
  <c r="BB176" i="1" s="1"/>
  <c r="BC176" i="1"/>
  <c r="BE176" i="1" s="1"/>
  <c r="BF176" i="1"/>
  <c r="BH176" i="1" s="1"/>
  <c r="BI176" i="1"/>
  <c r="BK176" i="1" s="1"/>
  <c r="BL176" i="1"/>
  <c r="BN176" i="1" s="1"/>
  <c r="BO176" i="1"/>
  <c r="BQ176" i="1" s="1"/>
  <c r="BR176" i="1"/>
  <c r="BT176" i="1" s="1"/>
  <c r="AQ177" i="1"/>
  <c r="AS177" i="1" s="1"/>
  <c r="AW177" i="1"/>
  <c r="AY177" i="1" s="1"/>
  <c r="AZ177" i="1"/>
  <c r="BB177" i="1" s="1"/>
  <c r="BC177" i="1"/>
  <c r="BE177" i="1" s="1"/>
  <c r="BF177" i="1"/>
  <c r="BH177" i="1" s="1"/>
  <c r="BI177" i="1"/>
  <c r="BK177" i="1" s="1"/>
  <c r="BL177" i="1"/>
  <c r="BN177" i="1" s="1"/>
  <c r="BO177" i="1"/>
  <c r="BQ177" i="1" s="1"/>
  <c r="BR177" i="1"/>
  <c r="BT177" i="1" s="1"/>
  <c r="AQ178" i="1"/>
  <c r="AS178" i="1" s="1"/>
  <c r="AW178" i="1"/>
  <c r="AY178" i="1" s="1"/>
  <c r="AZ178" i="1"/>
  <c r="BB178" i="1" s="1"/>
  <c r="BC178" i="1"/>
  <c r="BE178" i="1" s="1"/>
  <c r="BF178" i="1"/>
  <c r="BH178" i="1" s="1"/>
  <c r="BI178" i="1"/>
  <c r="BK178" i="1" s="1"/>
  <c r="BL178" i="1"/>
  <c r="BN178" i="1" s="1"/>
  <c r="BO178" i="1"/>
  <c r="BQ178" i="1" s="1"/>
  <c r="BR178" i="1"/>
  <c r="BT178" i="1" s="1"/>
  <c r="AQ179" i="1"/>
  <c r="AS179" i="1" s="1"/>
  <c r="AW179" i="1"/>
  <c r="AY179" i="1" s="1"/>
  <c r="AZ179" i="1"/>
  <c r="BB179" i="1" s="1"/>
  <c r="BC179" i="1"/>
  <c r="BE179" i="1" s="1"/>
  <c r="BF179" i="1"/>
  <c r="BH179" i="1" s="1"/>
  <c r="BI179" i="1"/>
  <c r="BK179" i="1" s="1"/>
  <c r="BL179" i="1"/>
  <c r="BN179" i="1" s="1"/>
  <c r="BO179" i="1"/>
  <c r="BQ179" i="1" s="1"/>
  <c r="BR179" i="1"/>
  <c r="BT179" i="1" s="1"/>
  <c r="AQ180" i="1"/>
  <c r="AS180" i="1" s="1"/>
  <c r="AW180" i="1"/>
  <c r="AY180" i="1" s="1"/>
  <c r="AZ180" i="1"/>
  <c r="BB180" i="1" s="1"/>
  <c r="BC180" i="1"/>
  <c r="BE180" i="1"/>
  <c r="BF180" i="1"/>
  <c r="BH180" i="1" s="1"/>
  <c r="BI180" i="1"/>
  <c r="BK180" i="1" s="1"/>
  <c r="BL180" i="1"/>
  <c r="BN180" i="1"/>
  <c r="BO180" i="1"/>
  <c r="BQ180" i="1" s="1"/>
  <c r="BR180" i="1"/>
  <c r="BT180" i="1" s="1"/>
  <c r="AQ181" i="1"/>
  <c r="AS181" i="1" s="1"/>
  <c r="AW181" i="1"/>
  <c r="AY181" i="1"/>
  <c r="AZ181" i="1"/>
  <c r="BB181" i="1" s="1"/>
  <c r="BC181" i="1"/>
  <c r="BE181" i="1" s="1"/>
  <c r="BF181" i="1"/>
  <c r="BH181" i="1"/>
  <c r="BI181" i="1"/>
  <c r="BK181" i="1" s="1"/>
  <c r="BL181" i="1"/>
  <c r="BN181" i="1" s="1"/>
  <c r="BO181" i="1"/>
  <c r="BQ181" i="1" s="1"/>
  <c r="BR181" i="1"/>
  <c r="BT181" i="1" s="1"/>
  <c r="AQ182" i="1"/>
  <c r="AS182" i="1" s="1"/>
  <c r="AW182" i="1"/>
  <c r="AY182" i="1"/>
  <c r="AZ182" i="1"/>
  <c r="BB182" i="1" s="1"/>
  <c r="BC182" i="1"/>
  <c r="BE182" i="1" s="1"/>
  <c r="BF182" i="1"/>
  <c r="BH182" i="1" s="1"/>
  <c r="BI182" i="1"/>
  <c r="BK182" i="1" s="1"/>
  <c r="BL182" i="1"/>
  <c r="BN182" i="1" s="1"/>
  <c r="BO182" i="1"/>
  <c r="BQ182" i="1" s="1"/>
  <c r="BR182" i="1"/>
  <c r="BT182" i="1" s="1"/>
  <c r="AQ183" i="1"/>
  <c r="AS183" i="1" s="1"/>
  <c r="AW183" i="1"/>
  <c r="AY183" i="1" s="1"/>
  <c r="AZ183" i="1"/>
  <c r="BB183" i="1" s="1"/>
  <c r="BC183" i="1"/>
  <c r="BE183" i="1" s="1"/>
  <c r="BF183" i="1"/>
  <c r="BH183" i="1" s="1"/>
  <c r="BI183" i="1"/>
  <c r="BK183" i="1" s="1"/>
  <c r="BL183" i="1"/>
  <c r="BN183" i="1" s="1"/>
  <c r="BO183" i="1"/>
  <c r="BQ183" i="1" s="1"/>
  <c r="BR183" i="1"/>
  <c r="BT183" i="1" s="1"/>
  <c r="AQ184" i="1"/>
  <c r="AS184" i="1" s="1"/>
  <c r="AW184" i="1"/>
  <c r="AY184" i="1" s="1"/>
  <c r="AZ184" i="1"/>
  <c r="BB184" i="1"/>
  <c r="BC184" i="1"/>
  <c r="BE184" i="1" s="1"/>
  <c r="BF184" i="1"/>
  <c r="BH184" i="1" s="1"/>
  <c r="BI184" i="1"/>
  <c r="BK184" i="1"/>
  <c r="BL184" i="1"/>
  <c r="BN184" i="1" s="1"/>
  <c r="BO184" i="1"/>
  <c r="BQ184" i="1" s="1"/>
  <c r="BR184" i="1"/>
  <c r="BT184" i="1" s="1"/>
  <c r="AQ185" i="1"/>
  <c r="AS185" i="1" s="1"/>
  <c r="AW185" i="1"/>
  <c r="AY185" i="1" s="1"/>
  <c r="AZ185" i="1"/>
  <c r="BB185" i="1" s="1"/>
  <c r="BC185" i="1"/>
  <c r="BE185" i="1" s="1"/>
  <c r="BF185" i="1"/>
  <c r="BH185" i="1" s="1"/>
  <c r="BI185" i="1"/>
  <c r="BK185" i="1" s="1"/>
  <c r="BL185" i="1"/>
  <c r="BN185" i="1" s="1"/>
  <c r="BO185" i="1"/>
  <c r="BQ185" i="1" s="1"/>
  <c r="BR185" i="1"/>
  <c r="BT185" i="1" s="1"/>
  <c r="AQ186" i="1"/>
  <c r="AS186" i="1" s="1"/>
  <c r="AW186" i="1"/>
  <c r="AY186" i="1"/>
  <c r="AZ186" i="1"/>
  <c r="BB186" i="1" s="1"/>
  <c r="BC186" i="1"/>
  <c r="BE186" i="1" s="1"/>
  <c r="BF186" i="1"/>
  <c r="BH186" i="1" s="1"/>
  <c r="BI186" i="1"/>
  <c r="BK186" i="1" s="1"/>
  <c r="BL186" i="1"/>
  <c r="BN186" i="1" s="1"/>
  <c r="BO186" i="1"/>
  <c r="BQ186" i="1" s="1"/>
  <c r="BR186" i="1"/>
  <c r="BT186" i="1" s="1"/>
  <c r="AQ187" i="1"/>
  <c r="AS187" i="1"/>
  <c r="AW187" i="1"/>
  <c r="AY187" i="1" s="1"/>
  <c r="AZ187" i="1"/>
  <c r="BB187" i="1" s="1"/>
  <c r="BC187" i="1"/>
  <c r="BE187" i="1" s="1"/>
  <c r="BF187" i="1"/>
  <c r="BH187" i="1" s="1"/>
  <c r="BI187" i="1"/>
  <c r="BK187" i="1" s="1"/>
  <c r="BL187" i="1"/>
  <c r="BN187" i="1" s="1"/>
  <c r="BO187" i="1"/>
  <c r="BQ187" i="1" s="1"/>
  <c r="BR187" i="1"/>
  <c r="BT187" i="1" s="1"/>
  <c r="AQ188" i="1"/>
  <c r="AS188" i="1" s="1"/>
  <c r="AW188" i="1"/>
  <c r="AY188" i="1" s="1"/>
  <c r="AZ188" i="1"/>
  <c r="BB188" i="1" s="1"/>
  <c r="BC188" i="1"/>
  <c r="BE188" i="1" s="1"/>
  <c r="BF188" i="1"/>
  <c r="BH188" i="1" s="1"/>
  <c r="BI188" i="1"/>
  <c r="BK188" i="1" s="1"/>
  <c r="BL188" i="1"/>
  <c r="BN188" i="1" s="1"/>
  <c r="BO188" i="1"/>
  <c r="BQ188" i="1"/>
  <c r="BR188" i="1"/>
  <c r="BT188" i="1" s="1"/>
  <c r="AQ189" i="1"/>
  <c r="AS189" i="1" s="1"/>
  <c r="AW189" i="1"/>
  <c r="AY189" i="1" s="1"/>
  <c r="AZ189" i="1"/>
  <c r="BB189" i="1" s="1"/>
  <c r="BC189" i="1"/>
  <c r="BE189" i="1" s="1"/>
  <c r="BF189" i="1"/>
  <c r="BH189" i="1" s="1"/>
  <c r="BI189" i="1"/>
  <c r="BK189" i="1" s="1"/>
  <c r="BL189" i="1"/>
  <c r="BN189" i="1" s="1"/>
  <c r="BO189" i="1"/>
  <c r="BQ189" i="1" s="1"/>
  <c r="BR189" i="1"/>
  <c r="BT189" i="1" s="1"/>
  <c r="AQ190" i="1"/>
  <c r="AS190" i="1" s="1"/>
  <c r="AW190" i="1"/>
  <c r="AY190" i="1" s="1"/>
  <c r="AZ190" i="1"/>
  <c r="BB190" i="1" s="1"/>
  <c r="BC190" i="1"/>
  <c r="BE190" i="1" s="1"/>
  <c r="BF190" i="1"/>
  <c r="BH190" i="1" s="1"/>
  <c r="BI190" i="1"/>
  <c r="BK190" i="1" s="1"/>
  <c r="BL190" i="1"/>
  <c r="BN190" i="1" s="1"/>
  <c r="BO190" i="1"/>
  <c r="BQ190" i="1" s="1"/>
  <c r="BR190" i="1"/>
  <c r="BT190" i="1" s="1"/>
  <c r="AQ191" i="1"/>
  <c r="AS191" i="1" s="1"/>
  <c r="AW191" i="1"/>
  <c r="AY191" i="1" s="1"/>
  <c r="AZ191" i="1"/>
  <c r="BB191" i="1"/>
  <c r="BC191" i="1"/>
  <c r="BE191" i="1" s="1"/>
  <c r="BF191" i="1"/>
  <c r="BH191" i="1" s="1"/>
  <c r="BI191" i="1"/>
  <c r="BK191" i="1" s="1"/>
  <c r="BL191" i="1"/>
  <c r="BN191" i="1" s="1"/>
  <c r="BO191" i="1"/>
  <c r="BQ191" i="1" s="1"/>
  <c r="BR191" i="1"/>
  <c r="BT191" i="1"/>
  <c r="AQ192" i="1"/>
  <c r="AS192" i="1" s="1"/>
  <c r="AW192" i="1"/>
  <c r="AY192" i="1" s="1"/>
  <c r="AZ192" i="1"/>
  <c r="BB192" i="1" s="1"/>
  <c r="BC192" i="1"/>
  <c r="BE192" i="1" s="1"/>
  <c r="BF192" i="1"/>
  <c r="BH192" i="1" s="1"/>
  <c r="BI192" i="1"/>
  <c r="BK192" i="1" s="1"/>
  <c r="BL192" i="1"/>
  <c r="BN192" i="1" s="1"/>
  <c r="BO192" i="1"/>
  <c r="BQ192" i="1" s="1"/>
  <c r="BR192" i="1"/>
  <c r="BT192" i="1" s="1"/>
  <c r="AQ193" i="1"/>
  <c r="AS193" i="1" s="1"/>
  <c r="AW193" i="1"/>
  <c r="AY193" i="1" s="1"/>
  <c r="AZ193" i="1"/>
  <c r="BB193" i="1" s="1"/>
  <c r="BC193" i="1"/>
  <c r="BE193" i="1"/>
  <c r="BF193" i="1"/>
  <c r="BH193" i="1" s="1"/>
  <c r="BI193" i="1"/>
  <c r="BK193" i="1" s="1"/>
  <c r="BL193" i="1"/>
  <c r="BN193" i="1"/>
  <c r="BO193" i="1"/>
  <c r="BQ193" i="1" s="1"/>
  <c r="BR193" i="1"/>
  <c r="BT193" i="1" s="1"/>
  <c r="AQ194" i="1"/>
  <c r="AS194" i="1" s="1"/>
  <c r="AW194" i="1"/>
  <c r="AY194" i="1" s="1"/>
  <c r="AZ194" i="1"/>
  <c r="BB194" i="1" s="1"/>
  <c r="BC194" i="1"/>
  <c r="BE194" i="1" s="1"/>
  <c r="BF194" i="1"/>
  <c r="BH194" i="1" s="1"/>
  <c r="BI194" i="1"/>
  <c r="BK194" i="1" s="1"/>
  <c r="BL194" i="1"/>
  <c r="BN194" i="1" s="1"/>
  <c r="BO194" i="1"/>
  <c r="BQ194" i="1" s="1"/>
  <c r="BR194" i="1"/>
  <c r="BT194" i="1" s="1"/>
  <c r="AQ195" i="1"/>
  <c r="AS195" i="1" s="1"/>
  <c r="AW195" i="1"/>
  <c r="AY195" i="1" s="1"/>
  <c r="AZ195" i="1"/>
  <c r="BB195" i="1" s="1"/>
  <c r="BC195" i="1"/>
  <c r="BE195" i="1" s="1"/>
  <c r="BF195" i="1"/>
  <c r="BH195" i="1" s="1"/>
  <c r="BI195" i="1"/>
  <c r="BK195" i="1" s="1"/>
  <c r="BL195" i="1"/>
  <c r="BN195" i="1" s="1"/>
  <c r="BO195" i="1"/>
  <c r="BQ195" i="1" s="1"/>
  <c r="BR195" i="1"/>
  <c r="BT195" i="1" s="1"/>
  <c r="AQ196" i="1"/>
  <c r="AS196" i="1"/>
  <c r="AT196" i="1"/>
  <c r="AV196" i="1" s="1"/>
  <c r="AW196" i="1"/>
  <c r="AY196" i="1" s="1"/>
  <c r="AZ196" i="1"/>
  <c r="BB196" i="1"/>
  <c r="BC196" i="1"/>
  <c r="BE196" i="1" s="1"/>
  <c r="BF196" i="1"/>
  <c r="BH196" i="1" s="1"/>
  <c r="BI196" i="1"/>
  <c r="BK196" i="1"/>
  <c r="BL196" i="1"/>
  <c r="BN196" i="1" s="1"/>
  <c r="BO196" i="1"/>
  <c r="BQ196" i="1" s="1"/>
  <c r="BR196" i="1"/>
  <c r="BT196" i="1" s="1"/>
  <c r="AQ197" i="1"/>
  <c r="AS197" i="1" s="1"/>
  <c r="AT197" i="1"/>
  <c r="AV197" i="1" s="1"/>
  <c r="AW197" i="1"/>
  <c r="AY197" i="1" s="1"/>
  <c r="AZ197" i="1"/>
  <c r="BB197" i="1" s="1"/>
  <c r="BC197" i="1"/>
  <c r="BE197" i="1" s="1"/>
  <c r="BF197" i="1"/>
  <c r="BH197" i="1" s="1"/>
  <c r="BI197" i="1"/>
  <c r="BK197" i="1" s="1"/>
  <c r="BL197" i="1"/>
  <c r="BN197" i="1" s="1"/>
  <c r="BO197" i="1"/>
  <c r="BQ197" i="1" s="1"/>
  <c r="BR197" i="1"/>
  <c r="BT197" i="1" s="1"/>
  <c r="AQ198" i="1"/>
  <c r="AS198" i="1" s="1"/>
  <c r="AT198" i="1"/>
  <c r="AV198" i="1" s="1"/>
  <c r="AW198" i="1"/>
  <c r="AY198" i="1" s="1"/>
  <c r="AZ198" i="1"/>
  <c r="BB198" i="1" s="1"/>
  <c r="BC198" i="1"/>
  <c r="BE198" i="1" s="1"/>
  <c r="BF198" i="1"/>
  <c r="BH198" i="1" s="1"/>
  <c r="BI198" i="1"/>
  <c r="BK198" i="1" s="1"/>
  <c r="BL198" i="1"/>
  <c r="BN198" i="1" s="1"/>
  <c r="BO198" i="1"/>
  <c r="BQ198" i="1" s="1"/>
  <c r="BR198" i="1"/>
  <c r="BT198" i="1" s="1"/>
  <c r="AQ199" i="1"/>
  <c r="AS199" i="1" s="1"/>
  <c r="AT199" i="1"/>
  <c r="AV199" i="1" s="1"/>
  <c r="AW199" i="1"/>
  <c r="AY199" i="1" s="1"/>
  <c r="AZ199" i="1"/>
  <c r="BB199" i="1" s="1"/>
  <c r="BC199" i="1"/>
  <c r="BE199" i="1" s="1"/>
  <c r="BF199" i="1"/>
  <c r="BH199" i="1" s="1"/>
  <c r="BI199" i="1"/>
  <c r="BK199" i="1" s="1"/>
  <c r="BL199" i="1"/>
  <c r="BN199" i="1" s="1"/>
  <c r="BO199" i="1"/>
  <c r="BQ199" i="1" s="1"/>
  <c r="BR199" i="1"/>
  <c r="BT199" i="1" s="1"/>
  <c r="AQ200" i="1"/>
  <c r="AS200" i="1" s="1"/>
  <c r="AT200" i="1"/>
  <c r="AV200" i="1" s="1"/>
  <c r="AW200" i="1"/>
  <c r="AY200" i="1" s="1"/>
  <c r="AZ200" i="1"/>
  <c r="BB200" i="1"/>
  <c r="BC200" i="1"/>
  <c r="BE200" i="1" s="1"/>
  <c r="BF200" i="1"/>
  <c r="BH200" i="1" s="1"/>
  <c r="BI200" i="1"/>
  <c r="BK200" i="1"/>
  <c r="BL200" i="1"/>
  <c r="BN200" i="1" s="1"/>
  <c r="BO200" i="1"/>
  <c r="BQ200" i="1" s="1"/>
  <c r="BR200" i="1"/>
  <c r="BT200" i="1"/>
  <c r="AQ201" i="1"/>
  <c r="AS201" i="1" s="1"/>
  <c r="AT201" i="1"/>
  <c r="AV201" i="1" s="1"/>
  <c r="AW201" i="1"/>
  <c r="AY201" i="1" s="1"/>
  <c r="AZ201" i="1"/>
  <c r="BB201" i="1" s="1"/>
  <c r="BC201" i="1"/>
  <c r="BE201" i="1" s="1"/>
  <c r="BF201" i="1"/>
  <c r="BH201" i="1" s="1"/>
  <c r="BI201" i="1"/>
  <c r="BK201" i="1" s="1"/>
  <c r="BL201" i="1"/>
  <c r="BN201" i="1" s="1"/>
  <c r="BO201" i="1"/>
  <c r="BQ201" i="1" s="1"/>
  <c r="BR201" i="1"/>
  <c r="BT201" i="1" s="1"/>
  <c r="AQ202" i="1"/>
  <c r="AS202" i="1"/>
  <c r="AT202" i="1"/>
  <c r="AV202" i="1" s="1"/>
  <c r="AW202" i="1"/>
  <c r="AY202" i="1" s="1"/>
  <c r="AZ202" i="1"/>
  <c r="BB202" i="1" s="1"/>
  <c r="BC202" i="1"/>
  <c r="BE202" i="1" s="1"/>
  <c r="BF202" i="1"/>
  <c r="BH202" i="1" s="1"/>
  <c r="BI202" i="1"/>
  <c r="BK202" i="1" s="1"/>
  <c r="BL202" i="1"/>
  <c r="BN202" i="1"/>
  <c r="BO202" i="1"/>
  <c r="BQ202" i="1" s="1"/>
  <c r="BR202" i="1"/>
  <c r="BT202" i="1" s="1"/>
  <c r="AQ203" i="1"/>
  <c r="AS203" i="1"/>
  <c r="AT203" i="1"/>
  <c r="AV203" i="1" s="1"/>
  <c r="AW203" i="1"/>
  <c r="AY203" i="1" s="1"/>
  <c r="AZ203" i="1"/>
  <c r="BB203" i="1"/>
  <c r="BC203" i="1"/>
  <c r="BE203" i="1" s="1"/>
  <c r="BF203" i="1"/>
  <c r="BH203" i="1" s="1"/>
  <c r="BI203" i="1"/>
  <c r="BK203" i="1" s="1"/>
  <c r="BL203" i="1"/>
  <c r="BN203" i="1" s="1"/>
  <c r="BO203" i="1"/>
  <c r="BQ203" i="1" s="1"/>
  <c r="BR203" i="1"/>
  <c r="BT203" i="1" s="1"/>
  <c r="AQ204" i="1"/>
  <c r="AS204" i="1" s="1"/>
  <c r="AT204" i="1"/>
  <c r="AV204" i="1" s="1"/>
  <c r="AW204" i="1"/>
  <c r="AY204" i="1" s="1"/>
  <c r="AZ204" i="1"/>
  <c r="BB204" i="1" s="1"/>
  <c r="BC204" i="1"/>
  <c r="BE204" i="1" s="1"/>
  <c r="BF204" i="1"/>
  <c r="BH204" i="1" s="1"/>
  <c r="BI204" i="1"/>
  <c r="BK204" i="1" s="1"/>
  <c r="BL204" i="1"/>
  <c r="BN204" i="1" s="1"/>
  <c r="BO204" i="1"/>
  <c r="BQ204" i="1" s="1"/>
  <c r="BR204" i="1"/>
  <c r="BT204" i="1" s="1"/>
  <c r="AQ205" i="1"/>
  <c r="AS205" i="1" s="1"/>
  <c r="AT205" i="1"/>
  <c r="AV205" i="1" s="1"/>
  <c r="AW205" i="1"/>
  <c r="AY205" i="1" s="1"/>
  <c r="AZ205" i="1"/>
  <c r="BB205" i="1" s="1"/>
  <c r="BC205" i="1"/>
  <c r="BE205" i="1" s="1"/>
  <c r="BF205" i="1"/>
  <c r="BH205" i="1" s="1"/>
  <c r="BI205" i="1"/>
  <c r="BK205" i="1" s="1"/>
  <c r="BL205" i="1"/>
  <c r="BN205" i="1" s="1"/>
  <c r="BO205" i="1"/>
  <c r="BQ205" i="1" s="1"/>
  <c r="BR205" i="1"/>
  <c r="BT205" i="1" s="1"/>
  <c r="AQ206" i="1"/>
  <c r="AS206" i="1" s="1"/>
  <c r="AT206" i="1"/>
  <c r="AV206" i="1" s="1"/>
  <c r="AW206" i="1"/>
  <c r="AY206" i="1" s="1"/>
  <c r="AZ206" i="1"/>
  <c r="BB206" i="1" s="1"/>
  <c r="BC206" i="1"/>
  <c r="BE206" i="1" s="1"/>
  <c r="BF206" i="1"/>
  <c r="BH206" i="1" s="1"/>
  <c r="BI206" i="1"/>
  <c r="BK206" i="1" s="1"/>
  <c r="BL206" i="1"/>
  <c r="BN206" i="1" s="1"/>
  <c r="BO206" i="1"/>
  <c r="BQ206" i="1"/>
  <c r="BR206" i="1"/>
  <c r="BT206" i="1" s="1"/>
  <c r="AQ207" i="1"/>
  <c r="AS207" i="1" s="1"/>
  <c r="AT207" i="1"/>
  <c r="AV207" i="1" s="1"/>
  <c r="AW207" i="1"/>
  <c r="AY207" i="1" s="1"/>
  <c r="AZ207" i="1"/>
  <c r="BB207" i="1" s="1"/>
  <c r="BC207" i="1"/>
  <c r="BE207" i="1" s="1"/>
  <c r="BF207" i="1"/>
  <c r="BH207" i="1" s="1"/>
  <c r="BI207" i="1"/>
  <c r="BK207" i="1" s="1"/>
  <c r="BL207" i="1"/>
  <c r="BN207" i="1" s="1"/>
  <c r="BO207" i="1"/>
  <c r="BQ207" i="1" s="1"/>
  <c r="BR207" i="1"/>
  <c r="BT207" i="1" s="1"/>
  <c r="AQ208" i="1"/>
  <c r="AS208" i="1" s="1"/>
  <c r="AT208" i="1"/>
  <c r="AV208" i="1" s="1"/>
  <c r="AW208" i="1"/>
  <c r="AY208" i="1" s="1"/>
  <c r="AZ208" i="1"/>
  <c r="BB208" i="1" s="1"/>
  <c r="BC208" i="1"/>
  <c r="BE208" i="1" s="1"/>
  <c r="BF208" i="1"/>
  <c r="BH208" i="1" s="1"/>
  <c r="BI208" i="1"/>
  <c r="BK208" i="1" s="1"/>
  <c r="BL208" i="1"/>
  <c r="BN208" i="1" s="1"/>
  <c r="BO208" i="1"/>
  <c r="BQ208" i="1" s="1"/>
  <c r="BR208" i="1"/>
  <c r="BT208" i="1" s="1"/>
  <c r="AQ209" i="1"/>
  <c r="AS209" i="1" s="1"/>
  <c r="AT209" i="1"/>
  <c r="AV209" i="1" s="1"/>
  <c r="AW209" i="1"/>
  <c r="AY209" i="1" s="1"/>
  <c r="AZ209" i="1"/>
  <c r="BB209" i="1" s="1"/>
  <c r="BC209" i="1"/>
  <c r="BE209" i="1" s="1"/>
  <c r="BF209" i="1"/>
  <c r="BH209" i="1" s="1"/>
  <c r="BI209" i="1"/>
  <c r="BK209" i="1" s="1"/>
  <c r="BL209" i="1"/>
  <c r="BN209" i="1" s="1"/>
  <c r="BO209" i="1"/>
  <c r="BQ209" i="1" s="1"/>
  <c r="BR209" i="1"/>
  <c r="BT209" i="1"/>
  <c r="AQ210" i="1"/>
  <c r="AS210" i="1" s="1"/>
  <c r="AT210" i="1"/>
  <c r="AV210" i="1" s="1"/>
  <c r="AW210" i="1"/>
  <c r="AY210" i="1"/>
  <c r="AZ210" i="1"/>
  <c r="BB210" i="1" s="1"/>
  <c r="BC210" i="1"/>
  <c r="BE210" i="1" s="1"/>
  <c r="BF210" i="1"/>
  <c r="BH210" i="1" s="1"/>
  <c r="BI210" i="1"/>
  <c r="BK210" i="1" s="1"/>
  <c r="BL210" i="1"/>
  <c r="BN210" i="1" s="1"/>
  <c r="BO210" i="1"/>
  <c r="BQ210" i="1" s="1"/>
  <c r="BR210" i="1"/>
  <c r="BT210" i="1" s="1"/>
  <c r="AQ211" i="1"/>
  <c r="AS211" i="1" s="1"/>
  <c r="AT211" i="1"/>
  <c r="AV211" i="1" s="1"/>
  <c r="AW211" i="1"/>
  <c r="AY211" i="1" s="1"/>
  <c r="AZ211" i="1"/>
  <c r="BB211" i="1" s="1"/>
  <c r="BC211" i="1"/>
  <c r="BE211" i="1" s="1"/>
  <c r="BF211" i="1"/>
  <c r="BH211" i="1" s="1"/>
  <c r="BI211" i="1"/>
  <c r="BK211" i="1" s="1"/>
  <c r="BL211" i="1"/>
  <c r="BN211" i="1" s="1"/>
  <c r="BO211" i="1"/>
  <c r="BQ211" i="1" s="1"/>
  <c r="BR211" i="1"/>
  <c r="BT211" i="1" s="1"/>
  <c r="AQ212" i="1"/>
  <c r="AS212" i="1" s="1"/>
  <c r="AT212" i="1"/>
  <c r="AV212" i="1" s="1"/>
  <c r="AW212" i="1"/>
  <c r="AY212" i="1" s="1"/>
  <c r="AZ212" i="1"/>
  <c r="BB212" i="1" s="1"/>
  <c r="BC212" i="1"/>
  <c r="BE212" i="1" s="1"/>
  <c r="BF212" i="1"/>
  <c r="BH212" i="1" s="1"/>
  <c r="BI212" i="1"/>
  <c r="BK212" i="1" s="1"/>
  <c r="BL212" i="1"/>
  <c r="BN212" i="1" s="1"/>
  <c r="BO212" i="1"/>
  <c r="BQ212" i="1"/>
  <c r="BR212" i="1"/>
  <c r="BT212" i="1" s="1"/>
  <c r="AQ213" i="1"/>
  <c r="AS213" i="1" s="1"/>
  <c r="AT213" i="1"/>
  <c r="AV213" i="1" s="1"/>
  <c r="AW213" i="1"/>
  <c r="AY213" i="1" s="1"/>
  <c r="AZ213" i="1"/>
  <c r="BB213" i="1" s="1"/>
  <c r="BC213" i="1"/>
  <c r="BE213" i="1" s="1"/>
  <c r="BF213" i="1"/>
  <c r="BH213" i="1" s="1"/>
  <c r="BI213" i="1"/>
  <c r="BK213" i="1" s="1"/>
  <c r="BL213" i="1"/>
  <c r="BN213" i="1" s="1"/>
  <c r="BO213" i="1"/>
  <c r="BQ213" i="1" s="1"/>
  <c r="BR213" i="1"/>
  <c r="BT213" i="1" s="1"/>
  <c r="AQ214" i="1"/>
  <c r="AS214" i="1" s="1"/>
  <c r="AT214" i="1"/>
  <c r="AV214" i="1" s="1"/>
  <c r="AW214" i="1"/>
  <c r="AY214" i="1" s="1"/>
  <c r="AZ214" i="1"/>
  <c r="BB214" i="1" s="1"/>
  <c r="BC214" i="1"/>
  <c r="BE214" i="1" s="1"/>
  <c r="BF214" i="1"/>
  <c r="BH214" i="1" s="1"/>
  <c r="BI214" i="1"/>
  <c r="BK214" i="1" s="1"/>
  <c r="BL214" i="1"/>
  <c r="BN214" i="1" s="1"/>
  <c r="BO214" i="1"/>
  <c r="BQ214" i="1" s="1"/>
  <c r="BR214" i="1"/>
  <c r="BT214" i="1" s="1"/>
  <c r="AQ215" i="1"/>
  <c r="AS215" i="1" s="1"/>
  <c r="AT215" i="1"/>
  <c r="AV215" i="1" s="1"/>
  <c r="AW215" i="1"/>
  <c r="AY215" i="1" s="1"/>
  <c r="AZ215" i="1"/>
  <c r="BB215" i="1" s="1"/>
  <c r="BC215" i="1"/>
  <c r="BE215" i="1" s="1"/>
  <c r="BF215" i="1"/>
  <c r="BH215" i="1" s="1"/>
  <c r="BI215" i="1"/>
  <c r="BK215" i="1" s="1"/>
  <c r="BL215" i="1"/>
  <c r="BN215" i="1" s="1"/>
  <c r="BO215" i="1"/>
  <c r="BQ215" i="1" s="1"/>
  <c r="BR215" i="1"/>
  <c r="BT215" i="1"/>
  <c r="AQ216" i="1"/>
  <c r="AS216" i="1" s="1"/>
  <c r="AT216" i="1"/>
  <c r="AV216" i="1" s="1"/>
  <c r="AW216" i="1"/>
  <c r="AY216" i="1" s="1"/>
  <c r="AZ216" i="1"/>
  <c r="BB216" i="1" s="1"/>
  <c r="BC216" i="1"/>
  <c r="BE216" i="1" s="1"/>
  <c r="BF216" i="1"/>
  <c r="BH216" i="1" s="1"/>
  <c r="BI216" i="1"/>
  <c r="BK216" i="1" s="1"/>
  <c r="BL216" i="1"/>
  <c r="BN216" i="1" s="1"/>
  <c r="BO216" i="1"/>
  <c r="BQ216" i="1" s="1"/>
  <c r="BR216" i="1"/>
  <c r="BT216" i="1" s="1"/>
  <c r="AQ217" i="1"/>
  <c r="AS217" i="1" s="1"/>
  <c r="AT217" i="1"/>
  <c r="AV217" i="1" s="1"/>
  <c r="AW217" i="1"/>
  <c r="AY217" i="1" s="1"/>
  <c r="AZ217" i="1"/>
  <c r="BB217" i="1" s="1"/>
  <c r="BC217" i="1"/>
  <c r="BE217" i="1" s="1"/>
  <c r="BF217" i="1"/>
  <c r="BH217" i="1" s="1"/>
  <c r="BI217" i="1"/>
  <c r="BK217" i="1" s="1"/>
  <c r="BL217" i="1"/>
  <c r="BN217" i="1" s="1"/>
  <c r="BO217" i="1"/>
  <c r="BQ217" i="1" s="1"/>
  <c r="BR217" i="1"/>
  <c r="BT217" i="1" s="1"/>
  <c r="AQ218" i="1"/>
  <c r="AS218" i="1" s="1"/>
  <c r="AT218" i="1"/>
  <c r="AV218" i="1" s="1"/>
  <c r="AW218" i="1"/>
  <c r="AY218" i="1" s="1"/>
  <c r="AZ218" i="1"/>
  <c r="BB218" i="1" s="1"/>
  <c r="BC218" i="1"/>
  <c r="BE218" i="1" s="1"/>
  <c r="BF218" i="1"/>
  <c r="BH218" i="1" s="1"/>
  <c r="BI218" i="1"/>
  <c r="BK218" i="1" s="1"/>
  <c r="BL218" i="1"/>
  <c r="BN218" i="1" s="1"/>
  <c r="BO218" i="1"/>
  <c r="BQ218" i="1" s="1"/>
  <c r="BR218" i="1"/>
  <c r="BT218" i="1" s="1"/>
  <c r="AQ219" i="1"/>
  <c r="AS219" i="1" s="1"/>
  <c r="AT219" i="1"/>
  <c r="AV219" i="1" s="1"/>
  <c r="AW219" i="1"/>
  <c r="AY219" i="1" s="1"/>
  <c r="AZ219" i="1"/>
  <c r="BB219" i="1" s="1"/>
  <c r="BC219" i="1"/>
  <c r="BE219" i="1" s="1"/>
  <c r="BF219" i="1"/>
  <c r="BH219" i="1" s="1"/>
  <c r="BI219" i="1"/>
  <c r="BK219" i="1" s="1"/>
  <c r="BL219" i="1"/>
  <c r="BN219" i="1" s="1"/>
  <c r="BO219" i="1"/>
  <c r="BQ219" i="1" s="1"/>
  <c r="BR219" i="1"/>
  <c r="BT219" i="1" s="1"/>
  <c r="AQ220" i="1"/>
  <c r="AS220" i="1" s="1"/>
  <c r="AT220" i="1"/>
  <c r="AV220" i="1" s="1"/>
  <c r="AW220" i="1"/>
  <c r="AY220" i="1" s="1"/>
  <c r="AZ220" i="1"/>
  <c r="BB220" i="1" s="1"/>
  <c r="BC220" i="1"/>
  <c r="BE220" i="1" s="1"/>
  <c r="BF220" i="1"/>
  <c r="BH220" i="1" s="1"/>
  <c r="BI220" i="1"/>
  <c r="BK220" i="1" s="1"/>
  <c r="BL220" i="1"/>
  <c r="BN220" i="1" s="1"/>
  <c r="BO220" i="1"/>
  <c r="BQ220" i="1" s="1"/>
  <c r="BR220" i="1"/>
  <c r="BT220" i="1" s="1"/>
  <c r="AQ221" i="1"/>
  <c r="AS221" i="1" s="1"/>
  <c r="AT221" i="1"/>
  <c r="AV221" i="1" s="1"/>
  <c r="AW221" i="1"/>
  <c r="AY221" i="1" s="1"/>
  <c r="AZ221" i="1"/>
  <c r="BB221" i="1" s="1"/>
  <c r="BC221" i="1"/>
  <c r="BE221" i="1" s="1"/>
  <c r="BF221" i="1"/>
  <c r="BH221" i="1" s="1"/>
  <c r="BI221" i="1"/>
  <c r="BK221" i="1" s="1"/>
  <c r="BL221" i="1"/>
  <c r="BN221" i="1" s="1"/>
  <c r="BO221" i="1"/>
  <c r="BQ221" i="1" s="1"/>
  <c r="BR221" i="1"/>
  <c r="BT221" i="1" s="1"/>
  <c r="AQ222" i="1"/>
  <c r="AS222" i="1" s="1"/>
  <c r="AT222" i="1"/>
  <c r="AV222" i="1" s="1"/>
  <c r="AW222" i="1"/>
  <c r="AY222" i="1" s="1"/>
  <c r="AZ222" i="1"/>
  <c r="BB222" i="1" s="1"/>
  <c r="BC222" i="1"/>
  <c r="BE222" i="1" s="1"/>
  <c r="BF222" i="1"/>
  <c r="BH222" i="1" s="1"/>
  <c r="BI222" i="1"/>
  <c r="BK222" i="1" s="1"/>
  <c r="BL222" i="1"/>
  <c r="BN222" i="1" s="1"/>
  <c r="BO222" i="1"/>
  <c r="BQ222" i="1" s="1"/>
  <c r="BR222" i="1"/>
  <c r="BT222" i="1" s="1"/>
  <c r="AQ223" i="1"/>
  <c r="AS223" i="1" s="1"/>
  <c r="AT223" i="1"/>
  <c r="AV223" i="1" s="1"/>
  <c r="AW223" i="1"/>
  <c r="AY223" i="1" s="1"/>
  <c r="AZ223" i="1"/>
  <c r="BB223" i="1"/>
  <c r="BC223" i="1"/>
  <c r="BE223" i="1" s="1"/>
  <c r="BF223" i="1"/>
  <c r="BH223" i="1" s="1"/>
  <c r="BI223" i="1"/>
  <c r="BK223" i="1" s="1"/>
  <c r="BL223" i="1"/>
  <c r="BN223" i="1" s="1"/>
  <c r="BO223" i="1"/>
  <c r="BQ223" i="1" s="1"/>
  <c r="BR223" i="1"/>
  <c r="BT223" i="1" s="1"/>
  <c r="AQ224" i="1"/>
  <c r="AS224" i="1" s="1"/>
  <c r="AT224" i="1"/>
  <c r="AV224" i="1" s="1"/>
  <c r="AW224" i="1"/>
  <c r="AY224" i="1" s="1"/>
  <c r="AZ224" i="1"/>
  <c r="BB224" i="1" s="1"/>
  <c r="BC224" i="1"/>
  <c r="BE224" i="1" s="1"/>
  <c r="BF224" i="1"/>
  <c r="BH224" i="1" s="1"/>
  <c r="BI224" i="1"/>
  <c r="BK224" i="1" s="1"/>
  <c r="BL224" i="1"/>
  <c r="BN224" i="1" s="1"/>
  <c r="BO224" i="1"/>
  <c r="BQ224" i="1" s="1"/>
  <c r="BR224" i="1"/>
  <c r="BT224" i="1" s="1"/>
  <c r="AQ225" i="1"/>
  <c r="AS225" i="1" s="1"/>
  <c r="AT225" i="1"/>
  <c r="AV225" i="1" s="1"/>
  <c r="AW225" i="1"/>
  <c r="AY225" i="1" s="1"/>
  <c r="AZ225" i="1"/>
  <c r="BB225" i="1" s="1"/>
  <c r="BC225" i="1"/>
  <c r="BE225" i="1" s="1"/>
  <c r="BF225" i="1"/>
  <c r="BH225" i="1" s="1"/>
  <c r="BI225" i="1"/>
  <c r="BK225" i="1" s="1"/>
  <c r="BL225" i="1"/>
  <c r="BN225" i="1"/>
  <c r="BO225" i="1"/>
  <c r="BQ225" i="1" s="1"/>
  <c r="BR225" i="1"/>
  <c r="BT225" i="1" s="1"/>
  <c r="AQ226" i="1"/>
  <c r="AS226" i="1" s="1"/>
  <c r="AT226" i="1"/>
  <c r="AV226" i="1" s="1"/>
  <c r="AW226" i="1"/>
  <c r="AY226" i="1" s="1"/>
  <c r="AZ226" i="1"/>
  <c r="BB226" i="1" s="1"/>
  <c r="BC226" i="1"/>
  <c r="BE226" i="1" s="1"/>
  <c r="BF226" i="1"/>
  <c r="BH226" i="1" s="1"/>
  <c r="BI226" i="1"/>
  <c r="BK226" i="1" s="1"/>
  <c r="BL226" i="1"/>
  <c r="BN226" i="1" s="1"/>
  <c r="BO226" i="1"/>
  <c r="BQ226" i="1" s="1"/>
  <c r="BR226" i="1"/>
  <c r="BT226" i="1" s="1"/>
  <c r="AQ227" i="1"/>
  <c r="AS227" i="1" s="1"/>
  <c r="AT227" i="1"/>
  <c r="AV227" i="1" s="1"/>
  <c r="AW227" i="1"/>
  <c r="AY227" i="1" s="1"/>
  <c r="AZ227" i="1"/>
  <c r="BB227" i="1" s="1"/>
  <c r="BC227" i="1"/>
  <c r="BE227" i="1" s="1"/>
  <c r="BF227" i="1"/>
  <c r="BH227" i="1" s="1"/>
  <c r="BI227" i="1"/>
  <c r="BK227" i="1" s="1"/>
  <c r="BL227" i="1"/>
  <c r="BN227" i="1" s="1"/>
  <c r="BO227" i="1"/>
  <c r="BQ227" i="1" s="1"/>
  <c r="BR227" i="1"/>
  <c r="BT227" i="1" s="1"/>
  <c r="AQ228" i="1"/>
  <c r="AS228" i="1" s="1"/>
  <c r="AT228" i="1"/>
  <c r="AV228" i="1" s="1"/>
  <c r="AW228" i="1"/>
  <c r="AY228" i="1" s="1"/>
  <c r="AZ228" i="1"/>
  <c r="BB228" i="1" s="1"/>
  <c r="BC228" i="1"/>
  <c r="BE228" i="1" s="1"/>
  <c r="BF228" i="1"/>
  <c r="BH228" i="1" s="1"/>
  <c r="BI228" i="1"/>
  <c r="BK228" i="1" s="1"/>
  <c r="BL228" i="1"/>
  <c r="BN228" i="1" s="1"/>
  <c r="BO228" i="1"/>
  <c r="BQ228" i="1" s="1"/>
  <c r="BR228" i="1"/>
  <c r="BT228" i="1" s="1"/>
  <c r="AQ229" i="1"/>
  <c r="AS229" i="1" s="1"/>
  <c r="AT229" i="1"/>
  <c r="AV229" i="1" s="1"/>
  <c r="AW229" i="1"/>
  <c r="AY229" i="1" s="1"/>
  <c r="AZ229" i="1"/>
  <c r="BB229" i="1" s="1"/>
  <c r="BC229" i="1"/>
  <c r="BE229" i="1" s="1"/>
  <c r="BF229" i="1"/>
  <c r="BH229" i="1" s="1"/>
  <c r="BI229" i="1"/>
  <c r="BK229" i="1" s="1"/>
  <c r="BL229" i="1"/>
  <c r="BN229" i="1" s="1"/>
  <c r="BO229" i="1"/>
  <c r="BQ229" i="1" s="1"/>
  <c r="BR229" i="1"/>
  <c r="BT229" i="1" s="1"/>
  <c r="AQ230" i="1"/>
  <c r="AS230" i="1" s="1"/>
  <c r="AT230" i="1"/>
  <c r="AV230" i="1" s="1"/>
  <c r="AW230" i="1"/>
  <c r="AY230" i="1" s="1"/>
  <c r="AZ230" i="1"/>
  <c r="BB230" i="1" s="1"/>
  <c r="BC230" i="1"/>
  <c r="BE230" i="1" s="1"/>
  <c r="BF230" i="1"/>
  <c r="BH230" i="1" s="1"/>
  <c r="BI230" i="1"/>
  <c r="BK230" i="1" s="1"/>
  <c r="BL230" i="1"/>
  <c r="BN230" i="1" s="1"/>
  <c r="BO230" i="1"/>
  <c r="BQ230" i="1" s="1"/>
  <c r="BR230" i="1"/>
  <c r="BT230" i="1" s="1"/>
  <c r="AQ231" i="1"/>
  <c r="AS231" i="1" s="1"/>
  <c r="AT231" i="1"/>
  <c r="AV231" i="1" s="1"/>
  <c r="AW231" i="1"/>
  <c r="AY231" i="1" s="1"/>
  <c r="AZ231" i="1"/>
  <c r="BB231" i="1" s="1"/>
  <c r="BC231" i="1"/>
  <c r="BE231" i="1" s="1"/>
  <c r="BF231" i="1"/>
  <c r="BH231" i="1" s="1"/>
  <c r="BI231" i="1"/>
  <c r="BK231" i="1" s="1"/>
  <c r="BL231" i="1"/>
  <c r="BN231" i="1" s="1"/>
  <c r="BO231" i="1"/>
  <c r="BQ231" i="1" s="1"/>
  <c r="BR231" i="1"/>
  <c r="BT231" i="1" s="1"/>
  <c r="AQ232" i="1"/>
  <c r="AS232" i="1" s="1"/>
  <c r="AT232" i="1"/>
  <c r="AV232" i="1" s="1"/>
  <c r="AW232" i="1"/>
  <c r="AY232" i="1" s="1"/>
  <c r="AZ232" i="1"/>
  <c r="BB232" i="1" s="1"/>
  <c r="BC232" i="1"/>
  <c r="BE232" i="1" s="1"/>
  <c r="BF232" i="1"/>
  <c r="BH232" i="1" s="1"/>
  <c r="BI232" i="1"/>
  <c r="BK232" i="1" s="1"/>
  <c r="BL232" i="1"/>
  <c r="BN232" i="1" s="1"/>
  <c r="BO232" i="1"/>
  <c r="BQ232" i="1" s="1"/>
  <c r="BR232" i="1"/>
  <c r="BT232" i="1" s="1"/>
  <c r="AQ233" i="1"/>
  <c r="AS233" i="1" s="1"/>
  <c r="AT233" i="1"/>
  <c r="AV233" i="1" s="1"/>
  <c r="AW233" i="1"/>
  <c r="AY233" i="1" s="1"/>
  <c r="AZ233" i="1"/>
  <c r="BB233" i="1" s="1"/>
  <c r="BC233" i="1"/>
  <c r="BE233" i="1" s="1"/>
  <c r="BF233" i="1"/>
  <c r="BH233" i="1" s="1"/>
  <c r="BI233" i="1"/>
  <c r="BK233" i="1" s="1"/>
  <c r="BL233" i="1"/>
  <c r="BN233" i="1" s="1"/>
  <c r="BO233" i="1"/>
  <c r="BQ233" i="1"/>
  <c r="BR233" i="1"/>
  <c r="BT233" i="1" s="1"/>
  <c r="AQ234" i="1"/>
  <c r="AS234" i="1" s="1"/>
  <c r="AT234" i="1"/>
  <c r="AV234" i="1"/>
  <c r="AW234" i="1"/>
  <c r="AY234" i="1" s="1"/>
  <c r="AZ234" i="1"/>
  <c r="BB234" i="1" s="1"/>
  <c r="BC234" i="1"/>
  <c r="BE234" i="1" s="1"/>
  <c r="BF234" i="1"/>
  <c r="BH234" i="1" s="1"/>
  <c r="BI234" i="1"/>
  <c r="BK234" i="1" s="1"/>
  <c r="BL234" i="1"/>
  <c r="BN234" i="1" s="1"/>
  <c r="BO234" i="1"/>
  <c r="BQ234" i="1"/>
  <c r="BR234" i="1"/>
  <c r="BT234" i="1" s="1"/>
  <c r="AQ235" i="1"/>
  <c r="AS235" i="1" s="1"/>
  <c r="AT235" i="1"/>
  <c r="AV235" i="1" s="1"/>
  <c r="AW235" i="1"/>
  <c r="AY235" i="1" s="1"/>
  <c r="AZ235" i="1"/>
  <c r="BB235" i="1" s="1"/>
  <c r="BC235" i="1"/>
  <c r="BE235" i="1" s="1"/>
  <c r="BF235" i="1"/>
  <c r="BH235" i="1" s="1"/>
  <c r="BI235" i="1"/>
  <c r="BK235" i="1" s="1"/>
  <c r="BL235" i="1"/>
  <c r="BN235" i="1" s="1"/>
  <c r="BO235" i="1"/>
  <c r="BQ235" i="1" s="1"/>
  <c r="BR235" i="1"/>
  <c r="BT235" i="1" s="1"/>
  <c r="AQ236" i="1"/>
  <c r="AS236" i="1" s="1"/>
  <c r="AT236" i="1"/>
  <c r="AV236" i="1" s="1"/>
  <c r="AW236" i="1"/>
  <c r="AY236" i="1" s="1"/>
  <c r="AZ236" i="1"/>
  <c r="BB236" i="1" s="1"/>
  <c r="BC236" i="1"/>
  <c r="BE236" i="1" s="1"/>
  <c r="BF236" i="1"/>
  <c r="BH236" i="1"/>
  <c r="BI236" i="1"/>
  <c r="BK236" i="1" s="1"/>
  <c r="BL236" i="1"/>
  <c r="BN236" i="1" s="1"/>
  <c r="BO236" i="1"/>
  <c r="BQ236" i="1" s="1"/>
  <c r="BR236" i="1"/>
  <c r="BT236" i="1" s="1"/>
  <c r="AQ237" i="1"/>
  <c r="AS237" i="1" s="1"/>
  <c r="AT237" i="1"/>
  <c r="AV237" i="1" s="1"/>
  <c r="AW237" i="1"/>
  <c r="AY237" i="1" s="1"/>
  <c r="AZ237" i="1"/>
  <c r="BB237" i="1" s="1"/>
  <c r="BC237" i="1"/>
  <c r="BE237" i="1" s="1"/>
  <c r="BF237" i="1"/>
  <c r="BH237" i="1" s="1"/>
  <c r="BI237" i="1"/>
  <c r="BK237" i="1" s="1"/>
  <c r="BL237" i="1"/>
  <c r="BN237" i="1" s="1"/>
  <c r="BO237" i="1"/>
  <c r="BQ237" i="1" s="1"/>
  <c r="BR237" i="1"/>
  <c r="BT237" i="1" s="1"/>
  <c r="AQ238" i="1"/>
  <c r="AS238" i="1" s="1"/>
  <c r="AT238" i="1"/>
  <c r="AV238" i="1" s="1"/>
  <c r="AW238" i="1"/>
  <c r="AY238" i="1" s="1"/>
  <c r="AZ238" i="1"/>
  <c r="BB238" i="1" s="1"/>
  <c r="BC238" i="1"/>
  <c r="BE238" i="1" s="1"/>
  <c r="BF238" i="1"/>
  <c r="BH238" i="1" s="1"/>
  <c r="BI238" i="1"/>
  <c r="BK238" i="1"/>
  <c r="BL238" i="1"/>
  <c r="BN238" i="1" s="1"/>
  <c r="BO238" i="1"/>
  <c r="BQ238" i="1" s="1"/>
  <c r="BR238" i="1"/>
  <c r="BT238" i="1"/>
  <c r="AQ239" i="1"/>
  <c r="AS239" i="1" s="1"/>
  <c r="AT239" i="1"/>
  <c r="AV239" i="1" s="1"/>
  <c r="AW239" i="1"/>
  <c r="AY239" i="1" s="1"/>
  <c r="AZ239" i="1"/>
  <c r="BB239" i="1" s="1"/>
  <c r="BC239" i="1"/>
  <c r="BE239" i="1" s="1"/>
  <c r="BF239" i="1"/>
  <c r="BH239" i="1" s="1"/>
  <c r="BI239" i="1"/>
  <c r="BK239" i="1"/>
  <c r="BL239" i="1"/>
  <c r="BN239" i="1" s="1"/>
  <c r="BO239" i="1"/>
  <c r="BQ239" i="1" s="1"/>
  <c r="BR239" i="1"/>
  <c r="BT239" i="1" s="1"/>
  <c r="AQ240" i="1"/>
  <c r="AS240" i="1" s="1"/>
  <c r="AT240" i="1"/>
  <c r="AV240" i="1" s="1"/>
  <c r="AW240" i="1"/>
  <c r="AY240" i="1" s="1"/>
  <c r="AZ240" i="1"/>
  <c r="BB240" i="1" s="1"/>
  <c r="BC240" i="1"/>
  <c r="BE240" i="1" s="1"/>
  <c r="BF240" i="1"/>
  <c r="BH240" i="1" s="1"/>
  <c r="BI240" i="1"/>
  <c r="BK240" i="1" s="1"/>
  <c r="BL240" i="1"/>
  <c r="BN240" i="1" s="1"/>
  <c r="BO240" i="1"/>
  <c r="BQ240" i="1" s="1"/>
  <c r="BR240" i="1"/>
  <c r="BT240" i="1" s="1"/>
  <c r="AQ241" i="1"/>
  <c r="AS241" i="1" s="1"/>
  <c r="AT241" i="1"/>
  <c r="AV241" i="1" s="1"/>
  <c r="AW241" i="1"/>
  <c r="AY241" i="1" s="1"/>
  <c r="AZ241" i="1"/>
  <c r="BB241" i="1" s="1"/>
  <c r="BC241" i="1"/>
  <c r="BE241" i="1" s="1"/>
  <c r="BF241" i="1"/>
  <c r="BH241" i="1" s="1"/>
  <c r="BI241" i="1"/>
  <c r="BK241" i="1" s="1"/>
  <c r="BL241" i="1"/>
  <c r="BN241" i="1" s="1"/>
  <c r="BO241" i="1"/>
  <c r="BQ241" i="1" s="1"/>
  <c r="BR241" i="1"/>
  <c r="BT241" i="1" s="1"/>
  <c r="AQ242" i="1"/>
  <c r="AS242" i="1" s="1"/>
  <c r="AT242" i="1"/>
  <c r="AV242" i="1" s="1"/>
  <c r="AW242" i="1"/>
  <c r="AY242" i="1" s="1"/>
  <c r="AZ242" i="1"/>
  <c r="BB242" i="1" s="1"/>
  <c r="BC242" i="1"/>
  <c r="BE242" i="1" s="1"/>
  <c r="BF242" i="1"/>
  <c r="BH242" i="1" s="1"/>
  <c r="BI242" i="1"/>
  <c r="BK242" i="1" s="1"/>
  <c r="BL242" i="1"/>
  <c r="BN242" i="1" s="1"/>
  <c r="BO242" i="1"/>
  <c r="BQ242" i="1" s="1"/>
  <c r="BR242" i="1"/>
  <c r="BT242" i="1"/>
  <c r="AQ243" i="1"/>
  <c r="AS243" i="1" s="1"/>
  <c r="AT243" i="1"/>
  <c r="AV243" i="1" s="1"/>
  <c r="AW243" i="1"/>
  <c r="AY243" i="1" s="1"/>
  <c r="AZ243" i="1"/>
  <c r="BB243" i="1" s="1"/>
  <c r="BC243" i="1"/>
  <c r="BE243" i="1" s="1"/>
  <c r="BF243" i="1"/>
  <c r="BH243" i="1" s="1"/>
  <c r="BI243" i="1"/>
  <c r="BK243" i="1" s="1"/>
  <c r="BL243" i="1"/>
  <c r="BN243" i="1" s="1"/>
  <c r="BO243" i="1"/>
  <c r="BQ243" i="1" s="1"/>
  <c r="BR243" i="1"/>
  <c r="BT243" i="1" s="1"/>
  <c r="AQ244" i="1"/>
  <c r="AS244" i="1" s="1"/>
  <c r="AT244" i="1"/>
  <c r="AV244" i="1" s="1"/>
  <c r="AW244" i="1"/>
  <c r="AY244" i="1" s="1"/>
  <c r="AZ244" i="1"/>
  <c r="BB244" i="1" s="1"/>
  <c r="BC244" i="1"/>
  <c r="BE244" i="1" s="1"/>
  <c r="BF244" i="1"/>
  <c r="BH244" i="1" s="1"/>
  <c r="BI244" i="1"/>
  <c r="BK244" i="1" s="1"/>
  <c r="BL244" i="1"/>
  <c r="BN244" i="1" s="1"/>
  <c r="BO244" i="1"/>
  <c r="BQ244" i="1" s="1"/>
  <c r="BR244" i="1"/>
  <c r="BT244" i="1" s="1"/>
  <c r="AQ245" i="1"/>
  <c r="AS245" i="1" s="1"/>
  <c r="AT245" i="1"/>
  <c r="AV245" i="1" s="1"/>
  <c r="AW245" i="1"/>
  <c r="AY245" i="1" s="1"/>
  <c r="AZ245" i="1"/>
  <c r="BB245" i="1" s="1"/>
  <c r="BC245" i="1"/>
  <c r="BE245" i="1" s="1"/>
  <c r="BF245" i="1"/>
  <c r="BH245" i="1" s="1"/>
  <c r="BI245" i="1"/>
  <c r="BK245" i="1" s="1"/>
  <c r="BL245" i="1"/>
  <c r="BN245" i="1" s="1"/>
  <c r="BO245" i="1"/>
  <c r="BQ245" i="1" s="1"/>
  <c r="BR245" i="1"/>
  <c r="BT245" i="1" s="1"/>
  <c r="AQ246" i="1"/>
  <c r="AS246" i="1" s="1"/>
  <c r="AT246" i="1"/>
  <c r="AV246" i="1" s="1"/>
  <c r="AW246" i="1"/>
  <c r="AY246" i="1" s="1"/>
  <c r="AZ246" i="1"/>
  <c r="BB246" i="1" s="1"/>
  <c r="BC246" i="1"/>
  <c r="BE246" i="1" s="1"/>
  <c r="BF246" i="1"/>
  <c r="BH246" i="1" s="1"/>
  <c r="BI246" i="1"/>
  <c r="BK246" i="1" s="1"/>
  <c r="BL246" i="1"/>
  <c r="BN246" i="1" s="1"/>
  <c r="BO246" i="1"/>
  <c r="BQ246" i="1" s="1"/>
  <c r="BR246" i="1"/>
  <c r="BT246" i="1" s="1"/>
  <c r="AQ247" i="1"/>
  <c r="AS247" i="1" s="1"/>
  <c r="AT247" i="1"/>
  <c r="AV247" i="1" s="1"/>
  <c r="AW247" i="1"/>
  <c r="AY247" i="1" s="1"/>
  <c r="AZ247" i="1"/>
  <c r="BB247" i="1" s="1"/>
  <c r="BC247" i="1"/>
  <c r="BE247" i="1" s="1"/>
  <c r="BF247" i="1"/>
  <c r="BH247" i="1" s="1"/>
  <c r="BI247" i="1"/>
  <c r="BK247" i="1" s="1"/>
  <c r="BL247" i="1"/>
  <c r="BN247" i="1" s="1"/>
  <c r="BO247" i="1"/>
  <c r="BQ247" i="1" s="1"/>
  <c r="BR247" i="1"/>
  <c r="BT247" i="1" s="1"/>
  <c r="AQ248" i="1"/>
  <c r="AS248" i="1" s="1"/>
  <c r="AT248" i="1"/>
  <c r="AV248" i="1" s="1"/>
  <c r="AW248" i="1"/>
  <c r="AY248" i="1"/>
  <c r="AZ248" i="1"/>
  <c r="BB248" i="1" s="1"/>
  <c r="BC248" i="1"/>
  <c r="BE248" i="1" s="1"/>
  <c r="BF248" i="1"/>
  <c r="BH248" i="1"/>
  <c r="BI248" i="1"/>
  <c r="BK248" i="1" s="1"/>
  <c r="BL248" i="1"/>
  <c r="BN248" i="1" s="1"/>
  <c r="BO248" i="1"/>
  <c r="BQ248" i="1" s="1"/>
  <c r="BR248" i="1"/>
  <c r="BT248" i="1" s="1"/>
  <c r="AQ249" i="1"/>
  <c r="AS249" i="1" s="1"/>
  <c r="AT249" i="1"/>
  <c r="AV249" i="1" s="1"/>
  <c r="AW249" i="1"/>
  <c r="AY249" i="1" s="1"/>
  <c r="AZ249" i="1"/>
  <c r="BB249" i="1" s="1"/>
  <c r="BC249" i="1"/>
  <c r="BE249" i="1" s="1"/>
  <c r="BF249" i="1"/>
  <c r="BH249" i="1" s="1"/>
  <c r="BI249" i="1"/>
  <c r="BK249" i="1" s="1"/>
  <c r="BL249" i="1"/>
  <c r="BN249" i="1" s="1"/>
  <c r="BO249" i="1"/>
  <c r="BQ249" i="1" s="1"/>
  <c r="BR249" i="1"/>
  <c r="BT249" i="1" s="1"/>
  <c r="AQ250" i="1"/>
  <c r="AS250" i="1" s="1"/>
  <c r="AT250" i="1"/>
  <c r="AV250" i="1" s="1"/>
  <c r="AW250" i="1"/>
  <c r="AY250" i="1" s="1"/>
  <c r="AZ250" i="1"/>
  <c r="BB250" i="1" s="1"/>
  <c r="BC250" i="1"/>
  <c r="BE250" i="1" s="1"/>
  <c r="BF250" i="1"/>
  <c r="BH250" i="1" s="1"/>
  <c r="BI250" i="1"/>
  <c r="BK250" i="1" s="1"/>
  <c r="BL250" i="1"/>
  <c r="BN250" i="1" s="1"/>
  <c r="BO250" i="1"/>
  <c r="BQ250" i="1" s="1"/>
  <c r="BR250" i="1"/>
  <c r="BT250" i="1" s="1"/>
  <c r="AQ251" i="1"/>
  <c r="AS251" i="1" s="1"/>
  <c r="AT251" i="1"/>
  <c r="AV251" i="1" s="1"/>
  <c r="AW251" i="1"/>
  <c r="AY251" i="1" s="1"/>
  <c r="AZ251" i="1"/>
  <c r="BB251" i="1" s="1"/>
  <c r="BC251" i="1"/>
  <c r="BE251" i="1" s="1"/>
  <c r="BF251" i="1"/>
  <c r="BH251" i="1" s="1"/>
  <c r="BI251" i="1"/>
  <c r="BK251" i="1" s="1"/>
  <c r="BL251" i="1"/>
  <c r="BN251" i="1" s="1"/>
  <c r="BO251" i="1"/>
  <c r="BQ251" i="1" s="1"/>
  <c r="BR251" i="1"/>
  <c r="BT251" i="1" s="1"/>
  <c r="AQ252" i="1"/>
  <c r="AS252" i="1" s="1"/>
  <c r="AT252" i="1"/>
  <c r="AV252" i="1" s="1"/>
  <c r="AW252" i="1"/>
  <c r="AY252" i="1" s="1"/>
  <c r="AZ252" i="1"/>
  <c r="BB252" i="1" s="1"/>
  <c r="BC252" i="1"/>
  <c r="BE252" i="1" s="1"/>
  <c r="BF252" i="1"/>
  <c r="BH252" i="1"/>
  <c r="BI252" i="1"/>
  <c r="BK252" i="1" s="1"/>
  <c r="BL252" i="1"/>
  <c r="BN252" i="1" s="1"/>
  <c r="BO252" i="1"/>
  <c r="BQ252" i="1"/>
  <c r="BR252" i="1"/>
  <c r="BT252" i="1" s="1"/>
  <c r="AQ253" i="1"/>
  <c r="AS253" i="1" s="1"/>
  <c r="AT253" i="1"/>
  <c r="AV253" i="1" s="1"/>
  <c r="AW253" i="1"/>
  <c r="AY253" i="1" s="1"/>
  <c r="AZ253" i="1"/>
  <c r="BB253" i="1" s="1"/>
  <c r="BC253" i="1"/>
  <c r="BE253" i="1" s="1"/>
  <c r="BF253" i="1"/>
  <c r="BH253" i="1" s="1"/>
  <c r="BI253" i="1"/>
  <c r="BK253" i="1" s="1"/>
  <c r="BL253" i="1"/>
  <c r="BN253" i="1" s="1"/>
  <c r="BO253" i="1"/>
  <c r="BQ253" i="1" s="1"/>
  <c r="BR253" i="1"/>
  <c r="BT253" i="1" s="1"/>
  <c r="AQ254" i="1"/>
  <c r="AS254" i="1" s="1"/>
  <c r="AT254" i="1"/>
  <c r="AV254" i="1" s="1"/>
  <c r="AW254" i="1"/>
  <c r="AY254" i="1" s="1"/>
  <c r="AZ254" i="1"/>
  <c r="BB254" i="1" s="1"/>
  <c r="BC254" i="1"/>
  <c r="BE254" i="1" s="1"/>
  <c r="BF254" i="1"/>
  <c r="BH254" i="1" s="1"/>
  <c r="BI254" i="1"/>
  <c r="BK254" i="1" s="1"/>
  <c r="BL254" i="1"/>
  <c r="BN254" i="1" s="1"/>
  <c r="BO254" i="1"/>
  <c r="BQ254" i="1" s="1"/>
  <c r="BR254" i="1"/>
  <c r="BT254" i="1" s="1"/>
  <c r="AQ255" i="1"/>
  <c r="AS255" i="1" s="1"/>
  <c r="AT255" i="1"/>
  <c r="AV255" i="1" s="1"/>
  <c r="AW255" i="1"/>
  <c r="AY255" i="1" s="1"/>
  <c r="AZ255" i="1"/>
  <c r="BB255" i="1" s="1"/>
  <c r="BC255" i="1"/>
  <c r="BE255" i="1" s="1"/>
  <c r="BF255" i="1"/>
  <c r="BH255" i="1" s="1"/>
  <c r="BI255" i="1"/>
  <c r="BK255" i="1" s="1"/>
  <c r="BL255" i="1"/>
  <c r="BN255" i="1" s="1"/>
  <c r="BO255" i="1"/>
  <c r="BQ255" i="1" s="1"/>
  <c r="BR255" i="1"/>
  <c r="BT255" i="1" s="1"/>
  <c r="AQ256" i="1"/>
  <c r="AS256" i="1" s="1"/>
  <c r="AT256" i="1"/>
  <c r="AV256" i="1" s="1"/>
  <c r="AW256" i="1"/>
  <c r="AY256" i="1" s="1"/>
  <c r="AZ256" i="1"/>
  <c r="BB256" i="1" s="1"/>
  <c r="BC256" i="1"/>
  <c r="BE256" i="1" s="1"/>
  <c r="BF256" i="1"/>
  <c r="BH256" i="1" s="1"/>
  <c r="BI256" i="1"/>
  <c r="BK256" i="1" s="1"/>
  <c r="BL256" i="1"/>
  <c r="BN256" i="1" s="1"/>
  <c r="BO256" i="1"/>
  <c r="BQ256" i="1" s="1"/>
  <c r="BR256" i="1"/>
  <c r="BT256" i="1" s="1"/>
  <c r="AQ257" i="1"/>
  <c r="AS257" i="1" s="1"/>
  <c r="AT257" i="1"/>
  <c r="AV257" i="1" s="1"/>
  <c r="AW257" i="1"/>
  <c r="AY257" i="1" s="1"/>
  <c r="AZ257" i="1"/>
  <c r="BB257" i="1"/>
  <c r="BC257" i="1"/>
  <c r="BE257" i="1" s="1"/>
  <c r="BF257" i="1"/>
  <c r="BH257" i="1" s="1"/>
  <c r="BI257" i="1"/>
  <c r="BK257" i="1"/>
  <c r="BL257" i="1"/>
  <c r="BN257" i="1" s="1"/>
  <c r="BO257" i="1"/>
  <c r="BQ257" i="1" s="1"/>
  <c r="BR257" i="1"/>
  <c r="BT257" i="1" s="1"/>
  <c r="AQ258" i="1"/>
  <c r="AS258" i="1" s="1"/>
  <c r="AT258" i="1"/>
  <c r="AV258" i="1" s="1"/>
  <c r="AW258" i="1"/>
  <c r="AY258" i="1" s="1"/>
  <c r="AZ258" i="1"/>
  <c r="BB258" i="1" s="1"/>
  <c r="BC258" i="1"/>
  <c r="BE258" i="1" s="1"/>
  <c r="BF258" i="1"/>
  <c r="BH258" i="1" s="1"/>
  <c r="BI258" i="1"/>
  <c r="BK258" i="1" s="1"/>
  <c r="BL258" i="1"/>
  <c r="BN258" i="1" s="1"/>
  <c r="BO258" i="1"/>
  <c r="BQ258" i="1" s="1"/>
  <c r="BR258" i="1"/>
  <c r="BT258" i="1" s="1"/>
  <c r="AQ259" i="1"/>
  <c r="AS259" i="1" s="1"/>
  <c r="AT259" i="1"/>
  <c r="AV259" i="1" s="1"/>
  <c r="AW259" i="1"/>
  <c r="AY259" i="1" s="1"/>
  <c r="AZ259" i="1"/>
  <c r="BB259" i="1" s="1"/>
  <c r="BC259" i="1"/>
  <c r="BE259" i="1" s="1"/>
  <c r="BF259" i="1"/>
  <c r="BH259" i="1" s="1"/>
  <c r="BI259" i="1"/>
  <c r="BK259" i="1" s="1"/>
  <c r="BL259" i="1"/>
  <c r="BN259" i="1" s="1"/>
  <c r="BO259" i="1"/>
  <c r="BQ259" i="1" s="1"/>
  <c r="BR259" i="1"/>
  <c r="BT259" i="1" s="1"/>
  <c r="AQ260" i="1"/>
  <c r="AS260" i="1" s="1"/>
  <c r="AT260" i="1"/>
  <c r="AV260" i="1" s="1"/>
  <c r="AW260" i="1"/>
  <c r="AY260" i="1" s="1"/>
  <c r="AZ260" i="1"/>
  <c r="BB260" i="1" s="1"/>
  <c r="BC260" i="1"/>
  <c r="BE260" i="1" s="1"/>
  <c r="BF260" i="1"/>
  <c r="BH260" i="1" s="1"/>
  <c r="BI260" i="1"/>
  <c r="BK260" i="1" s="1"/>
  <c r="BL260" i="1"/>
  <c r="BN260" i="1" s="1"/>
  <c r="BO260" i="1"/>
  <c r="BQ260" i="1" s="1"/>
  <c r="BR260" i="1"/>
  <c r="BT260" i="1" s="1"/>
  <c r="AQ261" i="1"/>
  <c r="AS261" i="1" s="1"/>
  <c r="AT261" i="1"/>
  <c r="AV261" i="1" s="1"/>
  <c r="AW261" i="1"/>
  <c r="AY261" i="1" s="1"/>
  <c r="AZ261" i="1"/>
  <c r="BB261" i="1" s="1"/>
  <c r="BC261" i="1"/>
  <c r="BE261" i="1" s="1"/>
  <c r="BF261" i="1"/>
  <c r="BH261" i="1" s="1"/>
  <c r="BI261" i="1"/>
  <c r="BK261" i="1" s="1"/>
  <c r="BL261" i="1"/>
  <c r="BN261" i="1" s="1"/>
  <c r="BO261" i="1"/>
  <c r="BQ261" i="1" s="1"/>
  <c r="BR261" i="1"/>
  <c r="BT261" i="1" s="1"/>
  <c r="AQ262" i="1"/>
  <c r="AS262" i="1" s="1"/>
  <c r="AT262" i="1"/>
  <c r="AV262" i="1"/>
  <c r="AW262" i="1"/>
  <c r="AY262" i="1" s="1"/>
  <c r="AZ262" i="1"/>
  <c r="BB262" i="1" s="1"/>
  <c r="BC262" i="1"/>
  <c r="BE262" i="1"/>
  <c r="BF262" i="1"/>
  <c r="BH262" i="1" s="1"/>
  <c r="BI262" i="1"/>
  <c r="BK262" i="1" s="1"/>
  <c r="BL262" i="1"/>
  <c r="BN262" i="1" s="1"/>
  <c r="BO262" i="1"/>
  <c r="BQ262" i="1" s="1"/>
  <c r="BR262" i="1"/>
  <c r="BT262" i="1" s="1"/>
  <c r="AQ263" i="1"/>
  <c r="AS263" i="1" s="1"/>
  <c r="AT263" i="1"/>
  <c r="AV263" i="1" s="1"/>
  <c r="AW263" i="1"/>
  <c r="AY263" i="1" s="1"/>
  <c r="AZ263" i="1"/>
  <c r="BB263" i="1" s="1"/>
  <c r="BC263" i="1"/>
  <c r="BE263" i="1" s="1"/>
  <c r="BF263" i="1"/>
  <c r="BH263" i="1" s="1"/>
  <c r="BI263" i="1"/>
  <c r="BK263" i="1" s="1"/>
  <c r="BL263" i="1"/>
  <c r="BN263" i="1" s="1"/>
  <c r="BO263" i="1"/>
  <c r="BQ263" i="1" s="1"/>
  <c r="BR263" i="1"/>
  <c r="BT263" i="1" s="1"/>
  <c r="AQ264" i="1"/>
  <c r="AS264" i="1" s="1"/>
  <c r="AT264" i="1"/>
  <c r="AV264" i="1" s="1"/>
  <c r="AW264" i="1"/>
  <c r="AY264" i="1" s="1"/>
  <c r="AZ264" i="1"/>
  <c r="BB264" i="1" s="1"/>
  <c r="BC264" i="1"/>
  <c r="BE264" i="1" s="1"/>
  <c r="BF264" i="1"/>
  <c r="BH264" i="1" s="1"/>
  <c r="BI264" i="1"/>
  <c r="BK264" i="1" s="1"/>
  <c r="BL264" i="1"/>
  <c r="BN264" i="1" s="1"/>
  <c r="BO264" i="1"/>
  <c r="BQ264" i="1" s="1"/>
  <c r="BR264" i="1"/>
  <c r="BT264" i="1" s="1"/>
  <c r="AQ265" i="1"/>
  <c r="AS265" i="1" s="1"/>
  <c r="AT265" i="1"/>
  <c r="AV265" i="1" s="1"/>
  <c r="AW265" i="1"/>
  <c r="AY265" i="1" s="1"/>
  <c r="AZ265" i="1"/>
  <c r="BB265" i="1" s="1"/>
  <c r="BC265" i="1"/>
  <c r="BE265" i="1" s="1"/>
  <c r="BF265" i="1"/>
  <c r="BH265" i="1" s="1"/>
  <c r="BI265" i="1"/>
  <c r="BK265" i="1" s="1"/>
  <c r="BL265" i="1"/>
  <c r="BN265" i="1" s="1"/>
  <c r="BO265" i="1"/>
  <c r="BQ265" i="1" s="1"/>
  <c r="BR265" i="1"/>
  <c r="BT265" i="1" s="1"/>
  <c r="AQ266" i="1"/>
  <c r="AS266" i="1" s="1"/>
  <c r="AT266" i="1"/>
  <c r="AV266" i="1" s="1"/>
  <c r="AW266" i="1"/>
  <c r="AY266" i="1"/>
  <c r="AZ266" i="1"/>
  <c r="BB266" i="1" s="1"/>
  <c r="BC266" i="1"/>
  <c r="BE266" i="1" s="1"/>
  <c r="BF266" i="1"/>
  <c r="BH266" i="1"/>
  <c r="BI266" i="1"/>
  <c r="BK266" i="1" s="1"/>
  <c r="BL266" i="1"/>
  <c r="BN266" i="1" s="1"/>
  <c r="BO266" i="1"/>
  <c r="BQ266" i="1" s="1"/>
  <c r="BR266" i="1"/>
  <c r="BT266" i="1" s="1"/>
  <c r="AQ267" i="1"/>
  <c r="AS267" i="1" s="1"/>
  <c r="AT267" i="1"/>
  <c r="AV267" i="1" s="1"/>
  <c r="AW267" i="1"/>
  <c r="AY267" i="1" s="1"/>
  <c r="AZ267" i="1"/>
  <c r="BB267" i="1" s="1"/>
  <c r="BC267" i="1"/>
  <c r="BE267" i="1" s="1"/>
  <c r="BF267" i="1"/>
  <c r="BH267" i="1" s="1"/>
  <c r="BI267" i="1"/>
  <c r="BK267" i="1" s="1"/>
  <c r="BL267" i="1"/>
  <c r="BN267" i="1" s="1"/>
  <c r="BO267" i="1"/>
  <c r="BQ267" i="1" s="1"/>
  <c r="BR267" i="1"/>
  <c r="BT267" i="1" s="1"/>
  <c r="AQ268" i="1"/>
  <c r="AS268" i="1" s="1"/>
  <c r="AT268" i="1"/>
  <c r="AV268" i="1" s="1"/>
  <c r="AW268" i="1"/>
  <c r="AY268" i="1" s="1"/>
  <c r="AZ268" i="1"/>
  <c r="BB268" i="1" s="1"/>
  <c r="BC268" i="1"/>
  <c r="BE268" i="1" s="1"/>
  <c r="BF268" i="1"/>
  <c r="BH268" i="1" s="1"/>
  <c r="BI268" i="1"/>
  <c r="BK268" i="1" s="1"/>
  <c r="BL268" i="1"/>
  <c r="BN268" i="1" s="1"/>
  <c r="BO268" i="1"/>
  <c r="BQ268" i="1" s="1"/>
  <c r="BR268" i="1"/>
  <c r="BT268" i="1" s="1"/>
  <c r="AQ269" i="1"/>
  <c r="AS269" i="1" s="1"/>
  <c r="AT269" i="1"/>
  <c r="AV269" i="1" s="1"/>
  <c r="AW269" i="1"/>
  <c r="AY269" i="1" s="1"/>
  <c r="AZ269" i="1"/>
  <c r="BB269" i="1" s="1"/>
  <c r="BC269" i="1"/>
  <c r="BE269" i="1" s="1"/>
  <c r="BF269" i="1"/>
  <c r="BH269" i="1" s="1"/>
  <c r="BI269" i="1"/>
  <c r="BK269" i="1" s="1"/>
  <c r="BL269" i="1"/>
  <c r="BN269" i="1" s="1"/>
  <c r="BO269" i="1"/>
  <c r="BQ269" i="1" s="1"/>
  <c r="BR269" i="1"/>
  <c r="BT269" i="1" s="1"/>
  <c r="AQ270" i="1"/>
  <c r="AS270" i="1" s="1"/>
  <c r="AT270" i="1"/>
  <c r="AV270" i="1" s="1"/>
  <c r="AW270" i="1"/>
  <c r="AY270" i="1" s="1"/>
  <c r="AZ270" i="1"/>
  <c r="BB270" i="1" s="1"/>
  <c r="BC270" i="1"/>
  <c r="BE270" i="1" s="1"/>
  <c r="BF270" i="1"/>
  <c r="BH270" i="1"/>
  <c r="BI270" i="1"/>
  <c r="BK270" i="1" s="1"/>
  <c r="BL270" i="1"/>
  <c r="BN270" i="1" s="1"/>
  <c r="BO270" i="1"/>
  <c r="BQ270" i="1"/>
  <c r="BR270" i="1"/>
  <c r="BT270" i="1" s="1"/>
  <c r="AQ271" i="1"/>
  <c r="AS271" i="1" s="1"/>
  <c r="AT271" i="1"/>
  <c r="AV271" i="1" s="1"/>
  <c r="AW271" i="1"/>
  <c r="AY271" i="1" s="1"/>
  <c r="AZ271" i="1"/>
  <c r="BB271" i="1" s="1"/>
  <c r="BC271" i="1"/>
  <c r="BE271" i="1" s="1"/>
  <c r="BF271" i="1"/>
  <c r="BH271" i="1" s="1"/>
  <c r="BI271" i="1"/>
  <c r="BK271" i="1" s="1"/>
  <c r="BL271" i="1"/>
  <c r="BN271" i="1" s="1"/>
  <c r="BO271" i="1"/>
  <c r="BQ271" i="1" s="1"/>
  <c r="BR271" i="1"/>
  <c r="BT271" i="1" s="1"/>
  <c r="AQ272" i="1"/>
  <c r="AS272" i="1" s="1"/>
  <c r="AT272" i="1"/>
  <c r="AV272" i="1" s="1"/>
  <c r="AW272" i="1"/>
  <c r="AY272" i="1" s="1"/>
  <c r="AZ272" i="1"/>
  <c r="BB272" i="1" s="1"/>
  <c r="BC272" i="1"/>
  <c r="BE272" i="1" s="1"/>
  <c r="BF272" i="1"/>
  <c r="BH272" i="1" s="1"/>
  <c r="BI272" i="1"/>
  <c r="BK272" i="1" s="1"/>
  <c r="BL272" i="1"/>
  <c r="BN272" i="1" s="1"/>
  <c r="BO272" i="1"/>
  <c r="BQ272" i="1" s="1"/>
  <c r="BR272" i="1"/>
  <c r="BT272" i="1" s="1"/>
  <c r="AQ273" i="1"/>
  <c r="AS273" i="1" s="1"/>
  <c r="AT273" i="1"/>
  <c r="AV273" i="1" s="1"/>
  <c r="AW273" i="1"/>
  <c r="AY273" i="1" s="1"/>
  <c r="AZ273" i="1"/>
  <c r="BB273" i="1" s="1"/>
  <c r="BC273" i="1"/>
  <c r="BE273" i="1" s="1"/>
  <c r="BF273" i="1"/>
  <c r="BH273" i="1" s="1"/>
  <c r="BI273" i="1"/>
  <c r="BK273" i="1" s="1"/>
  <c r="BL273" i="1"/>
  <c r="BN273" i="1" s="1"/>
  <c r="BO273" i="1"/>
  <c r="BQ273" i="1" s="1"/>
  <c r="BR273" i="1"/>
  <c r="BT273" i="1" s="1"/>
  <c r="AQ274" i="1"/>
  <c r="AS274" i="1" s="1"/>
  <c r="AT274" i="1"/>
  <c r="AV274" i="1" s="1"/>
  <c r="AW274" i="1"/>
  <c r="AY274" i="1" s="1"/>
  <c r="AZ274" i="1"/>
  <c r="BB274" i="1" s="1"/>
  <c r="BC274" i="1"/>
  <c r="BE274" i="1" s="1"/>
  <c r="BF274" i="1"/>
  <c r="BH274" i="1" s="1"/>
  <c r="BI274" i="1"/>
  <c r="BK274" i="1" s="1"/>
  <c r="BL274" i="1"/>
  <c r="BN274" i="1" s="1"/>
  <c r="BO274" i="1"/>
  <c r="BQ274" i="1" s="1"/>
  <c r="BR274" i="1"/>
  <c r="BT274" i="1" s="1"/>
  <c r="AQ275" i="1"/>
  <c r="AS275" i="1" s="1"/>
  <c r="AT275" i="1"/>
  <c r="AV275" i="1" s="1"/>
  <c r="AW275" i="1"/>
  <c r="AY275" i="1" s="1"/>
  <c r="AZ275" i="1"/>
  <c r="BB275" i="1"/>
  <c r="BC275" i="1"/>
  <c r="BE275" i="1" s="1"/>
  <c r="BF275" i="1"/>
  <c r="BH275" i="1" s="1"/>
  <c r="BI275" i="1"/>
  <c r="BK275" i="1"/>
  <c r="BL275" i="1"/>
  <c r="BN275" i="1" s="1"/>
  <c r="BO275" i="1"/>
  <c r="BQ275" i="1" s="1"/>
  <c r="BR275" i="1"/>
  <c r="BT275" i="1"/>
  <c r="AQ276" i="1"/>
  <c r="AS276" i="1" s="1"/>
  <c r="AT276" i="1"/>
  <c r="AV276" i="1" s="1"/>
  <c r="AW276" i="1"/>
  <c r="AY276" i="1" s="1"/>
  <c r="AZ276" i="1"/>
  <c r="BB276" i="1" s="1"/>
  <c r="BC276" i="1"/>
  <c r="BE276" i="1" s="1"/>
  <c r="BF276" i="1"/>
  <c r="BH276" i="1" s="1"/>
  <c r="BI276" i="1"/>
  <c r="BK276" i="1" s="1"/>
  <c r="BL276" i="1"/>
  <c r="BN276" i="1" s="1"/>
  <c r="BO276" i="1"/>
  <c r="BQ276" i="1" s="1"/>
  <c r="BR276" i="1"/>
  <c r="BT276" i="1" s="1"/>
  <c r="AQ277" i="1"/>
  <c r="AS277" i="1"/>
  <c r="AT277" i="1"/>
  <c r="AV277" i="1" s="1"/>
  <c r="AW277" i="1"/>
  <c r="AY277" i="1" s="1"/>
  <c r="AZ277" i="1"/>
  <c r="BB277" i="1"/>
  <c r="BC277" i="1"/>
  <c r="BE277" i="1" s="1"/>
  <c r="BF277" i="1"/>
  <c r="BH277" i="1" s="1"/>
  <c r="BI277" i="1"/>
  <c r="BK277" i="1"/>
  <c r="BL277" i="1"/>
  <c r="BN277" i="1" s="1"/>
  <c r="BO277" i="1"/>
  <c r="BQ277" i="1" s="1"/>
  <c r="BR277" i="1"/>
  <c r="BT277" i="1" s="1"/>
  <c r="AQ278" i="1"/>
  <c r="AS278" i="1" s="1"/>
  <c r="AT278" i="1"/>
  <c r="AV278" i="1" s="1"/>
  <c r="AW278" i="1"/>
  <c r="AY278" i="1" s="1"/>
  <c r="AZ278" i="1"/>
  <c r="BB278" i="1" s="1"/>
  <c r="BC278" i="1"/>
  <c r="BE278" i="1" s="1"/>
  <c r="BF278" i="1"/>
  <c r="BH278" i="1" s="1"/>
  <c r="BI278" i="1"/>
  <c r="BK278" i="1" s="1"/>
  <c r="BL278" i="1"/>
  <c r="BN278" i="1" s="1"/>
  <c r="BO278" i="1"/>
  <c r="BQ278" i="1" s="1"/>
  <c r="BR278" i="1"/>
  <c r="BT278" i="1" s="1"/>
  <c r="AQ279" i="1"/>
  <c r="AS279" i="1" s="1"/>
  <c r="AT279" i="1"/>
  <c r="AV279" i="1" s="1"/>
  <c r="AW279" i="1"/>
  <c r="AY279" i="1" s="1"/>
  <c r="AZ279" i="1"/>
  <c r="BB279" i="1" s="1"/>
  <c r="BC279" i="1"/>
  <c r="BE279" i="1" s="1"/>
  <c r="BF279" i="1"/>
  <c r="BH279" i="1" s="1"/>
  <c r="BI279" i="1"/>
  <c r="BK279" i="1" s="1"/>
  <c r="BL279" i="1"/>
  <c r="BN279" i="1" s="1"/>
  <c r="BO279" i="1"/>
  <c r="BQ279" i="1" s="1"/>
  <c r="BR279" i="1"/>
  <c r="BT279" i="1" s="1"/>
  <c r="AQ280" i="1"/>
  <c r="AS280" i="1" s="1"/>
  <c r="AT280" i="1"/>
  <c r="AV280" i="1" s="1"/>
  <c r="AW280" i="1"/>
  <c r="AY280" i="1" s="1"/>
  <c r="AZ280" i="1"/>
  <c r="BB280" i="1" s="1"/>
  <c r="BC280" i="1"/>
  <c r="BE280" i="1" s="1"/>
  <c r="BF280" i="1"/>
  <c r="BH280" i="1" s="1"/>
  <c r="BI280" i="1"/>
  <c r="BK280" i="1" s="1"/>
  <c r="BL280" i="1"/>
  <c r="BN280" i="1" s="1"/>
  <c r="BO280" i="1"/>
  <c r="BQ280" i="1" s="1"/>
  <c r="BR280" i="1"/>
  <c r="BT280" i="1" s="1"/>
  <c r="AQ281" i="1"/>
  <c r="AS281" i="1" s="1"/>
  <c r="AT281" i="1"/>
  <c r="AV281" i="1" s="1"/>
  <c r="AW281" i="1"/>
  <c r="AY281" i="1" s="1"/>
  <c r="AZ281" i="1"/>
  <c r="BB281" i="1" s="1"/>
  <c r="BC281" i="1"/>
  <c r="BE281" i="1" s="1"/>
  <c r="BF281" i="1"/>
  <c r="BH281" i="1" s="1"/>
  <c r="BI281" i="1"/>
  <c r="BK281" i="1" s="1"/>
  <c r="BL281" i="1"/>
  <c r="BN281" i="1" s="1"/>
  <c r="BO281" i="1"/>
  <c r="BQ281" i="1" s="1"/>
  <c r="BR281" i="1"/>
  <c r="BT281" i="1" s="1"/>
  <c r="AQ282" i="1"/>
  <c r="AS282" i="1" s="1"/>
  <c r="AT282" i="1"/>
  <c r="AV282" i="1" s="1"/>
  <c r="AW282" i="1"/>
  <c r="AY282" i="1" s="1"/>
  <c r="AZ282" i="1"/>
  <c r="BB282" i="1" s="1"/>
  <c r="BC282" i="1"/>
  <c r="BE282" i="1" s="1"/>
  <c r="BF282" i="1"/>
  <c r="BH282" i="1" s="1"/>
  <c r="BI282" i="1"/>
  <c r="BK282" i="1" s="1"/>
  <c r="BL282" i="1"/>
  <c r="BN282" i="1" s="1"/>
  <c r="BO282" i="1"/>
  <c r="BQ282" i="1"/>
  <c r="BR282" i="1"/>
  <c r="BT282" i="1" s="1"/>
  <c r="AQ283" i="1"/>
  <c r="AS283" i="1" s="1"/>
  <c r="AT283" i="1"/>
  <c r="AV283" i="1" s="1"/>
  <c r="AW283" i="1"/>
  <c r="AY283" i="1" s="1"/>
  <c r="AZ283" i="1"/>
  <c r="BB283" i="1"/>
  <c r="BC283" i="1"/>
  <c r="BE283" i="1" s="1"/>
  <c r="BF283" i="1"/>
  <c r="BH283" i="1" s="1"/>
  <c r="BI283" i="1"/>
  <c r="BK283" i="1"/>
  <c r="BL283" i="1"/>
  <c r="BN283" i="1" s="1"/>
  <c r="BO283" i="1"/>
  <c r="BQ283" i="1" s="1"/>
  <c r="BR283" i="1"/>
  <c r="BT283" i="1" s="1"/>
  <c r="AQ284" i="1"/>
  <c r="AS284" i="1" s="1"/>
  <c r="AT284" i="1"/>
  <c r="AV284" i="1" s="1"/>
  <c r="AW284" i="1"/>
  <c r="AY284" i="1" s="1"/>
  <c r="AZ284" i="1"/>
  <c r="BB284" i="1" s="1"/>
  <c r="BC284" i="1"/>
  <c r="BE284" i="1" s="1"/>
  <c r="BF284" i="1"/>
  <c r="BH284" i="1" s="1"/>
  <c r="BI284" i="1"/>
  <c r="BK284" i="1" s="1"/>
  <c r="BL284" i="1"/>
  <c r="BN284" i="1" s="1"/>
  <c r="BO284" i="1"/>
  <c r="BQ284" i="1" s="1"/>
  <c r="BR284" i="1"/>
  <c r="BT284" i="1" s="1"/>
  <c r="AQ285" i="1"/>
  <c r="AS285" i="1" s="1"/>
  <c r="AT285" i="1"/>
  <c r="AV285" i="1"/>
  <c r="AW285" i="1"/>
  <c r="AY285" i="1" s="1"/>
  <c r="AZ285" i="1"/>
  <c r="BB285" i="1"/>
  <c r="BC285" i="1"/>
  <c r="BE285" i="1" s="1"/>
  <c r="BF285" i="1"/>
  <c r="BH285" i="1" s="1"/>
  <c r="BI285" i="1"/>
  <c r="BK285" i="1" s="1"/>
  <c r="BL285" i="1"/>
  <c r="BN285" i="1" s="1"/>
  <c r="BO285" i="1"/>
  <c r="BQ285" i="1" s="1"/>
  <c r="BR285" i="1"/>
  <c r="BT285" i="1" s="1"/>
  <c r="AQ286" i="1"/>
  <c r="AS286" i="1" s="1"/>
  <c r="AT286" i="1"/>
  <c r="AV286" i="1"/>
  <c r="AW286" i="1"/>
  <c r="AY286" i="1" s="1"/>
  <c r="AZ286" i="1"/>
  <c r="BB286" i="1" s="1"/>
  <c r="BC286" i="1"/>
  <c r="BE286" i="1" s="1"/>
  <c r="BF286" i="1"/>
  <c r="BH286" i="1" s="1"/>
  <c r="BI286" i="1"/>
  <c r="BK286" i="1" s="1"/>
  <c r="BL286" i="1"/>
  <c r="BN286" i="1"/>
  <c r="BO286" i="1"/>
  <c r="BQ286" i="1" s="1"/>
  <c r="BR286" i="1"/>
  <c r="BT286" i="1"/>
  <c r="AQ287" i="1"/>
  <c r="AS287" i="1" s="1"/>
  <c r="AT287" i="1"/>
  <c r="AV287" i="1" s="1"/>
  <c r="AW287" i="1"/>
  <c r="AY287" i="1" s="1"/>
  <c r="AZ287" i="1"/>
  <c r="BB287" i="1" s="1"/>
  <c r="BC287" i="1"/>
  <c r="BE287" i="1" s="1"/>
  <c r="BF287" i="1"/>
  <c r="BH287" i="1" s="1"/>
  <c r="BI287" i="1"/>
  <c r="BK287" i="1" s="1"/>
  <c r="BL287" i="1"/>
  <c r="BN287" i="1"/>
  <c r="BO287" i="1"/>
  <c r="BQ287" i="1" s="1"/>
  <c r="BR287" i="1"/>
  <c r="BT287" i="1"/>
  <c r="AQ288" i="1"/>
  <c r="AS288" i="1" s="1"/>
  <c r="AT288" i="1"/>
  <c r="AV288" i="1"/>
  <c r="AW288" i="1"/>
  <c r="AY288" i="1" s="1"/>
  <c r="AZ288" i="1"/>
  <c r="BB288" i="1"/>
  <c r="BC288" i="1"/>
  <c r="BE288" i="1" s="1"/>
  <c r="BF288" i="1"/>
  <c r="BH288" i="1"/>
  <c r="BI288" i="1"/>
  <c r="BK288" i="1" s="1"/>
  <c r="BL288" i="1"/>
  <c r="BN288" i="1"/>
  <c r="BO288" i="1"/>
  <c r="BQ288" i="1" s="1"/>
  <c r="BR288" i="1"/>
  <c r="BT288" i="1"/>
  <c r="AQ289" i="1"/>
  <c r="AS289" i="1" s="1"/>
  <c r="AT289" i="1"/>
  <c r="AV289" i="1"/>
  <c r="AW289" i="1"/>
  <c r="AY289" i="1" s="1"/>
  <c r="AZ289" i="1"/>
  <c r="BB289" i="1"/>
  <c r="BC289" i="1"/>
  <c r="BE289" i="1" s="1"/>
  <c r="BF289" i="1"/>
  <c r="BH289" i="1"/>
  <c r="BI289" i="1"/>
  <c r="BK289" i="1" s="1"/>
  <c r="BL289" i="1"/>
  <c r="BN289" i="1"/>
  <c r="BO289" i="1"/>
  <c r="BQ289" i="1" s="1"/>
  <c r="BR289" i="1"/>
  <c r="BT289" i="1"/>
  <c r="AQ290" i="1"/>
  <c r="AS290" i="1" s="1"/>
  <c r="AT290" i="1"/>
  <c r="AV290" i="1"/>
  <c r="AW290" i="1"/>
  <c r="AY290" i="1" s="1"/>
  <c r="AZ290" i="1"/>
  <c r="BB290" i="1"/>
  <c r="BC290" i="1"/>
  <c r="BE290" i="1" s="1"/>
  <c r="BF290" i="1"/>
  <c r="BH290" i="1"/>
  <c r="BI290" i="1"/>
  <c r="BK290" i="1" s="1"/>
  <c r="BL290" i="1"/>
  <c r="BN290" i="1"/>
  <c r="BO290" i="1"/>
  <c r="BQ290" i="1" s="1"/>
  <c r="BR290" i="1"/>
  <c r="BT290" i="1"/>
  <c r="AQ291" i="1"/>
  <c r="AS291" i="1" s="1"/>
  <c r="AT291" i="1"/>
  <c r="AV291" i="1"/>
  <c r="AW291" i="1"/>
  <c r="AY291" i="1" s="1"/>
  <c r="AZ291" i="1"/>
  <c r="BB291" i="1"/>
  <c r="BC291" i="1"/>
  <c r="BE291" i="1" s="1"/>
  <c r="BF291" i="1"/>
  <c r="BH291" i="1"/>
  <c r="BI291" i="1"/>
  <c r="BK291" i="1" s="1"/>
  <c r="BL291" i="1"/>
  <c r="BN291" i="1"/>
  <c r="BO291" i="1"/>
  <c r="BQ291" i="1" s="1"/>
  <c r="BR291" i="1"/>
  <c r="BT291" i="1"/>
  <c r="AQ292" i="1"/>
  <c r="AS292" i="1" s="1"/>
  <c r="AT292" i="1"/>
  <c r="AV292" i="1"/>
  <c r="AW292" i="1"/>
  <c r="AY292" i="1" s="1"/>
  <c r="AZ292" i="1"/>
  <c r="BB292" i="1"/>
  <c r="BC292" i="1"/>
  <c r="BE292" i="1" s="1"/>
  <c r="BF292" i="1"/>
  <c r="BH292" i="1"/>
  <c r="BI292" i="1"/>
  <c r="BK292" i="1" s="1"/>
  <c r="BL292" i="1"/>
  <c r="BN292" i="1"/>
  <c r="BO292" i="1"/>
  <c r="BQ292" i="1" s="1"/>
  <c r="BR292" i="1"/>
  <c r="BT292" i="1"/>
  <c r="AQ293" i="1"/>
  <c r="AS293" i="1" s="1"/>
  <c r="AT293" i="1"/>
  <c r="AV293" i="1"/>
  <c r="AW293" i="1"/>
  <c r="AY293" i="1" s="1"/>
  <c r="AZ293" i="1"/>
  <c r="BB293" i="1"/>
  <c r="BC293" i="1"/>
  <c r="BE293" i="1"/>
  <c r="BF293" i="1"/>
  <c r="BH293" i="1"/>
  <c r="BI293" i="1"/>
  <c r="BK293" i="1"/>
  <c r="BL293" i="1"/>
  <c r="BN293" i="1"/>
  <c r="BO293" i="1"/>
  <c r="BQ293" i="1"/>
  <c r="BR293" i="1"/>
  <c r="BT293" i="1"/>
  <c r="AQ294" i="1"/>
  <c r="AS294" i="1"/>
  <c r="AT294" i="1"/>
  <c r="AV294" i="1"/>
  <c r="AW294" i="1"/>
  <c r="AY294" i="1"/>
  <c r="AZ294" i="1"/>
  <c r="BB294" i="1"/>
  <c r="BC294" i="1"/>
  <c r="BE294" i="1"/>
  <c r="BF294" i="1"/>
  <c r="BH294" i="1"/>
  <c r="BI294" i="1"/>
  <c r="BK294" i="1"/>
  <c r="BL294" i="1"/>
  <c r="BN294" i="1"/>
  <c r="BO294" i="1"/>
  <c r="BQ294" i="1"/>
  <c r="BR294" i="1"/>
  <c r="BT294" i="1"/>
  <c r="AQ295" i="1"/>
  <c r="AS295" i="1"/>
  <c r="AT295" i="1"/>
  <c r="AV295" i="1"/>
  <c r="AW295" i="1"/>
  <c r="AY295" i="1"/>
  <c r="AZ295" i="1"/>
  <c r="BB295" i="1" s="1"/>
  <c r="BC295" i="1"/>
  <c r="BE295" i="1"/>
  <c r="BF295" i="1"/>
  <c r="BH295" i="1" s="1"/>
  <c r="BI295" i="1"/>
  <c r="BK295" i="1"/>
  <c r="BL295" i="1"/>
  <c r="BN295" i="1" s="1"/>
  <c r="BO295" i="1"/>
  <c r="BQ295" i="1"/>
  <c r="BR295" i="1"/>
  <c r="BT295" i="1" s="1"/>
  <c r="AQ296" i="1"/>
  <c r="AS296" i="1"/>
  <c r="AT296" i="1"/>
  <c r="AV296" i="1" s="1"/>
  <c r="AW296" i="1"/>
  <c r="AY296" i="1"/>
  <c r="AZ296" i="1"/>
  <c r="BB296" i="1" s="1"/>
  <c r="BC296" i="1"/>
  <c r="BE296" i="1"/>
  <c r="BF296" i="1"/>
  <c r="BH296" i="1" s="1"/>
  <c r="BI296" i="1"/>
  <c r="BK296" i="1"/>
  <c r="BL296" i="1"/>
  <c r="BN296" i="1" s="1"/>
  <c r="BO296" i="1"/>
  <c r="BQ296" i="1"/>
  <c r="BR296" i="1"/>
  <c r="BT296" i="1" s="1"/>
  <c r="AQ297" i="1"/>
  <c r="AS297" i="1"/>
  <c r="AT297" i="1"/>
  <c r="AV297" i="1" s="1"/>
  <c r="AW297" i="1"/>
  <c r="AY297" i="1"/>
  <c r="AZ297" i="1"/>
  <c r="BB297" i="1" s="1"/>
  <c r="BC297" i="1"/>
  <c r="BE297" i="1"/>
  <c r="BF297" i="1"/>
  <c r="BH297" i="1" s="1"/>
  <c r="BI297" i="1"/>
  <c r="BK297" i="1"/>
  <c r="BL297" i="1"/>
  <c r="BN297" i="1" s="1"/>
  <c r="BO297" i="1"/>
  <c r="BQ297" i="1"/>
  <c r="BR297" i="1"/>
  <c r="BT297" i="1" s="1"/>
  <c r="AQ298" i="1"/>
  <c r="AS298" i="1"/>
  <c r="AT298" i="1"/>
  <c r="AV298" i="1" s="1"/>
  <c r="AW298" i="1"/>
  <c r="AY298" i="1"/>
  <c r="AZ298" i="1"/>
  <c r="BB298" i="1" s="1"/>
  <c r="BC298" i="1"/>
  <c r="BE298" i="1"/>
  <c r="BF298" i="1"/>
  <c r="BH298" i="1" s="1"/>
  <c r="BI298" i="1"/>
  <c r="BK298" i="1"/>
  <c r="BL298" i="1"/>
  <c r="BN298" i="1" s="1"/>
  <c r="BO298" i="1"/>
  <c r="BQ298" i="1"/>
  <c r="BR298" i="1"/>
  <c r="BT298" i="1" s="1"/>
  <c r="AQ299" i="1"/>
  <c r="AS299" i="1"/>
  <c r="AT299" i="1"/>
  <c r="AV299" i="1" s="1"/>
  <c r="AW299" i="1"/>
  <c r="AY299" i="1"/>
  <c r="AZ299" i="1"/>
  <c r="BB299" i="1" s="1"/>
  <c r="BC299" i="1"/>
  <c r="BE299" i="1"/>
  <c r="BF299" i="1"/>
  <c r="BH299" i="1" s="1"/>
  <c r="BI299" i="1"/>
  <c r="BK299" i="1"/>
  <c r="BL299" i="1"/>
  <c r="BN299" i="1" s="1"/>
  <c r="BO299" i="1"/>
  <c r="BQ299" i="1"/>
  <c r="BR299" i="1"/>
  <c r="BT299" i="1" s="1"/>
  <c r="AQ300" i="1"/>
  <c r="AS300" i="1"/>
  <c r="AT300" i="1"/>
  <c r="AV300" i="1" s="1"/>
  <c r="AW300" i="1"/>
  <c r="AY300" i="1"/>
  <c r="AZ300" i="1"/>
  <c r="BB300" i="1" s="1"/>
  <c r="BC300" i="1"/>
  <c r="BE300" i="1"/>
  <c r="BF300" i="1"/>
  <c r="BH300" i="1" s="1"/>
  <c r="BI300" i="1"/>
  <c r="BK300" i="1"/>
  <c r="BL300" i="1"/>
  <c r="BN300" i="1" s="1"/>
  <c r="BO300" i="1"/>
  <c r="BQ300" i="1"/>
  <c r="BR300" i="1"/>
  <c r="BT300" i="1" s="1"/>
  <c r="AQ301" i="1"/>
  <c r="AS301" i="1"/>
  <c r="AT301" i="1"/>
  <c r="AV301" i="1" s="1"/>
  <c r="AW301" i="1"/>
  <c r="AY301" i="1"/>
  <c r="AZ301" i="1"/>
  <c r="BB301" i="1" s="1"/>
  <c r="BC301" i="1"/>
  <c r="BE301" i="1"/>
  <c r="BF301" i="1"/>
  <c r="BH301" i="1" s="1"/>
  <c r="BI301" i="1"/>
  <c r="BK301" i="1"/>
  <c r="BL301" i="1"/>
  <c r="BN301" i="1" s="1"/>
  <c r="BO301" i="1"/>
  <c r="BQ301" i="1"/>
  <c r="BR301" i="1"/>
  <c r="BT301" i="1" s="1"/>
  <c r="AQ302" i="1"/>
  <c r="AS302" i="1"/>
  <c r="AT302" i="1"/>
  <c r="AV302" i="1" s="1"/>
  <c r="AW302" i="1"/>
  <c r="AY302" i="1"/>
  <c r="AZ302" i="1"/>
  <c r="BB302" i="1" s="1"/>
  <c r="BC302" i="1"/>
  <c r="BE302" i="1" s="1"/>
  <c r="BF302" i="1"/>
  <c r="BH302" i="1" s="1"/>
  <c r="BI302" i="1"/>
  <c r="BK302" i="1" s="1"/>
  <c r="BL302" i="1"/>
  <c r="BN302" i="1" s="1"/>
  <c r="BO302" i="1"/>
  <c r="BQ302" i="1" s="1"/>
  <c r="BR302" i="1"/>
  <c r="BT302" i="1" s="1"/>
  <c r="AQ303" i="1"/>
  <c r="AS303" i="1" s="1"/>
  <c r="AT303" i="1"/>
  <c r="AV303" i="1" s="1"/>
  <c r="AW303" i="1"/>
  <c r="AY303" i="1" s="1"/>
  <c r="AZ303" i="1"/>
  <c r="BB303" i="1"/>
  <c r="BC303" i="1"/>
  <c r="BE303" i="1" s="1"/>
  <c r="BF303" i="1"/>
  <c r="BH303" i="1" s="1"/>
  <c r="BI303" i="1"/>
  <c r="BK303" i="1" s="1"/>
  <c r="BL303" i="1"/>
  <c r="BN303" i="1" s="1"/>
  <c r="BO303" i="1"/>
  <c r="BQ303" i="1" s="1"/>
  <c r="BR303" i="1"/>
  <c r="BT303" i="1" s="1"/>
  <c r="AQ304" i="1"/>
  <c r="AS304" i="1" s="1"/>
  <c r="AT304" i="1"/>
  <c r="AV304" i="1" s="1"/>
  <c r="AW304" i="1"/>
  <c r="AY304" i="1" s="1"/>
  <c r="AZ304" i="1"/>
  <c r="BB304" i="1" s="1"/>
  <c r="BC304" i="1"/>
  <c r="BE304" i="1" s="1"/>
  <c r="BF304" i="1"/>
  <c r="BH304" i="1" s="1"/>
  <c r="BI304" i="1"/>
  <c r="BK304" i="1" s="1"/>
  <c r="BL304" i="1"/>
  <c r="BN304" i="1" s="1"/>
  <c r="BO304" i="1"/>
  <c r="BQ304" i="1"/>
  <c r="BR304" i="1"/>
  <c r="BT304" i="1" s="1"/>
  <c r="AQ305" i="1"/>
  <c r="AS305" i="1" s="1"/>
  <c r="AT305" i="1"/>
  <c r="AV305" i="1"/>
  <c r="AW305" i="1"/>
  <c r="AY305" i="1" s="1"/>
  <c r="AZ305" i="1"/>
  <c r="BB305" i="1" s="1"/>
  <c r="BC305" i="1"/>
  <c r="BE305" i="1" s="1"/>
  <c r="BF305" i="1"/>
  <c r="BH305" i="1" s="1"/>
  <c r="BI305" i="1"/>
  <c r="BK305" i="1" s="1"/>
  <c r="BL305" i="1"/>
  <c r="BN305" i="1" s="1"/>
  <c r="BO305" i="1"/>
  <c r="BQ305" i="1" s="1"/>
  <c r="BR305" i="1"/>
  <c r="BT305" i="1" s="1"/>
  <c r="AQ306" i="1"/>
  <c r="AS306" i="1" s="1"/>
  <c r="AT306" i="1"/>
  <c r="AV306" i="1" s="1"/>
  <c r="AW306" i="1"/>
  <c r="AY306" i="1" s="1"/>
  <c r="AZ306" i="1"/>
  <c r="BB306" i="1" s="1"/>
  <c r="BC306" i="1"/>
  <c r="BE306" i="1" s="1"/>
  <c r="BF306" i="1"/>
  <c r="BH306" i="1" s="1"/>
  <c r="BI306" i="1"/>
  <c r="BK306" i="1" s="1"/>
  <c r="BL306" i="1"/>
  <c r="BN306" i="1" s="1"/>
  <c r="BO306" i="1"/>
  <c r="BQ306" i="1" s="1"/>
  <c r="BR306" i="1"/>
  <c r="BT306" i="1" s="1"/>
  <c r="AQ307" i="1"/>
  <c r="AS307" i="1" s="1"/>
  <c r="AT307" i="1"/>
  <c r="AV307" i="1" s="1"/>
  <c r="AW307" i="1"/>
  <c r="AY307" i="1" s="1"/>
  <c r="AZ307" i="1"/>
  <c r="BB307" i="1" s="1"/>
  <c r="BC307" i="1"/>
  <c r="BE307" i="1" s="1"/>
  <c r="BF307" i="1"/>
  <c r="BH307" i="1" s="1"/>
  <c r="BI307" i="1"/>
  <c r="BK307" i="1"/>
  <c r="BL307" i="1"/>
  <c r="BN307" i="1" s="1"/>
  <c r="BO307" i="1"/>
  <c r="BQ307" i="1" s="1"/>
  <c r="BR307" i="1"/>
  <c r="BT307" i="1"/>
  <c r="AQ308" i="1"/>
  <c r="AS308" i="1" s="1"/>
  <c r="AT308" i="1"/>
  <c r="AV308" i="1"/>
  <c r="AW308" i="1"/>
  <c r="AY308" i="1" s="1"/>
  <c r="AZ308" i="1"/>
  <c r="BB308" i="1" s="1"/>
  <c r="BC308" i="1"/>
  <c r="BE308" i="1"/>
  <c r="BF308" i="1"/>
  <c r="BH308" i="1" s="1"/>
  <c r="BI308" i="1"/>
  <c r="BK308" i="1" s="1"/>
  <c r="BL308" i="1"/>
  <c r="BN308" i="1" s="1"/>
  <c r="BO308" i="1"/>
  <c r="BQ308" i="1" s="1"/>
  <c r="BR308" i="1"/>
  <c r="BT308" i="1" s="1"/>
  <c r="AQ309" i="1"/>
  <c r="AS309" i="1" s="1"/>
  <c r="AT309" i="1"/>
  <c r="AV309" i="1"/>
  <c r="AW309" i="1"/>
  <c r="AY309" i="1" s="1"/>
  <c r="AZ309" i="1"/>
  <c r="BB309" i="1" s="1"/>
  <c r="BC309" i="1"/>
  <c r="BE309" i="1" s="1"/>
  <c r="BF309" i="1"/>
  <c r="BH309" i="1" s="1"/>
  <c r="BI309" i="1"/>
  <c r="BK309" i="1" s="1"/>
  <c r="BL309" i="1"/>
  <c r="BN309" i="1" s="1"/>
  <c r="BO309" i="1"/>
  <c r="BQ309" i="1" s="1"/>
  <c r="BR309" i="1"/>
  <c r="BT309" i="1" s="1"/>
  <c r="AQ310" i="1"/>
  <c r="AS310" i="1" s="1"/>
  <c r="AT310" i="1"/>
  <c r="AV310" i="1" s="1"/>
  <c r="AW310" i="1"/>
  <c r="AY310" i="1" s="1"/>
  <c r="AZ310" i="1"/>
  <c r="BB310" i="1" s="1"/>
  <c r="BC310" i="1"/>
  <c r="BE310" i="1" s="1"/>
  <c r="BF310" i="1"/>
  <c r="BH310" i="1" s="1"/>
  <c r="BI310" i="1"/>
  <c r="BK310" i="1" s="1"/>
  <c r="BL310" i="1"/>
  <c r="BN310" i="1" s="1"/>
  <c r="BO310" i="1"/>
  <c r="BQ310" i="1" s="1"/>
  <c r="BR310" i="1"/>
  <c r="BT310" i="1" s="1"/>
  <c r="BN12" i="1"/>
  <c r="BR12" i="1"/>
  <c r="BT12" i="1" s="1"/>
  <c r="BR13" i="1"/>
  <c r="BT13" i="1" s="1"/>
  <c r="BN11" i="1"/>
  <c r="BR11" i="1"/>
  <c r="BT11" i="1" s="1"/>
  <c r="BQ27" i="1" l="1"/>
  <c r="BN13" i="1"/>
  <c r="BL39" i="1"/>
  <c r="BL38" i="1"/>
  <c r="BN14" i="1"/>
  <c r="BH26" i="1"/>
  <c r="BB110" i="18"/>
  <c r="BA110" i="18"/>
  <c r="AK110" i="18"/>
  <c r="AJ110" i="18"/>
  <c r="T110" i="18"/>
  <c r="S110" i="18"/>
  <c r="C110" i="18"/>
  <c r="B110" i="18"/>
  <c r="BB83" i="18"/>
  <c r="BA83" i="18"/>
  <c r="AK83" i="18"/>
  <c r="AJ83" i="18"/>
  <c r="T83" i="18"/>
  <c r="S83" i="18"/>
  <c r="C83" i="18"/>
  <c r="B83" i="18"/>
  <c r="BB56" i="18"/>
  <c r="BA56" i="18"/>
  <c r="AK56" i="18"/>
  <c r="AJ56" i="18"/>
  <c r="T56" i="18"/>
  <c r="S56" i="18"/>
  <c r="C56" i="18"/>
  <c r="B56" i="18"/>
  <c r="BB29" i="18"/>
  <c r="BA29" i="18"/>
  <c r="AK29" i="18"/>
  <c r="AJ29" i="18"/>
  <c r="T29" i="18"/>
  <c r="S29" i="18"/>
  <c r="C29" i="18"/>
  <c r="B29" i="18"/>
  <c r="BB2" i="18"/>
  <c r="BA2" i="18"/>
  <c r="AK2" i="18"/>
  <c r="AJ2" i="18"/>
  <c r="T2" i="18"/>
  <c r="S2" i="18"/>
  <c r="BR10" i="1"/>
  <c r="BT10" i="1" s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G38" i="1"/>
  <c r="AH38" i="1"/>
  <c r="G39" i="1"/>
  <c r="AH39" i="1"/>
  <c r="G40" i="1"/>
  <c r="AH40" i="1"/>
  <c r="G41" i="1"/>
  <c r="AH41" i="1"/>
  <c r="G42" i="1"/>
  <c r="AH42" i="1"/>
  <c r="G43" i="1"/>
  <c r="AH43" i="1"/>
  <c r="G44" i="1"/>
  <c r="AH44" i="1"/>
  <c r="G45" i="1"/>
  <c r="AH45" i="1"/>
  <c r="G46" i="1"/>
  <c r="AH46" i="1"/>
  <c r="G47" i="1"/>
  <c r="AH47" i="1"/>
  <c r="G48" i="1"/>
  <c r="AH48" i="1"/>
  <c r="G49" i="1"/>
  <c r="AH49" i="1"/>
  <c r="G50" i="1"/>
  <c r="AH50" i="1"/>
  <c r="G51" i="1"/>
  <c r="AH51" i="1"/>
  <c r="G52" i="1"/>
  <c r="AH52" i="1"/>
  <c r="G53" i="1"/>
  <c r="AH53" i="1"/>
  <c r="G54" i="1"/>
  <c r="AH54" i="1"/>
  <c r="G55" i="1"/>
  <c r="AH55" i="1"/>
  <c r="G56" i="1"/>
  <c r="AH56" i="1"/>
  <c r="G57" i="1"/>
  <c r="AH57" i="1"/>
  <c r="G58" i="1"/>
  <c r="V58" i="1"/>
  <c r="AH58" i="1"/>
  <c r="G59" i="1"/>
  <c r="V59" i="1"/>
  <c r="AH59" i="1"/>
  <c r="G60" i="1"/>
  <c r="J60" i="1"/>
  <c r="V60" i="1"/>
  <c r="AH60" i="1"/>
  <c r="G61" i="1"/>
  <c r="J61" i="1"/>
  <c r="V61" i="1"/>
  <c r="AH61" i="1"/>
  <c r="G62" i="1"/>
  <c r="J62" i="1"/>
  <c r="V62" i="1"/>
  <c r="AH62" i="1"/>
  <c r="G63" i="1"/>
  <c r="J63" i="1"/>
  <c r="V63" i="1"/>
  <c r="AH63" i="1"/>
  <c r="G64" i="1"/>
  <c r="J64" i="1"/>
  <c r="V64" i="1"/>
  <c r="AH64" i="1"/>
  <c r="G65" i="1"/>
  <c r="J65" i="1"/>
  <c r="V65" i="1"/>
  <c r="AH65" i="1"/>
  <c r="G66" i="1"/>
  <c r="J66" i="1"/>
  <c r="V66" i="1"/>
  <c r="AH66" i="1"/>
  <c r="G67" i="1"/>
  <c r="J67" i="1"/>
  <c r="V67" i="1"/>
  <c r="AH67" i="1"/>
  <c r="G68" i="1"/>
  <c r="J68" i="1"/>
  <c r="V68" i="1"/>
  <c r="AH68" i="1"/>
  <c r="G69" i="1"/>
  <c r="J69" i="1"/>
  <c r="V69" i="1"/>
  <c r="AH69" i="1"/>
  <c r="G70" i="1"/>
  <c r="J70" i="1"/>
  <c r="M70" i="1"/>
  <c r="V70" i="1"/>
  <c r="AH70" i="1"/>
  <c r="G71" i="1"/>
  <c r="J71" i="1"/>
  <c r="M71" i="1"/>
  <c r="V71" i="1"/>
  <c r="AH71" i="1"/>
  <c r="G72" i="1"/>
  <c r="J72" i="1"/>
  <c r="M72" i="1"/>
  <c r="V72" i="1"/>
  <c r="AH72" i="1"/>
  <c r="G73" i="1"/>
  <c r="J73" i="1"/>
  <c r="M73" i="1"/>
  <c r="V73" i="1"/>
  <c r="AH73" i="1"/>
  <c r="G74" i="1"/>
  <c r="J74" i="1"/>
  <c r="M74" i="1"/>
  <c r="V74" i="1"/>
  <c r="AH74" i="1"/>
  <c r="G75" i="1"/>
  <c r="J75" i="1"/>
  <c r="M75" i="1"/>
  <c r="V75" i="1"/>
  <c r="AH75" i="1"/>
  <c r="G76" i="1"/>
  <c r="J76" i="1"/>
  <c r="M76" i="1"/>
  <c r="V76" i="1"/>
  <c r="AH76" i="1"/>
  <c r="G77" i="1"/>
  <c r="J77" i="1"/>
  <c r="M77" i="1"/>
  <c r="V77" i="1"/>
  <c r="AH77" i="1"/>
  <c r="G78" i="1"/>
  <c r="J78" i="1"/>
  <c r="M78" i="1"/>
  <c r="V78" i="1"/>
  <c r="AH78" i="1"/>
  <c r="G79" i="1"/>
  <c r="J79" i="1"/>
  <c r="M79" i="1"/>
  <c r="V79" i="1"/>
  <c r="AH79" i="1"/>
  <c r="G80" i="1"/>
  <c r="J80" i="1"/>
  <c r="M80" i="1"/>
  <c r="V80" i="1"/>
  <c r="AH80" i="1"/>
  <c r="G81" i="1"/>
  <c r="J81" i="1"/>
  <c r="M81" i="1"/>
  <c r="V81" i="1"/>
  <c r="AH81" i="1"/>
  <c r="G82" i="1"/>
  <c r="J82" i="1"/>
  <c r="M82" i="1"/>
  <c r="V82" i="1"/>
  <c r="AH82" i="1"/>
  <c r="G83" i="1"/>
  <c r="J83" i="1"/>
  <c r="M83" i="1"/>
  <c r="V83" i="1"/>
  <c r="AH83" i="1"/>
  <c r="G84" i="1"/>
  <c r="J84" i="1"/>
  <c r="M84" i="1"/>
  <c r="V84" i="1"/>
  <c r="AH84" i="1"/>
  <c r="G85" i="1"/>
  <c r="J85" i="1"/>
  <c r="M85" i="1"/>
  <c r="V85" i="1"/>
  <c r="AH85" i="1"/>
  <c r="G86" i="1"/>
  <c r="J86" i="1"/>
  <c r="M86" i="1"/>
  <c r="V86" i="1"/>
  <c r="AH86" i="1"/>
  <c r="G87" i="1"/>
  <c r="J87" i="1"/>
  <c r="M87" i="1"/>
  <c r="V87" i="1"/>
  <c r="AH87" i="1"/>
  <c r="G88" i="1"/>
  <c r="J88" i="1"/>
  <c r="M88" i="1"/>
  <c r="V88" i="1"/>
  <c r="AH88" i="1"/>
  <c r="G89" i="1"/>
  <c r="J89" i="1"/>
  <c r="M89" i="1"/>
  <c r="V89" i="1"/>
  <c r="AH89" i="1"/>
  <c r="G90" i="1"/>
  <c r="J90" i="1"/>
  <c r="M90" i="1"/>
  <c r="V90" i="1"/>
  <c r="AH90" i="1"/>
  <c r="G91" i="1"/>
  <c r="J91" i="1"/>
  <c r="M91" i="1"/>
  <c r="V91" i="1"/>
  <c r="AH91" i="1"/>
  <c r="G92" i="1"/>
  <c r="J92" i="1"/>
  <c r="M92" i="1"/>
  <c r="V92" i="1"/>
  <c r="AH92" i="1"/>
  <c r="G93" i="1"/>
  <c r="J93" i="1"/>
  <c r="M93" i="1"/>
  <c r="V93" i="1"/>
  <c r="AH93" i="1"/>
  <c r="G94" i="1"/>
  <c r="J94" i="1"/>
  <c r="M94" i="1"/>
  <c r="V94" i="1"/>
  <c r="AH94" i="1"/>
  <c r="G95" i="1"/>
  <c r="J95" i="1"/>
  <c r="M95" i="1"/>
  <c r="V95" i="1"/>
  <c r="AH95" i="1"/>
  <c r="G96" i="1"/>
  <c r="J96" i="1"/>
  <c r="M96" i="1"/>
  <c r="V96" i="1"/>
  <c r="AH96" i="1"/>
  <c r="G97" i="1"/>
  <c r="J97" i="1"/>
  <c r="M97" i="1"/>
  <c r="P97" i="1"/>
  <c r="V97" i="1"/>
  <c r="AH97" i="1"/>
  <c r="G98" i="1"/>
  <c r="J98" i="1"/>
  <c r="M98" i="1"/>
  <c r="P98" i="1"/>
  <c r="V98" i="1"/>
  <c r="AH98" i="1"/>
  <c r="G99" i="1"/>
  <c r="J99" i="1"/>
  <c r="M99" i="1"/>
  <c r="P99" i="1"/>
  <c r="V99" i="1"/>
  <c r="AH99" i="1"/>
  <c r="G100" i="1"/>
  <c r="J100" i="1"/>
  <c r="M100" i="1"/>
  <c r="P100" i="1"/>
  <c r="V100" i="1"/>
  <c r="AH100" i="1"/>
  <c r="G101" i="1"/>
  <c r="J101" i="1"/>
  <c r="M101" i="1"/>
  <c r="P101" i="1"/>
  <c r="V101" i="1"/>
  <c r="AH101" i="1"/>
  <c r="G102" i="1"/>
  <c r="J102" i="1"/>
  <c r="M102" i="1"/>
  <c r="P102" i="1"/>
  <c r="V102" i="1"/>
  <c r="AH102" i="1"/>
  <c r="G103" i="1"/>
  <c r="J103" i="1"/>
  <c r="M103" i="1"/>
  <c r="P103" i="1"/>
  <c r="V103" i="1"/>
  <c r="AH103" i="1"/>
  <c r="G104" i="1"/>
  <c r="J104" i="1"/>
  <c r="M104" i="1"/>
  <c r="P104" i="1"/>
  <c r="V104" i="1"/>
  <c r="AH104" i="1"/>
  <c r="G105" i="1"/>
  <c r="J105" i="1"/>
  <c r="M105" i="1"/>
  <c r="P105" i="1"/>
  <c r="S105" i="1"/>
  <c r="V105" i="1"/>
  <c r="AH105" i="1"/>
  <c r="G106" i="1"/>
  <c r="J106" i="1"/>
  <c r="M106" i="1"/>
  <c r="P106" i="1"/>
  <c r="S106" i="1"/>
  <c r="V106" i="1"/>
  <c r="AH106" i="1"/>
  <c r="G107" i="1"/>
  <c r="J107" i="1"/>
  <c r="M107" i="1"/>
  <c r="P107" i="1"/>
  <c r="S107" i="1"/>
  <c r="V107" i="1"/>
  <c r="AH107" i="1"/>
  <c r="G108" i="1"/>
  <c r="J108" i="1"/>
  <c r="M108" i="1"/>
  <c r="P108" i="1"/>
  <c r="S108" i="1"/>
  <c r="V108" i="1"/>
  <c r="AH108" i="1"/>
  <c r="G109" i="1"/>
  <c r="J109" i="1"/>
  <c r="M109" i="1"/>
  <c r="P109" i="1"/>
  <c r="S109" i="1"/>
  <c r="V109" i="1"/>
  <c r="AH109" i="1"/>
  <c r="G110" i="1"/>
  <c r="J110" i="1"/>
  <c r="M110" i="1"/>
  <c r="P110" i="1"/>
  <c r="S110" i="1"/>
  <c r="V110" i="1"/>
  <c r="AH110" i="1"/>
  <c r="G111" i="1"/>
  <c r="J111" i="1"/>
  <c r="M111" i="1"/>
  <c r="P111" i="1"/>
  <c r="S111" i="1"/>
  <c r="V111" i="1"/>
  <c r="AH111" i="1"/>
  <c r="G112" i="1"/>
  <c r="J112" i="1"/>
  <c r="M112" i="1"/>
  <c r="P112" i="1"/>
  <c r="S112" i="1"/>
  <c r="V112" i="1"/>
  <c r="AH112" i="1"/>
  <c r="G113" i="1"/>
  <c r="J113" i="1"/>
  <c r="M113" i="1"/>
  <c r="P113" i="1"/>
  <c r="S113" i="1"/>
  <c r="V113" i="1"/>
  <c r="AH113" i="1"/>
  <c r="G114" i="1"/>
  <c r="J114" i="1"/>
  <c r="M114" i="1"/>
  <c r="P114" i="1"/>
  <c r="S114" i="1"/>
  <c r="V114" i="1"/>
  <c r="AH114" i="1"/>
  <c r="G115" i="1"/>
  <c r="J115" i="1"/>
  <c r="M115" i="1"/>
  <c r="P115" i="1"/>
  <c r="S115" i="1"/>
  <c r="V115" i="1"/>
  <c r="AH115" i="1"/>
  <c r="G116" i="1"/>
  <c r="J116" i="1"/>
  <c r="M116" i="1"/>
  <c r="P116" i="1"/>
  <c r="S116" i="1"/>
  <c r="V116" i="1"/>
  <c r="Y116" i="1"/>
  <c r="AH116" i="1"/>
  <c r="G117" i="1"/>
  <c r="J117" i="1"/>
  <c r="M117" i="1"/>
  <c r="P117" i="1"/>
  <c r="S117" i="1"/>
  <c r="V117" i="1"/>
  <c r="Y117" i="1"/>
  <c r="AH117" i="1"/>
  <c r="G118" i="1"/>
  <c r="J118" i="1"/>
  <c r="M118" i="1"/>
  <c r="P118" i="1"/>
  <c r="S118" i="1"/>
  <c r="V118" i="1"/>
  <c r="Y118" i="1"/>
  <c r="AH118" i="1"/>
  <c r="G119" i="1"/>
  <c r="J119" i="1"/>
  <c r="M119" i="1"/>
  <c r="P119" i="1"/>
  <c r="S119" i="1"/>
  <c r="V119" i="1"/>
  <c r="Y119" i="1"/>
  <c r="AH119" i="1"/>
  <c r="G120" i="1"/>
  <c r="J120" i="1"/>
  <c r="M120" i="1"/>
  <c r="P120" i="1"/>
  <c r="S120" i="1"/>
  <c r="V120" i="1"/>
  <c r="Y120" i="1"/>
  <c r="AH120" i="1"/>
  <c r="G121" i="1"/>
  <c r="J121" i="1"/>
  <c r="M121" i="1"/>
  <c r="P121" i="1"/>
  <c r="S121" i="1"/>
  <c r="V121" i="1"/>
  <c r="Y121" i="1"/>
  <c r="AH121" i="1"/>
  <c r="G122" i="1"/>
  <c r="J122" i="1"/>
  <c r="M122" i="1"/>
  <c r="P122" i="1"/>
  <c r="S122" i="1"/>
  <c r="V122" i="1"/>
  <c r="Y122" i="1"/>
  <c r="AH122" i="1"/>
  <c r="G123" i="1"/>
  <c r="J123" i="1"/>
  <c r="M123" i="1"/>
  <c r="P123" i="1"/>
  <c r="S123" i="1"/>
  <c r="V123" i="1"/>
  <c r="Y123" i="1"/>
  <c r="AH123" i="1"/>
  <c r="G124" i="1"/>
  <c r="J124" i="1"/>
  <c r="M124" i="1"/>
  <c r="P124" i="1"/>
  <c r="S124" i="1"/>
  <c r="V124" i="1"/>
  <c r="Y124" i="1"/>
  <c r="AH124" i="1"/>
  <c r="G125" i="1"/>
  <c r="J125" i="1"/>
  <c r="M125" i="1"/>
  <c r="P125" i="1"/>
  <c r="S125" i="1"/>
  <c r="V125" i="1"/>
  <c r="Y125" i="1"/>
  <c r="AH125" i="1"/>
  <c r="G126" i="1"/>
  <c r="J126" i="1"/>
  <c r="M126" i="1"/>
  <c r="P126" i="1"/>
  <c r="S126" i="1"/>
  <c r="V126" i="1"/>
  <c r="Y126" i="1"/>
  <c r="AH126" i="1"/>
  <c r="G127" i="1"/>
  <c r="J127" i="1"/>
  <c r="M127" i="1"/>
  <c r="P127" i="1"/>
  <c r="S127" i="1"/>
  <c r="V127" i="1"/>
  <c r="Y127" i="1"/>
  <c r="AH127" i="1"/>
  <c r="G128" i="1"/>
  <c r="J128" i="1"/>
  <c r="M128" i="1"/>
  <c r="P128" i="1"/>
  <c r="S128" i="1"/>
  <c r="V128" i="1"/>
  <c r="Y128" i="1"/>
  <c r="AH128" i="1"/>
  <c r="G129" i="1"/>
  <c r="J129" i="1"/>
  <c r="M129" i="1"/>
  <c r="P129" i="1"/>
  <c r="S129" i="1"/>
  <c r="V129" i="1"/>
  <c r="Y129" i="1"/>
  <c r="AH129" i="1"/>
  <c r="G130" i="1"/>
  <c r="J130" i="1"/>
  <c r="M130" i="1"/>
  <c r="P130" i="1"/>
  <c r="S130" i="1"/>
  <c r="V130" i="1"/>
  <c r="Y130" i="1"/>
  <c r="AH130" i="1"/>
  <c r="G131" i="1"/>
  <c r="J131" i="1"/>
  <c r="M131" i="1"/>
  <c r="P131" i="1"/>
  <c r="S131" i="1"/>
  <c r="V131" i="1"/>
  <c r="Y131" i="1"/>
  <c r="AH131" i="1"/>
  <c r="G132" i="1"/>
  <c r="J132" i="1"/>
  <c r="M132" i="1"/>
  <c r="P132" i="1"/>
  <c r="S132" i="1"/>
  <c r="V132" i="1"/>
  <c r="Y132" i="1"/>
  <c r="AH132" i="1"/>
  <c r="G133" i="1"/>
  <c r="J133" i="1"/>
  <c r="M133" i="1"/>
  <c r="P133" i="1"/>
  <c r="S133" i="1"/>
  <c r="V133" i="1"/>
  <c r="Y133" i="1"/>
  <c r="AH133" i="1"/>
  <c r="G134" i="1"/>
  <c r="J134" i="1"/>
  <c r="M134" i="1"/>
  <c r="P134" i="1"/>
  <c r="S134" i="1"/>
  <c r="V134" i="1"/>
  <c r="Y134" i="1"/>
  <c r="AH134" i="1"/>
  <c r="G135" i="1"/>
  <c r="J135" i="1"/>
  <c r="M135" i="1"/>
  <c r="P135" i="1"/>
  <c r="S135" i="1"/>
  <c r="V135" i="1"/>
  <c r="Y135" i="1"/>
  <c r="AH135" i="1"/>
  <c r="G136" i="1"/>
  <c r="J136" i="1"/>
  <c r="M136" i="1"/>
  <c r="P136" i="1"/>
  <c r="S136" i="1"/>
  <c r="V136" i="1"/>
  <c r="Y136" i="1"/>
  <c r="AH136" i="1"/>
  <c r="G137" i="1"/>
  <c r="J137" i="1"/>
  <c r="M137" i="1"/>
  <c r="P137" i="1"/>
  <c r="S137" i="1"/>
  <c r="V137" i="1"/>
  <c r="Y137" i="1"/>
  <c r="AH137" i="1"/>
  <c r="G138" i="1"/>
  <c r="J138" i="1"/>
  <c r="M138" i="1"/>
  <c r="P138" i="1"/>
  <c r="S138" i="1"/>
  <c r="V138" i="1"/>
  <c r="Y138" i="1"/>
  <c r="AH138" i="1"/>
  <c r="G139" i="1"/>
  <c r="J139" i="1"/>
  <c r="M139" i="1"/>
  <c r="P139" i="1"/>
  <c r="S139" i="1"/>
  <c r="V139" i="1"/>
  <c r="Y139" i="1"/>
  <c r="AH139" i="1"/>
  <c r="G140" i="1"/>
  <c r="J140" i="1"/>
  <c r="M140" i="1"/>
  <c r="P140" i="1"/>
  <c r="S140" i="1"/>
  <c r="V140" i="1"/>
  <c r="Y140" i="1"/>
  <c r="AH140" i="1"/>
  <c r="G141" i="1"/>
  <c r="J141" i="1"/>
  <c r="M141" i="1"/>
  <c r="P141" i="1"/>
  <c r="S141" i="1"/>
  <c r="V141" i="1"/>
  <c r="Y141" i="1"/>
  <c r="AH141" i="1"/>
  <c r="G142" i="1"/>
  <c r="J142" i="1"/>
  <c r="M142" i="1"/>
  <c r="P142" i="1"/>
  <c r="S142" i="1"/>
  <c r="V142" i="1"/>
  <c r="Y142" i="1"/>
  <c r="AH142" i="1"/>
  <c r="G143" i="1"/>
  <c r="J143" i="1"/>
  <c r="M143" i="1"/>
  <c r="P143" i="1"/>
  <c r="S143" i="1"/>
  <c r="V143" i="1"/>
  <c r="Y143" i="1"/>
  <c r="AH143" i="1"/>
  <c r="G144" i="1"/>
  <c r="J144" i="1"/>
  <c r="M144" i="1"/>
  <c r="P144" i="1"/>
  <c r="S144" i="1"/>
  <c r="V144" i="1"/>
  <c r="Y144" i="1"/>
  <c r="AH144" i="1"/>
  <c r="G145" i="1"/>
  <c r="J145" i="1"/>
  <c r="M145" i="1"/>
  <c r="P145" i="1"/>
  <c r="S145" i="1"/>
  <c r="V145" i="1"/>
  <c r="Y145" i="1"/>
  <c r="AH145" i="1"/>
  <c r="G146" i="1"/>
  <c r="J146" i="1"/>
  <c r="M146" i="1"/>
  <c r="P146" i="1"/>
  <c r="S146" i="1"/>
  <c r="V146" i="1"/>
  <c r="Y146" i="1"/>
  <c r="AH146" i="1"/>
  <c r="G147" i="1"/>
  <c r="J147" i="1"/>
  <c r="M147" i="1"/>
  <c r="P147" i="1"/>
  <c r="S147" i="1"/>
  <c r="V147" i="1"/>
  <c r="Y147" i="1"/>
  <c r="AH147" i="1"/>
  <c r="G148" i="1"/>
  <c r="J148" i="1"/>
  <c r="M148" i="1"/>
  <c r="P148" i="1"/>
  <c r="S148" i="1"/>
  <c r="V148" i="1"/>
  <c r="Y148" i="1"/>
  <c r="AH148" i="1"/>
  <c r="G149" i="1"/>
  <c r="J149" i="1"/>
  <c r="M149" i="1"/>
  <c r="P149" i="1"/>
  <c r="S149" i="1"/>
  <c r="V149" i="1"/>
  <c r="Y149" i="1"/>
  <c r="AH149" i="1"/>
  <c r="G150" i="1"/>
  <c r="J150" i="1"/>
  <c r="M150" i="1"/>
  <c r="P150" i="1"/>
  <c r="S150" i="1"/>
  <c r="V150" i="1"/>
  <c r="Y150" i="1"/>
  <c r="AH150" i="1"/>
  <c r="G151" i="1"/>
  <c r="J151" i="1"/>
  <c r="M151" i="1"/>
  <c r="P151" i="1"/>
  <c r="S151" i="1"/>
  <c r="V151" i="1"/>
  <c r="Y151" i="1"/>
  <c r="AH151" i="1"/>
  <c r="G152" i="1"/>
  <c r="J152" i="1"/>
  <c r="M152" i="1"/>
  <c r="P152" i="1"/>
  <c r="S152" i="1"/>
  <c r="V152" i="1"/>
  <c r="Y152" i="1"/>
  <c r="AH152" i="1"/>
  <c r="G153" i="1"/>
  <c r="J153" i="1"/>
  <c r="M153" i="1"/>
  <c r="P153" i="1"/>
  <c r="S153" i="1"/>
  <c r="V153" i="1"/>
  <c r="Y153" i="1"/>
  <c r="AH153" i="1"/>
  <c r="G154" i="1"/>
  <c r="J154" i="1"/>
  <c r="M154" i="1"/>
  <c r="P154" i="1"/>
  <c r="S154" i="1"/>
  <c r="V154" i="1"/>
  <c r="Y154" i="1"/>
  <c r="AH154" i="1"/>
  <c r="G155" i="1"/>
  <c r="J155" i="1"/>
  <c r="M155" i="1"/>
  <c r="P155" i="1"/>
  <c r="S155" i="1"/>
  <c r="V155" i="1"/>
  <c r="Y155" i="1"/>
  <c r="AH155" i="1"/>
  <c r="G156" i="1"/>
  <c r="J156" i="1"/>
  <c r="M156" i="1"/>
  <c r="P156" i="1"/>
  <c r="S156" i="1"/>
  <c r="V156" i="1"/>
  <c r="Y156" i="1"/>
  <c r="AH156" i="1"/>
  <c r="G157" i="1"/>
  <c r="J157" i="1"/>
  <c r="M157" i="1"/>
  <c r="P157" i="1"/>
  <c r="S157" i="1"/>
  <c r="V157" i="1"/>
  <c r="Y157" i="1"/>
  <c r="AH157" i="1"/>
  <c r="G158" i="1"/>
  <c r="J158" i="1"/>
  <c r="M158" i="1"/>
  <c r="P158" i="1"/>
  <c r="S158" i="1"/>
  <c r="V158" i="1"/>
  <c r="Y158" i="1"/>
  <c r="AH158" i="1"/>
  <c r="G159" i="1"/>
  <c r="J159" i="1"/>
  <c r="M159" i="1"/>
  <c r="P159" i="1"/>
  <c r="S159" i="1"/>
  <c r="V159" i="1"/>
  <c r="Y159" i="1"/>
  <c r="AH159" i="1"/>
  <c r="G160" i="1"/>
  <c r="J160" i="1"/>
  <c r="M160" i="1"/>
  <c r="P160" i="1"/>
  <c r="S160" i="1"/>
  <c r="V160" i="1"/>
  <c r="Y160" i="1"/>
  <c r="AH160" i="1"/>
  <c r="G161" i="1"/>
  <c r="J161" i="1"/>
  <c r="M161" i="1"/>
  <c r="P161" i="1"/>
  <c r="S161" i="1"/>
  <c r="V161" i="1"/>
  <c r="Y161" i="1"/>
  <c r="AH161" i="1"/>
  <c r="G162" i="1"/>
  <c r="J162" i="1"/>
  <c r="M162" i="1"/>
  <c r="P162" i="1"/>
  <c r="S162" i="1"/>
  <c r="V162" i="1"/>
  <c r="Y162" i="1"/>
  <c r="AH162" i="1"/>
  <c r="G163" i="1"/>
  <c r="J163" i="1"/>
  <c r="M163" i="1"/>
  <c r="P163" i="1"/>
  <c r="S163" i="1"/>
  <c r="V163" i="1"/>
  <c r="Y163" i="1"/>
  <c r="AH163" i="1"/>
  <c r="G164" i="1"/>
  <c r="J164" i="1"/>
  <c r="M164" i="1"/>
  <c r="P164" i="1"/>
  <c r="S164" i="1"/>
  <c r="V164" i="1"/>
  <c r="Y164" i="1"/>
  <c r="AH164" i="1"/>
  <c r="G165" i="1"/>
  <c r="J165" i="1"/>
  <c r="M165" i="1"/>
  <c r="P165" i="1"/>
  <c r="S165" i="1"/>
  <c r="V165" i="1"/>
  <c r="Y165" i="1"/>
  <c r="AH165" i="1"/>
  <c r="G166" i="1"/>
  <c r="J166" i="1"/>
  <c r="M166" i="1"/>
  <c r="P166" i="1"/>
  <c r="S166" i="1"/>
  <c r="V166" i="1"/>
  <c r="Y166" i="1"/>
  <c r="AH166" i="1"/>
  <c r="G167" i="1"/>
  <c r="J167" i="1"/>
  <c r="M167" i="1"/>
  <c r="P167" i="1"/>
  <c r="S167" i="1"/>
  <c r="V167" i="1"/>
  <c r="Y167" i="1"/>
  <c r="AH167" i="1"/>
  <c r="G168" i="1"/>
  <c r="J168" i="1"/>
  <c r="M168" i="1"/>
  <c r="P168" i="1"/>
  <c r="S168" i="1"/>
  <c r="V168" i="1"/>
  <c r="Y168" i="1"/>
  <c r="AH168" i="1"/>
  <c r="G169" i="1"/>
  <c r="J169" i="1"/>
  <c r="M169" i="1"/>
  <c r="P169" i="1"/>
  <c r="S169" i="1"/>
  <c r="V169" i="1"/>
  <c r="Y169" i="1"/>
  <c r="AH169" i="1"/>
  <c r="G170" i="1"/>
  <c r="J170" i="1"/>
  <c r="M170" i="1"/>
  <c r="P170" i="1"/>
  <c r="S170" i="1"/>
  <c r="V170" i="1"/>
  <c r="Y170" i="1"/>
  <c r="AH170" i="1"/>
  <c r="G171" i="1"/>
  <c r="J171" i="1"/>
  <c r="M171" i="1"/>
  <c r="P171" i="1"/>
  <c r="S171" i="1"/>
  <c r="V171" i="1"/>
  <c r="Y171" i="1"/>
  <c r="AH171" i="1"/>
  <c r="G172" i="1"/>
  <c r="J172" i="1"/>
  <c r="M172" i="1"/>
  <c r="P172" i="1"/>
  <c r="S172" i="1"/>
  <c r="V172" i="1"/>
  <c r="Y172" i="1"/>
  <c r="AH172" i="1"/>
  <c r="G173" i="1"/>
  <c r="J173" i="1"/>
  <c r="M173" i="1"/>
  <c r="P173" i="1"/>
  <c r="S173" i="1"/>
  <c r="V173" i="1"/>
  <c r="Y173" i="1"/>
  <c r="AH173" i="1"/>
  <c r="G174" i="1"/>
  <c r="J174" i="1"/>
  <c r="M174" i="1"/>
  <c r="P174" i="1"/>
  <c r="S174" i="1"/>
  <c r="V174" i="1"/>
  <c r="Y174" i="1"/>
  <c r="AH174" i="1"/>
  <c r="G175" i="1"/>
  <c r="J175" i="1"/>
  <c r="M175" i="1"/>
  <c r="P175" i="1"/>
  <c r="S175" i="1"/>
  <c r="V175" i="1"/>
  <c r="Y175" i="1"/>
  <c r="AH175" i="1"/>
  <c r="G176" i="1"/>
  <c r="J176" i="1"/>
  <c r="M176" i="1"/>
  <c r="P176" i="1"/>
  <c r="S176" i="1"/>
  <c r="V176" i="1"/>
  <c r="Y176" i="1"/>
  <c r="AH176" i="1"/>
  <c r="G177" i="1"/>
  <c r="J177" i="1"/>
  <c r="M177" i="1"/>
  <c r="P177" i="1"/>
  <c r="S177" i="1"/>
  <c r="V177" i="1"/>
  <c r="Y177" i="1"/>
  <c r="AH177" i="1"/>
  <c r="G178" i="1"/>
  <c r="J178" i="1"/>
  <c r="M178" i="1"/>
  <c r="P178" i="1"/>
  <c r="S178" i="1"/>
  <c r="V178" i="1"/>
  <c r="Y178" i="1"/>
  <c r="AH178" i="1"/>
  <c r="G179" i="1"/>
  <c r="J179" i="1"/>
  <c r="M179" i="1"/>
  <c r="P179" i="1"/>
  <c r="S179" i="1"/>
  <c r="V179" i="1"/>
  <c r="Y179" i="1"/>
  <c r="AH179" i="1"/>
  <c r="G180" i="1"/>
  <c r="J180" i="1"/>
  <c r="M180" i="1"/>
  <c r="P180" i="1"/>
  <c r="S180" i="1"/>
  <c r="V180" i="1"/>
  <c r="Y180" i="1"/>
  <c r="AH180" i="1"/>
  <c r="G181" i="1"/>
  <c r="J181" i="1"/>
  <c r="M181" i="1"/>
  <c r="P181" i="1"/>
  <c r="S181" i="1"/>
  <c r="V181" i="1"/>
  <c r="Y181" i="1"/>
  <c r="AH181" i="1"/>
  <c r="G182" i="1"/>
  <c r="J182" i="1"/>
  <c r="M182" i="1"/>
  <c r="P182" i="1"/>
  <c r="S182" i="1"/>
  <c r="V182" i="1"/>
  <c r="Y182" i="1"/>
  <c r="AH182" i="1"/>
  <c r="G183" i="1"/>
  <c r="J183" i="1"/>
  <c r="M183" i="1"/>
  <c r="P183" i="1"/>
  <c r="S183" i="1"/>
  <c r="V183" i="1"/>
  <c r="Y183" i="1"/>
  <c r="AH183" i="1"/>
  <c r="G184" i="1"/>
  <c r="J184" i="1"/>
  <c r="M184" i="1"/>
  <c r="P184" i="1"/>
  <c r="S184" i="1"/>
  <c r="V184" i="1"/>
  <c r="Y184" i="1"/>
  <c r="AH184" i="1"/>
  <c r="G185" i="1"/>
  <c r="J185" i="1"/>
  <c r="M185" i="1"/>
  <c r="P185" i="1"/>
  <c r="S185" i="1"/>
  <c r="V185" i="1"/>
  <c r="Y185" i="1"/>
  <c r="AH185" i="1"/>
  <c r="G186" i="1"/>
  <c r="J186" i="1"/>
  <c r="M186" i="1"/>
  <c r="P186" i="1"/>
  <c r="S186" i="1"/>
  <c r="V186" i="1"/>
  <c r="Y186" i="1"/>
  <c r="AH186" i="1"/>
  <c r="G187" i="1"/>
  <c r="J187" i="1"/>
  <c r="M187" i="1"/>
  <c r="P187" i="1"/>
  <c r="S187" i="1"/>
  <c r="V187" i="1"/>
  <c r="Y187" i="1"/>
  <c r="AH187" i="1"/>
  <c r="G188" i="1"/>
  <c r="J188" i="1"/>
  <c r="M188" i="1"/>
  <c r="P188" i="1"/>
  <c r="S188" i="1"/>
  <c r="V188" i="1"/>
  <c r="Y188" i="1"/>
  <c r="AH188" i="1"/>
  <c r="G189" i="1"/>
  <c r="J189" i="1"/>
  <c r="M189" i="1"/>
  <c r="P189" i="1"/>
  <c r="S189" i="1"/>
  <c r="V189" i="1"/>
  <c r="Y189" i="1"/>
  <c r="AH189" i="1"/>
  <c r="G190" i="1"/>
  <c r="J190" i="1"/>
  <c r="M190" i="1"/>
  <c r="P190" i="1"/>
  <c r="S190" i="1"/>
  <c r="V190" i="1"/>
  <c r="Y190" i="1"/>
  <c r="AH190" i="1"/>
  <c r="G191" i="1"/>
  <c r="J191" i="1"/>
  <c r="M191" i="1"/>
  <c r="P191" i="1"/>
  <c r="S191" i="1"/>
  <c r="V191" i="1"/>
  <c r="Y191" i="1"/>
  <c r="AH191" i="1"/>
  <c r="G192" i="1"/>
  <c r="J192" i="1"/>
  <c r="M192" i="1"/>
  <c r="P192" i="1"/>
  <c r="S192" i="1"/>
  <c r="V192" i="1"/>
  <c r="Y192" i="1"/>
  <c r="AH192" i="1"/>
  <c r="G193" i="1"/>
  <c r="J193" i="1"/>
  <c r="M193" i="1"/>
  <c r="P193" i="1"/>
  <c r="S193" i="1"/>
  <c r="V193" i="1"/>
  <c r="Y193" i="1"/>
  <c r="AH193" i="1"/>
  <c r="G194" i="1"/>
  <c r="J194" i="1"/>
  <c r="M194" i="1"/>
  <c r="P194" i="1"/>
  <c r="S194" i="1"/>
  <c r="V194" i="1"/>
  <c r="Y194" i="1"/>
  <c r="AH194" i="1"/>
  <c r="G195" i="1"/>
  <c r="J195" i="1"/>
  <c r="M195" i="1"/>
  <c r="P195" i="1"/>
  <c r="S195" i="1"/>
  <c r="V195" i="1"/>
  <c r="Y195" i="1"/>
  <c r="AH195" i="1"/>
  <c r="G196" i="1"/>
  <c r="J196" i="1"/>
  <c r="M196" i="1"/>
  <c r="P196" i="1"/>
  <c r="S196" i="1"/>
  <c r="V196" i="1"/>
  <c r="Y196" i="1"/>
  <c r="AH196" i="1"/>
  <c r="G197" i="1"/>
  <c r="J197" i="1"/>
  <c r="M197" i="1"/>
  <c r="P197" i="1"/>
  <c r="S197" i="1"/>
  <c r="V197" i="1"/>
  <c r="Y197" i="1"/>
  <c r="AH197" i="1"/>
  <c r="G198" i="1"/>
  <c r="J198" i="1"/>
  <c r="M198" i="1"/>
  <c r="P198" i="1"/>
  <c r="S198" i="1"/>
  <c r="V198" i="1"/>
  <c r="Y198" i="1"/>
  <c r="AH198" i="1"/>
  <c r="G199" i="1"/>
  <c r="J199" i="1"/>
  <c r="M199" i="1"/>
  <c r="P199" i="1"/>
  <c r="S199" i="1"/>
  <c r="V199" i="1"/>
  <c r="Y199" i="1"/>
  <c r="AH199" i="1"/>
  <c r="G200" i="1"/>
  <c r="J200" i="1"/>
  <c r="M200" i="1"/>
  <c r="P200" i="1"/>
  <c r="S200" i="1"/>
  <c r="V200" i="1"/>
  <c r="Y200" i="1"/>
  <c r="AB200" i="1"/>
  <c r="AH200" i="1"/>
  <c r="G201" i="1"/>
  <c r="J201" i="1"/>
  <c r="M201" i="1"/>
  <c r="P201" i="1"/>
  <c r="S201" i="1"/>
  <c r="V201" i="1"/>
  <c r="Y201" i="1"/>
  <c r="AB201" i="1"/>
  <c r="AH201" i="1"/>
  <c r="G202" i="1"/>
  <c r="J202" i="1"/>
  <c r="M202" i="1"/>
  <c r="P202" i="1"/>
  <c r="S202" i="1"/>
  <c r="V202" i="1"/>
  <c r="Y202" i="1"/>
  <c r="AB202" i="1"/>
  <c r="AH202" i="1"/>
  <c r="G203" i="1"/>
  <c r="J203" i="1"/>
  <c r="M203" i="1"/>
  <c r="P203" i="1"/>
  <c r="S203" i="1"/>
  <c r="V203" i="1"/>
  <c r="Y203" i="1"/>
  <c r="AB203" i="1"/>
  <c r="AH203" i="1"/>
  <c r="G204" i="1"/>
  <c r="J204" i="1"/>
  <c r="M204" i="1"/>
  <c r="P204" i="1"/>
  <c r="S204" i="1"/>
  <c r="V204" i="1"/>
  <c r="Y204" i="1"/>
  <c r="AB204" i="1"/>
  <c r="AH204" i="1"/>
  <c r="G205" i="1"/>
  <c r="J205" i="1"/>
  <c r="M205" i="1"/>
  <c r="P205" i="1"/>
  <c r="S205" i="1"/>
  <c r="V205" i="1"/>
  <c r="Y205" i="1"/>
  <c r="AB205" i="1"/>
  <c r="AH205" i="1"/>
  <c r="G206" i="1"/>
  <c r="J206" i="1"/>
  <c r="M206" i="1"/>
  <c r="P206" i="1"/>
  <c r="S206" i="1"/>
  <c r="V206" i="1"/>
  <c r="Y206" i="1"/>
  <c r="AB206" i="1"/>
  <c r="AH206" i="1"/>
  <c r="G207" i="1"/>
  <c r="J207" i="1"/>
  <c r="M207" i="1"/>
  <c r="P207" i="1"/>
  <c r="S207" i="1"/>
  <c r="V207" i="1"/>
  <c r="Y207" i="1"/>
  <c r="AB207" i="1"/>
  <c r="AH207" i="1"/>
  <c r="G208" i="1"/>
  <c r="J208" i="1"/>
  <c r="M208" i="1"/>
  <c r="P208" i="1"/>
  <c r="S208" i="1"/>
  <c r="V208" i="1"/>
  <c r="Y208" i="1"/>
  <c r="AB208" i="1"/>
  <c r="AH208" i="1"/>
  <c r="G209" i="1"/>
  <c r="J209" i="1"/>
  <c r="M209" i="1"/>
  <c r="P209" i="1"/>
  <c r="S209" i="1"/>
  <c r="V209" i="1"/>
  <c r="Y209" i="1"/>
  <c r="AB209" i="1"/>
  <c r="AH209" i="1"/>
  <c r="G210" i="1"/>
  <c r="J210" i="1"/>
  <c r="M210" i="1"/>
  <c r="P210" i="1"/>
  <c r="S210" i="1"/>
  <c r="V210" i="1"/>
  <c r="Y210" i="1"/>
  <c r="AB210" i="1"/>
  <c r="AH210" i="1"/>
  <c r="G211" i="1"/>
  <c r="J211" i="1"/>
  <c r="M211" i="1"/>
  <c r="P211" i="1"/>
  <c r="S211" i="1"/>
  <c r="V211" i="1"/>
  <c r="Y211" i="1"/>
  <c r="AB211" i="1"/>
  <c r="AH211" i="1"/>
  <c r="G212" i="1"/>
  <c r="J212" i="1"/>
  <c r="M212" i="1"/>
  <c r="P212" i="1"/>
  <c r="S212" i="1"/>
  <c r="V212" i="1"/>
  <c r="Y212" i="1"/>
  <c r="AB212" i="1"/>
  <c r="AH212" i="1"/>
  <c r="G213" i="1"/>
  <c r="J213" i="1"/>
  <c r="M213" i="1"/>
  <c r="P213" i="1"/>
  <c r="S213" i="1"/>
  <c r="V213" i="1"/>
  <c r="Y213" i="1"/>
  <c r="AB213" i="1"/>
  <c r="AH213" i="1"/>
  <c r="G214" i="1"/>
  <c r="J214" i="1"/>
  <c r="M214" i="1"/>
  <c r="P214" i="1"/>
  <c r="S214" i="1"/>
  <c r="V214" i="1"/>
  <c r="Y214" i="1"/>
  <c r="AB214" i="1"/>
  <c r="AH214" i="1"/>
  <c r="G215" i="1"/>
  <c r="J215" i="1"/>
  <c r="M215" i="1"/>
  <c r="P215" i="1"/>
  <c r="S215" i="1"/>
  <c r="V215" i="1"/>
  <c r="Y215" i="1"/>
  <c r="AB215" i="1"/>
  <c r="AH215" i="1"/>
  <c r="G216" i="1"/>
  <c r="J216" i="1"/>
  <c r="M216" i="1"/>
  <c r="P216" i="1"/>
  <c r="S216" i="1"/>
  <c r="V216" i="1"/>
  <c r="Y216" i="1"/>
  <c r="AB216" i="1"/>
  <c r="AH216" i="1"/>
  <c r="G217" i="1"/>
  <c r="J217" i="1"/>
  <c r="M217" i="1"/>
  <c r="P217" i="1"/>
  <c r="S217" i="1"/>
  <c r="V217" i="1"/>
  <c r="Y217" i="1"/>
  <c r="AB217" i="1"/>
  <c r="AH217" i="1"/>
  <c r="G218" i="1"/>
  <c r="J218" i="1"/>
  <c r="M218" i="1"/>
  <c r="P218" i="1"/>
  <c r="S218" i="1"/>
  <c r="V218" i="1"/>
  <c r="Y218" i="1"/>
  <c r="AB218" i="1"/>
  <c r="AH218" i="1"/>
  <c r="G219" i="1"/>
  <c r="J219" i="1"/>
  <c r="M219" i="1"/>
  <c r="P219" i="1"/>
  <c r="S219" i="1"/>
  <c r="V219" i="1"/>
  <c r="Y219" i="1"/>
  <c r="AB219" i="1"/>
  <c r="AH219" i="1"/>
  <c r="G220" i="1"/>
  <c r="J220" i="1"/>
  <c r="M220" i="1"/>
  <c r="P220" i="1"/>
  <c r="S220" i="1"/>
  <c r="V220" i="1"/>
  <c r="Y220" i="1"/>
  <c r="AB220" i="1"/>
  <c r="AH220" i="1"/>
  <c r="G221" i="1"/>
  <c r="J221" i="1"/>
  <c r="M221" i="1"/>
  <c r="P221" i="1"/>
  <c r="S221" i="1"/>
  <c r="V221" i="1"/>
  <c r="Y221" i="1"/>
  <c r="AB221" i="1"/>
  <c r="AH221" i="1"/>
  <c r="G222" i="1"/>
  <c r="J222" i="1"/>
  <c r="M222" i="1"/>
  <c r="P222" i="1"/>
  <c r="S222" i="1"/>
  <c r="V222" i="1"/>
  <c r="Y222" i="1"/>
  <c r="AB222" i="1"/>
  <c r="AH222" i="1"/>
  <c r="G223" i="1"/>
  <c r="J223" i="1"/>
  <c r="M223" i="1"/>
  <c r="P223" i="1"/>
  <c r="S223" i="1"/>
  <c r="V223" i="1"/>
  <c r="Y223" i="1"/>
  <c r="AB223" i="1"/>
  <c r="AH223" i="1"/>
  <c r="G224" i="1"/>
  <c r="J224" i="1"/>
  <c r="M224" i="1"/>
  <c r="P224" i="1"/>
  <c r="S224" i="1"/>
  <c r="V224" i="1"/>
  <c r="Y224" i="1"/>
  <c r="AB224" i="1"/>
  <c r="AH224" i="1"/>
  <c r="G225" i="1"/>
  <c r="J225" i="1"/>
  <c r="M225" i="1"/>
  <c r="P225" i="1"/>
  <c r="S225" i="1"/>
  <c r="V225" i="1"/>
  <c r="Y225" i="1"/>
  <c r="AB225" i="1"/>
  <c r="AH225" i="1"/>
  <c r="G226" i="1"/>
  <c r="J226" i="1"/>
  <c r="M226" i="1"/>
  <c r="P226" i="1"/>
  <c r="S226" i="1"/>
  <c r="V226" i="1"/>
  <c r="Y226" i="1"/>
  <c r="AB226" i="1"/>
  <c r="AH226" i="1"/>
  <c r="G227" i="1"/>
  <c r="J227" i="1"/>
  <c r="M227" i="1"/>
  <c r="P227" i="1"/>
  <c r="S227" i="1"/>
  <c r="V227" i="1"/>
  <c r="Y227" i="1"/>
  <c r="AB227" i="1"/>
  <c r="AH227" i="1"/>
  <c r="G228" i="1"/>
  <c r="J228" i="1"/>
  <c r="M228" i="1"/>
  <c r="P228" i="1"/>
  <c r="S228" i="1"/>
  <c r="V228" i="1"/>
  <c r="Y228" i="1"/>
  <c r="AB228" i="1"/>
  <c r="AH228" i="1"/>
  <c r="G229" i="1"/>
  <c r="J229" i="1"/>
  <c r="M229" i="1"/>
  <c r="P229" i="1"/>
  <c r="S229" i="1"/>
  <c r="V229" i="1"/>
  <c r="Y229" i="1"/>
  <c r="AB229" i="1"/>
  <c r="AH229" i="1"/>
  <c r="G230" i="1"/>
  <c r="J230" i="1"/>
  <c r="M230" i="1"/>
  <c r="P230" i="1"/>
  <c r="S230" i="1"/>
  <c r="V230" i="1"/>
  <c r="Y230" i="1"/>
  <c r="AB230" i="1"/>
  <c r="AH230" i="1"/>
  <c r="G231" i="1"/>
  <c r="J231" i="1"/>
  <c r="M231" i="1"/>
  <c r="P231" i="1"/>
  <c r="S231" i="1"/>
  <c r="V231" i="1"/>
  <c r="Y231" i="1"/>
  <c r="AB231" i="1"/>
  <c r="AH231" i="1"/>
  <c r="G232" i="1"/>
  <c r="J232" i="1"/>
  <c r="M232" i="1"/>
  <c r="P232" i="1"/>
  <c r="S232" i="1"/>
  <c r="V232" i="1"/>
  <c r="Y232" i="1"/>
  <c r="AB232" i="1"/>
  <c r="AH232" i="1"/>
  <c r="G233" i="1"/>
  <c r="J233" i="1"/>
  <c r="M233" i="1"/>
  <c r="P233" i="1"/>
  <c r="S233" i="1"/>
  <c r="V233" i="1"/>
  <c r="Y233" i="1"/>
  <c r="AB233" i="1"/>
  <c r="AH233" i="1"/>
  <c r="G234" i="1"/>
  <c r="J234" i="1"/>
  <c r="M234" i="1"/>
  <c r="P234" i="1"/>
  <c r="S234" i="1"/>
  <c r="V234" i="1"/>
  <c r="Y234" i="1"/>
  <c r="AB234" i="1"/>
  <c r="AH234" i="1"/>
  <c r="G235" i="1"/>
  <c r="J235" i="1"/>
  <c r="M235" i="1"/>
  <c r="P235" i="1"/>
  <c r="S235" i="1"/>
  <c r="V235" i="1"/>
  <c r="Y235" i="1"/>
  <c r="AB235" i="1"/>
  <c r="AH235" i="1"/>
  <c r="G236" i="1"/>
  <c r="J236" i="1"/>
  <c r="M236" i="1"/>
  <c r="P236" i="1"/>
  <c r="S236" i="1"/>
  <c r="V236" i="1"/>
  <c r="Y236" i="1"/>
  <c r="AB236" i="1"/>
  <c r="AH236" i="1"/>
  <c r="G237" i="1"/>
  <c r="J237" i="1"/>
  <c r="M237" i="1"/>
  <c r="P237" i="1"/>
  <c r="S237" i="1"/>
  <c r="V237" i="1"/>
  <c r="Y237" i="1"/>
  <c r="AB237" i="1"/>
  <c r="AH237" i="1"/>
  <c r="G238" i="1"/>
  <c r="J238" i="1"/>
  <c r="M238" i="1"/>
  <c r="P238" i="1"/>
  <c r="S238" i="1"/>
  <c r="V238" i="1"/>
  <c r="Y238" i="1"/>
  <c r="AB238" i="1"/>
  <c r="AH238" i="1"/>
  <c r="G239" i="1"/>
  <c r="J239" i="1"/>
  <c r="M239" i="1"/>
  <c r="P239" i="1"/>
  <c r="S239" i="1"/>
  <c r="V239" i="1"/>
  <c r="Y239" i="1"/>
  <c r="AB239" i="1"/>
  <c r="AH239" i="1"/>
  <c r="G240" i="1"/>
  <c r="J240" i="1"/>
  <c r="M240" i="1"/>
  <c r="P240" i="1"/>
  <c r="S240" i="1"/>
  <c r="V240" i="1"/>
  <c r="Y240" i="1"/>
  <c r="AB240" i="1"/>
  <c r="AH240" i="1"/>
  <c r="G241" i="1"/>
  <c r="J241" i="1"/>
  <c r="M241" i="1"/>
  <c r="P241" i="1"/>
  <c r="S241" i="1"/>
  <c r="V241" i="1"/>
  <c r="Y241" i="1"/>
  <c r="AB241" i="1"/>
  <c r="AH241" i="1"/>
  <c r="G242" i="1"/>
  <c r="J242" i="1"/>
  <c r="M242" i="1"/>
  <c r="P242" i="1"/>
  <c r="S242" i="1"/>
  <c r="V242" i="1"/>
  <c r="Y242" i="1"/>
  <c r="AB242" i="1"/>
  <c r="AH242" i="1"/>
  <c r="G243" i="1"/>
  <c r="J243" i="1"/>
  <c r="M243" i="1"/>
  <c r="P243" i="1"/>
  <c r="S243" i="1"/>
  <c r="V243" i="1"/>
  <c r="Y243" i="1"/>
  <c r="AB243" i="1"/>
  <c r="AH243" i="1"/>
  <c r="G244" i="1"/>
  <c r="J244" i="1"/>
  <c r="M244" i="1"/>
  <c r="P244" i="1"/>
  <c r="S244" i="1"/>
  <c r="V244" i="1"/>
  <c r="Y244" i="1"/>
  <c r="AB244" i="1"/>
  <c r="AH244" i="1"/>
  <c r="G245" i="1"/>
  <c r="J245" i="1"/>
  <c r="M245" i="1"/>
  <c r="P245" i="1"/>
  <c r="S245" i="1"/>
  <c r="V245" i="1"/>
  <c r="Y245" i="1"/>
  <c r="AB245" i="1"/>
  <c r="AH245" i="1"/>
  <c r="G246" i="1"/>
  <c r="J246" i="1"/>
  <c r="M246" i="1"/>
  <c r="P246" i="1"/>
  <c r="S246" i="1"/>
  <c r="V246" i="1"/>
  <c r="Y246" i="1"/>
  <c r="AB246" i="1"/>
  <c r="AH246" i="1"/>
  <c r="G247" i="1"/>
  <c r="J247" i="1"/>
  <c r="M247" i="1"/>
  <c r="P247" i="1"/>
  <c r="S247" i="1"/>
  <c r="V247" i="1"/>
  <c r="Y247" i="1"/>
  <c r="AB247" i="1"/>
  <c r="AH247" i="1"/>
  <c r="G248" i="1"/>
  <c r="J248" i="1"/>
  <c r="M248" i="1"/>
  <c r="P248" i="1"/>
  <c r="S248" i="1"/>
  <c r="V248" i="1"/>
  <c r="Y248" i="1"/>
  <c r="AB248" i="1"/>
  <c r="AH248" i="1"/>
  <c r="G249" i="1"/>
  <c r="J249" i="1"/>
  <c r="M249" i="1"/>
  <c r="P249" i="1"/>
  <c r="S249" i="1"/>
  <c r="V249" i="1"/>
  <c r="Y249" i="1"/>
  <c r="AB249" i="1"/>
  <c r="AH249" i="1"/>
  <c r="G250" i="1"/>
  <c r="J250" i="1"/>
  <c r="M250" i="1"/>
  <c r="P250" i="1"/>
  <c r="S250" i="1"/>
  <c r="V250" i="1"/>
  <c r="Y250" i="1"/>
  <c r="AB250" i="1"/>
  <c r="AH250" i="1"/>
  <c r="G251" i="1"/>
  <c r="J251" i="1"/>
  <c r="M251" i="1"/>
  <c r="P251" i="1"/>
  <c r="S251" i="1"/>
  <c r="V251" i="1"/>
  <c r="Y251" i="1"/>
  <c r="AB251" i="1"/>
  <c r="AH251" i="1"/>
  <c r="G252" i="1"/>
  <c r="J252" i="1"/>
  <c r="M252" i="1"/>
  <c r="P252" i="1"/>
  <c r="S252" i="1"/>
  <c r="V252" i="1"/>
  <c r="Y252" i="1"/>
  <c r="AB252" i="1"/>
  <c r="AH252" i="1"/>
  <c r="G253" i="1"/>
  <c r="J253" i="1"/>
  <c r="M253" i="1"/>
  <c r="P253" i="1"/>
  <c r="S253" i="1"/>
  <c r="V253" i="1"/>
  <c r="Y253" i="1"/>
  <c r="AB253" i="1"/>
  <c r="AH253" i="1"/>
  <c r="G254" i="1"/>
  <c r="J254" i="1"/>
  <c r="M254" i="1"/>
  <c r="P254" i="1"/>
  <c r="S254" i="1"/>
  <c r="V254" i="1"/>
  <c r="Y254" i="1"/>
  <c r="AB254" i="1"/>
  <c r="AH254" i="1"/>
  <c r="G255" i="1"/>
  <c r="J255" i="1"/>
  <c r="M255" i="1"/>
  <c r="P255" i="1"/>
  <c r="S255" i="1"/>
  <c r="V255" i="1"/>
  <c r="Y255" i="1"/>
  <c r="AB255" i="1"/>
  <c r="AH255" i="1"/>
  <c r="G256" i="1"/>
  <c r="J256" i="1"/>
  <c r="M256" i="1"/>
  <c r="P256" i="1"/>
  <c r="S256" i="1"/>
  <c r="V256" i="1"/>
  <c r="Y256" i="1"/>
  <c r="AB256" i="1"/>
  <c r="AH256" i="1"/>
  <c r="G257" i="1"/>
  <c r="J257" i="1"/>
  <c r="M257" i="1"/>
  <c r="P257" i="1"/>
  <c r="S257" i="1"/>
  <c r="V257" i="1"/>
  <c r="Y257" i="1"/>
  <c r="AB257" i="1"/>
  <c r="AH257" i="1"/>
  <c r="G258" i="1"/>
  <c r="J258" i="1"/>
  <c r="M258" i="1"/>
  <c r="P258" i="1"/>
  <c r="S258" i="1"/>
  <c r="V258" i="1"/>
  <c r="Y258" i="1"/>
  <c r="AB258" i="1"/>
  <c r="AH258" i="1"/>
  <c r="G259" i="1"/>
  <c r="J259" i="1"/>
  <c r="M259" i="1"/>
  <c r="P259" i="1"/>
  <c r="S259" i="1"/>
  <c r="V259" i="1"/>
  <c r="Y259" i="1"/>
  <c r="AB259" i="1"/>
  <c r="AH259" i="1"/>
  <c r="G260" i="1"/>
  <c r="J260" i="1"/>
  <c r="M260" i="1"/>
  <c r="P260" i="1"/>
  <c r="S260" i="1"/>
  <c r="V260" i="1"/>
  <c r="Y260" i="1"/>
  <c r="AB260" i="1"/>
  <c r="AH260" i="1"/>
  <c r="G261" i="1"/>
  <c r="J261" i="1"/>
  <c r="M261" i="1"/>
  <c r="P261" i="1"/>
  <c r="S261" i="1"/>
  <c r="V261" i="1"/>
  <c r="Y261" i="1"/>
  <c r="AB261" i="1"/>
  <c r="AH261" i="1"/>
  <c r="G262" i="1"/>
  <c r="J262" i="1"/>
  <c r="M262" i="1"/>
  <c r="P262" i="1"/>
  <c r="S262" i="1"/>
  <c r="V262" i="1"/>
  <c r="Y262" i="1"/>
  <c r="AB262" i="1"/>
  <c r="AH262" i="1"/>
  <c r="G263" i="1"/>
  <c r="J263" i="1"/>
  <c r="M263" i="1"/>
  <c r="P263" i="1"/>
  <c r="S263" i="1"/>
  <c r="V263" i="1"/>
  <c r="Y263" i="1"/>
  <c r="AB263" i="1"/>
  <c r="AH263" i="1"/>
  <c r="G264" i="1"/>
  <c r="J264" i="1"/>
  <c r="M264" i="1"/>
  <c r="P264" i="1"/>
  <c r="S264" i="1"/>
  <c r="V264" i="1"/>
  <c r="Y264" i="1"/>
  <c r="AB264" i="1"/>
  <c r="AH264" i="1"/>
  <c r="G265" i="1"/>
  <c r="J265" i="1"/>
  <c r="M265" i="1"/>
  <c r="P265" i="1"/>
  <c r="S265" i="1"/>
  <c r="V265" i="1"/>
  <c r="Y265" i="1"/>
  <c r="AB265" i="1"/>
  <c r="AH265" i="1"/>
  <c r="G266" i="1"/>
  <c r="J266" i="1"/>
  <c r="M266" i="1"/>
  <c r="P266" i="1"/>
  <c r="S266" i="1"/>
  <c r="V266" i="1"/>
  <c r="Y266" i="1"/>
  <c r="AB266" i="1"/>
  <c r="AH266" i="1"/>
  <c r="G267" i="1"/>
  <c r="J267" i="1"/>
  <c r="M267" i="1"/>
  <c r="P267" i="1"/>
  <c r="S267" i="1"/>
  <c r="V267" i="1"/>
  <c r="Y267" i="1"/>
  <c r="AB267" i="1"/>
  <c r="AH267" i="1"/>
  <c r="G268" i="1"/>
  <c r="J268" i="1"/>
  <c r="M268" i="1"/>
  <c r="P268" i="1"/>
  <c r="S268" i="1"/>
  <c r="V268" i="1"/>
  <c r="Y268" i="1"/>
  <c r="AB268" i="1"/>
  <c r="AH268" i="1"/>
  <c r="G269" i="1"/>
  <c r="J269" i="1"/>
  <c r="M269" i="1"/>
  <c r="P269" i="1"/>
  <c r="S269" i="1"/>
  <c r="V269" i="1"/>
  <c r="Y269" i="1"/>
  <c r="AB269" i="1"/>
  <c r="AH269" i="1"/>
  <c r="G270" i="1"/>
  <c r="J270" i="1"/>
  <c r="M270" i="1"/>
  <c r="P270" i="1"/>
  <c r="S270" i="1"/>
  <c r="V270" i="1"/>
  <c r="Y270" i="1"/>
  <c r="AB270" i="1"/>
  <c r="AH270" i="1"/>
  <c r="G271" i="1"/>
  <c r="J271" i="1"/>
  <c r="M271" i="1"/>
  <c r="P271" i="1"/>
  <c r="S271" i="1"/>
  <c r="V271" i="1"/>
  <c r="Y271" i="1"/>
  <c r="AB271" i="1"/>
  <c r="AH271" i="1"/>
  <c r="G272" i="1"/>
  <c r="J272" i="1"/>
  <c r="M272" i="1"/>
  <c r="P272" i="1"/>
  <c r="S272" i="1"/>
  <c r="V272" i="1"/>
  <c r="Y272" i="1"/>
  <c r="AB272" i="1"/>
  <c r="AH272" i="1"/>
  <c r="G273" i="1"/>
  <c r="J273" i="1"/>
  <c r="M273" i="1"/>
  <c r="P273" i="1"/>
  <c r="S273" i="1"/>
  <c r="V273" i="1"/>
  <c r="Y273" i="1"/>
  <c r="AB273" i="1"/>
  <c r="AH273" i="1"/>
  <c r="G274" i="1"/>
  <c r="J274" i="1"/>
  <c r="M274" i="1"/>
  <c r="P274" i="1"/>
  <c r="S274" i="1"/>
  <c r="V274" i="1"/>
  <c r="Y274" i="1"/>
  <c r="AB274" i="1"/>
  <c r="AH274" i="1"/>
  <c r="G275" i="1"/>
  <c r="J275" i="1"/>
  <c r="M275" i="1"/>
  <c r="P275" i="1"/>
  <c r="S275" i="1"/>
  <c r="V275" i="1"/>
  <c r="Y275" i="1"/>
  <c r="AB275" i="1"/>
  <c r="AH275" i="1"/>
  <c r="G276" i="1"/>
  <c r="J276" i="1"/>
  <c r="M276" i="1"/>
  <c r="P276" i="1"/>
  <c r="S276" i="1"/>
  <c r="V276" i="1"/>
  <c r="Y276" i="1"/>
  <c r="AB276" i="1"/>
  <c r="AH276" i="1"/>
  <c r="G277" i="1"/>
  <c r="J277" i="1"/>
  <c r="M277" i="1"/>
  <c r="P277" i="1"/>
  <c r="S277" i="1"/>
  <c r="V277" i="1"/>
  <c r="Y277" i="1"/>
  <c r="AB277" i="1"/>
  <c r="AH277" i="1"/>
  <c r="G278" i="1"/>
  <c r="J278" i="1"/>
  <c r="M278" i="1"/>
  <c r="P278" i="1"/>
  <c r="S278" i="1"/>
  <c r="V278" i="1"/>
  <c r="Y278" i="1"/>
  <c r="AB278" i="1"/>
  <c r="AH278" i="1"/>
  <c r="G279" i="1"/>
  <c r="J279" i="1"/>
  <c r="M279" i="1"/>
  <c r="P279" i="1"/>
  <c r="S279" i="1"/>
  <c r="V279" i="1"/>
  <c r="Y279" i="1"/>
  <c r="AB279" i="1"/>
  <c r="AH279" i="1"/>
  <c r="G280" i="1"/>
  <c r="J280" i="1"/>
  <c r="M280" i="1"/>
  <c r="P280" i="1"/>
  <c r="S280" i="1"/>
  <c r="V280" i="1"/>
  <c r="Y280" i="1"/>
  <c r="AB280" i="1"/>
  <c r="AH280" i="1"/>
  <c r="G281" i="1"/>
  <c r="J281" i="1"/>
  <c r="M281" i="1"/>
  <c r="P281" i="1"/>
  <c r="S281" i="1"/>
  <c r="V281" i="1"/>
  <c r="Y281" i="1"/>
  <c r="AB281" i="1"/>
  <c r="AE281" i="1"/>
  <c r="AH281" i="1"/>
  <c r="G282" i="1"/>
  <c r="J282" i="1"/>
  <c r="M282" i="1"/>
  <c r="P282" i="1"/>
  <c r="S282" i="1"/>
  <c r="V282" i="1"/>
  <c r="Y282" i="1"/>
  <c r="AB282" i="1"/>
  <c r="AE282" i="1"/>
  <c r="AH282" i="1"/>
  <c r="G283" i="1"/>
  <c r="J283" i="1"/>
  <c r="M283" i="1"/>
  <c r="P283" i="1"/>
  <c r="S283" i="1"/>
  <c r="V283" i="1"/>
  <c r="Y283" i="1"/>
  <c r="AB283" i="1"/>
  <c r="AE283" i="1"/>
  <c r="AH283" i="1"/>
  <c r="G284" i="1"/>
  <c r="J284" i="1"/>
  <c r="M284" i="1"/>
  <c r="P284" i="1"/>
  <c r="S284" i="1"/>
  <c r="V284" i="1"/>
  <c r="Y284" i="1"/>
  <c r="AB284" i="1"/>
  <c r="AE284" i="1"/>
  <c r="AH284" i="1"/>
  <c r="G285" i="1"/>
  <c r="J285" i="1"/>
  <c r="M285" i="1"/>
  <c r="P285" i="1"/>
  <c r="S285" i="1"/>
  <c r="V285" i="1"/>
  <c r="Y285" i="1"/>
  <c r="AB285" i="1"/>
  <c r="AE285" i="1"/>
  <c r="AH285" i="1"/>
  <c r="G286" i="1"/>
  <c r="J286" i="1"/>
  <c r="M286" i="1"/>
  <c r="P286" i="1"/>
  <c r="S286" i="1"/>
  <c r="V286" i="1"/>
  <c r="Y286" i="1"/>
  <c r="AB286" i="1"/>
  <c r="AE286" i="1"/>
  <c r="AH286" i="1"/>
  <c r="G287" i="1"/>
  <c r="J287" i="1"/>
  <c r="M287" i="1"/>
  <c r="P287" i="1"/>
  <c r="S287" i="1"/>
  <c r="V287" i="1"/>
  <c r="Y287" i="1"/>
  <c r="AB287" i="1"/>
  <c r="AE287" i="1"/>
  <c r="AH287" i="1"/>
  <c r="G288" i="1"/>
  <c r="J288" i="1"/>
  <c r="M288" i="1"/>
  <c r="P288" i="1"/>
  <c r="S288" i="1"/>
  <c r="V288" i="1"/>
  <c r="Y288" i="1"/>
  <c r="AB288" i="1"/>
  <c r="AE288" i="1"/>
  <c r="AH288" i="1"/>
  <c r="G289" i="1"/>
  <c r="J289" i="1"/>
  <c r="M289" i="1"/>
  <c r="P289" i="1"/>
  <c r="S289" i="1"/>
  <c r="V289" i="1"/>
  <c r="Y289" i="1"/>
  <c r="AB289" i="1"/>
  <c r="AE289" i="1"/>
  <c r="AH289" i="1"/>
  <c r="G290" i="1"/>
  <c r="J290" i="1"/>
  <c r="M290" i="1"/>
  <c r="P290" i="1"/>
  <c r="S290" i="1"/>
  <c r="V290" i="1"/>
  <c r="Y290" i="1"/>
  <c r="AB290" i="1"/>
  <c r="AE290" i="1"/>
  <c r="AH290" i="1"/>
  <c r="G291" i="1"/>
  <c r="J291" i="1"/>
  <c r="M291" i="1"/>
  <c r="P291" i="1"/>
  <c r="S291" i="1"/>
  <c r="V291" i="1"/>
  <c r="Y291" i="1"/>
  <c r="AB291" i="1"/>
  <c r="AE291" i="1"/>
  <c r="AH291" i="1"/>
  <c r="G292" i="1"/>
  <c r="J292" i="1"/>
  <c r="M292" i="1"/>
  <c r="P292" i="1"/>
  <c r="S292" i="1"/>
  <c r="V292" i="1"/>
  <c r="Y292" i="1"/>
  <c r="AB292" i="1"/>
  <c r="AE292" i="1"/>
  <c r="AH292" i="1"/>
  <c r="G293" i="1"/>
  <c r="J293" i="1"/>
  <c r="M293" i="1"/>
  <c r="P293" i="1"/>
  <c r="S293" i="1"/>
  <c r="V293" i="1"/>
  <c r="Y293" i="1"/>
  <c r="AB293" i="1"/>
  <c r="AE293" i="1"/>
  <c r="AH293" i="1"/>
  <c r="G294" i="1"/>
  <c r="J294" i="1"/>
  <c r="M294" i="1"/>
  <c r="P294" i="1"/>
  <c r="S294" i="1"/>
  <c r="V294" i="1"/>
  <c r="Y294" i="1"/>
  <c r="AB294" i="1"/>
  <c r="AE294" i="1"/>
  <c r="AH294" i="1"/>
  <c r="G295" i="1"/>
  <c r="J295" i="1"/>
  <c r="M295" i="1"/>
  <c r="P295" i="1"/>
  <c r="S295" i="1"/>
  <c r="V295" i="1"/>
  <c r="Y295" i="1"/>
  <c r="AB295" i="1"/>
  <c r="AE295" i="1"/>
  <c r="AH295" i="1"/>
  <c r="G296" i="1"/>
  <c r="J296" i="1"/>
  <c r="M296" i="1"/>
  <c r="P296" i="1"/>
  <c r="S296" i="1"/>
  <c r="V296" i="1"/>
  <c r="Y296" i="1"/>
  <c r="AB296" i="1"/>
  <c r="AE296" i="1"/>
  <c r="AH296" i="1"/>
  <c r="G297" i="1"/>
  <c r="J297" i="1"/>
  <c r="M297" i="1"/>
  <c r="P297" i="1"/>
  <c r="S297" i="1"/>
  <c r="V297" i="1"/>
  <c r="Y297" i="1"/>
  <c r="AB297" i="1"/>
  <c r="AE297" i="1"/>
  <c r="AH297" i="1"/>
  <c r="G298" i="1"/>
  <c r="J298" i="1"/>
  <c r="M298" i="1"/>
  <c r="P298" i="1"/>
  <c r="S298" i="1"/>
  <c r="V298" i="1"/>
  <c r="Y298" i="1"/>
  <c r="AB298" i="1"/>
  <c r="AE298" i="1"/>
  <c r="AH298" i="1"/>
  <c r="G299" i="1"/>
  <c r="J299" i="1"/>
  <c r="M299" i="1"/>
  <c r="P299" i="1"/>
  <c r="S299" i="1"/>
  <c r="V299" i="1"/>
  <c r="Y299" i="1"/>
  <c r="AB299" i="1"/>
  <c r="AE299" i="1"/>
  <c r="AH299" i="1"/>
  <c r="G300" i="1"/>
  <c r="J300" i="1"/>
  <c r="M300" i="1"/>
  <c r="P300" i="1"/>
  <c r="S300" i="1"/>
  <c r="V300" i="1"/>
  <c r="Y300" i="1"/>
  <c r="AB300" i="1"/>
  <c r="AE300" i="1"/>
  <c r="AH300" i="1"/>
  <c r="G301" i="1"/>
  <c r="J301" i="1"/>
  <c r="M301" i="1"/>
  <c r="P301" i="1"/>
  <c r="S301" i="1"/>
  <c r="V301" i="1"/>
  <c r="Y301" i="1"/>
  <c r="AB301" i="1"/>
  <c r="AE301" i="1"/>
  <c r="AH301" i="1"/>
  <c r="G302" i="1"/>
  <c r="J302" i="1"/>
  <c r="M302" i="1"/>
  <c r="P302" i="1"/>
  <c r="S302" i="1"/>
  <c r="V302" i="1"/>
  <c r="Y302" i="1"/>
  <c r="AB302" i="1"/>
  <c r="AE302" i="1"/>
  <c r="AH302" i="1"/>
  <c r="G303" i="1"/>
  <c r="J303" i="1"/>
  <c r="M303" i="1"/>
  <c r="P303" i="1"/>
  <c r="S303" i="1"/>
  <c r="V303" i="1"/>
  <c r="Y303" i="1"/>
  <c r="AB303" i="1"/>
  <c r="AE303" i="1"/>
  <c r="AH303" i="1"/>
  <c r="G304" i="1"/>
  <c r="J304" i="1"/>
  <c r="M304" i="1"/>
  <c r="P304" i="1"/>
  <c r="S304" i="1"/>
  <c r="V304" i="1"/>
  <c r="Y304" i="1"/>
  <c r="AB304" i="1"/>
  <c r="AE304" i="1"/>
  <c r="AH304" i="1"/>
  <c r="G305" i="1"/>
  <c r="J305" i="1"/>
  <c r="M305" i="1"/>
  <c r="P305" i="1"/>
  <c r="S305" i="1"/>
  <c r="V305" i="1"/>
  <c r="Y305" i="1"/>
  <c r="AB305" i="1"/>
  <c r="AE305" i="1"/>
  <c r="AH305" i="1"/>
  <c r="G306" i="1"/>
  <c r="J306" i="1"/>
  <c r="M306" i="1"/>
  <c r="P306" i="1"/>
  <c r="S306" i="1"/>
  <c r="V306" i="1"/>
  <c r="Y306" i="1"/>
  <c r="AB306" i="1"/>
  <c r="AE306" i="1"/>
  <c r="AH306" i="1"/>
  <c r="G307" i="1"/>
  <c r="J307" i="1"/>
  <c r="M307" i="1"/>
  <c r="P307" i="1"/>
  <c r="S307" i="1"/>
  <c r="V307" i="1"/>
  <c r="Y307" i="1"/>
  <c r="AB307" i="1"/>
  <c r="AE307" i="1"/>
  <c r="AH307" i="1"/>
  <c r="G308" i="1"/>
  <c r="J308" i="1"/>
  <c r="M308" i="1"/>
  <c r="P308" i="1"/>
  <c r="S308" i="1"/>
  <c r="V308" i="1"/>
  <c r="Y308" i="1"/>
  <c r="AB308" i="1"/>
  <c r="AE308" i="1"/>
  <c r="AH308" i="1"/>
  <c r="G309" i="1"/>
  <c r="J309" i="1"/>
  <c r="M309" i="1"/>
  <c r="P309" i="1"/>
  <c r="S309" i="1"/>
  <c r="V309" i="1"/>
  <c r="Y309" i="1"/>
  <c r="AB309" i="1"/>
  <c r="AE309" i="1"/>
  <c r="AH309" i="1"/>
  <c r="G310" i="1"/>
  <c r="J310" i="1"/>
  <c r="M310" i="1"/>
  <c r="P310" i="1"/>
  <c r="S310" i="1"/>
  <c r="V310" i="1"/>
  <c r="Y310" i="1"/>
  <c r="AB310" i="1"/>
  <c r="AE310" i="1"/>
  <c r="AH310" i="1"/>
  <c r="BQ24" i="1" l="1"/>
  <c r="BQ29" i="1"/>
  <c r="BN15" i="1"/>
  <c r="BN39" i="1"/>
  <c r="BN16" i="1"/>
  <c r="BN38" i="1"/>
  <c r="BK23" i="1"/>
  <c r="BK26" i="1"/>
  <c r="BH28" i="1"/>
  <c r="BH25" i="1"/>
  <c r="AH13" i="1"/>
  <c r="AH12" i="1"/>
  <c r="AH11" i="1"/>
  <c r="BQ26" i="1" l="1"/>
  <c r="BN17" i="1"/>
  <c r="BN18" i="1"/>
  <c r="BL41" i="1"/>
  <c r="BL40" i="1"/>
  <c r="BH30" i="1"/>
  <c r="AN112" i="1"/>
  <c r="AO112" i="1"/>
  <c r="AP112" i="1"/>
  <c r="AN113" i="1"/>
  <c r="AO113" i="1"/>
  <c r="AP113" i="1"/>
  <c r="AN114" i="1"/>
  <c r="AO114" i="1"/>
  <c r="AP114" i="1"/>
  <c r="AN115" i="1"/>
  <c r="AO115" i="1"/>
  <c r="AP115" i="1"/>
  <c r="AN116" i="1"/>
  <c r="AO116" i="1"/>
  <c r="AP116" i="1"/>
  <c r="AN117" i="1"/>
  <c r="AO117" i="1"/>
  <c r="AP117" i="1"/>
  <c r="AN118" i="1"/>
  <c r="AO118" i="1"/>
  <c r="AP118" i="1"/>
  <c r="AN119" i="1"/>
  <c r="AO119" i="1"/>
  <c r="AP119" i="1"/>
  <c r="AN120" i="1"/>
  <c r="AO120" i="1"/>
  <c r="AP120" i="1"/>
  <c r="AN121" i="1"/>
  <c r="AO121" i="1"/>
  <c r="AP121" i="1"/>
  <c r="AN122" i="1"/>
  <c r="AO122" i="1"/>
  <c r="AP122" i="1"/>
  <c r="AN123" i="1"/>
  <c r="AO123" i="1"/>
  <c r="AP123" i="1"/>
  <c r="AN124" i="1"/>
  <c r="AO124" i="1"/>
  <c r="AP124" i="1"/>
  <c r="AN125" i="1"/>
  <c r="AO125" i="1"/>
  <c r="AP125" i="1"/>
  <c r="AN126" i="1"/>
  <c r="AO126" i="1"/>
  <c r="AP126" i="1"/>
  <c r="AN127" i="1"/>
  <c r="AO127" i="1"/>
  <c r="AP127" i="1"/>
  <c r="AN128" i="1"/>
  <c r="AO128" i="1"/>
  <c r="AP128" i="1"/>
  <c r="AN129" i="1"/>
  <c r="AO129" i="1"/>
  <c r="AP129" i="1"/>
  <c r="AN130" i="1"/>
  <c r="AO130" i="1"/>
  <c r="AP130" i="1"/>
  <c r="AN131" i="1"/>
  <c r="AO131" i="1"/>
  <c r="AP131" i="1"/>
  <c r="AN132" i="1"/>
  <c r="AO132" i="1"/>
  <c r="AP132" i="1"/>
  <c r="AN133" i="1"/>
  <c r="AO133" i="1"/>
  <c r="AP133" i="1"/>
  <c r="AN134" i="1"/>
  <c r="AO134" i="1"/>
  <c r="AP134" i="1"/>
  <c r="AN135" i="1"/>
  <c r="AO135" i="1"/>
  <c r="AP135" i="1"/>
  <c r="AN136" i="1"/>
  <c r="AO136" i="1"/>
  <c r="AP136" i="1"/>
  <c r="AN137" i="1"/>
  <c r="AO137" i="1"/>
  <c r="AP137" i="1"/>
  <c r="AN138" i="1"/>
  <c r="AO138" i="1"/>
  <c r="AP138" i="1"/>
  <c r="AN139" i="1"/>
  <c r="AO139" i="1"/>
  <c r="AP139" i="1"/>
  <c r="AN140" i="1"/>
  <c r="AO140" i="1"/>
  <c r="AP140" i="1"/>
  <c r="BU140" i="1"/>
  <c r="AN141" i="1"/>
  <c r="AO141" i="1"/>
  <c r="AP141" i="1"/>
  <c r="BU141" i="1"/>
  <c r="AN142" i="1"/>
  <c r="AO142" i="1"/>
  <c r="AP142" i="1"/>
  <c r="BU142" i="1"/>
  <c r="AN143" i="1"/>
  <c r="AO143" i="1"/>
  <c r="AP143" i="1"/>
  <c r="BU143" i="1"/>
  <c r="AN144" i="1"/>
  <c r="AO144" i="1"/>
  <c r="AP144" i="1"/>
  <c r="BU144" i="1"/>
  <c r="AN145" i="1"/>
  <c r="AO145" i="1"/>
  <c r="AP145" i="1"/>
  <c r="BU145" i="1"/>
  <c r="AN146" i="1"/>
  <c r="AO146" i="1"/>
  <c r="AP146" i="1"/>
  <c r="BU146" i="1"/>
  <c r="AN147" i="1"/>
  <c r="AO147" i="1"/>
  <c r="AP147" i="1"/>
  <c r="BU147" i="1"/>
  <c r="AN148" i="1"/>
  <c r="AO148" i="1"/>
  <c r="AP148" i="1"/>
  <c r="BU148" i="1"/>
  <c r="AN149" i="1"/>
  <c r="AO149" i="1"/>
  <c r="AP149" i="1"/>
  <c r="BU149" i="1"/>
  <c r="AN150" i="1"/>
  <c r="AO150" i="1"/>
  <c r="AP150" i="1"/>
  <c r="BU150" i="1"/>
  <c r="AN151" i="1"/>
  <c r="AO151" i="1"/>
  <c r="AP151" i="1"/>
  <c r="BU151" i="1"/>
  <c r="AN152" i="1"/>
  <c r="AO152" i="1"/>
  <c r="AP152" i="1"/>
  <c r="BU152" i="1"/>
  <c r="AN153" i="1"/>
  <c r="AO153" i="1"/>
  <c r="AP153" i="1"/>
  <c r="BU153" i="1"/>
  <c r="AN154" i="1"/>
  <c r="AO154" i="1"/>
  <c r="AP154" i="1"/>
  <c r="BU154" i="1"/>
  <c r="AN155" i="1"/>
  <c r="AO155" i="1"/>
  <c r="AP155" i="1"/>
  <c r="BU155" i="1"/>
  <c r="AN156" i="1"/>
  <c r="AO156" i="1"/>
  <c r="AP156" i="1"/>
  <c r="BU156" i="1"/>
  <c r="AN157" i="1"/>
  <c r="AO157" i="1"/>
  <c r="AP157" i="1"/>
  <c r="BU157" i="1"/>
  <c r="AN158" i="1"/>
  <c r="AO158" i="1"/>
  <c r="AP158" i="1"/>
  <c r="BU158" i="1"/>
  <c r="AN159" i="1"/>
  <c r="AO159" i="1"/>
  <c r="AP159" i="1"/>
  <c r="BU159" i="1"/>
  <c r="AN160" i="1"/>
  <c r="AO160" i="1"/>
  <c r="AP160" i="1"/>
  <c r="BU160" i="1"/>
  <c r="AN161" i="1"/>
  <c r="AO161" i="1"/>
  <c r="AP161" i="1"/>
  <c r="BU161" i="1"/>
  <c r="AN162" i="1"/>
  <c r="AO162" i="1"/>
  <c r="AP162" i="1"/>
  <c r="BU162" i="1"/>
  <c r="AN163" i="1"/>
  <c r="AO163" i="1"/>
  <c r="AP163" i="1"/>
  <c r="BU163" i="1"/>
  <c r="AN164" i="1"/>
  <c r="AO164" i="1"/>
  <c r="AP164" i="1"/>
  <c r="BU164" i="1"/>
  <c r="AN165" i="1"/>
  <c r="AO165" i="1"/>
  <c r="AP165" i="1"/>
  <c r="BU165" i="1"/>
  <c r="AN166" i="1"/>
  <c r="AO166" i="1"/>
  <c r="AP166" i="1"/>
  <c r="BU166" i="1"/>
  <c r="AN167" i="1"/>
  <c r="AO167" i="1"/>
  <c r="AP167" i="1"/>
  <c r="BU167" i="1"/>
  <c r="AN168" i="1"/>
  <c r="AO168" i="1"/>
  <c r="AP168" i="1"/>
  <c r="BU168" i="1"/>
  <c r="AN169" i="1"/>
  <c r="AO169" i="1"/>
  <c r="AP169" i="1"/>
  <c r="BU169" i="1"/>
  <c r="AN170" i="1"/>
  <c r="AO170" i="1"/>
  <c r="AP170" i="1"/>
  <c r="BU170" i="1"/>
  <c r="AN171" i="1"/>
  <c r="AO171" i="1"/>
  <c r="AP171" i="1"/>
  <c r="BU171" i="1"/>
  <c r="AN172" i="1"/>
  <c r="AO172" i="1"/>
  <c r="AP172" i="1"/>
  <c r="BU172" i="1"/>
  <c r="AN173" i="1"/>
  <c r="AO173" i="1"/>
  <c r="AP173" i="1"/>
  <c r="BU173" i="1"/>
  <c r="AN174" i="1"/>
  <c r="AO174" i="1"/>
  <c r="AP174" i="1"/>
  <c r="BU174" i="1"/>
  <c r="AN175" i="1"/>
  <c r="AO175" i="1"/>
  <c r="AP175" i="1"/>
  <c r="BU175" i="1"/>
  <c r="AN176" i="1"/>
  <c r="AO176" i="1"/>
  <c r="AP176" i="1"/>
  <c r="BU176" i="1"/>
  <c r="AN177" i="1"/>
  <c r="AO177" i="1"/>
  <c r="AP177" i="1"/>
  <c r="BU177" i="1"/>
  <c r="AN178" i="1"/>
  <c r="AO178" i="1"/>
  <c r="AP178" i="1"/>
  <c r="BU178" i="1"/>
  <c r="AN179" i="1"/>
  <c r="AO179" i="1"/>
  <c r="AP179" i="1"/>
  <c r="BU179" i="1"/>
  <c r="AN180" i="1"/>
  <c r="AO180" i="1"/>
  <c r="AP180" i="1"/>
  <c r="BU180" i="1"/>
  <c r="AN181" i="1"/>
  <c r="AO181" i="1"/>
  <c r="AP181" i="1"/>
  <c r="BU181" i="1"/>
  <c r="AN182" i="1"/>
  <c r="AO182" i="1"/>
  <c r="AP182" i="1"/>
  <c r="BU182" i="1"/>
  <c r="AN183" i="1"/>
  <c r="AO183" i="1"/>
  <c r="AP183" i="1"/>
  <c r="BU183" i="1"/>
  <c r="AN184" i="1"/>
  <c r="AO184" i="1"/>
  <c r="AP184" i="1"/>
  <c r="BU184" i="1"/>
  <c r="AN185" i="1"/>
  <c r="AO185" i="1"/>
  <c r="AP185" i="1"/>
  <c r="BU185" i="1"/>
  <c r="AN186" i="1"/>
  <c r="AO186" i="1"/>
  <c r="AP186" i="1"/>
  <c r="BU186" i="1"/>
  <c r="AN187" i="1"/>
  <c r="AO187" i="1"/>
  <c r="AP187" i="1"/>
  <c r="BU187" i="1"/>
  <c r="AN188" i="1"/>
  <c r="AO188" i="1"/>
  <c r="AP188" i="1"/>
  <c r="BU188" i="1"/>
  <c r="AN189" i="1"/>
  <c r="AO189" i="1"/>
  <c r="AP189" i="1"/>
  <c r="BU189" i="1"/>
  <c r="AN190" i="1"/>
  <c r="AO190" i="1"/>
  <c r="AP190" i="1"/>
  <c r="BU190" i="1"/>
  <c r="AN191" i="1"/>
  <c r="AO191" i="1"/>
  <c r="AP191" i="1"/>
  <c r="BU191" i="1"/>
  <c r="AN192" i="1"/>
  <c r="AO192" i="1"/>
  <c r="AP192" i="1"/>
  <c r="BU192" i="1"/>
  <c r="AN193" i="1"/>
  <c r="AO193" i="1"/>
  <c r="AP193" i="1"/>
  <c r="BU193" i="1"/>
  <c r="AN194" i="1"/>
  <c r="AO194" i="1"/>
  <c r="AP194" i="1"/>
  <c r="BU194" i="1"/>
  <c r="AN195" i="1"/>
  <c r="AO195" i="1"/>
  <c r="AP195" i="1"/>
  <c r="BU195" i="1"/>
  <c r="AN196" i="1"/>
  <c r="AO196" i="1"/>
  <c r="AP196" i="1"/>
  <c r="BU196" i="1"/>
  <c r="AN197" i="1"/>
  <c r="AO197" i="1"/>
  <c r="AP197" i="1"/>
  <c r="BU197" i="1"/>
  <c r="AN198" i="1"/>
  <c r="AO198" i="1"/>
  <c r="AP198" i="1"/>
  <c r="BU198" i="1"/>
  <c r="AN199" i="1"/>
  <c r="AO199" i="1"/>
  <c r="AP199" i="1"/>
  <c r="BU199" i="1"/>
  <c r="AN200" i="1"/>
  <c r="AO200" i="1"/>
  <c r="AP200" i="1"/>
  <c r="BU200" i="1"/>
  <c r="AN201" i="1"/>
  <c r="AO201" i="1"/>
  <c r="AP201" i="1"/>
  <c r="BU201" i="1"/>
  <c r="AN202" i="1"/>
  <c r="AO202" i="1"/>
  <c r="AP202" i="1"/>
  <c r="BU202" i="1"/>
  <c r="AN203" i="1"/>
  <c r="AO203" i="1"/>
  <c r="AP203" i="1"/>
  <c r="BU203" i="1"/>
  <c r="AN204" i="1"/>
  <c r="AO204" i="1"/>
  <c r="AP204" i="1"/>
  <c r="BU204" i="1"/>
  <c r="AN205" i="1"/>
  <c r="AO205" i="1"/>
  <c r="AP205" i="1"/>
  <c r="BU205" i="1"/>
  <c r="AN206" i="1"/>
  <c r="AO206" i="1"/>
  <c r="AP206" i="1"/>
  <c r="BU206" i="1"/>
  <c r="AN207" i="1"/>
  <c r="AO207" i="1"/>
  <c r="AP207" i="1"/>
  <c r="BU207" i="1"/>
  <c r="AN208" i="1"/>
  <c r="AO208" i="1"/>
  <c r="AP208" i="1"/>
  <c r="BU208" i="1"/>
  <c r="AN209" i="1"/>
  <c r="AO209" i="1"/>
  <c r="AP209" i="1"/>
  <c r="BU209" i="1"/>
  <c r="AN210" i="1"/>
  <c r="AO210" i="1"/>
  <c r="AP210" i="1"/>
  <c r="BU210" i="1"/>
  <c r="AN211" i="1"/>
  <c r="AO211" i="1"/>
  <c r="AP211" i="1"/>
  <c r="BU211" i="1"/>
  <c r="AN212" i="1"/>
  <c r="AO212" i="1"/>
  <c r="AP212" i="1"/>
  <c r="BU212" i="1"/>
  <c r="AN213" i="1"/>
  <c r="AO213" i="1"/>
  <c r="AP213" i="1"/>
  <c r="BU213" i="1"/>
  <c r="AN214" i="1"/>
  <c r="AO214" i="1"/>
  <c r="AP214" i="1"/>
  <c r="BU214" i="1"/>
  <c r="AN215" i="1"/>
  <c r="AO215" i="1"/>
  <c r="AP215" i="1"/>
  <c r="BU215" i="1"/>
  <c r="AN216" i="1"/>
  <c r="AO216" i="1"/>
  <c r="AP216" i="1"/>
  <c r="BU216" i="1"/>
  <c r="AN217" i="1"/>
  <c r="AO217" i="1"/>
  <c r="AP217" i="1"/>
  <c r="BU217" i="1"/>
  <c r="AN218" i="1"/>
  <c r="AO218" i="1"/>
  <c r="AP218" i="1"/>
  <c r="BU218" i="1"/>
  <c r="AN219" i="1"/>
  <c r="AO219" i="1"/>
  <c r="AP219" i="1"/>
  <c r="BU219" i="1"/>
  <c r="AN220" i="1"/>
  <c r="AO220" i="1"/>
  <c r="AP220" i="1"/>
  <c r="BU220" i="1"/>
  <c r="AN221" i="1"/>
  <c r="AO221" i="1"/>
  <c r="AP221" i="1"/>
  <c r="BU221" i="1"/>
  <c r="AN222" i="1"/>
  <c r="AO222" i="1"/>
  <c r="AP222" i="1"/>
  <c r="BU222" i="1"/>
  <c r="AN223" i="1"/>
  <c r="AO223" i="1"/>
  <c r="AP223" i="1"/>
  <c r="BU223" i="1"/>
  <c r="AN224" i="1"/>
  <c r="AO224" i="1"/>
  <c r="AP224" i="1"/>
  <c r="BU224" i="1"/>
  <c r="AN225" i="1"/>
  <c r="AO225" i="1"/>
  <c r="AP225" i="1"/>
  <c r="BU225" i="1"/>
  <c r="AN226" i="1"/>
  <c r="AO226" i="1"/>
  <c r="AP226" i="1"/>
  <c r="BU226" i="1"/>
  <c r="AN227" i="1"/>
  <c r="AO227" i="1"/>
  <c r="AP227" i="1"/>
  <c r="BU227" i="1"/>
  <c r="AN228" i="1"/>
  <c r="AO228" i="1"/>
  <c r="AP228" i="1"/>
  <c r="BU228" i="1"/>
  <c r="AN229" i="1"/>
  <c r="AO229" i="1"/>
  <c r="AP229" i="1"/>
  <c r="BU229" i="1"/>
  <c r="AN230" i="1"/>
  <c r="AO230" i="1"/>
  <c r="AP230" i="1"/>
  <c r="BU230" i="1"/>
  <c r="AN231" i="1"/>
  <c r="AO231" i="1"/>
  <c r="AP231" i="1"/>
  <c r="BU231" i="1"/>
  <c r="AN232" i="1"/>
  <c r="AO232" i="1"/>
  <c r="AP232" i="1"/>
  <c r="BU232" i="1"/>
  <c r="AN233" i="1"/>
  <c r="AO233" i="1"/>
  <c r="AP233" i="1"/>
  <c r="BU233" i="1"/>
  <c r="AN234" i="1"/>
  <c r="AO234" i="1"/>
  <c r="AP234" i="1"/>
  <c r="BU234" i="1"/>
  <c r="AN235" i="1"/>
  <c r="AO235" i="1"/>
  <c r="AP235" i="1"/>
  <c r="BU235" i="1"/>
  <c r="AN236" i="1"/>
  <c r="AO236" i="1"/>
  <c r="AP236" i="1"/>
  <c r="BU236" i="1"/>
  <c r="AN237" i="1"/>
  <c r="AO237" i="1"/>
  <c r="AP237" i="1"/>
  <c r="BU237" i="1"/>
  <c r="AN238" i="1"/>
  <c r="AO238" i="1"/>
  <c r="AP238" i="1"/>
  <c r="BU238" i="1"/>
  <c r="AN239" i="1"/>
  <c r="AO239" i="1"/>
  <c r="AP239" i="1"/>
  <c r="BU239" i="1"/>
  <c r="AN240" i="1"/>
  <c r="AO240" i="1"/>
  <c r="AP240" i="1"/>
  <c r="BU240" i="1"/>
  <c r="AN241" i="1"/>
  <c r="AO241" i="1"/>
  <c r="AP241" i="1"/>
  <c r="BU241" i="1"/>
  <c r="AN242" i="1"/>
  <c r="AO242" i="1"/>
  <c r="AP242" i="1"/>
  <c r="BU242" i="1"/>
  <c r="AN243" i="1"/>
  <c r="AO243" i="1"/>
  <c r="AP243" i="1"/>
  <c r="BU243" i="1"/>
  <c r="AN244" i="1"/>
  <c r="AO244" i="1"/>
  <c r="AP244" i="1"/>
  <c r="BU244" i="1"/>
  <c r="AN245" i="1"/>
  <c r="AO245" i="1"/>
  <c r="AP245" i="1"/>
  <c r="BU245" i="1"/>
  <c r="AN246" i="1"/>
  <c r="AO246" i="1"/>
  <c r="AP246" i="1"/>
  <c r="BU246" i="1"/>
  <c r="AN247" i="1"/>
  <c r="AO247" i="1"/>
  <c r="AP247" i="1"/>
  <c r="BU247" i="1"/>
  <c r="AN248" i="1"/>
  <c r="AO248" i="1"/>
  <c r="AP248" i="1"/>
  <c r="BU248" i="1"/>
  <c r="AN249" i="1"/>
  <c r="AO249" i="1"/>
  <c r="AP249" i="1"/>
  <c r="BU249" i="1"/>
  <c r="AN250" i="1"/>
  <c r="AO250" i="1"/>
  <c r="AP250" i="1"/>
  <c r="BU250" i="1"/>
  <c r="AN251" i="1"/>
  <c r="AO251" i="1"/>
  <c r="AP251" i="1"/>
  <c r="BU251" i="1"/>
  <c r="AN252" i="1"/>
  <c r="AO252" i="1"/>
  <c r="AP252" i="1"/>
  <c r="BU252" i="1"/>
  <c r="AN253" i="1"/>
  <c r="AO253" i="1"/>
  <c r="AP253" i="1"/>
  <c r="BU253" i="1"/>
  <c r="AN254" i="1"/>
  <c r="AO254" i="1"/>
  <c r="AP254" i="1"/>
  <c r="BU254" i="1"/>
  <c r="AN255" i="1"/>
  <c r="AO255" i="1"/>
  <c r="AP255" i="1"/>
  <c r="BU255" i="1"/>
  <c r="AN256" i="1"/>
  <c r="AO256" i="1"/>
  <c r="AP256" i="1"/>
  <c r="BU256" i="1"/>
  <c r="AN257" i="1"/>
  <c r="AO257" i="1"/>
  <c r="AP257" i="1"/>
  <c r="BU257" i="1"/>
  <c r="AN258" i="1"/>
  <c r="AO258" i="1"/>
  <c r="AP258" i="1"/>
  <c r="BU258" i="1"/>
  <c r="AN259" i="1"/>
  <c r="AO259" i="1"/>
  <c r="AP259" i="1"/>
  <c r="BU259" i="1"/>
  <c r="AN260" i="1"/>
  <c r="AO260" i="1"/>
  <c r="AP260" i="1"/>
  <c r="BU260" i="1"/>
  <c r="AN261" i="1"/>
  <c r="AO261" i="1"/>
  <c r="AP261" i="1"/>
  <c r="BU261" i="1"/>
  <c r="AN262" i="1"/>
  <c r="AO262" i="1"/>
  <c r="AP262" i="1"/>
  <c r="BU262" i="1"/>
  <c r="AN263" i="1"/>
  <c r="AO263" i="1"/>
  <c r="AP263" i="1"/>
  <c r="BU263" i="1"/>
  <c r="AN264" i="1"/>
  <c r="AO264" i="1"/>
  <c r="AP264" i="1"/>
  <c r="BU264" i="1"/>
  <c r="AN265" i="1"/>
  <c r="AO265" i="1"/>
  <c r="AP265" i="1"/>
  <c r="BU265" i="1"/>
  <c r="AN266" i="1"/>
  <c r="AO266" i="1"/>
  <c r="AP266" i="1"/>
  <c r="BU266" i="1"/>
  <c r="AN267" i="1"/>
  <c r="AO267" i="1"/>
  <c r="AP267" i="1"/>
  <c r="BU267" i="1"/>
  <c r="AN268" i="1"/>
  <c r="AO268" i="1"/>
  <c r="AP268" i="1"/>
  <c r="BU268" i="1"/>
  <c r="AN269" i="1"/>
  <c r="AO269" i="1"/>
  <c r="AP269" i="1"/>
  <c r="BU269" i="1"/>
  <c r="AN270" i="1"/>
  <c r="AO270" i="1"/>
  <c r="AP270" i="1"/>
  <c r="BU270" i="1"/>
  <c r="AN271" i="1"/>
  <c r="AO271" i="1"/>
  <c r="AP271" i="1"/>
  <c r="BU271" i="1"/>
  <c r="AN272" i="1"/>
  <c r="AO272" i="1"/>
  <c r="AP272" i="1"/>
  <c r="BU272" i="1"/>
  <c r="AN273" i="1"/>
  <c r="AO273" i="1"/>
  <c r="AP273" i="1"/>
  <c r="BU273" i="1"/>
  <c r="AN274" i="1"/>
  <c r="AO274" i="1"/>
  <c r="AP274" i="1"/>
  <c r="BU274" i="1"/>
  <c r="AN275" i="1"/>
  <c r="AO275" i="1"/>
  <c r="AP275" i="1"/>
  <c r="BU275" i="1"/>
  <c r="AN276" i="1"/>
  <c r="AO276" i="1"/>
  <c r="AP276" i="1"/>
  <c r="BU276" i="1"/>
  <c r="AN277" i="1"/>
  <c r="AO277" i="1"/>
  <c r="AP277" i="1"/>
  <c r="BU277" i="1"/>
  <c r="AN278" i="1"/>
  <c r="AO278" i="1"/>
  <c r="AP278" i="1"/>
  <c r="BU278" i="1"/>
  <c r="AN279" i="1"/>
  <c r="AO279" i="1"/>
  <c r="AP279" i="1"/>
  <c r="BU279" i="1"/>
  <c r="AN280" i="1"/>
  <c r="AO280" i="1"/>
  <c r="AP280" i="1"/>
  <c r="BU280" i="1"/>
  <c r="AN281" i="1"/>
  <c r="AO281" i="1"/>
  <c r="AP281" i="1"/>
  <c r="BU281" i="1"/>
  <c r="AN282" i="1"/>
  <c r="AO282" i="1"/>
  <c r="AP282" i="1"/>
  <c r="BU282" i="1"/>
  <c r="AN283" i="1"/>
  <c r="AO283" i="1"/>
  <c r="AP283" i="1"/>
  <c r="BU283" i="1"/>
  <c r="AN284" i="1"/>
  <c r="AO284" i="1"/>
  <c r="AP284" i="1"/>
  <c r="BU284" i="1"/>
  <c r="AN285" i="1"/>
  <c r="AO285" i="1"/>
  <c r="AP285" i="1"/>
  <c r="BU285" i="1"/>
  <c r="AN286" i="1"/>
  <c r="AO286" i="1"/>
  <c r="AP286" i="1"/>
  <c r="BU286" i="1"/>
  <c r="AN287" i="1"/>
  <c r="AO287" i="1"/>
  <c r="AP287" i="1"/>
  <c r="BU287" i="1"/>
  <c r="AN288" i="1"/>
  <c r="AO288" i="1"/>
  <c r="AP288" i="1"/>
  <c r="BU288" i="1"/>
  <c r="AN289" i="1"/>
  <c r="AO289" i="1"/>
  <c r="AP289" i="1"/>
  <c r="BU289" i="1"/>
  <c r="AN290" i="1"/>
  <c r="AO290" i="1"/>
  <c r="AP290" i="1"/>
  <c r="BU290" i="1"/>
  <c r="AN291" i="1"/>
  <c r="AO291" i="1"/>
  <c r="AP291" i="1"/>
  <c r="BU291" i="1"/>
  <c r="AN292" i="1"/>
  <c r="AO292" i="1"/>
  <c r="AP292" i="1"/>
  <c r="BU292" i="1"/>
  <c r="AN293" i="1"/>
  <c r="AO293" i="1"/>
  <c r="AP293" i="1"/>
  <c r="BU293" i="1"/>
  <c r="AN294" i="1"/>
  <c r="AO294" i="1"/>
  <c r="AP294" i="1"/>
  <c r="BU294" i="1"/>
  <c r="AN295" i="1"/>
  <c r="AO295" i="1"/>
  <c r="AP295" i="1"/>
  <c r="BU295" i="1"/>
  <c r="AN296" i="1"/>
  <c r="AO296" i="1"/>
  <c r="AP296" i="1"/>
  <c r="BU296" i="1"/>
  <c r="AN297" i="1"/>
  <c r="AO297" i="1"/>
  <c r="AP297" i="1"/>
  <c r="BU297" i="1"/>
  <c r="AN298" i="1"/>
  <c r="AO298" i="1"/>
  <c r="AP298" i="1"/>
  <c r="BU298" i="1"/>
  <c r="AN299" i="1"/>
  <c r="AO299" i="1"/>
  <c r="AP299" i="1"/>
  <c r="BU299" i="1"/>
  <c r="AN300" i="1"/>
  <c r="AO300" i="1"/>
  <c r="AP300" i="1"/>
  <c r="BU300" i="1"/>
  <c r="AN301" i="1"/>
  <c r="AO301" i="1"/>
  <c r="AP301" i="1"/>
  <c r="BU301" i="1"/>
  <c r="AN302" i="1"/>
  <c r="AO302" i="1"/>
  <c r="AP302" i="1"/>
  <c r="BU302" i="1"/>
  <c r="AN303" i="1"/>
  <c r="AO303" i="1"/>
  <c r="AP303" i="1"/>
  <c r="BU303" i="1"/>
  <c r="AN304" i="1"/>
  <c r="AO304" i="1"/>
  <c r="AP304" i="1"/>
  <c r="BU304" i="1"/>
  <c r="AN305" i="1"/>
  <c r="AO305" i="1"/>
  <c r="AP305" i="1"/>
  <c r="BU305" i="1"/>
  <c r="AN306" i="1"/>
  <c r="AO306" i="1"/>
  <c r="AP306" i="1"/>
  <c r="BU306" i="1"/>
  <c r="AN307" i="1"/>
  <c r="AO307" i="1"/>
  <c r="AP307" i="1"/>
  <c r="BU307" i="1"/>
  <c r="AN308" i="1"/>
  <c r="AO308" i="1"/>
  <c r="AP308" i="1"/>
  <c r="BU308" i="1"/>
  <c r="AN309" i="1"/>
  <c r="AO309" i="1"/>
  <c r="AP309" i="1"/>
  <c r="BU309" i="1"/>
  <c r="AN310" i="1"/>
  <c r="AO310" i="1"/>
  <c r="AP310" i="1"/>
  <c r="BU310" i="1"/>
  <c r="AN14" i="1"/>
  <c r="AO14" i="1"/>
  <c r="AP14" i="1"/>
  <c r="BU14" i="1"/>
  <c r="AN15" i="1"/>
  <c r="AO15" i="1"/>
  <c r="AP15" i="1"/>
  <c r="BU15" i="1"/>
  <c r="AN16" i="1"/>
  <c r="AO16" i="1"/>
  <c r="AP16" i="1"/>
  <c r="BU16" i="1"/>
  <c r="AN17" i="1"/>
  <c r="AO17" i="1"/>
  <c r="AP17" i="1"/>
  <c r="AN18" i="1"/>
  <c r="AO18" i="1"/>
  <c r="AP18" i="1"/>
  <c r="AN19" i="1"/>
  <c r="AO19" i="1"/>
  <c r="AP19" i="1"/>
  <c r="AN20" i="1"/>
  <c r="AO20" i="1"/>
  <c r="AP20" i="1"/>
  <c r="AN21" i="1"/>
  <c r="AO21" i="1"/>
  <c r="AP21" i="1"/>
  <c r="BU21" i="1"/>
  <c r="AN22" i="1"/>
  <c r="AO22" i="1"/>
  <c r="AP22" i="1"/>
  <c r="BU22" i="1"/>
  <c r="AN23" i="1"/>
  <c r="AO23" i="1"/>
  <c r="AP23" i="1"/>
  <c r="AN24" i="1"/>
  <c r="AO24" i="1"/>
  <c r="AP24" i="1"/>
  <c r="AN25" i="1"/>
  <c r="AO25" i="1"/>
  <c r="AP25" i="1"/>
  <c r="AN26" i="1"/>
  <c r="AO26" i="1"/>
  <c r="AP26" i="1"/>
  <c r="AN27" i="1"/>
  <c r="AO27" i="1"/>
  <c r="AP27" i="1"/>
  <c r="AN28" i="1"/>
  <c r="AO28" i="1"/>
  <c r="AP28" i="1"/>
  <c r="AN29" i="1"/>
  <c r="AO29" i="1"/>
  <c r="AP29" i="1"/>
  <c r="AN30" i="1"/>
  <c r="AO30" i="1"/>
  <c r="AP30" i="1"/>
  <c r="AN31" i="1"/>
  <c r="AO31" i="1"/>
  <c r="AP31" i="1"/>
  <c r="AN32" i="1"/>
  <c r="AO32" i="1"/>
  <c r="AP32" i="1"/>
  <c r="AN33" i="1"/>
  <c r="AO33" i="1"/>
  <c r="AP33" i="1"/>
  <c r="AN34" i="1"/>
  <c r="AO34" i="1"/>
  <c r="AP34" i="1"/>
  <c r="AN35" i="1"/>
  <c r="AO35" i="1"/>
  <c r="AP35" i="1"/>
  <c r="AN36" i="1"/>
  <c r="AO36" i="1"/>
  <c r="AP36" i="1"/>
  <c r="AN37" i="1"/>
  <c r="AO37" i="1"/>
  <c r="AP37" i="1"/>
  <c r="AN38" i="1"/>
  <c r="AO38" i="1"/>
  <c r="AP38" i="1"/>
  <c r="AN39" i="1"/>
  <c r="AO39" i="1"/>
  <c r="AP39" i="1"/>
  <c r="AN40" i="1"/>
  <c r="AO40" i="1"/>
  <c r="AP40" i="1"/>
  <c r="AN41" i="1"/>
  <c r="AO41" i="1"/>
  <c r="AP41" i="1"/>
  <c r="AN42" i="1"/>
  <c r="AO42" i="1"/>
  <c r="AP42" i="1"/>
  <c r="AN43" i="1"/>
  <c r="AO43" i="1"/>
  <c r="AP43" i="1"/>
  <c r="AN44" i="1"/>
  <c r="AO44" i="1"/>
  <c r="AP44" i="1"/>
  <c r="AN45" i="1"/>
  <c r="AO45" i="1"/>
  <c r="AP45" i="1"/>
  <c r="AN46" i="1"/>
  <c r="AO46" i="1"/>
  <c r="AP46" i="1"/>
  <c r="AN47" i="1"/>
  <c r="AO47" i="1"/>
  <c r="AP47" i="1"/>
  <c r="AN48" i="1"/>
  <c r="AO48" i="1"/>
  <c r="AP48" i="1"/>
  <c r="AN49" i="1"/>
  <c r="AO49" i="1"/>
  <c r="AP49" i="1"/>
  <c r="AN50" i="1"/>
  <c r="AO50" i="1"/>
  <c r="AP50" i="1"/>
  <c r="AN51" i="1"/>
  <c r="AO51" i="1"/>
  <c r="AP51" i="1"/>
  <c r="AN52" i="1"/>
  <c r="AO52" i="1"/>
  <c r="AP52" i="1"/>
  <c r="AN53" i="1"/>
  <c r="AO53" i="1"/>
  <c r="AP53" i="1"/>
  <c r="AN54" i="1"/>
  <c r="AO54" i="1"/>
  <c r="AP54" i="1"/>
  <c r="AN55" i="1"/>
  <c r="AO55" i="1"/>
  <c r="AP55" i="1"/>
  <c r="AN56" i="1"/>
  <c r="AO56" i="1"/>
  <c r="AP56" i="1"/>
  <c r="AN57" i="1"/>
  <c r="AO57" i="1"/>
  <c r="AP57" i="1"/>
  <c r="AN58" i="1"/>
  <c r="AO58" i="1"/>
  <c r="AP58" i="1"/>
  <c r="AN59" i="1"/>
  <c r="AO59" i="1"/>
  <c r="AP59" i="1"/>
  <c r="AN60" i="1"/>
  <c r="AO60" i="1"/>
  <c r="AP60" i="1"/>
  <c r="AN61" i="1"/>
  <c r="AO61" i="1"/>
  <c r="AP61" i="1"/>
  <c r="AN62" i="1"/>
  <c r="AO62" i="1"/>
  <c r="AP62" i="1"/>
  <c r="AN63" i="1"/>
  <c r="AO63" i="1"/>
  <c r="AP63" i="1"/>
  <c r="AN64" i="1"/>
  <c r="AO64" i="1"/>
  <c r="AP64" i="1"/>
  <c r="AN65" i="1"/>
  <c r="AO65" i="1"/>
  <c r="AP65" i="1"/>
  <c r="AN66" i="1"/>
  <c r="AO66" i="1"/>
  <c r="AP66" i="1"/>
  <c r="AN67" i="1"/>
  <c r="AO67" i="1"/>
  <c r="AP67" i="1"/>
  <c r="AN68" i="1"/>
  <c r="AO68" i="1"/>
  <c r="AP68" i="1"/>
  <c r="AN69" i="1"/>
  <c r="AO69" i="1"/>
  <c r="AP69" i="1"/>
  <c r="AN70" i="1"/>
  <c r="AO70" i="1"/>
  <c r="AP70" i="1"/>
  <c r="AN71" i="1"/>
  <c r="AO71" i="1"/>
  <c r="AP71" i="1"/>
  <c r="AN72" i="1"/>
  <c r="AO72" i="1"/>
  <c r="AP72" i="1"/>
  <c r="AN73" i="1"/>
  <c r="AO73" i="1"/>
  <c r="AP73" i="1"/>
  <c r="AN74" i="1"/>
  <c r="AO74" i="1"/>
  <c r="AP74" i="1"/>
  <c r="AN75" i="1"/>
  <c r="AO75" i="1"/>
  <c r="AP75" i="1"/>
  <c r="AN76" i="1"/>
  <c r="AO76" i="1"/>
  <c r="AP76" i="1"/>
  <c r="AN77" i="1"/>
  <c r="AO77" i="1"/>
  <c r="AP77" i="1"/>
  <c r="AN78" i="1"/>
  <c r="AO78" i="1"/>
  <c r="AP78" i="1"/>
  <c r="AN79" i="1"/>
  <c r="AO79" i="1"/>
  <c r="AP79" i="1"/>
  <c r="AN80" i="1"/>
  <c r="AO80" i="1"/>
  <c r="AP80" i="1"/>
  <c r="AN81" i="1"/>
  <c r="AO81" i="1"/>
  <c r="AP81" i="1"/>
  <c r="AN82" i="1"/>
  <c r="AO82" i="1"/>
  <c r="AP82" i="1"/>
  <c r="AN83" i="1"/>
  <c r="AO83" i="1"/>
  <c r="AP83" i="1"/>
  <c r="AN84" i="1"/>
  <c r="AO84" i="1"/>
  <c r="AP84" i="1"/>
  <c r="AN85" i="1"/>
  <c r="AO85" i="1"/>
  <c r="AP85" i="1"/>
  <c r="AN86" i="1"/>
  <c r="AO86" i="1"/>
  <c r="AP86" i="1"/>
  <c r="AN87" i="1"/>
  <c r="AO87" i="1"/>
  <c r="AP87" i="1"/>
  <c r="AN88" i="1"/>
  <c r="AO88" i="1"/>
  <c r="AP88" i="1"/>
  <c r="AN89" i="1"/>
  <c r="AO89" i="1"/>
  <c r="AP89" i="1"/>
  <c r="AN90" i="1"/>
  <c r="AO90" i="1"/>
  <c r="AP90" i="1"/>
  <c r="AN91" i="1"/>
  <c r="AO91" i="1"/>
  <c r="AP91" i="1"/>
  <c r="AN92" i="1"/>
  <c r="AO92" i="1"/>
  <c r="AP92" i="1"/>
  <c r="AN93" i="1"/>
  <c r="AO93" i="1"/>
  <c r="AP93" i="1"/>
  <c r="AN94" i="1"/>
  <c r="AO94" i="1"/>
  <c r="AP94" i="1"/>
  <c r="AN95" i="1"/>
  <c r="AO95" i="1"/>
  <c r="AP95" i="1"/>
  <c r="AN96" i="1"/>
  <c r="AO96" i="1"/>
  <c r="AP96" i="1"/>
  <c r="AN97" i="1"/>
  <c r="AO97" i="1"/>
  <c r="AP97" i="1"/>
  <c r="AN98" i="1"/>
  <c r="AO98" i="1"/>
  <c r="AP98" i="1"/>
  <c r="AN99" i="1"/>
  <c r="AO99" i="1"/>
  <c r="AP99" i="1"/>
  <c r="AN100" i="1"/>
  <c r="AO100" i="1"/>
  <c r="AP100" i="1"/>
  <c r="AN101" i="1"/>
  <c r="AO101" i="1"/>
  <c r="AP101" i="1"/>
  <c r="AN102" i="1"/>
  <c r="AO102" i="1"/>
  <c r="AP102" i="1"/>
  <c r="AN103" i="1"/>
  <c r="AO103" i="1"/>
  <c r="AP103" i="1"/>
  <c r="AN104" i="1"/>
  <c r="AO104" i="1"/>
  <c r="AP104" i="1"/>
  <c r="AN105" i="1"/>
  <c r="AO105" i="1"/>
  <c r="AP105" i="1"/>
  <c r="AN106" i="1"/>
  <c r="AO106" i="1"/>
  <c r="AP106" i="1"/>
  <c r="AN107" i="1"/>
  <c r="AO107" i="1"/>
  <c r="AP107" i="1"/>
  <c r="AN108" i="1"/>
  <c r="AO108" i="1"/>
  <c r="AP108" i="1"/>
  <c r="AN109" i="1"/>
  <c r="AO109" i="1"/>
  <c r="AP109" i="1"/>
  <c r="AN110" i="1"/>
  <c r="AO110" i="1"/>
  <c r="AP110" i="1"/>
  <c r="AN111" i="1"/>
  <c r="AO111" i="1"/>
  <c r="AP111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M5" i="1"/>
  <c r="BQ28" i="1" l="1"/>
  <c r="BN20" i="1"/>
  <c r="BU18" i="1"/>
  <c r="BN19" i="1"/>
  <c r="BU17" i="1"/>
  <c r="BN40" i="1"/>
  <c r="BN41" i="1"/>
  <c r="BK28" i="1"/>
  <c r="BK25" i="1"/>
  <c r="BH32" i="1"/>
  <c r="BH27" i="1"/>
  <c r="BH29" i="1"/>
  <c r="BK120" i="18"/>
  <c r="BJ119" i="18"/>
  <c r="AT120" i="18"/>
  <c r="AS119" i="18"/>
  <c r="AC120" i="18"/>
  <c r="AB119" i="18"/>
  <c r="L120" i="18"/>
  <c r="K119" i="18"/>
  <c r="BK93" i="18"/>
  <c r="BJ92" i="18"/>
  <c r="AT93" i="18"/>
  <c r="AS92" i="18"/>
  <c r="AC93" i="18"/>
  <c r="AB92" i="18"/>
  <c r="L93" i="18"/>
  <c r="K92" i="18"/>
  <c r="BK66" i="18"/>
  <c r="BJ65" i="18"/>
  <c r="AT66" i="18"/>
  <c r="AS65" i="18"/>
  <c r="AC66" i="18"/>
  <c r="AB65" i="18"/>
  <c r="L66" i="18"/>
  <c r="K65" i="18"/>
  <c r="BK39" i="18"/>
  <c r="BJ38" i="18"/>
  <c r="AT39" i="18"/>
  <c r="AS38" i="18"/>
  <c r="AC39" i="18"/>
  <c r="AB38" i="18"/>
  <c r="L39" i="18"/>
  <c r="K38" i="18"/>
  <c r="BK12" i="18"/>
  <c r="BJ11" i="18"/>
  <c r="AT12" i="18"/>
  <c r="AS11" i="18"/>
  <c r="AC12" i="18"/>
  <c r="AB11" i="18"/>
  <c r="BU19" i="1" l="1"/>
  <c r="BU20" i="1"/>
  <c r="BL43" i="1"/>
  <c r="BL42" i="1"/>
  <c r="BK30" i="1"/>
  <c r="BK27" i="1"/>
  <c r="BH31" i="1"/>
  <c r="BH34" i="1"/>
  <c r="BU23" i="1"/>
  <c r="BR8" i="1"/>
  <c r="BT8" i="1"/>
  <c r="C415" i="16"/>
  <c r="M414" i="16"/>
  <c r="C414" i="16"/>
  <c r="C413" i="16"/>
  <c r="X412" i="16"/>
  <c r="N412" i="16"/>
  <c r="C412" i="16"/>
  <c r="C388" i="16"/>
  <c r="M387" i="16"/>
  <c r="C387" i="16"/>
  <c r="C386" i="16"/>
  <c r="X385" i="16"/>
  <c r="N385" i="16"/>
  <c r="C385" i="16"/>
  <c r="C361" i="16"/>
  <c r="M360" i="16"/>
  <c r="C360" i="16"/>
  <c r="C359" i="16"/>
  <c r="X358" i="16"/>
  <c r="N358" i="16"/>
  <c r="C358" i="16"/>
  <c r="C334" i="16"/>
  <c r="M333" i="16"/>
  <c r="C333" i="16"/>
  <c r="C332" i="16"/>
  <c r="X331" i="16"/>
  <c r="N331" i="16"/>
  <c r="C331" i="16"/>
  <c r="C307" i="16"/>
  <c r="M306" i="16"/>
  <c r="C306" i="16"/>
  <c r="C305" i="16"/>
  <c r="X304" i="16"/>
  <c r="N304" i="16"/>
  <c r="C304" i="16"/>
  <c r="C279" i="16"/>
  <c r="M278" i="16"/>
  <c r="C278" i="16"/>
  <c r="C277" i="16"/>
  <c r="X276" i="16"/>
  <c r="N276" i="16"/>
  <c r="C276" i="16"/>
  <c r="C252" i="16"/>
  <c r="M251" i="16"/>
  <c r="C251" i="16"/>
  <c r="C250" i="16"/>
  <c r="X249" i="16"/>
  <c r="N249" i="16"/>
  <c r="C249" i="16"/>
  <c r="C225" i="16"/>
  <c r="M224" i="16"/>
  <c r="C224" i="16"/>
  <c r="C223" i="16"/>
  <c r="X222" i="16"/>
  <c r="N222" i="16"/>
  <c r="C222" i="16"/>
  <c r="C198" i="16"/>
  <c r="M197" i="16"/>
  <c r="C197" i="16"/>
  <c r="C196" i="16"/>
  <c r="X195" i="16"/>
  <c r="N195" i="16"/>
  <c r="C195" i="16"/>
  <c r="C171" i="16"/>
  <c r="M170" i="16"/>
  <c r="C170" i="16"/>
  <c r="C169" i="16"/>
  <c r="X168" i="16"/>
  <c r="N168" i="16"/>
  <c r="C168" i="16"/>
  <c r="C144" i="16"/>
  <c r="M143" i="16"/>
  <c r="C143" i="16"/>
  <c r="C142" i="16"/>
  <c r="X141" i="16"/>
  <c r="N141" i="16"/>
  <c r="C141" i="16"/>
  <c r="C117" i="16"/>
  <c r="M116" i="16"/>
  <c r="C116" i="16"/>
  <c r="C115" i="16"/>
  <c r="X114" i="16"/>
  <c r="N114" i="16"/>
  <c r="C114" i="16"/>
  <c r="C90" i="16"/>
  <c r="M89" i="16"/>
  <c r="C89" i="16"/>
  <c r="C88" i="16"/>
  <c r="X87" i="16"/>
  <c r="N87" i="16"/>
  <c r="C87" i="16"/>
  <c r="C63" i="16"/>
  <c r="M62" i="16"/>
  <c r="C62" i="16"/>
  <c r="C61" i="16"/>
  <c r="X60" i="16"/>
  <c r="N60" i="16"/>
  <c r="C60" i="16"/>
  <c r="M35" i="16"/>
  <c r="X33" i="16"/>
  <c r="C5" i="16"/>
  <c r="N33" i="16"/>
  <c r="C36" i="16"/>
  <c r="C35" i="16"/>
  <c r="C34" i="16"/>
  <c r="C33" i="16"/>
  <c r="C409" i="16"/>
  <c r="AC409" i="16" s="1"/>
  <c r="B409" i="16"/>
  <c r="C408" i="16"/>
  <c r="Q408" i="16" s="1"/>
  <c r="B408" i="16"/>
  <c r="C407" i="16"/>
  <c r="V407" i="16" s="1"/>
  <c r="B407" i="16"/>
  <c r="C406" i="16"/>
  <c r="Q406" i="16" s="1"/>
  <c r="B406" i="16"/>
  <c r="C405" i="16"/>
  <c r="AC405" i="16" s="1"/>
  <c r="B405" i="16"/>
  <c r="C404" i="16"/>
  <c r="W404" i="16" s="1"/>
  <c r="B404" i="16"/>
  <c r="C403" i="16"/>
  <c r="W403" i="16" s="1"/>
  <c r="B403" i="16"/>
  <c r="C402" i="16"/>
  <c r="W402" i="16" s="1"/>
  <c r="B402" i="16"/>
  <c r="C401" i="16"/>
  <c r="B401" i="16"/>
  <c r="C400" i="16"/>
  <c r="B400" i="16"/>
  <c r="C399" i="16"/>
  <c r="AC399" i="16" s="1"/>
  <c r="B399" i="16"/>
  <c r="C398" i="16"/>
  <c r="AE398" i="16" s="1"/>
  <c r="B398" i="16"/>
  <c r="C397" i="16"/>
  <c r="AE397" i="16" s="1"/>
  <c r="B397" i="16"/>
  <c r="C396" i="16"/>
  <c r="P396" i="16" s="1"/>
  <c r="B396" i="16"/>
  <c r="C395" i="16"/>
  <c r="Z395" i="16" s="1"/>
  <c r="B395" i="16"/>
  <c r="C394" i="16"/>
  <c r="AE394" i="16" s="1"/>
  <c r="B394" i="16"/>
  <c r="C393" i="16"/>
  <c r="Z393" i="16" s="1"/>
  <c r="B393" i="16"/>
  <c r="C392" i="16"/>
  <c r="W392" i="16" s="1"/>
  <c r="B392" i="16"/>
  <c r="C391" i="16"/>
  <c r="J391" i="16" s="1"/>
  <c r="B391" i="16"/>
  <c r="C390" i="16"/>
  <c r="AE390" i="16" s="1"/>
  <c r="B390" i="16"/>
  <c r="C382" i="16"/>
  <c r="Z382" i="16" s="1"/>
  <c r="B382" i="16"/>
  <c r="C381" i="16"/>
  <c r="W381" i="16" s="1"/>
  <c r="B381" i="16"/>
  <c r="C380" i="16"/>
  <c r="B380" i="16"/>
  <c r="C379" i="16"/>
  <c r="Z379" i="16" s="1"/>
  <c r="B379" i="16"/>
  <c r="C378" i="16"/>
  <c r="Z378" i="16" s="1"/>
  <c r="B378" i="16"/>
  <c r="C377" i="16"/>
  <c r="W377" i="16" s="1"/>
  <c r="B377" i="16"/>
  <c r="C376" i="16"/>
  <c r="AE376" i="16" s="1"/>
  <c r="B376" i="16"/>
  <c r="C375" i="16"/>
  <c r="Z375" i="16" s="1"/>
  <c r="B375" i="16"/>
  <c r="C374" i="16"/>
  <c r="Z374" i="16" s="1"/>
  <c r="B374" i="16"/>
  <c r="C373" i="16"/>
  <c r="Z373" i="16" s="1"/>
  <c r="B373" i="16"/>
  <c r="C372" i="16"/>
  <c r="Z372" i="16" s="1"/>
  <c r="B372" i="16"/>
  <c r="C371" i="16"/>
  <c r="W371" i="16" s="1"/>
  <c r="B371" i="16"/>
  <c r="C370" i="16"/>
  <c r="B370" i="16"/>
  <c r="C369" i="16"/>
  <c r="Z369" i="16" s="1"/>
  <c r="B369" i="16"/>
  <c r="C368" i="16"/>
  <c r="Z368" i="16" s="1"/>
  <c r="B368" i="16"/>
  <c r="C367" i="16"/>
  <c r="W367" i="16" s="1"/>
  <c r="B367" i="16"/>
  <c r="C366" i="16"/>
  <c r="B366" i="16"/>
  <c r="C365" i="16"/>
  <c r="Z365" i="16" s="1"/>
  <c r="B365" i="16"/>
  <c r="C364" i="16"/>
  <c r="Z364" i="16" s="1"/>
  <c r="B364" i="16"/>
  <c r="C363" i="16"/>
  <c r="W363" i="16" s="1"/>
  <c r="B363" i="16"/>
  <c r="C355" i="16"/>
  <c r="J355" i="16" s="1"/>
  <c r="B355" i="16"/>
  <c r="C354" i="16"/>
  <c r="AE354" i="16" s="1"/>
  <c r="B354" i="16"/>
  <c r="C353" i="16"/>
  <c r="Z353" i="16" s="1"/>
  <c r="B353" i="16"/>
  <c r="C352" i="16"/>
  <c r="W352" i="16" s="1"/>
  <c r="B352" i="16"/>
  <c r="C351" i="16"/>
  <c r="B351" i="16"/>
  <c r="C350" i="16"/>
  <c r="AF350" i="16" s="1"/>
  <c r="B350" i="16"/>
  <c r="C349" i="16"/>
  <c r="V349" i="16" s="1"/>
  <c r="B349" i="16"/>
  <c r="C348" i="16"/>
  <c r="AF348" i="16" s="1"/>
  <c r="B348" i="16"/>
  <c r="C347" i="16"/>
  <c r="AE347" i="16" s="1"/>
  <c r="B347" i="16"/>
  <c r="C346" i="16"/>
  <c r="AE346" i="16" s="1"/>
  <c r="B346" i="16"/>
  <c r="C345" i="16"/>
  <c r="AE345" i="16" s="1"/>
  <c r="B345" i="16"/>
  <c r="C344" i="16"/>
  <c r="B344" i="16"/>
  <c r="C343" i="16"/>
  <c r="AE343" i="16" s="1"/>
  <c r="B343" i="16"/>
  <c r="C342" i="16"/>
  <c r="AE342" i="16" s="1"/>
  <c r="B342" i="16"/>
  <c r="C341" i="16"/>
  <c r="AE341" i="16" s="1"/>
  <c r="B341" i="16"/>
  <c r="C340" i="16"/>
  <c r="P340" i="16" s="1"/>
  <c r="B340" i="16"/>
  <c r="C339" i="16"/>
  <c r="AC339" i="16" s="1"/>
  <c r="B339" i="16"/>
  <c r="C338" i="16"/>
  <c r="AE338" i="16" s="1"/>
  <c r="B338" i="16"/>
  <c r="C337" i="16"/>
  <c r="AE337" i="16" s="1"/>
  <c r="B337" i="16"/>
  <c r="C336" i="16"/>
  <c r="AE336" i="16" s="1"/>
  <c r="B336" i="16"/>
  <c r="C328" i="16"/>
  <c r="B328" i="16"/>
  <c r="C327" i="16"/>
  <c r="P327" i="16" s="1"/>
  <c r="B327" i="16"/>
  <c r="C326" i="16"/>
  <c r="AB326" i="16" s="1"/>
  <c r="B326" i="16"/>
  <c r="C325" i="16"/>
  <c r="AE325" i="16" s="1"/>
  <c r="B325" i="16"/>
  <c r="C324" i="16"/>
  <c r="M324" i="16" s="1"/>
  <c r="B324" i="16"/>
  <c r="C323" i="16"/>
  <c r="AF323" i="16" s="1"/>
  <c r="B323" i="16"/>
  <c r="C322" i="16"/>
  <c r="AB322" i="16" s="1"/>
  <c r="B322" i="16"/>
  <c r="C321" i="16"/>
  <c r="M321" i="16" s="1"/>
  <c r="B321" i="16"/>
  <c r="C320" i="16"/>
  <c r="B320" i="16"/>
  <c r="C319" i="16"/>
  <c r="AF319" i="16" s="1"/>
  <c r="B319" i="16"/>
  <c r="C318" i="16"/>
  <c r="M318" i="16" s="1"/>
  <c r="B318" i="16"/>
  <c r="C317" i="16"/>
  <c r="Q317" i="16" s="1"/>
  <c r="B317" i="16"/>
  <c r="C316" i="16"/>
  <c r="B316" i="16"/>
  <c r="C315" i="16"/>
  <c r="Y315" i="16" s="1"/>
  <c r="B315" i="16"/>
  <c r="C314" i="16"/>
  <c r="AF314" i="16" s="1"/>
  <c r="B314" i="16"/>
  <c r="C313" i="16"/>
  <c r="AC313" i="16" s="1"/>
  <c r="B313" i="16"/>
  <c r="C312" i="16"/>
  <c r="B312" i="16"/>
  <c r="C311" i="16"/>
  <c r="Y311" i="16" s="1"/>
  <c r="B311" i="16"/>
  <c r="C310" i="16"/>
  <c r="AE310" i="16" s="1"/>
  <c r="B310" i="16"/>
  <c r="C309" i="16"/>
  <c r="AC309" i="16" s="1"/>
  <c r="B309" i="16"/>
  <c r="C301" i="16"/>
  <c r="Q301" i="16" s="1"/>
  <c r="B301" i="16"/>
  <c r="C300" i="16"/>
  <c r="AF300" i="16" s="1"/>
  <c r="B300" i="16"/>
  <c r="C299" i="16"/>
  <c r="M299" i="16" s="1"/>
  <c r="B299" i="16"/>
  <c r="C298" i="16"/>
  <c r="J298" i="16" s="1"/>
  <c r="B298" i="16"/>
  <c r="C297" i="16"/>
  <c r="Y297" i="16" s="1"/>
  <c r="B297" i="16"/>
  <c r="C296" i="16"/>
  <c r="AF296" i="16" s="1"/>
  <c r="B296" i="16"/>
  <c r="C295" i="16"/>
  <c r="AF295" i="16" s="1"/>
  <c r="B295" i="16"/>
  <c r="C294" i="16"/>
  <c r="AF294" i="16" s="1"/>
  <c r="B294" i="16"/>
  <c r="C293" i="16"/>
  <c r="AF293" i="16" s="1"/>
  <c r="B293" i="16"/>
  <c r="C292" i="16"/>
  <c r="AF292" i="16" s="1"/>
  <c r="B292" i="16"/>
  <c r="C291" i="16"/>
  <c r="AF291" i="16" s="1"/>
  <c r="B291" i="16"/>
  <c r="C290" i="16"/>
  <c r="AF290" i="16" s="1"/>
  <c r="B290" i="16"/>
  <c r="C289" i="16"/>
  <c r="B289" i="16"/>
  <c r="C288" i="16"/>
  <c r="AF288" i="16" s="1"/>
  <c r="B288" i="16"/>
  <c r="C287" i="16"/>
  <c r="AF287" i="16" s="1"/>
  <c r="B287" i="16"/>
  <c r="C286" i="16"/>
  <c r="AF286" i="16" s="1"/>
  <c r="B286" i="16"/>
  <c r="C285" i="16"/>
  <c r="AF285" i="16" s="1"/>
  <c r="B285" i="16"/>
  <c r="C284" i="16"/>
  <c r="N284" i="16" s="1"/>
  <c r="B284" i="16"/>
  <c r="C283" i="16"/>
  <c r="B283" i="16"/>
  <c r="C282" i="16"/>
  <c r="B282" i="16"/>
  <c r="C273" i="16"/>
  <c r="AC273" i="16" s="1"/>
  <c r="B273" i="16"/>
  <c r="C272" i="16"/>
  <c r="Z272" i="16" s="1"/>
  <c r="B272" i="16"/>
  <c r="C271" i="16"/>
  <c r="Z271" i="16" s="1"/>
  <c r="B271" i="16"/>
  <c r="C270" i="16"/>
  <c r="Z270" i="16" s="1"/>
  <c r="B270" i="16"/>
  <c r="C269" i="16"/>
  <c r="B269" i="16"/>
  <c r="C268" i="16"/>
  <c r="Z268" i="16" s="1"/>
  <c r="B268" i="16"/>
  <c r="C267" i="16"/>
  <c r="Z267" i="16" s="1"/>
  <c r="B267" i="16"/>
  <c r="C266" i="16"/>
  <c r="Z266" i="16" s="1"/>
  <c r="B266" i="16"/>
  <c r="C265" i="16"/>
  <c r="Z265" i="16" s="1"/>
  <c r="B265" i="16"/>
  <c r="C264" i="16"/>
  <c r="Z264" i="16" s="1"/>
  <c r="B264" i="16"/>
  <c r="C263" i="16"/>
  <c r="K263" i="16" s="1"/>
  <c r="B263" i="16"/>
  <c r="C262" i="16"/>
  <c r="AE262" i="16" s="1"/>
  <c r="B262" i="16"/>
  <c r="C261" i="16"/>
  <c r="S261" i="16" s="1"/>
  <c r="B261" i="16"/>
  <c r="C260" i="16"/>
  <c r="AE260" i="16" s="1"/>
  <c r="B260" i="16"/>
  <c r="C259" i="16"/>
  <c r="AE259" i="16" s="1"/>
  <c r="B259" i="16"/>
  <c r="C258" i="16"/>
  <c r="B258" i="16"/>
  <c r="C257" i="16"/>
  <c r="Z257" i="16" s="1"/>
  <c r="B257" i="16"/>
  <c r="C256" i="16"/>
  <c r="B256" i="16"/>
  <c r="C255" i="16"/>
  <c r="Y255" i="16" s="1"/>
  <c r="B255" i="16"/>
  <c r="C254" i="16"/>
  <c r="Y254" i="16" s="1"/>
  <c r="B254" i="16"/>
  <c r="C246" i="16"/>
  <c r="Y246" i="16" s="1"/>
  <c r="B246" i="16"/>
  <c r="C245" i="16"/>
  <c r="B245" i="16"/>
  <c r="C244" i="16"/>
  <c r="Y244" i="16" s="1"/>
  <c r="B244" i="16"/>
  <c r="C243" i="16"/>
  <c r="S243" i="16" s="1"/>
  <c r="B243" i="16"/>
  <c r="C242" i="16"/>
  <c r="AC242" i="16" s="1"/>
  <c r="B242" i="16"/>
  <c r="C241" i="16"/>
  <c r="B241" i="16"/>
  <c r="C240" i="16"/>
  <c r="K240" i="16" s="1"/>
  <c r="B240" i="16"/>
  <c r="C239" i="16"/>
  <c r="B239" i="16"/>
  <c r="C238" i="16"/>
  <c r="AE238" i="16" s="1"/>
  <c r="B238" i="16"/>
  <c r="C237" i="16"/>
  <c r="G237" i="16" s="1"/>
  <c r="B237" i="16"/>
  <c r="C236" i="16"/>
  <c r="AE236" i="16" s="1"/>
  <c r="B236" i="16"/>
  <c r="C235" i="16"/>
  <c r="AE235" i="16" s="1"/>
  <c r="B235" i="16"/>
  <c r="C234" i="16"/>
  <c r="B234" i="16"/>
  <c r="C233" i="16"/>
  <c r="B233" i="16"/>
  <c r="C232" i="16"/>
  <c r="Z232" i="16" s="1"/>
  <c r="B232" i="16"/>
  <c r="C231" i="16"/>
  <c r="AE231" i="16" s="1"/>
  <c r="B231" i="16"/>
  <c r="C230" i="16"/>
  <c r="V230" i="16" s="1"/>
  <c r="B230" i="16"/>
  <c r="C229" i="16"/>
  <c r="W229" i="16" s="1"/>
  <c r="B229" i="16"/>
  <c r="C228" i="16"/>
  <c r="Z228" i="16" s="1"/>
  <c r="B228" i="16"/>
  <c r="C227" i="16"/>
  <c r="AE227" i="16" s="1"/>
  <c r="B227" i="16"/>
  <c r="C219" i="16"/>
  <c r="B219" i="16"/>
  <c r="C218" i="16"/>
  <c r="W218" i="16" s="1"/>
  <c r="B218" i="16"/>
  <c r="C217" i="16"/>
  <c r="Z217" i="16" s="1"/>
  <c r="B217" i="16"/>
  <c r="C216" i="16"/>
  <c r="W216" i="16" s="1"/>
  <c r="B216" i="16"/>
  <c r="C215" i="16"/>
  <c r="B215" i="16"/>
  <c r="C214" i="16"/>
  <c r="W214" i="16" s="1"/>
  <c r="B214" i="16"/>
  <c r="C213" i="16"/>
  <c r="W213" i="16" s="1"/>
  <c r="B213" i="16"/>
  <c r="C212" i="16"/>
  <c r="AC212" i="16" s="1"/>
  <c r="B212" i="16"/>
  <c r="C211" i="16"/>
  <c r="AE211" i="16" s="1"/>
  <c r="B211" i="16"/>
  <c r="C210" i="16"/>
  <c r="W210" i="16" s="1"/>
  <c r="B210" i="16"/>
  <c r="C209" i="16"/>
  <c r="M209" i="16" s="1"/>
  <c r="B209" i="16"/>
  <c r="C208" i="16"/>
  <c r="W208" i="16" s="1"/>
  <c r="B208" i="16"/>
  <c r="C207" i="16"/>
  <c r="AE207" i="16" s="1"/>
  <c r="B207" i="16"/>
  <c r="C206" i="16"/>
  <c r="B206" i="16"/>
  <c r="C205" i="16"/>
  <c r="AC205" i="16" s="1"/>
  <c r="B205" i="16"/>
  <c r="C204" i="16"/>
  <c r="M204" i="16" s="1"/>
  <c r="B204" i="16"/>
  <c r="C203" i="16"/>
  <c r="AB203" i="16" s="1"/>
  <c r="B203" i="16"/>
  <c r="C202" i="16"/>
  <c r="B202" i="16"/>
  <c r="C201" i="16"/>
  <c r="AB201" i="16" s="1"/>
  <c r="B201" i="16"/>
  <c r="C200" i="16"/>
  <c r="AB200" i="16" s="1"/>
  <c r="B200" i="16"/>
  <c r="C192" i="16"/>
  <c r="AB192" i="16" s="1"/>
  <c r="B192" i="16"/>
  <c r="C191" i="16"/>
  <c r="AB191" i="16" s="1"/>
  <c r="B191" i="16"/>
  <c r="C190" i="16"/>
  <c r="AB190" i="16" s="1"/>
  <c r="B190" i="16"/>
  <c r="C189" i="16"/>
  <c r="B189" i="16"/>
  <c r="C188" i="16"/>
  <c r="AB188" i="16" s="1"/>
  <c r="B188" i="16"/>
  <c r="C187" i="16"/>
  <c r="P187" i="16" s="1"/>
  <c r="B187" i="16"/>
  <c r="C186" i="16"/>
  <c r="B186" i="16"/>
  <c r="C185" i="16"/>
  <c r="B185" i="16"/>
  <c r="C184" i="16"/>
  <c r="AE184" i="16" s="1"/>
  <c r="B184" i="16"/>
  <c r="C183" i="16"/>
  <c r="AE183" i="16" s="1"/>
  <c r="B183" i="16"/>
  <c r="C182" i="16"/>
  <c r="B182" i="16"/>
  <c r="C181" i="16"/>
  <c r="B181" i="16"/>
  <c r="C180" i="16"/>
  <c r="AE180" i="16" s="1"/>
  <c r="B180" i="16"/>
  <c r="C179" i="16"/>
  <c r="AE179" i="16" s="1"/>
  <c r="B179" i="16"/>
  <c r="C178" i="16"/>
  <c r="B178" i="16"/>
  <c r="C177" i="16"/>
  <c r="B177" i="16"/>
  <c r="C176" i="16"/>
  <c r="B176" i="16"/>
  <c r="C175" i="16"/>
  <c r="AE175" i="16" s="1"/>
  <c r="B175" i="16"/>
  <c r="C174" i="16"/>
  <c r="AE174" i="16" s="1"/>
  <c r="B174" i="16"/>
  <c r="C173" i="16"/>
  <c r="B173" i="16"/>
  <c r="C165" i="16"/>
  <c r="AE165" i="16" s="1"/>
  <c r="B165" i="16"/>
  <c r="C164" i="16"/>
  <c r="B164" i="16"/>
  <c r="C163" i="16"/>
  <c r="E163" i="16" s="1"/>
  <c r="B163" i="16"/>
  <c r="C162" i="16"/>
  <c r="B162" i="16"/>
  <c r="C161" i="16"/>
  <c r="E161" i="16" s="1"/>
  <c r="B161" i="16"/>
  <c r="C160" i="16"/>
  <c r="B160" i="16"/>
  <c r="C159" i="16"/>
  <c r="B159" i="16"/>
  <c r="C158" i="16"/>
  <c r="B158" i="16"/>
  <c r="C157" i="16"/>
  <c r="B157" i="16"/>
  <c r="C156" i="16"/>
  <c r="B156" i="16"/>
  <c r="C155" i="16"/>
  <c r="B155" i="16"/>
  <c r="C154" i="16"/>
  <c r="B154" i="16"/>
  <c r="C153" i="16"/>
  <c r="B153" i="16"/>
  <c r="C152" i="16"/>
  <c r="B152" i="16"/>
  <c r="C151" i="16"/>
  <c r="B151" i="16"/>
  <c r="C150" i="16"/>
  <c r="N150" i="16" s="1"/>
  <c r="B150" i="16"/>
  <c r="C149" i="16"/>
  <c r="S149" i="16" s="1"/>
  <c r="B149" i="16"/>
  <c r="C148" i="16"/>
  <c r="B148" i="16"/>
  <c r="C147" i="16"/>
  <c r="AF147" i="16" s="1"/>
  <c r="B147" i="16"/>
  <c r="C146" i="16"/>
  <c r="AC146" i="16" s="1"/>
  <c r="B146" i="16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P13" i="1"/>
  <c r="AP12" i="1"/>
  <c r="AP11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N11" i="1"/>
  <c r="AO11" i="1"/>
  <c r="AN12" i="1"/>
  <c r="AO12" i="1"/>
  <c r="AN13" i="1"/>
  <c r="AO13" i="1"/>
  <c r="AM13" i="1"/>
  <c r="AM12" i="1"/>
  <c r="AM11" i="1"/>
  <c r="BQ30" i="1" l="1"/>
  <c r="BN42" i="1"/>
  <c r="BN43" i="1"/>
  <c r="BU24" i="1"/>
  <c r="E341" i="16"/>
  <c r="P313" i="16"/>
  <c r="AE364" i="16"/>
  <c r="W232" i="16"/>
  <c r="W395" i="16"/>
  <c r="AE208" i="16"/>
  <c r="Q285" i="16"/>
  <c r="J365" i="16"/>
  <c r="D327" i="16"/>
  <c r="AE373" i="16"/>
  <c r="V327" i="16"/>
  <c r="G265" i="16"/>
  <c r="N336" i="16"/>
  <c r="G364" i="16"/>
  <c r="G365" i="16"/>
  <c r="G184" i="16"/>
  <c r="G213" i="16"/>
  <c r="E216" i="16"/>
  <c r="Q293" i="16"/>
  <c r="D311" i="16"/>
  <c r="D323" i="16"/>
  <c r="Z213" i="16"/>
  <c r="G216" i="16"/>
  <c r="Q311" i="16"/>
  <c r="N318" i="16"/>
  <c r="O318" i="16" s="1"/>
  <c r="M323" i="16"/>
  <c r="P338" i="16"/>
  <c r="E345" i="16"/>
  <c r="Q209" i="16"/>
  <c r="Q216" i="16"/>
  <c r="AE393" i="16"/>
  <c r="P191" i="16"/>
  <c r="AC217" i="16"/>
  <c r="M218" i="16"/>
  <c r="AE228" i="16"/>
  <c r="Z229" i="16"/>
  <c r="N230" i="16"/>
  <c r="E321" i="16"/>
  <c r="AB341" i="16"/>
  <c r="AB345" i="16"/>
  <c r="AE374" i="16"/>
  <c r="J375" i="16"/>
  <c r="AE378" i="16"/>
  <c r="J379" i="16"/>
  <c r="AE382" i="16"/>
  <c r="J208" i="16"/>
  <c r="Z210" i="16"/>
  <c r="E213" i="16"/>
  <c r="AE216" i="16"/>
  <c r="W230" i="16"/>
  <c r="X230" i="16" s="1"/>
  <c r="K237" i="16"/>
  <c r="W265" i="16"/>
  <c r="Z317" i="16"/>
  <c r="E327" i="16"/>
  <c r="H338" i="16"/>
  <c r="D341" i="16"/>
  <c r="D345" i="16"/>
  <c r="J394" i="16"/>
  <c r="G180" i="16"/>
  <c r="K191" i="16"/>
  <c r="E218" i="16"/>
  <c r="N228" i="16"/>
  <c r="J229" i="16"/>
  <c r="G230" i="16"/>
  <c r="V291" i="16"/>
  <c r="Q299" i="16"/>
  <c r="D321" i="16"/>
  <c r="T322" i="16"/>
  <c r="Z327" i="16"/>
  <c r="Y341" i="16"/>
  <c r="Y345" i="16"/>
  <c r="AB352" i="16"/>
  <c r="G374" i="16"/>
  <c r="G375" i="16"/>
  <c r="G378" i="16"/>
  <c r="G379" i="16"/>
  <c r="G382" i="16"/>
  <c r="J390" i="16"/>
  <c r="P319" i="16"/>
  <c r="AB324" i="16"/>
  <c r="AC340" i="16"/>
  <c r="AF349" i="16"/>
  <c r="V397" i="16"/>
  <c r="N398" i="16"/>
  <c r="G165" i="16"/>
  <c r="P200" i="16"/>
  <c r="E205" i="16"/>
  <c r="Q208" i="16"/>
  <c r="G254" i="16"/>
  <c r="AC285" i="16"/>
  <c r="Y291" i="16"/>
  <c r="AC299" i="16"/>
  <c r="AB318" i="16"/>
  <c r="D319" i="16"/>
  <c r="V319" i="16"/>
  <c r="V322" i="16"/>
  <c r="E324" i="16"/>
  <c r="V336" i="16"/>
  <c r="N339" i="16"/>
  <c r="H340" i="16"/>
  <c r="AF340" i="16"/>
  <c r="G349" i="16"/>
  <c r="G368" i="16"/>
  <c r="G369" i="16"/>
  <c r="D397" i="16"/>
  <c r="Z397" i="16"/>
  <c r="D398" i="16"/>
  <c r="Y398" i="16"/>
  <c r="H399" i="16"/>
  <c r="G402" i="16"/>
  <c r="M406" i="16"/>
  <c r="E214" i="16"/>
  <c r="M255" i="16"/>
  <c r="G266" i="16"/>
  <c r="G267" i="16"/>
  <c r="AC293" i="16"/>
  <c r="G174" i="16"/>
  <c r="K204" i="16"/>
  <c r="Q205" i="16"/>
  <c r="E208" i="16"/>
  <c r="V208" i="16"/>
  <c r="X208" i="16" s="1"/>
  <c r="AC213" i="16"/>
  <c r="M214" i="16"/>
  <c r="V216" i="16"/>
  <c r="X216" i="16" s="1"/>
  <c r="G217" i="16"/>
  <c r="G232" i="16"/>
  <c r="AE254" i="16"/>
  <c r="J257" i="16"/>
  <c r="AE265" i="16"/>
  <c r="W266" i="16"/>
  <c r="E285" i="16"/>
  <c r="M287" i="16"/>
  <c r="J290" i="16"/>
  <c r="E291" i="16"/>
  <c r="E293" i="16"/>
  <c r="M295" i="16"/>
  <c r="E299" i="16"/>
  <c r="E301" i="16"/>
  <c r="E309" i="16"/>
  <c r="D314" i="16"/>
  <c r="E318" i="16"/>
  <c r="AF318" i="16"/>
  <c r="E319" i="16"/>
  <c r="Z319" i="16"/>
  <c r="T321" i="16"/>
  <c r="E322" i="16"/>
  <c r="J324" i="16"/>
  <c r="M327" i="16"/>
  <c r="E336" i="16"/>
  <c r="Y336" i="16"/>
  <c r="V338" i="16"/>
  <c r="N340" i="16"/>
  <c r="N341" i="16"/>
  <c r="H343" i="16"/>
  <c r="N345" i="16"/>
  <c r="H347" i="16"/>
  <c r="K349" i="16"/>
  <c r="G353" i="16"/>
  <c r="W365" i="16"/>
  <c r="AE368" i="16"/>
  <c r="J369" i="16"/>
  <c r="G372" i="16"/>
  <c r="J373" i="16"/>
  <c r="G393" i="16"/>
  <c r="G395" i="16"/>
  <c r="H397" i="16"/>
  <c r="AC397" i="16"/>
  <c r="E398" i="16"/>
  <c r="Z398" i="16"/>
  <c r="V399" i="16"/>
  <c r="M402" i="16"/>
  <c r="G208" i="16"/>
  <c r="Z208" i="16"/>
  <c r="Q217" i="16"/>
  <c r="N232" i="16"/>
  <c r="N257" i="16"/>
  <c r="M285" i="16"/>
  <c r="AC287" i="16"/>
  <c r="V290" i="16"/>
  <c r="J291" i="16"/>
  <c r="M293" i="16"/>
  <c r="AC295" i="16"/>
  <c r="V309" i="16"/>
  <c r="M314" i="16"/>
  <c r="M319" i="16"/>
  <c r="AB321" i="16"/>
  <c r="H322" i="16"/>
  <c r="Z324" i="16"/>
  <c r="H336" i="16"/>
  <c r="AC336" i="16"/>
  <c r="P341" i="16"/>
  <c r="P343" i="16"/>
  <c r="P345" i="16"/>
  <c r="P347" i="16"/>
  <c r="AB349" i="16"/>
  <c r="J353" i="16"/>
  <c r="W369" i="16"/>
  <c r="AE372" i="16"/>
  <c r="W393" i="16"/>
  <c r="J395" i="16"/>
  <c r="M397" i="16"/>
  <c r="M398" i="16"/>
  <c r="AC402" i="16"/>
  <c r="V282" i="16"/>
  <c r="W282" i="16"/>
  <c r="K282" i="16"/>
  <c r="AF289" i="16"/>
  <c r="Q289" i="16"/>
  <c r="M289" i="16"/>
  <c r="AC289" i="16"/>
  <c r="E289" i="16"/>
  <c r="Y289" i="16"/>
  <c r="AE186" i="16"/>
  <c r="G186" i="16"/>
  <c r="Y162" i="16"/>
  <c r="W162" i="16"/>
  <c r="AB202" i="16"/>
  <c r="K202" i="16"/>
  <c r="P202" i="16"/>
  <c r="W206" i="16"/>
  <c r="Z206" i="16"/>
  <c r="E206" i="16"/>
  <c r="AE215" i="16"/>
  <c r="W215" i="16"/>
  <c r="V234" i="16"/>
  <c r="W234" i="16"/>
  <c r="N234" i="16"/>
  <c r="G234" i="16"/>
  <c r="AE234" i="16"/>
  <c r="AE316" i="16"/>
  <c r="AB316" i="16"/>
  <c r="Q316" i="16"/>
  <c r="V316" i="16"/>
  <c r="J316" i="16"/>
  <c r="T316" i="16"/>
  <c r="E316" i="16"/>
  <c r="AC316" i="16"/>
  <c r="N316" i="16"/>
  <c r="D316" i="16"/>
  <c r="M316" i="16"/>
  <c r="Z316" i="16"/>
  <c r="N149" i="16"/>
  <c r="Y161" i="16"/>
  <c r="Q161" i="16"/>
  <c r="AC161" i="16"/>
  <c r="AE176" i="16"/>
  <c r="G176" i="16"/>
  <c r="AB189" i="16"/>
  <c r="P189" i="16"/>
  <c r="K189" i="16"/>
  <c r="M206" i="16"/>
  <c r="AE182" i="16"/>
  <c r="G182" i="16"/>
  <c r="AE344" i="16"/>
  <c r="Y344" i="16"/>
  <c r="H344" i="16"/>
  <c r="V344" i="16"/>
  <c r="E344" i="16"/>
  <c r="AC344" i="16"/>
  <c r="P344" i="16"/>
  <c r="N344" i="16"/>
  <c r="AF344" i="16"/>
  <c r="W212" i="16"/>
  <c r="Z212" i="16"/>
  <c r="J212" i="16"/>
  <c r="V212" i="16"/>
  <c r="G212" i="16"/>
  <c r="AE212" i="16"/>
  <c r="Q212" i="16"/>
  <c r="E212" i="16"/>
  <c r="V219" i="16"/>
  <c r="W219" i="16"/>
  <c r="G219" i="16"/>
  <c r="W233" i="16"/>
  <c r="Z233" i="16"/>
  <c r="J233" i="16"/>
  <c r="AE258" i="16"/>
  <c r="G258" i="16"/>
  <c r="Z269" i="16"/>
  <c r="AE269" i="16"/>
  <c r="W269" i="16"/>
  <c r="G269" i="16"/>
  <c r="Q283" i="16"/>
  <c r="V283" i="16"/>
  <c r="G283" i="16"/>
  <c r="AE312" i="16"/>
  <c r="Z312" i="16"/>
  <c r="J312" i="16"/>
  <c r="M312" i="16"/>
  <c r="AB312" i="16"/>
  <c r="E312" i="16"/>
  <c r="T312" i="16"/>
  <c r="D312" i="16"/>
  <c r="AE328" i="16"/>
  <c r="J328" i="16"/>
  <c r="Z328" i="16"/>
  <c r="Q328" i="16"/>
  <c r="D328" i="16"/>
  <c r="AE380" i="16"/>
  <c r="W380" i="16"/>
  <c r="J380" i="16"/>
  <c r="W205" i="16"/>
  <c r="M205" i="16"/>
  <c r="Z205" i="16"/>
  <c r="M212" i="16"/>
  <c r="Q312" i="16"/>
  <c r="AE339" i="16"/>
  <c r="AB339" i="16"/>
  <c r="AD339" i="16" s="1"/>
  <c r="Q339" i="16"/>
  <c r="E339" i="16"/>
  <c r="Z339" i="16"/>
  <c r="M339" i="16"/>
  <c r="V339" i="16"/>
  <c r="J339" i="16"/>
  <c r="T339" i="16"/>
  <c r="D339" i="16"/>
  <c r="AE163" i="16"/>
  <c r="W163" i="16"/>
  <c r="AE178" i="16"/>
  <c r="G178" i="16"/>
  <c r="Z204" i="16"/>
  <c r="G205" i="16"/>
  <c r="W209" i="16"/>
  <c r="AC209" i="16"/>
  <c r="G209" i="16"/>
  <c r="Z209" i="16"/>
  <c r="E209" i="16"/>
  <c r="Z236" i="16"/>
  <c r="W236" i="16"/>
  <c r="N236" i="16"/>
  <c r="G236" i="16"/>
  <c r="G241" i="16"/>
  <c r="K241" i="16"/>
  <c r="AF297" i="16"/>
  <c r="Q297" i="16"/>
  <c r="M297" i="16"/>
  <c r="AC297" i="16"/>
  <c r="E297" i="16"/>
  <c r="AE313" i="16"/>
  <c r="Y313" i="16"/>
  <c r="N313" i="16"/>
  <c r="D313" i="16"/>
  <c r="AB313" i="16"/>
  <c r="AD313" i="16" s="1"/>
  <c r="M313" i="16"/>
  <c r="V313" i="16"/>
  <c r="H313" i="16"/>
  <c r="T313" i="16"/>
  <c r="E313" i="16"/>
  <c r="AE315" i="16"/>
  <c r="Q315" i="16"/>
  <c r="D315" i="16"/>
  <c r="M315" i="16"/>
  <c r="AF315" i="16"/>
  <c r="J315" i="16"/>
  <c r="Z315" i="16"/>
  <c r="AA315" i="16" s="1"/>
  <c r="E315" i="16"/>
  <c r="AE348" i="16"/>
  <c r="AG348" i="16" s="1"/>
  <c r="Y348" i="16"/>
  <c r="H348" i="16"/>
  <c r="V348" i="16"/>
  <c r="E348" i="16"/>
  <c r="AC348" i="16"/>
  <c r="P348" i="16"/>
  <c r="N348" i="16"/>
  <c r="Q287" i="16"/>
  <c r="Q295" i="16"/>
  <c r="AE326" i="16"/>
  <c r="D326" i="16"/>
  <c r="M208" i="16"/>
  <c r="AC208" i="16"/>
  <c r="E210" i="16"/>
  <c r="M213" i="16"/>
  <c r="Z214" i="16"/>
  <c r="J216" i="16"/>
  <c r="Z216" i="16"/>
  <c r="Z218" i="16"/>
  <c r="AE230" i="16"/>
  <c r="AE232" i="16"/>
  <c r="AE240" i="16"/>
  <c r="J243" i="16"/>
  <c r="V257" i="16"/>
  <c r="G260" i="16"/>
  <c r="G270" i="16"/>
  <c r="G271" i="16"/>
  <c r="Y285" i="16"/>
  <c r="J286" i="16"/>
  <c r="E287" i="16"/>
  <c r="V287" i="16"/>
  <c r="M291" i="16"/>
  <c r="AC291" i="16"/>
  <c r="Y293" i="16"/>
  <c r="J294" i="16"/>
  <c r="E295" i="16"/>
  <c r="V295" i="16"/>
  <c r="AF299" i="16"/>
  <c r="Y299" i="16"/>
  <c r="J299" i="16"/>
  <c r="V299" i="16"/>
  <c r="AE311" i="16"/>
  <c r="J311" i="16"/>
  <c r="AF311" i="16"/>
  <c r="AE318" i="16"/>
  <c r="T318" i="16"/>
  <c r="D318" i="16"/>
  <c r="Z318" i="16"/>
  <c r="AE319" i="16"/>
  <c r="AG319" i="16" s="1"/>
  <c r="AC319" i="16"/>
  <c r="T319" i="16"/>
  <c r="H319" i="16"/>
  <c r="N319" i="16"/>
  <c r="AB319" i="16"/>
  <c r="M322" i="16"/>
  <c r="AE323" i="16"/>
  <c r="AG323" i="16" s="1"/>
  <c r="Z323" i="16"/>
  <c r="M326" i="16"/>
  <c r="AE327" i="16"/>
  <c r="AC327" i="16"/>
  <c r="T327" i="16"/>
  <c r="H327" i="16"/>
  <c r="N327" i="16"/>
  <c r="AB327" i="16"/>
  <c r="AE340" i="16"/>
  <c r="V340" i="16"/>
  <c r="E340" i="16"/>
  <c r="Y340" i="16"/>
  <c r="AB351" i="16"/>
  <c r="AF351" i="16"/>
  <c r="P351" i="16"/>
  <c r="AE366" i="16"/>
  <c r="W366" i="16"/>
  <c r="J366" i="16"/>
  <c r="W400" i="16"/>
  <c r="V400" i="16"/>
  <c r="N400" i="16"/>
  <c r="G400" i="16"/>
  <c r="M210" i="16"/>
  <c r="Q213" i="16"/>
  <c r="M216" i="16"/>
  <c r="AC216" i="16"/>
  <c r="W270" i="16"/>
  <c r="V286" i="16"/>
  <c r="J287" i="16"/>
  <c r="Y287" i="16"/>
  <c r="Q291" i="16"/>
  <c r="V294" i="16"/>
  <c r="J295" i="16"/>
  <c r="Y295" i="16"/>
  <c r="AF298" i="16"/>
  <c r="V298" i="16"/>
  <c r="AB301" i="16"/>
  <c r="AF301" i="16"/>
  <c r="AE309" i="16"/>
  <c r="N309" i="16"/>
  <c r="AE314" i="16"/>
  <c r="AG314" i="16" s="1"/>
  <c r="Z314" i="16"/>
  <c r="AE321" i="16"/>
  <c r="Z321" i="16"/>
  <c r="J321" i="16"/>
  <c r="Q321" i="16"/>
  <c r="AE322" i="16"/>
  <c r="Y322" i="16"/>
  <c r="N322" i="16"/>
  <c r="D322" i="16"/>
  <c r="P322" i="16"/>
  <c r="AC322" i="16"/>
  <c r="AD322" i="16" s="1"/>
  <c r="AE324" i="16"/>
  <c r="Q324" i="16"/>
  <c r="D324" i="16"/>
  <c r="T324" i="16"/>
  <c r="T326" i="16"/>
  <c r="AE370" i="16"/>
  <c r="W370" i="16"/>
  <c r="J370" i="16"/>
  <c r="AF352" i="16"/>
  <c r="M399" i="16"/>
  <c r="W399" i="16"/>
  <c r="V406" i="16"/>
  <c r="P336" i="16"/>
  <c r="AF336" i="16"/>
  <c r="AG336" i="16" s="1"/>
  <c r="AC338" i="16"/>
  <c r="H341" i="16"/>
  <c r="T341" i="16"/>
  <c r="AC341" i="16"/>
  <c r="Y343" i="16"/>
  <c r="H345" i="16"/>
  <c r="T345" i="16"/>
  <c r="AC345" i="16"/>
  <c r="Y347" i="16"/>
  <c r="P349" i="16"/>
  <c r="K352" i="16"/>
  <c r="W353" i="16"/>
  <c r="J354" i="16"/>
  <c r="W355" i="16"/>
  <c r="AE365" i="16"/>
  <c r="AE369" i="16"/>
  <c r="W375" i="16"/>
  <c r="J376" i="16"/>
  <c r="AE379" i="16"/>
  <c r="W391" i="16"/>
  <c r="AE395" i="16"/>
  <c r="P397" i="16"/>
  <c r="Q398" i="16"/>
  <c r="AB398" i="16"/>
  <c r="D399" i="16"/>
  <c r="N399" i="16"/>
  <c r="Y399" i="16"/>
  <c r="N402" i="16"/>
  <c r="G406" i="16"/>
  <c r="W406" i="16"/>
  <c r="K407" i="16"/>
  <c r="G408" i="16"/>
  <c r="M341" i="16"/>
  <c r="V341" i="16"/>
  <c r="AF341" i="16"/>
  <c r="AG341" i="16" s="1"/>
  <c r="AF343" i="16"/>
  <c r="AG343" i="16" s="1"/>
  <c r="M345" i="16"/>
  <c r="V345" i="16"/>
  <c r="AF345" i="16"/>
  <c r="AG345" i="16" s="1"/>
  <c r="AF347" i="16"/>
  <c r="AG347" i="16" s="1"/>
  <c r="W349" i="16"/>
  <c r="X349" i="16" s="1"/>
  <c r="P352" i="16"/>
  <c r="AE353" i="16"/>
  <c r="W354" i="16"/>
  <c r="AE375" i="16"/>
  <c r="W376" i="16"/>
  <c r="J398" i="16"/>
  <c r="T398" i="16"/>
  <c r="AF398" i="16"/>
  <c r="AG398" i="16" s="1"/>
  <c r="E399" i="16"/>
  <c r="Q399" i="16"/>
  <c r="V402" i="16"/>
  <c r="X402" i="16" s="1"/>
  <c r="K406" i="16"/>
  <c r="AC406" i="16"/>
  <c r="W407" i="16"/>
  <c r="X407" i="16" s="1"/>
  <c r="V408" i="16"/>
  <c r="T396" i="16"/>
  <c r="Q409" i="16"/>
  <c r="G392" i="16"/>
  <c r="AE392" i="16"/>
  <c r="J393" i="16"/>
  <c r="W394" i="16"/>
  <c r="G396" i="16"/>
  <c r="Z396" i="16"/>
  <c r="E397" i="16"/>
  <c r="N397" i="16"/>
  <c r="O397" i="16" s="1"/>
  <c r="T397" i="16"/>
  <c r="AB397" i="16"/>
  <c r="H398" i="16"/>
  <c r="P398" i="16"/>
  <c r="V398" i="16"/>
  <c r="AC398" i="16"/>
  <c r="AD398" i="16" s="1"/>
  <c r="J399" i="16"/>
  <c r="S399" i="16"/>
  <c r="M400" i="16"/>
  <c r="AC400" i="16"/>
  <c r="S402" i="16"/>
  <c r="G404" i="16"/>
  <c r="V404" i="16"/>
  <c r="X404" i="16" s="1"/>
  <c r="G405" i="16"/>
  <c r="V405" i="16"/>
  <c r="M407" i="16"/>
  <c r="AC407" i="16"/>
  <c r="K408" i="16"/>
  <c r="W408" i="16"/>
  <c r="G409" i="16"/>
  <c r="V409" i="16"/>
  <c r="S404" i="16"/>
  <c r="J392" i="16"/>
  <c r="Z394" i="16"/>
  <c r="J396" i="16"/>
  <c r="M404" i="16"/>
  <c r="AC404" i="16"/>
  <c r="K405" i="16"/>
  <c r="W405" i="16"/>
  <c r="Q407" i="16"/>
  <c r="M408" i="16"/>
  <c r="AC408" i="16"/>
  <c r="K409" i="16"/>
  <c r="W409" i="16"/>
  <c r="Z392" i="16"/>
  <c r="Q405" i="16"/>
  <c r="G394" i="16"/>
  <c r="J397" i="16"/>
  <c r="Q397" i="16"/>
  <c r="Y397" i="16"/>
  <c r="AF397" i="16"/>
  <c r="AG397" i="16" s="1"/>
  <c r="S400" i="16"/>
  <c r="N404" i="16"/>
  <c r="M405" i="16"/>
  <c r="G407" i="16"/>
  <c r="M409" i="16"/>
  <c r="Z391" i="16"/>
  <c r="G391" i="16"/>
  <c r="AE391" i="16"/>
  <c r="W390" i="16"/>
  <c r="Z390" i="16"/>
  <c r="G390" i="16"/>
  <c r="J382" i="16"/>
  <c r="W382" i="16"/>
  <c r="Z367" i="16"/>
  <c r="Z371" i="16"/>
  <c r="Z366" i="16"/>
  <c r="G367" i="16"/>
  <c r="AE367" i="16"/>
  <c r="J368" i="16"/>
  <c r="Z370" i="16"/>
  <c r="G371" i="16"/>
  <c r="AE371" i="16"/>
  <c r="J372" i="16"/>
  <c r="J374" i="16"/>
  <c r="Z376" i="16"/>
  <c r="G377" i="16"/>
  <c r="AE377" i="16"/>
  <c r="J378" i="16"/>
  <c r="W379" i="16"/>
  <c r="Z380" i="16"/>
  <c r="G381" i="16"/>
  <c r="AE381" i="16"/>
  <c r="Z377" i="16"/>
  <c r="G366" i="16"/>
  <c r="J367" i="16"/>
  <c r="W368" i="16"/>
  <c r="G370" i="16"/>
  <c r="J371" i="16"/>
  <c r="W372" i="16"/>
  <c r="W374" i="16"/>
  <c r="G376" i="16"/>
  <c r="J377" i="16"/>
  <c r="W378" i="16"/>
  <c r="G380" i="16"/>
  <c r="J381" i="16"/>
  <c r="Z381" i="16"/>
  <c r="J364" i="16"/>
  <c r="W364" i="16"/>
  <c r="G363" i="16"/>
  <c r="AE363" i="16"/>
  <c r="J363" i="16"/>
  <c r="Z363" i="16"/>
  <c r="Q342" i="16"/>
  <c r="V350" i="16"/>
  <c r="J338" i="16"/>
  <c r="Q338" i="16"/>
  <c r="Y338" i="16"/>
  <c r="AF338" i="16"/>
  <c r="AG338" i="16" s="1"/>
  <c r="D342" i="16"/>
  <c r="M342" i="16"/>
  <c r="T342" i="16"/>
  <c r="AB342" i="16"/>
  <c r="J343" i="16"/>
  <c r="Q343" i="16"/>
  <c r="Z343" i="16"/>
  <c r="D346" i="16"/>
  <c r="M346" i="16"/>
  <c r="T346" i="16"/>
  <c r="AB346" i="16"/>
  <c r="J347" i="16"/>
  <c r="Q347" i="16"/>
  <c r="Z347" i="16"/>
  <c r="G350" i="16"/>
  <c r="W350" i="16"/>
  <c r="V351" i="16"/>
  <c r="Z355" i="16"/>
  <c r="J342" i="16"/>
  <c r="Z342" i="16"/>
  <c r="J346" i="16"/>
  <c r="Q346" i="16"/>
  <c r="Z346" i="16"/>
  <c r="D338" i="16"/>
  <c r="M338" i="16"/>
  <c r="Z338" i="16"/>
  <c r="J340" i="16"/>
  <c r="Q340" i="16"/>
  <c r="R340" i="16" s="1"/>
  <c r="Z340" i="16"/>
  <c r="E342" i="16"/>
  <c r="N342" i="16"/>
  <c r="V342" i="16"/>
  <c r="AC342" i="16"/>
  <c r="D343" i="16"/>
  <c r="M343" i="16"/>
  <c r="T343" i="16"/>
  <c r="AB343" i="16"/>
  <c r="J344" i="16"/>
  <c r="Q344" i="16"/>
  <c r="Z344" i="16"/>
  <c r="E346" i="16"/>
  <c r="N346" i="16"/>
  <c r="V346" i="16"/>
  <c r="AC346" i="16"/>
  <c r="D347" i="16"/>
  <c r="M347" i="16"/>
  <c r="T347" i="16"/>
  <c r="AB347" i="16"/>
  <c r="J348" i="16"/>
  <c r="Q348" i="16"/>
  <c r="Z348" i="16"/>
  <c r="K350" i="16"/>
  <c r="AB350" i="16"/>
  <c r="G351" i="16"/>
  <c r="W351" i="16"/>
  <c r="V352" i="16"/>
  <c r="X352" i="16" s="1"/>
  <c r="Z354" i="16"/>
  <c r="G355" i="16"/>
  <c r="AE355" i="16"/>
  <c r="E338" i="16"/>
  <c r="N338" i="16"/>
  <c r="T338" i="16"/>
  <c r="AB338" i="16"/>
  <c r="H339" i="16"/>
  <c r="P339" i="16"/>
  <c r="Y339" i="16"/>
  <c r="AF339" i="16"/>
  <c r="D340" i="16"/>
  <c r="M340" i="16"/>
  <c r="T340" i="16"/>
  <c r="AB340" i="16"/>
  <c r="J341" i="16"/>
  <c r="Q341" i="16"/>
  <c r="Z341" i="16"/>
  <c r="AA341" i="16" s="1"/>
  <c r="H342" i="16"/>
  <c r="P342" i="16"/>
  <c r="Y342" i="16"/>
  <c r="AF342" i="16"/>
  <c r="AG342" i="16" s="1"/>
  <c r="E343" i="16"/>
  <c r="N343" i="16"/>
  <c r="V343" i="16"/>
  <c r="AC343" i="16"/>
  <c r="D344" i="16"/>
  <c r="M344" i="16"/>
  <c r="T344" i="16"/>
  <c r="AB344" i="16"/>
  <c r="J345" i="16"/>
  <c r="Q345" i="16"/>
  <c r="Z345" i="16"/>
  <c r="H346" i="16"/>
  <c r="P346" i="16"/>
  <c r="Y346" i="16"/>
  <c r="AF346" i="16"/>
  <c r="AG346" i="16" s="1"/>
  <c r="E347" i="16"/>
  <c r="N347" i="16"/>
  <c r="V347" i="16"/>
  <c r="AC347" i="16"/>
  <c r="D348" i="16"/>
  <c r="M348" i="16"/>
  <c r="T348" i="16"/>
  <c r="AB348" i="16"/>
  <c r="P350" i="16"/>
  <c r="K351" i="16"/>
  <c r="G352" i="16"/>
  <c r="G354" i="16"/>
  <c r="J337" i="16"/>
  <c r="Q337" i="16"/>
  <c r="Z337" i="16"/>
  <c r="AF337" i="16"/>
  <c r="AG337" i="16" s="1"/>
  <c r="M337" i="16"/>
  <c r="T337" i="16"/>
  <c r="E337" i="16"/>
  <c r="N337" i="16"/>
  <c r="V337" i="16"/>
  <c r="AC337" i="16"/>
  <c r="D337" i="16"/>
  <c r="AB337" i="16"/>
  <c r="H337" i="16"/>
  <c r="P337" i="16"/>
  <c r="R337" i="16" s="1"/>
  <c r="Y337" i="16"/>
  <c r="J336" i="16"/>
  <c r="Q336" i="16"/>
  <c r="Z336" i="16"/>
  <c r="D336" i="16"/>
  <c r="M336" i="16"/>
  <c r="O336" i="16" s="1"/>
  <c r="T336" i="16"/>
  <c r="AB336" i="16"/>
  <c r="AE320" i="16"/>
  <c r="AC320" i="16"/>
  <c r="V320" i="16"/>
  <c r="N320" i="16"/>
  <c r="AB320" i="16"/>
  <c r="T320" i="16"/>
  <c r="M320" i="16"/>
  <c r="E320" i="16"/>
  <c r="Z320" i="16"/>
  <c r="Q320" i="16"/>
  <c r="J320" i="16"/>
  <c r="D320" i="16"/>
  <c r="AF320" i="16"/>
  <c r="Y320" i="16"/>
  <c r="P320" i="16"/>
  <c r="H320" i="16"/>
  <c r="AE317" i="16"/>
  <c r="AF317" i="16"/>
  <c r="Y317" i="16"/>
  <c r="P317" i="16"/>
  <c r="R317" i="16" s="1"/>
  <c r="H317" i="16"/>
  <c r="AC317" i="16"/>
  <c r="V317" i="16"/>
  <c r="N317" i="16"/>
  <c r="E317" i="16"/>
  <c r="AB317" i="16"/>
  <c r="T317" i="16"/>
  <c r="M317" i="16"/>
  <c r="D317" i="16"/>
  <c r="J317" i="16"/>
  <c r="H325" i="16"/>
  <c r="P325" i="16"/>
  <c r="Y325" i="16"/>
  <c r="AF325" i="16"/>
  <c r="AG325" i="16" s="1"/>
  <c r="E311" i="16"/>
  <c r="M311" i="16"/>
  <c r="Z311" i="16"/>
  <c r="AA311" i="16" s="1"/>
  <c r="N312" i="16"/>
  <c r="V312" i="16"/>
  <c r="AC312" i="16"/>
  <c r="J313" i="16"/>
  <c r="Q313" i="16"/>
  <c r="Z313" i="16"/>
  <c r="AF313" i="16"/>
  <c r="E314" i="16"/>
  <c r="F314" i="16" s="1"/>
  <c r="N314" i="16"/>
  <c r="T314" i="16"/>
  <c r="AB314" i="16"/>
  <c r="N315" i="16"/>
  <c r="T315" i="16"/>
  <c r="AB315" i="16"/>
  <c r="H316" i="16"/>
  <c r="P316" i="16"/>
  <c r="Y316" i="16"/>
  <c r="AF316" i="16"/>
  <c r="H318" i="16"/>
  <c r="P318" i="16"/>
  <c r="V318" i="16"/>
  <c r="AC318" i="16"/>
  <c r="J319" i="16"/>
  <c r="Q319" i="16"/>
  <c r="Y319" i="16"/>
  <c r="N321" i="16"/>
  <c r="O321" i="16" s="1"/>
  <c r="V321" i="16"/>
  <c r="AC321" i="16"/>
  <c r="J322" i="16"/>
  <c r="Q322" i="16"/>
  <c r="Z322" i="16"/>
  <c r="AF322" i="16"/>
  <c r="E323" i="16"/>
  <c r="F323" i="16" s="1"/>
  <c r="N323" i="16"/>
  <c r="O323" i="16" s="1"/>
  <c r="T323" i="16"/>
  <c r="AB323" i="16"/>
  <c r="N324" i="16"/>
  <c r="O324" i="16" s="1"/>
  <c r="V324" i="16"/>
  <c r="AC324" i="16"/>
  <c r="D325" i="16"/>
  <c r="J325" i="16"/>
  <c r="Q325" i="16"/>
  <c r="Z325" i="16"/>
  <c r="E326" i="16"/>
  <c r="N326" i="16"/>
  <c r="V326" i="16"/>
  <c r="AC326" i="16"/>
  <c r="AD326" i="16" s="1"/>
  <c r="J327" i="16"/>
  <c r="Q327" i="16"/>
  <c r="R327" i="16" s="1"/>
  <c r="Y327" i="16"/>
  <c r="AF327" i="16"/>
  <c r="E328" i="16"/>
  <c r="M328" i="16"/>
  <c r="T328" i="16"/>
  <c r="AB328" i="16"/>
  <c r="N311" i="16"/>
  <c r="T311" i="16"/>
  <c r="AB311" i="16"/>
  <c r="H312" i="16"/>
  <c r="P312" i="16"/>
  <c r="Y312" i="16"/>
  <c r="AF312" i="16"/>
  <c r="H314" i="16"/>
  <c r="P314" i="16"/>
  <c r="V314" i="16"/>
  <c r="AC314" i="16"/>
  <c r="H315" i="16"/>
  <c r="P315" i="16"/>
  <c r="V315" i="16"/>
  <c r="AC315" i="16"/>
  <c r="J318" i="16"/>
  <c r="Q318" i="16"/>
  <c r="Y318" i="16"/>
  <c r="H321" i="16"/>
  <c r="P321" i="16"/>
  <c r="Y321" i="16"/>
  <c r="AF321" i="16"/>
  <c r="H323" i="16"/>
  <c r="P323" i="16"/>
  <c r="V323" i="16"/>
  <c r="AC323" i="16"/>
  <c r="H324" i="16"/>
  <c r="P324" i="16"/>
  <c r="Y324" i="16"/>
  <c r="AA324" i="16" s="1"/>
  <c r="AF324" i="16"/>
  <c r="E325" i="16"/>
  <c r="M325" i="16"/>
  <c r="T325" i="16"/>
  <c r="AB325" i="16"/>
  <c r="H326" i="16"/>
  <c r="P326" i="16"/>
  <c r="Y326" i="16"/>
  <c r="N328" i="16"/>
  <c r="V328" i="16"/>
  <c r="AC328" i="16"/>
  <c r="H311" i="16"/>
  <c r="P311" i="16"/>
  <c r="V311" i="16"/>
  <c r="AC311" i="16"/>
  <c r="J314" i="16"/>
  <c r="Q314" i="16"/>
  <c r="Y314" i="16"/>
  <c r="J323" i="16"/>
  <c r="Q323" i="16"/>
  <c r="Y323" i="16"/>
  <c r="N325" i="16"/>
  <c r="V325" i="16"/>
  <c r="AC325" i="16"/>
  <c r="J326" i="16"/>
  <c r="Q326" i="16"/>
  <c r="Z326" i="16"/>
  <c r="AF326" i="16"/>
  <c r="H328" i="16"/>
  <c r="P328" i="16"/>
  <c r="Y328" i="16"/>
  <c r="AF328" i="16"/>
  <c r="D310" i="16"/>
  <c r="M310" i="16"/>
  <c r="Z310" i="16"/>
  <c r="AF310" i="16"/>
  <c r="AG310" i="16" s="1"/>
  <c r="J310" i="16"/>
  <c r="Q310" i="16"/>
  <c r="Y310" i="16"/>
  <c r="E310" i="16"/>
  <c r="N310" i="16"/>
  <c r="T310" i="16"/>
  <c r="AB310" i="16"/>
  <c r="H310" i="16"/>
  <c r="P310" i="16"/>
  <c r="V310" i="16"/>
  <c r="AC310" i="16"/>
  <c r="H309" i="16"/>
  <c r="P309" i="16"/>
  <c r="Y309" i="16"/>
  <c r="J309" i="16"/>
  <c r="Q309" i="16"/>
  <c r="Z309" i="16"/>
  <c r="AF309" i="16"/>
  <c r="D309" i="16"/>
  <c r="M309" i="16"/>
  <c r="T309" i="16"/>
  <c r="AB309" i="16"/>
  <c r="AD309" i="16" s="1"/>
  <c r="G284" i="16"/>
  <c r="AC284" i="16"/>
  <c r="J285" i="16"/>
  <c r="V285" i="16"/>
  <c r="M286" i="16"/>
  <c r="Y286" i="16"/>
  <c r="N287" i="16"/>
  <c r="Z287" i="16"/>
  <c r="E288" i="16"/>
  <c r="Q288" i="16"/>
  <c r="AC288" i="16"/>
  <c r="J289" i="16"/>
  <c r="V289" i="16"/>
  <c r="M290" i="16"/>
  <c r="Y290" i="16"/>
  <c r="N291" i="16"/>
  <c r="Z291" i="16"/>
  <c r="E292" i="16"/>
  <c r="Q292" i="16"/>
  <c r="AC292" i="16"/>
  <c r="J293" i="16"/>
  <c r="V293" i="16"/>
  <c r="M294" i="16"/>
  <c r="Y294" i="16"/>
  <c r="N295" i="16"/>
  <c r="Z295" i="16"/>
  <c r="E296" i="16"/>
  <c r="Q296" i="16"/>
  <c r="AC296" i="16"/>
  <c r="J297" i="16"/>
  <c r="V297" i="16"/>
  <c r="M298" i="16"/>
  <c r="Y298" i="16"/>
  <c r="N299" i="16"/>
  <c r="O299" i="16" s="1"/>
  <c r="Z299" i="16"/>
  <c r="E300" i="16"/>
  <c r="Q300" i="16"/>
  <c r="AC300" i="16"/>
  <c r="J301" i="16"/>
  <c r="V301" i="16"/>
  <c r="V284" i="16"/>
  <c r="N300" i="16"/>
  <c r="M284" i="16"/>
  <c r="O284" i="16" s="1"/>
  <c r="N286" i="16"/>
  <c r="Z286" i="16"/>
  <c r="J288" i="16"/>
  <c r="V288" i="16"/>
  <c r="N290" i="16"/>
  <c r="Z290" i="16"/>
  <c r="J292" i="16"/>
  <c r="V292" i="16"/>
  <c r="N294" i="16"/>
  <c r="Z294" i="16"/>
  <c r="J296" i="16"/>
  <c r="V296" i="16"/>
  <c r="N298" i="16"/>
  <c r="Z298" i="16"/>
  <c r="J300" i="16"/>
  <c r="V300" i="16"/>
  <c r="M301" i="16"/>
  <c r="Z301" i="16"/>
  <c r="N288" i="16"/>
  <c r="Z288" i="16"/>
  <c r="N292" i="16"/>
  <c r="Z292" i="16"/>
  <c r="N296" i="16"/>
  <c r="Z296" i="16"/>
  <c r="Z300" i="16"/>
  <c r="N285" i="16"/>
  <c r="Z285" i="16"/>
  <c r="E286" i="16"/>
  <c r="Q286" i="16"/>
  <c r="AC286" i="16"/>
  <c r="M288" i="16"/>
  <c r="Y288" i="16"/>
  <c r="AA288" i="16" s="1"/>
  <c r="N289" i="16"/>
  <c r="Z289" i="16"/>
  <c r="E290" i="16"/>
  <c r="Q290" i="16"/>
  <c r="AC290" i="16"/>
  <c r="M292" i="16"/>
  <c r="Y292" i="16"/>
  <c r="N293" i="16"/>
  <c r="Z293" i="16"/>
  <c r="E294" i="16"/>
  <c r="Q294" i="16"/>
  <c r="AC294" i="16"/>
  <c r="M296" i="16"/>
  <c r="Y296" i="16"/>
  <c r="N297" i="16"/>
  <c r="Z297" i="16"/>
  <c r="AA297" i="16" s="1"/>
  <c r="E298" i="16"/>
  <c r="Q298" i="16"/>
  <c r="AC298" i="16"/>
  <c r="M300" i="16"/>
  <c r="Y300" i="16"/>
  <c r="N301" i="16"/>
  <c r="K283" i="16"/>
  <c r="W283" i="16"/>
  <c r="M283" i="16"/>
  <c r="AC283" i="16"/>
  <c r="M282" i="16"/>
  <c r="AC282" i="16"/>
  <c r="Q282" i="16"/>
  <c r="G282" i="16"/>
  <c r="W258" i="16"/>
  <c r="K259" i="16"/>
  <c r="K260" i="16"/>
  <c r="G262" i="16"/>
  <c r="G264" i="16"/>
  <c r="AE266" i="16"/>
  <c r="W267" i="16"/>
  <c r="G268" i="16"/>
  <c r="AE270" i="16"/>
  <c r="W271" i="16"/>
  <c r="G272" i="16"/>
  <c r="J273" i="16"/>
  <c r="Z273" i="16"/>
  <c r="W260" i="16"/>
  <c r="W262" i="16"/>
  <c r="W264" i="16"/>
  <c r="AE267" i="16"/>
  <c r="W268" i="16"/>
  <c r="AE271" i="16"/>
  <c r="W272" i="16"/>
  <c r="N273" i="16"/>
  <c r="AE264" i="16"/>
  <c r="AE268" i="16"/>
  <c r="V273" i="16"/>
  <c r="AC255" i="16"/>
  <c r="E255" i="16"/>
  <c r="M254" i="16"/>
  <c r="W254" i="16"/>
  <c r="E254" i="16"/>
  <c r="AC254" i="16"/>
  <c r="V231" i="16"/>
  <c r="V235" i="16"/>
  <c r="AE242" i="16"/>
  <c r="G246" i="16"/>
  <c r="AE246" i="16"/>
  <c r="N229" i="16"/>
  <c r="AE229" i="16"/>
  <c r="J230" i="16"/>
  <c r="Z230" i="16"/>
  <c r="G231" i="16"/>
  <c r="W231" i="16"/>
  <c r="V232" i="16"/>
  <c r="N233" i="16"/>
  <c r="AE233" i="16"/>
  <c r="J234" i="16"/>
  <c r="Z234" i="16"/>
  <c r="G235" i="16"/>
  <c r="W235" i="16"/>
  <c r="V236" i="16"/>
  <c r="W237" i="16"/>
  <c r="G238" i="16"/>
  <c r="W241" i="16"/>
  <c r="E242" i="16"/>
  <c r="W243" i="16"/>
  <c r="E244" i="16"/>
  <c r="Q246" i="16"/>
  <c r="V229" i="16"/>
  <c r="X229" i="16" s="1"/>
  <c r="J231" i="16"/>
  <c r="Z231" i="16"/>
  <c r="V233" i="16"/>
  <c r="J235" i="16"/>
  <c r="Z235" i="16"/>
  <c r="AE237" i="16"/>
  <c r="W238" i="16"/>
  <c r="AE241" i="16"/>
  <c r="J242" i="16"/>
  <c r="AE243" i="16"/>
  <c r="M244" i="16"/>
  <c r="W246" i="16"/>
  <c r="G229" i="16"/>
  <c r="N231" i="16"/>
  <c r="J232" i="16"/>
  <c r="G233" i="16"/>
  <c r="N235" i="16"/>
  <c r="J236" i="16"/>
  <c r="Z242" i="16"/>
  <c r="E243" i="16"/>
  <c r="AC244" i="16"/>
  <c r="V228" i="16"/>
  <c r="G228" i="16"/>
  <c r="W228" i="16"/>
  <c r="J228" i="16"/>
  <c r="G227" i="16"/>
  <c r="W227" i="16"/>
  <c r="V227" i="16"/>
  <c r="J227" i="16"/>
  <c r="Z227" i="16"/>
  <c r="N227" i="16"/>
  <c r="AF203" i="16"/>
  <c r="V202" i="16"/>
  <c r="K203" i="16"/>
  <c r="J205" i="16"/>
  <c r="V205" i="16"/>
  <c r="AE205" i="16"/>
  <c r="G206" i="16"/>
  <c r="Q206" i="16"/>
  <c r="AC206" i="16"/>
  <c r="E207" i="16"/>
  <c r="M207" i="16"/>
  <c r="Z207" i="16"/>
  <c r="K208" i="16"/>
  <c r="J209" i="16"/>
  <c r="V209" i="16"/>
  <c r="AE209" i="16"/>
  <c r="G210" i="16"/>
  <c r="Q210" i="16"/>
  <c r="AC210" i="16"/>
  <c r="E211" i="16"/>
  <c r="M211" i="16"/>
  <c r="Z211" i="16"/>
  <c r="K212" i="16"/>
  <c r="J213" i="16"/>
  <c r="V213" i="16"/>
  <c r="X213" i="16" s="1"/>
  <c r="AE213" i="16"/>
  <c r="G214" i="16"/>
  <c r="Q214" i="16"/>
  <c r="AC214" i="16"/>
  <c r="E215" i="16"/>
  <c r="M215" i="16"/>
  <c r="Z215" i="16"/>
  <c r="K216" i="16"/>
  <c r="J217" i="16"/>
  <c r="V217" i="16"/>
  <c r="AE217" i="16"/>
  <c r="G218" i="16"/>
  <c r="Q218" i="16"/>
  <c r="AE218" i="16"/>
  <c r="J219" i="16"/>
  <c r="Z219" i="16"/>
  <c r="K207" i="16"/>
  <c r="W207" i="16"/>
  <c r="K215" i="16"/>
  <c r="AF202" i="16"/>
  <c r="P203" i="16"/>
  <c r="K205" i="16"/>
  <c r="J206" i="16"/>
  <c r="V206" i="16"/>
  <c r="AE206" i="16"/>
  <c r="G207" i="16"/>
  <c r="Q207" i="16"/>
  <c r="AC207" i="16"/>
  <c r="K209" i="16"/>
  <c r="J210" i="16"/>
  <c r="V210" i="16"/>
  <c r="X210" i="16" s="1"/>
  <c r="AE210" i="16"/>
  <c r="G211" i="16"/>
  <c r="Q211" i="16"/>
  <c r="AC211" i="16"/>
  <c r="K213" i="16"/>
  <c r="J214" i="16"/>
  <c r="V214" i="16"/>
  <c r="X214" i="16" s="1"/>
  <c r="AE214" i="16"/>
  <c r="G215" i="16"/>
  <c r="Q215" i="16"/>
  <c r="AC215" i="16"/>
  <c r="K217" i="16"/>
  <c r="W217" i="16"/>
  <c r="J218" i="16"/>
  <c r="V218" i="16"/>
  <c r="X218" i="16" s="1"/>
  <c r="N219" i="16"/>
  <c r="AE219" i="16"/>
  <c r="K211" i="16"/>
  <c r="W211" i="16"/>
  <c r="V203" i="16"/>
  <c r="K206" i="16"/>
  <c r="J207" i="16"/>
  <c r="V207" i="16"/>
  <c r="K210" i="16"/>
  <c r="J211" i="16"/>
  <c r="V211" i="16"/>
  <c r="K214" i="16"/>
  <c r="J215" i="16"/>
  <c r="V215" i="16"/>
  <c r="E217" i="16"/>
  <c r="M217" i="16"/>
  <c r="K218" i="16"/>
  <c r="K201" i="16"/>
  <c r="P201" i="16"/>
  <c r="AF201" i="16"/>
  <c r="V201" i="16"/>
  <c r="V200" i="16"/>
  <c r="AF200" i="16"/>
  <c r="K200" i="16"/>
  <c r="AF188" i="16"/>
  <c r="K175" i="16"/>
  <c r="K176" i="16"/>
  <c r="W178" i="16"/>
  <c r="K179" i="16"/>
  <c r="K180" i="16"/>
  <c r="W182" i="16"/>
  <c r="K183" i="16"/>
  <c r="K184" i="16"/>
  <c r="W186" i="16"/>
  <c r="K187" i="16"/>
  <c r="K188" i="16"/>
  <c r="V189" i="16"/>
  <c r="K190" i="16"/>
  <c r="V191" i="16"/>
  <c r="K192" i="16"/>
  <c r="AF192" i="16"/>
  <c r="W176" i="16"/>
  <c r="W180" i="16"/>
  <c r="W184" i="16"/>
  <c r="AF187" i="16"/>
  <c r="P188" i="16"/>
  <c r="AF189" i="16"/>
  <c r="P190" i="16"/>
  <c r="AF191" i="16"/>
  <c r="P192" i="16"/>
  <c r="AF190" i="16"/>
  <c r="V188" i="16"/>
  <c r="V190" i="16"/>
  <c r="V192" i="16"/>
  <c r="W174" i="16"/>
  <c r="M161" i="16"/>
  <c r="AE162" i="16"/>
  <c r="G163" i="16"/>
  <c r="Y163" i="16"/>
  <c r="K165" i="16"/>
  <c r="M163" i="16"/>
  <c r="AC163" i="16"/>
  <c r="W165" i="16"/>
  <c r="G162" i="16"/>
  <c r="Q163" i="16"/>
  <c r="Z147" i="16"/>
  <c r="D147" i="16"/>
  <c r="P147" i="16"/>
  <c r="AB147" i="16"/>
  <c r="N147" i="16"/>
  <c r="H147" i="16"/>
  <c r="T147" i="16"/>
  <c r="J147" i="16"/>
  <c r="V147" i="16"/>
  <c r="D146" i="16"/>
  <c r="P146" i="16"/>
  <c r="AB146" i="16"/>
  <c r="AD146" i="16" s="1"/>
  <c r="Z146" i="16"/>
  <c r="H146" i="16"/>
  <c r="T146" i="16"/>
  <c r="AF146" i="16"/>
  <c r="N146" i="16"/>
  <c r="J146" i="16"/>
  <c r="V146" i="16"/>
  <c r="AF282" i="16"/>
  <c r="AB282" i="16"/>
  <c r="T282" i="16"/>
  <c r="P282" i="16"/>
  <c r="H282" i="16"/>
  <c r="D282" i="16"/>
  <c r="N282" i="16"/>
  <c r="S282" i="16"/>
  <c r="Y282" i="16"/>
  <c r="AF283" i="16"/>
  <c r="AB283" i="16"/>
  <c r="T283" i="16"/>
  <c r="P283" i="16"/>
  <c r="H283" i="16"/>
  <c r="D283" i="16"/>
  <c r="N283" i="16"/>
  <c r="S283" i="16"/>
  <c r="Y283" i="16"/>
  <c r="AF284" i="16"/>
  <c r="AB284" i="16"/>
  <c r="T284" i="16"/>
  <c r="P284" i="16"/>
  <c r="H284" i="16"/>
  <c r="D284" i="16"/>
  <c r="AE284" i="16"/>
  <c r="W284" i="16"/>
  <c r="S284" i="16"/>
  <c r="K284" i="16"/>
  <c r="Q284" i="16"/>
  <c r="Y284" i="16"/>
  <c r="E282" i="16"/>
  <c r="J282" i="16"/>
  <c r="Z282" i="16"/>
  <c r="AE282" i="16"/>
  <c r="E283" i="16"/>
  <c r="J283" i="16"/>
  <c r="Z283" i="16"/>
  <c r="AE283" i="16"/>
  <c r="E284" i="16"/>
  <c r="J284" i="16"/>
  <c r="Z284" i="16"/>
  <c r="G285" i="16"/>
  <c r="K285" i="16"/>
  <c r="S285" i="16"/>
  <c r="W285" i="16"/>
  <c r="AE285" i="16"/>
  <c r="AG285" i="16" s="1"/>
  <c r="G286" i="16"/>
  <c r="K286" i="16"/>
  <c r="S286" i="16"/>
  <c r="W286" i="16"/>
  <c r="AE286" i="16"/>
  <c r="AG286" i="16" s="1"/>
  <c r="G287" i="16"/>
  <c r="K287" i="16"/>
  <c r="S287" i="16"/>
  <c r="W287" i="16"/>
  <c r="AE287" i="16"/>
  <c r="AG287" i="16" s="1"/>
  <c r="G288" i="16"/>
  <c r="K288" i="16"/>
  <c r="S288" i="16"/>
  <c r="W288" i="16"/>
  <c r="AE288" i="16"/>
  <c r="AG288" i="16" s="1"/>
  <c r="G289" i="16"/>
  <c r="K289" i="16"/>
  <c r="S289" i="16"/>
  <c r="W289" i="16"/>
  <c r="AE289" i="16"/>
  <c r="G290" i="16"/>
  <c r="K290" i="16"/>
  <c r="S290" i="16"/>
  <c r="W290" i="16"/>
  <c r="AE290" i="16"/>
  <c r="AG290" i="16" s="1"/>
  <c r="G291" i="16"/>
  <c r="K291" i="16"/>
  <c r="S291" i="16"/>
  <c r="W291" i="16"/>
  <c r="AE291" i="16"/>
  <c r="AG291" i="16" s="1"/>
  <c r="G292" i="16"/>
  <c r="K292" i="16"/>
  <c r="S292" i="16"/>
  <c r="W292" i="16"/>
  <c r="AE292" i="16"/>
  <c r="AG292" i="16" s="1"/>
  <c r="G293" i="16"/>
  <c r="K293" i="16"/>
  <c r="S293" i="16"/>
  <c r="W293" i="16"/>
  <c r="AE293" i="16"/>
  <c r="AG293" i="16" s="1"/>
  <c r="G294" i="16"/>
  <c r="K294" i="16"/>
  <c r="S294" i="16"/>
  <c r="W294" i="16"/>
  <c r="AE294" i="16"/>
  <c r="AG294" i="16" s="1"/>
  <c r="G295" i="16"/>
  <c r="K295" i="16"/>
  <c r="S295" i="16"/>
  <c r="W295" i="16"/>
  <c r="AE295" i="16"/>
  <c r="AG295" i="16" s="1"/>
  <c r="G296" i="16"/>
  <c r="K296" i="16"/>
  <c r="S296" i="16"/>
  <c r="W296" i="16"/>
  <c r="AE296" i="16"/>
  <c r="AG296" i="16" s="1"/>
  <c r="G297" i="16"/>
  <c r="K297" i="16"/>
  <c r="S297" i="16"/>
  <c r="W297" i="16"/>
  <c r="AE297" i="16"/>
  <c r="G298" i="16"/>
  <c r="K298" i="16"/>
  <c r="L298" i="16" s="1"/>
  <c r="S298" i="16"/>
  <c r="W298" i="16"/>
  <c r="AE298" i="16"/>
  <c r="G299" i="16"/>
  <c r="K299" i="16"/>
  <c r="S299" i="16"/>
  <c r="W299" i="16"/>
  <c r="AE299" i="16"/>
  <c r="G300" i="16"/>
  <c r="K300" i="16"/>
  <c r="S300" i="16"/>
  <c r="W300" i="16"/>
  <c r="AE300" i="16"/>
  <c r="AG300" i="16" s="1"/>
  <c r="AE301" i="16"/>
  <c r="W301" i="16"/>
  <c r="G301" i="16"/>
  <c r="K301" i="16"/>
  <c r="S301" i="16"/>
  <c r="AC301" i="16"/>
  <c r="D285" i="16"/>
  <c r="H285" i="16"/>
  <c r="P285" i="16"/>
  <c r="T285" i="16"/>
  <c r="AB285" i="16"/>
  <c r="D286" i="16"/>
  <c r="H286" i="16"/>
  <c r="P286" i="16"/>
  <c r="T286" i="16"/>
  <c r="AB286" i="16"/>
  <c r="D287" i="16"/>
  <c r="H287" i="16"/>
  <c r="P287" i="16"/>
  <c r="T287" i="16"/>
  <c r="AB287" i="16"/>
  <c r="D288" i="16"/>
  <c r="H288" i="16"/>
  <c r="P288" i="16"/>
  <c r="T288" i="16"/>
  <c r="AB288" i="16"/>
  <c r="D289" i="16"/>
  <c r="H289" i="16"/>
  <c r="P289" i="16"/>
  <c r="T289" i="16"/>
  <c r="AB289" i="16"/>
  <c r="D290" i="16"/>
  <c r="H290" i="16"/>
  <c r="P290" i="16"/>
  <c r="T290" i="16"/>
  <c r="AB290" i="16"/>
  <c r="D291" i="16"/>
  <c r="H291" i="16"/>
  <c r="P291" i="16"/>
  <c r="T291" i="16"/>
  <c r="AB291" i="16"/>
  <c r="D292" i="16"/>
  <c r="H292" i="16"/>
  <c r="P292" i="16"/>
  <c r="T292" i="16"/>
  <c r="AB292" i="16"/>
  <c r="D293" i="16"/>
  <c r="H293" i="16"/>
  <c r="P293" i="16"/>
  <c r="T293" i="16"/>
  <c r="AB293" i="16"/>
  <c r="D294" i="16"/>
  <c r="H294" i="16"/>
  <c r="P294" i="16"/>
  <c r="T294" i="16"/>
  <c r="AB294" i="16"/>
  <c r="D295" i="16"/>
  <c r="H295" i="16"/>
  <c r="P295" i="16"/>
  <c r="T295" i="16"/>
  <c r="AB295" i="16"/>
  <c r="D296" i="16"/>
  <c r="H296" i="16"/>
  <c r="P296" i="16"/>
  <c r="T296" i="16"/>
  <c r="AB296" i="16"/>
  <c r="D297" i="16"/>
  <c r="H297" i="16"/>
  <c r="P297" i="16"/>
  <c r="T297" i="16"/>
  <c r="AB297" i="16"/>
  <c r="D298" i="16"/>
  <c r="H298" i="16"/>
  <c r="P298" i="16"/>
  <c r="T298" i="16"/>
  <c r="AB298" i="16"/>
  <c r="D299" i="16"/>
  <c r="H299" i="16"/>
  <c r="P299" i="16"/>
  <c r="T299" i="16"/>
  <c r="AB299" i="16"/>
  <c r="D300" i="16"/>
  <c r="H300" i="16"/>
  <c r="P300" i="16"/>
  <c r="T300" i="16"/>
  <c r="AB300" i="16"/>
  <c r="D301" i="16"/>
  <c r="H301" i="16"/>
  <c r="P301" i="16"/>
  <c r="R301" i="16" s="1"/>
  <c r="T301" i="16"/>
  <c r="Y301" i="16"/>
  <c r="AF401" i="16"/>
  <c r="AB401" i="16"/>
  <c r="T401" i="16"/>
  <c r="P401" i="16"/>
  <c r="H401" i="16"/>
  <c r="D401" i="16"/>
  <c r="AE401" i="16"/>
  <c r="Z401" i="16"/>
  <c r="J401" i="16"/>
  <c r="E401" i="16"/>
  <c r="AC401" i="16"/>
  <c r="V401" i="16"/>
  <c r="N401" i="16"/>
  <c r="G401" i="16"/>
  <c r="S401" i="16"/>
  <c r="U401" i="16" s="1"/>
  <c r="M401" i="16"/>
  <c r="Q401" i="16"/>
  <c r="Y401" i="16"/>
  <c r="K401" i="16"/>
  <c r="W401" i="16"/>
  <c r="AC349" i="16"/>
  <c r="Y349" i="16"/>
  <c r="Q349" i="16"/>
  <c r="M349" i="16"/>
  <c r="E349" i="16"/>
  <c r="H349" i="16"/>
  <c r="N349" i="16"/>
  <c r="S349" i="16"/>
  <c r="AC350" i="16"/>
  <c r="Y350" i="16"/>
  <c r="Q350" i="16"/>
  <c r="M350" i="16"/>
  <c r="E350" i="16"/>
  <c r="H350" i="16"/>
  <c r="N350" i="16"/>
  <c r="S350" i="16"/>
  <c r="AC351" i="16"/>
  <c r="Y351" i="16"/>
  <c r="Q351" i="16"/>
  <c r="M351" i="16"/>
  <c r="E351" i="16"/>
  <c r="H351" i="16"/>
  <c r="N351" i="16"/>
  <c r="S351" i="16"/>
  <c r="AC352" i="16"/>
  <c r="Y352" i="16"/>
  <c r="Q352" i="16"/>
  <c r="M352" i="16"/>
  <c r="E352" i="16"/>
  <c r="H352" i="16"/>
  <c r="N352" i="16"/>
  <c r="S352" i="16"/>
  <c r="AC353" i="16"/>
  <c r="Y353" i="16"/>
  <c r="AA353" i="16" s="1"/>
  <c r="Q353" i="16"/>
  <c r="M353" i="16"/>
  <c r="E353" i="16"/>
  <c r="AF353" i="16"/>
  <c r="AB353" i="16"/>
  <c r="T353" i="16"/>
  <c r="P353" i="16"/>
  <c r="H353" i="16"/>
  <c r="D353" i="16"/>
  <c r="K353" i="16"/>
  <c r="S353" i="16"/>
  <c r="AC354" i="16"/>
  <c r="Y354" i="16"/>
  <c r="Q354" i="16"/>
  <c r="M354" i="16"/>
  <c r="E354" i="16"/>
  <c r="AF354" i="16"/>
  <c r="AG354" i="16" s="1"/>
  <c r="AB354" i="16"/>
  <c r="T354" i="16"/>
  <c r="P354" i="16"/>
  <c r="H354" i="16"/>
  <c r="D354" i="16"/>
  <c r="K354" i="16"/>
  <c r="S354" i="16"/>
  <c r="AC355" i="16"/>
  <c r="Y355" i="16"/>
  <c r="Q355" i="16"/>
  <c r="M355" i="16"/>
  <c r="E355" i="16"/>
  <c r="AF355" i="16"/>
  <c r="AB355" i="16"/>
  <c r="T355" i="16"/>
  <c r="P355" i="16"/>
  <c r="H355" i="16"/>
  <c r="D355" i="16"/>
  <c r="K355" i="16"/>
  <c r="L355" i="16" s="1"/>
  <c r="S355" i="16"/>
  <c r="AC363" i="16"/>
  <c r="Y363" i="16"/>
  <c r="Q363" i="16"/>
  <c r="M363" i="16"/>
  <c r="E363" i="16"/>
  <c r="AF363" i="16"/>
  <c r="AB363" i="16"/>
  <c r="T363" i="16"/>
  <c r="P363" i="16"/>
  <c r="H363" i="16"/>
  <c r="D363" i="16"/>
  <c r="K363" i="16"/>
  <c r="S363" i="16"/>
  <c r="AC364" i="16"/>
  <c r="Y364" i="16"/>
  <c r="AA364" i="16" s="1"/>
  <c r="Q364" i="16"/>
  <c r="M364" i="16"/>
  <c r="E364" i="16"/>
  <c r="AF364" i="16"/>
  <c r="AB364" i="16"/>
  <c r="T364" i="16"/>
  <c r="P364" i="16"/>
  <c r="H364" i="16"/>
  <c r="D364" i="16"/>
  <c r="K364" i="16"/>
  <c r="S364" i="16"/>
  <c r="AC365" i="16"/>
  <c r="Y365" i="16"/>
  <c r="AA365" i="16" s="1"/>
  <c r="Q365" i="16"/>
  <c r="M365" i="16"/>
  <c r="E365" i="16"/>
  <c r="AF365" i="16"/>
  <c r="AB365" i="16"/>
  <c r="T365" i="16"/>
  <c r="P365" i="16"/>
  <c r="H365" i="16"/>
  <c r="D365" i="16"/>
  <c r="K365" i="16"/>
  <c r="S365" i="16"/>
  <c r="AC366" i="16"/>
  <c r="Y366" i="16"/>
  <c r="Q366" i="16"/>
  <c r="M366" i="16"/>
  <c r="E366" i="16"/>
  <c r="AF366" i="16"/>
  <c r="AB366" i="16"/>
  <c r="T366" i="16"/>
  <c r="P366" i="16"/>
  <c r="H366" i="16"/>
  <c r="D366" i="16"/>
  <c r="K366" i="16"/>
  <c r="S366" i="16"/>
  <c r="AC367" i="16"/>
  <c r="Y367" i="16"/>
  <c r="Q367" i="16"/>
  <c r="M367" i="16"/>
  <c r="E367" i="16"/>
  <c r="AF367" i="16"/>
  <c r="AB367" i="16"/>
  <c r="T367" i="16"/>
  <c r="P367" i="16"/>
  <c r="H367" i="16"/>
  <c r="D367" i="16"/>
  <c r="K367" i="16"/>
  <c r="S367" i="16"/>
  <c r="AC368" i="16"/>
  <c r="Y368" i="16"/>
  <c r="AA368" i="16" s="1"/>
  <c r="Q368" i="16"/>
  <c r="M368" i="16"/>
  <c r="E368" i="16"/>
  <c r="AF368" i="16"/>
  <c r="AB368" i="16"/>
  <c r="T368" i="16"/>
  <c r="P368" i="16"/>
  <c r="H368" i="16"/>
  <c r="D368" i="16"/>
  <c r="K368" i="16"/>
  <c r="S368" i="16"/>
  <c r="AC369" i="16"/>
  <c r="Y369" i="16"/>
  <c r="AA369" i="16" s="1"/>
  <c r="Q369" i="16"/>
  <c r="M369" i="16"/>
  <c r="E369" i="16"/>
  <c r="AF369" i="16"/>
  <c r="AB369" i="16"/>
  <c r="T369" i="16"/>
  <c r="P369" i="16"/>
  <c r="H369" i="16"/>
  <c r="D369" i="16"/>
  <c r="K369" i="16"/>
  <c r="S369" i="16"/>
  <c r="AC370" i="16"/>
  <c r="Y370" i="16"/>
  <c r="Q370" i="16"/>
  <c r="M370" i="16"/>
  <c r="E370" i="16"/>
  <c r="AF370" i="16"/>
  <c r="AB370" i="16"/>
  <c r="T370" i="16"/>
  <c r="P370" i="16"/>
  <c r="H370" i="16"/>
  <c r="D370" i="16"/>
  <c r="K370" i="16"/>
  <c r="S370" i="16"/>
  <c r="AC371" i="16"/>
  <c r="Y371" i="16"/>
  <c r="Q371" i="16"/>
  <c r="M371" i="16"/>
  <c r="E371" i="16"/>
  <c r="AF371" i="16"/>
  <c r="AB371" i="16"/>
  <c r="T371" i="16"/>
  <c r="P371" i="16"/>
  <c r="H371" i="16"/>
  <c r="D371" i="16"/>
  <c r="K371" i="16"/>
  <c r="S371" i="16"/>
  <c r="AC372" i="16"/>
  <c r="Y372" i="16"/>
  <c r="AA372" i="16" s="1"/>
  <c r="Q372" i="16"/>
  <c r="M372" i="16"/>
  <c r="E372" i="16"/>
  <c r="AF372" i="16"/>
  <c r="AB372" i="16"/>
  <c r="T372" i="16"/>
  <c r="P372" i="16"/>
  <c r="H372" i="16"/>
  <c r="D372" i="16"/>
  <c r="K372" i="16"/>
  <c r="S372" i="16"/>
  <c r="AC373" i="16"/>
  <c r="Y373" i="16"/>
  <c r="AA373" i="16" s="1"/>
  <c r="Q373" i="16"/>
  <c r="M373" i="16"/>
  <c r="E373" i="16"/>
  <c r="AF373" i="16"/>
  <c r="AB373" i="16"/>
  <c r="T373" i="16"/>
  <c r="P373" i="16"/>
  <c r="H373" i="16"/>
  <c r="V373" i="16"/>
  <c r="N373" i="16"/>
  <c r="S373" i="16"/>
  <c r="K373" i="16"/>
  <c r="D373" i="16"/>
  <c r="G309" i="16"/>
  <c r="K309" i="16"/>
  <c r="S309" i="16"/>
  <c r="W309" i="16"/>
  <c r="G310" i="16"/>
  <c r="K310" i="16"/>
  <c r="S310" i="16"/>
  <c r="W310" i="16"/>
  <c r="G311" i="16"/>
  <c r="K311" i="16"/>
  <c r="S311" i="16"/>
  <c r="W311" i="16"/>
  <c r="G312" i="16"/>
  <c r="K312" i="16"/>
  <c r="S312" i="16"/>
  <c r="W312" i="16"/>
  <c r="G313" i="16"/>
  <c r="K313" i="16"/>
  <c r="S313" i="16"/>
  <c r="W313" i="16"/>
  <c r="G314" i="16"/>
  <c r="K314" i="16"/>
  <c r="S314" i="16"/>
  <c r="W314" i="16"/>
  <c r="G315" i="16"/>
  <c r="K315" i="16"/>
  <c r="S315" i="16"/>
  <c r="W315" i="16"/>
  <c r="G316" i="16"/>
  <c r="K316" i="16"/>
  <c r="S316" i="16"/>
  <c r="W316" i="16"/>
  <c r="G317" i="16"/>
  <c r="K317" i="16"/>
  <c r="S317" i="16"/>
  <c r="W317" i="16"/>
  <c r="G318" i="16"/>
  <c r="K318" i="16"/>
  <c r="S318" i="16"/>
  <c r="W318" i="16"/>
  <c r="G319" i="16"/>
  <c r="K319" i="16"/>
  <c r="S319" i="16"/>
  <c r="W319" i="16"/>
  <c r="G320" i="16"/>
  <c r="K320" i="16"/>
  <c r="S320" i="16"/>
  <c r="W320" i="16"/>
  <c r="G321" i="16"/>
  <c r="K321" i="16"/>
  <c r="S321" i="16"/>
  <c r="W321" i="16"/>
  <c r="G322" i="16"/>
  <c r="K322" i="16"/>
  <c r="S322" i="16"/>
  <c r="W322" i="16"/>
  <c r="G323" i="16"/>
  <c r="K323" i="16"/>
  <c r="S323" i="16"/>
  <c r="W323" i="16"/>
  <c r="G324" i="16"/>
  <c r="K324" i="16"/>
  <c r="S324" i="16"/>
  <c r="W324" i="16"/>
  <c r="G325" i="16"/>
  <c r="K325" i="16"/>
  <c r="S325" i="16"/>
  <c r="W325" i="16"/>
  <c r="G326" i="16"/>
  <c r="K326" i="16"/>
  <c r="S326" i="16"/>
  <c r="W326" i="16"/>
  <c r="G327" i="16"/>
  <c r="K327" i="16"/>
  <c r="S327" i="16"/>
  <c r="W327" i="16"/>
  <c r="G328" i="16"/>
  <c r="K328" i="16"/>
  <c r="S328" i="16"/>
  <c r="W328" i="16"/>
  <c r="G336" i="16"/>
  <c r="K336" i="16"/>
  <c r="S336" i="16"/>
  <c r="W336" i="16"/>
  <c r="G337" i="16"/>
  <c r="K337" i="16"/>
  <c r="S337" i="16"/>
  <c r="W337" i="16"/>
  <c r="G338" i="16"/>
  <c r="K338" i="16"/>
  <c r="S338" i="16"/>
  <c r="W338" i="16"/>
  <c r="G339" i="16"/>
  <c r="K339" i="16"/>
  <c r="S339" i="16"/>
  <c r="W339" i="16"/>
  <c r="G340" i="16"/>
  <c r="K340" i="16"/>
  <c r="S340" i="16"/>
  <c r="W340" i="16"/>
  <c r="G341" i="16"/>
  <c r="K341" i="16"/>
  <c r="S341" i="16"/>
  <c r="W341" i="16"/>
  <c r="G342" i="16"/>
  <c r="K342" i="16"/>
  <c r="S342" i="16"/>
  <c r="W342" i="16"/>
  <c r="G343" i="16"/>
  <c r="K343" i="16"/>
  <c r="S343" i="16"/>
  <c r="W343" i="16"/>
  <c r="G344" i="16"/>
  <c r="K344" i="16"/>
  <c r="S344" i="16"/>
  <c r="W344" i="16"/>
  <c r="G345" i="16"/>
  <c r="K345" i="16"/>
  <c r="S345" i="16"/>
  <c r="W345" i="16"/>
  <c r="G346" i="16"/>
  <c r="K346" i="16"/>
  <c r="S346" i="16"/>
  <c r="W346" i="16"/>
  <c r="G347" i="16"/>
  <c r="K347" i="16"/>
  <c r="S347" i="16"/>
  <c r="W347" i="16"/>
  <c r="G348" i="16"/>
  <c r="K348" i="16"/>
  <c r="S348" i="16"/>
  <c r="W348" i="16"/>
  <c r="D349" i="16"/>
  <c r="J349" i="16"/>
  <c r="T349" i="16"/>
  <c r="Z349" i="16"/>
  <c r="AE349" i="16"/>
  <c r="D350" i="16"/>
  <c r="J350" i="16"/>
  <c r="T350" i="16"/>
  <c r="Z350" i="16"/>
  <c r="AE350" i="16"/>
  <c r="AG350" i="16" s="1"/>
  <c r="D351" i="16"/>
  <c r="J351" i="16"/>
  <c r="T351" i="16"/>
  <c r="Z351" i="16"/>
  <c r="AE351" i="16"/>
  <c r="D352" i="16"/>
  <c r="J352" i="16"/>
  <c r="T352" i="16"/>
  <c r="Z352" i="16"/>
  <c r="AE352" i="16"/>
  <c r="N353" i="16"/>
  <c r="V353" i="16"/>
  <c r="N354" i="16"/>
  <c r="V354" i="16"/>
  <c r="N355" i="16"/>
  <c r="V355" i="16"/>
  <c r="N363" i="16"/>
  <c r="V363" i="16"/>
  <c r="X363" i="16" s="1"/>
  <c r="N364" i="16"/>
  <c r="V364" i="16"/>
  <c r="N365" i="16"/>
  <c r="V365" i="16"/>
  <c r="N366" i="16"/>
  <c r="V366" i="16"/>
  <c r="N367" i="16"/>
  <c r="V367" i="16"/>
  <c r="X367" i="16" s="1"/>
  <c r="N368" i="16"/>
  <c r="V368" i="16"/>
  <c r="N369" i="16"/>
  <c r="V369" i="16"/>
  <c r="N370" i="16"/>
  <c r="V370" i="16"/>
  <c r="N371" i="16"/>
  <c r="V371" i="16"/>
  <c r="X371" i="16" s="1"/>
  <c r="N372" i="16"/>
  <c r="V372" i="16"/>
  <c r="G373" i="16"/>
  <c r="W373" i="16"/>
  <c r="AF403" i="16"/>
  <c r="AB403" i="16"/>
  <c r="T403" i="16"/>
  <c r="P403" i="16"/>
  <c r="H403" i="16"/>
  <c r="D403" i="16"/>
  <c r="AE403" i="16"/>
  <c r="Z403" i="16"/>
  <c r="J403" i="16"/>
  <c r="E403" i="16"/>
  <c r="AC403" i="16"/>
  <c r="V403" i="16"/>
  <c r="X403" i="16" s="1"/>
  <c r="N403" i="16"/>
  <c r="G403" i="16"/>
  <c r="S403" i="16"/>
  <c r="M403" i="16"/>
  <c r="Q403" i="16"/>
  <c r="Y403" i="16"/>
  <c r="K403" i="16"/>
  <c r="AC374" i="16"/>
  <c r="Y374" i="16"/>
  <c r="AA374" i="16" s="1"/>
  <c r="Q374" i="16"/>
  <c r="M374" i="16"/>
  <c r="E374" i="16"/>
  <c r="AF374" i="16"/>
  <c r="AB374" i="16"/>
  <c r="T374" i="16"/>
  <c r="P374" i="16"/>
  <c r="H374" i="16"/>
  <c r="D374" i="16"/>
  <c r="K374" i="16"/>
  <c r="S374" i="16"/>
  <c r="AC375" i="16"/>
  <c r="Y375" i="16"/>
  <c r="AA375" i="16" s="1"/>
  <c r="Q375" i="16"/>
  <c r="M375" i="16"/>
  <c r="E375" i="16"/>
  <c r="AF375" i="16"/>
  <c r="AB375" i="16"/>
  <c r="T375" i="16"/>
  <c r="P375" i="16"/>
  <c r="H375" i="16"/>
  <c r="D375" i="16"/>
  <c r="K375" i="16"/>
  <c r="S375" i="16"/>
  <c r="AC376" i="16"/>
  <c r="Y376" i="16"/>
  <c r="Q376" i="16"/>
  <c r="M376" i="16"/>
  <c r="E376" i="16"/>
  <c r="AF376" i="16"/>
  <c r="AG376" i="16" s="1"/>
  <c r="AB376" i="16"/>
  <c r="T376" i="16"/>
  <c r="P376" i="16"/>
  <c r="H376" i="16"/>
  <c r="D376" i="16"/>
  <c r="K376" i="16"/>
  <c r="S376" i="16"/>
  <c r="AC377" i="16"/>
  <c r="Y377" i="16"/>
  <c r="Q377" i="16"/>
  <c r="M377" i="16"/>
  <c r="E377" i="16"/>
  <c r="AF377" i="16"/>
  <c r="AB377" i="16"/>
  <c r="T377" i="16"/>
  <c r="P377" i="16"/>
  <c r="H377" i="16"/>
  <c r="D377" i="16"/>
  <c r="K377" i="16"/>
  <c r="S377" i="16"/>
  <c r="AC378" i="16"/>
  <c r="Y378" i="16"/>
  <c r="AA378" i="16" s="1"/>
  <c r="Q378" i="16"/>
  <c r="M378" i="16"/>
  <c r="E378" i="16"/>
  <c r="AF378" i="16"/>
  <c r="AB378" i="16"/>
  <c r="T378" i="16"/>
  <c r="P378" i="16"/>
  <c r="H378" i="16"/>
  <c r="D378" i="16"/>
  <c r="K378" i="16"/>
  <c r="S378" i="16"/>
  <c r="AC379" i="16"/>
  <c r="Y379" i="16"/>
  <c r="AA379" i="16" s="1"/>
  <c r="Q379" i="16"/>
  <c r="M379" i="16"/>
  <c r="E379" i="16"/>
  <c r="AF379" i="16"/>
  <c r="AB379" i="16"/>
  <c r="T379" i="16"/>
  <c r="P379" i="16"/>
  <c r="H379" i="16"/>
  <c r="D379" i="16"/>
  <c r="K379" i="16"/>
  <c r="S379" i="16"/>
  <c r="AC380" i="16"/>
  <c r="Y380" i="16"/>
  <c r="Q380" i="16"/>
  <c r="M380" i="16"/>
  <c r="E380" i="16"/>
  <c r="AF380" i="16"/>
  <c r="AB380" i="16"/>
  <c r="T380" i="16"/>
  <c r="P380" i="16"/>
  <c r="H380" i="16"/>
  <c r="D380" i="16"/>
  <c r="K380" i="16"/>
  <c r="S380" i="16"/>
  <c r="AC381" i="16"/>
  <c r="Y381" i="16"/>
  <c r="Q381" i="16"/>
  <c r="M381" i="16"/>
  <c r="E381" i="16"/>
  <c r="AF381" i="16"/>
  <c r="AB381" i="16"/>
  <c r="T381" i="16"/>
  <c r="P381" i="16"/>
  <c r="H381" i="16"/>
  <c r="D381" i="16"/>
  <c r="K381" i="16"/>
  <c r="S381" i="16"/>
  <c r="AC382" i="16"/>
  <c r="Y382" i="16"/>
  <c r="AA382" i="16" s="1"/>
  <c r="Q382" i="16"/>
  <c r="M382" i="16"/>
  <c r="E382" i="16"/>
  <c r="AF382" i="16"/>
  <c r="AB382" i="16"/>
  <c r="T382" i="16"/>
  <c r="P382" i="16"/>
  <c r="H382" i="16"/>
  <c r="D382" i="16"/>
  <c r="K382" i="16"/>
  <c r="S382" i="16"/>
  <c r="AC390" i="16"/>
  <c r="Y390" i="16"/>
  <c r="Q390" i="16"/>
  <c r="M390" i="16"/>
  <c r="E390" i="16"/>
  <c r="AF390" i="16"/>
  <c r="AG390" i="16" s="1"/>
  <c r="AB390" i="16"/>
  <c r="T390" i="16"/>
  <c r="P390" i="16"/>
  <c r="H390" i="16"/>
  <c r="D390" i="16"/>
  <c r="K390" i="16"/>
  <c r="S390" i="16"/>
  <c r="AC391" i="16"/>
  <c r="Y391" i="16"/>
  <c r="Q391" i="16"/>
  <c r="M391" i="16"/>
  <c r="E391" i="16"/>
  <c r="AF391" i="16"/>
  <c r="AB391" i="16"/>
  <c r="T391" i="16"/>
  <c r="P391" i="16"/>
  <c r="H391" i="16"/>
  <c r="D391" i="16"/>
  <c r="K391" i="16"/>
  <c r="L391" i="16" s="1"/>
  <c r="S391" i="16"/>
  <c r="AC392" i="16"/>
  <c r="Y392" i="16"/>
  <c r="Q392" i="16"/>
  <c r="M392" i="16"/>
  <c r="E392" i="16"/>
  <c r="AF392" i="16"/>
  <c r="AB392" i="16"/>
  <c r="T392" i="16"/>
  <c r="P392" i="16"/>
  <c r="H392" i="16"/>
  <c r="D392" i="16"/>
  <c r="K392" i="16"/>
  <c r="S392" i="16"/>
  <c r="AC393" i="16"/>
  <c r="Y393" i="16"/>
  <c r="AA393" i="16" s="1"/>
  <c r="Q393" i="16"/>
  <c r="M393" i="16"/>
  <c r="E393" i="16"/>
  <c r="AF393" i="16"/>
  <c r="AB393" i="16"/>
  <c r="T393" i="16"/>
  <c r="P393" i="16"/>
  <c r="H393" i="16"/>
  <c r="D393" i="16"/>
  <c r="K393" i="16"/>
  <c r="S393" i="16"/>
  <c r="AC394" i="16"/>
  <c r="Y394" i="16"/>
  <c r="Q394" i="16"/>
  <c r="M394" i="16"/>
  <c r="E394" i="16"/>
  <c r="AF394" i="16"/>
  <c r="AG394" i="16" s="1"/>
  <c r="AB394" i="16"/>
  <c r="T394" i="16"/>
  <c r="P394" i="16"/>
  <c r="H394" i="16"/>
  <c r="D394" i="16"/>
  <c r="K394" i="16"/>
  <c r="S394" i="16"/>
  <c r="AC395" i="16"/>
  <c r="Y395" i="16"/>
  <c r="AA395" i="16" s="1"/>
  <c r="Q395" i="16"/>
  <c r="M395" i="16"/>
  <c r="E395" i="16"/>
  <c r="AF395" i="16"/>
  <c r="AB395" i="16"/>
  <c r="T395" i="16"/>
  <c r="P395" i="16"/>
  <c r="H395" i="16"/>
  <c r="D395" i="16"/>
  <c r="K395" i="16"/>
  <c r="S395" i="16"/>
  <c r="AE396" i="16"/>
  <c r="W396" i="16"/>
  <c r="S396" i="16"/>
  <c r="AC396" i="16"/>
  <c r="M396" i="16"/>
  <c r="E396" i="16"/>
  <c r="AB396" i="16"/>
  <c r="V396" i="16"/>
  <c r="Q396" i="16"/>
  <c r="R396" i="16" s="1"/>
  <c r="H396" i="16"/>
  <c r="D396" i="16"/>
  <c r="K396" i="16"/>
  <c r="AF396" i="16"/>
  <c r="N374" i="16"/>
  <c r="V374" i="16"/>
  <c r="N375" i="16"/>
  <c r="V375" i="16"/>
  <c r="N376" i="16"/>
  <c r="V376" i="16"/>
  <c r="N377" i="16"/>
  <c r="V377" i="16"/>
  <c r="X377" i="16" s="1"/>
  <c r="N378" i="16"/>
  <c r="V378" i="16"/>
  <c r="N379" i="16"/>
  <c r="V379" i="16"/>
  <c r="N380" i="16"/>
  <c r="V380" i="16"/>
  <c r="N381" i="16"/>
  <c r="V381" i="16"/>
  <c r="X381" i="16" s="1"/>
  <c r="N382" i="16"/>
  <c r="V382" i="16"/>
  <c r="N390" i="16"/>
  <c r="V390" i="16"/>
  <c r="N391" i="16"/>
  <c r="V391" i="16"/>
  <c r="N392" i="16"/>
  <c r="V392" i="16"/>
  <c r="X392" i="16" s="1"/>
  <c r="N393" i="16"/>
  <c r="V393" i="16"/>
  <c r="N394" i="16"/>
  <c r="V394" i="16"/>
  <c r="N395" i="16"/>
  <c r="V395" i="16"/>
  <c r="N396" i="16"/>
  <c r="Y396" i="16"/>
  <c r="Q400" i="16"/>
  <c r="Q402" i="16"/>
  <c r="Q404" i="16"/>
  <c r="AF400" i="16"/>
  <c r="AB400" i="16"/>
  <c r="T400" i="16"/>
  <c r="P400" i="16"/>
  <c r="H400" i="16"/>
  <c r="D400" i="16"/>
  <c r="AE400" i="16"/>
  <c r="Z400" i="16"/>
  <c r="J400" i="16"/>
  <c r="E400" i="16"/>
  <c r="K400" i="16"/>
  <c r="Y400" i="16"/>
  <c r="AF402" i="16"/>
  <c r="AB402" i="16"/>
  <c r="T402" i="16"/>
  <c r="P402" i="16"/>
  <c r="H402" i="16"/>
  <c r="D402" i="16"/>
  <c r="AE402" i="16"/>
  <c r="Z402" i="16"/>
  <c r="J402" i="16"/>
  <c r="E402" i="16"/>
  <c r="K402" i="16"/>
  <c r="Y402" i="16"/>
  <c r="AF404" i="16"/>
  <c r="AB404" i="16"/>
  <c r="T404" i="16"/>
  <c r="P404" i="16"/>
  <c r="H404" i="16"/>
  <c r="D404" i="16"/>
  <c r="AE404" i="16"/>
  <c r="Z404" i="16"/>
  <c r="J404" i="16"/>
  <c r="E404" i="16"/>
  <c r="K404" i="16"/>
  <c r="Y404" i="16"/>
  <c r="AF405" i="16"/>
  <c r="AB405" i="16"/>
  <c r="AD405" i="16" s="1"/>
  <c r="T405" i="16"/>
  <c r="P405" i="16"/>
  <c r="H405" i="16"/>
  <c r="D405" i="16"/>
  <c r="N405" i="16"/>
  <c r="S405" i="16"/>
  <c r="Y405" i="16"/>
  <c r="AF406" i="16"/>
  <c r="AB406" i="16"/>
  <c r="T406" i="16"/>
  <c r="P406" i="16"/>
  <c r="R406" i="16" s="1"/>
  <c r="H406" i="16"/>
  <c r="D406" i="16"/>
  <c r="N406" i="16"/>
  <c r="S406" i="16"/>
  <c r="Y406" i="16"/>
  <c r="AF407" i="16"/>
  <c r="AB407" i="16"/>
  <c r="T407" i="16"/>
  <c r="P407" i="16"/>
  <c r="H407" i="16"/>
  <c r="D407" i="16"/>
  <c r="N407" i="16"/>
  <c r="S407" i="16"/>
  <c r="Y407" i="16"/>
  <c r="AF408" i="16"/>
  <c r="AB408" i="16"/>
  <c r="T408" i="16"/>
  <c r="P408" i="16"/>
  <c r="R408" i="16" s="1"/>
  <c r="H408" i="16"/>
  <c r="D408" i="16"/>
  <c r="N408" i="16"/>
  <c r="S408" i="16"/>
  <c r="Y408" i="16"/>
  <c r="AF409" i="16"/>
  <c r="AB409" i="16"/>
  <c r="AD409" i="16" s="1"/>
  <c r="T409" i="16"/>
  <c r="P409" i="16"/>
  <c r="H409" i="16"/>
  <c r="D409" i="16"/>
  <c r="N409" i="16"/>
  <c r="S409" i="16"/>
  <c r="Y409" i="16"/>
  <c r="G397" i="16"/>
  <c r="K397" i="16"/>
  <c r="S397" i="16"/>
  <c r="W397" i="16"/>
  <c r="G398" i="16"/>
  <c r="K398" i="16"/>
  <c r="S398" i="16"/>
  <c r="W398" i="16"/>
  <c r="AF399" i="16"/>
  <c r="AB399" i="16"/>
  <c r="AD399" i="16" s="1"/>
  <c r="T399" i="16"/>
  <c r="P399" i="16"/>
  <c r="G399" i="16"/>
  <c r="K399" i="16"/>
  <c r="Z399" i="16"/>
  <c r="AE399" i="16"/>
  <c r="E405" i="16"/>
  <c r="J405" i="16"/>
  <c r="Z405" i="16"/>
  <c r="AE405" i="16"/>
  <c r="E406" i="16"/>
  <c r="J406" i="16"/>
  <c r="Z406" i="16"/>
  <c r="AE406" i="16"/>
  <c r="E407" i="16"/>
  <c r="J407" i="16"/>
  <c r="Z407" i="16"/>
  <c r="AE407" i="16"/>
  <c r="E408" i="16"/>
  <c r="J408" i="16"/>
  <c r="Z408" i="16"/>
  <c r="AE408" i="16"/>
  <c r="E409" i="16"/>
  <c r="J409" i="16"/>
  <c r="Z409" i="16"/>
  <c r="AE409" i="16"/>
  <c r="AF148" i="16"/>
  <c r="AB148" i="16"/>
  <c r="T148" i="16"/>
  <c r="P148" i="16"/>
  <c r="H148" i="16"/>
  <c r="D148" i="16"/>
  <c r="AC148" i="16"/>
  <c r="W148" i="16"/>
  <c r="M148" i="16"/>
  <c r="G148" i="16"/>
  <c r="V148" i="16"/>
  <c r="Q148" i="16"/>
  <c r="K148" i="16"/>
  <c r="AE148" i="16"/>
  <c r="Z148" i="16"/>
  <c r="J148" i="16"/>
  <c r="E148" i="16"/>
  <c r="Y148" i="16"/>
  <c r="N148" i="16"/>
  <c r="AF150" i="16"/>
  <c r="AB150" i="16"/>
  <c r="T150" i="16"/>
  <c r="P150" i="16"/>
  <c r="H150" i="16"/>
  <c r="D150" i="16"/>
  <c r="AC150" i="16"/>
  <c r="W150" i="16"/>
  <c r="M150" i="16"/>
  <c r="O150" i="16" s="1"/>
  <c r="G150" i="16"/>
  <c r="V150" i="16"/>
  <c r="Q150" i="16"/>
  <c r="K150" i="16"/>
  <c r="AE150" i="16"/>
  <c r="Z150" i="16"/>
  <c r="J150" i="16"/>
  <c r="E150" i="16"/>
  <c r="Y150" i="16"/>
  <c r="S150" i="16"/>
  <c r="S148" i="16"/>
  <c r="AF149" i="16"/>
  <c r="AB149" i="16"/>
  <c r="T149" i="16"/>
  <c r="U149" i="16" s="1"/>
  <c r="P149" i="16"/>
  <c r="H149" i="16"/>
  <c r="D149" i="16"/>
  <c r="AC149" i="16"/>
  <c r="W149" i="16"/>
  <c r="M149" i="16"/>
  <c r="G149" i="16"/>
  <c r="V149" i="16"/>
  <c r="Q149" i="16"/>
  <c r="K149" i="16"/>
  <c r="AE149" i="16"/>
  <c r="Z149" i="16"/>
  <c r="J149" i="16"/>
  <c r="E149" i="16"/>
  <c r="Y149" i="16"/>
  <c r="AF151" i="16"/>
  <c r="AB151" i="16"/>
  <c r="T151" i="16"/>
  <c r="P151" i="16"/>
  <c r="H151" i="16"/>
  <c r="D151" i="16"/>
  <c r="N151" i="16"/>
  <c r="S151" i="16"/>
  <c r="Y151" i="16"/>
  <c r="AF152" i="16"/>
  <c r="AB152" i="16"/>
  <c r="T152" i="16"/>
  <c r="P152" i="16"/>
  <c r="H152" i="16"/>
  <c r="D152" i="16"/>
  <c r="N152" i="16"/>
  <c r="S152" i="16"/>
  <c r="Y152" i="16"/>
  <c r="AF153" i="16"/>
  <c r="AB153" i="16"/>
  <c r="T153" i="16"/>
  <c r="P153" i="16"/>
  <c r="H153" i="16"/>
  <c r="D153" i="16"/>
  <c r="N153" i="16"/>
  <c r="S153" i="16"/>
  <c r="Y153" i="16"/>
  <c r="AF154" i="16"/>
  <c r="AB154" i="16"/>
  <c r="T154" i="16"/>
  <c r="P154" i="16"/>
  <c r="H154" i="16"/>
  <c r="D154" i="16"/>
  <c r="N154" i="16"/>
  <c r="S154" i="16"/>
  <c r="Y154" i="16"/>
  <c r="AF155" i="16"/>
  <c r="AB155" i="16"/>
  <c r="T155" i="16"/>
  <c r="P155" i="16"/>
  <c r="H155" i="16"/>
  <c r="D155" i="16"/>
  <c r="N155" i="16"/>
  <c r="S155" i="16"/>
  <c r="Y155" i="16"/>
  <c r="AF156" i="16"/>
  <c r="AB156" i="16"/>
  <c r="T156" i="16"/>
  <c r="P156" i="16"/>
  <c r="H156" i="16"/>
  <c r="D156" i="16"/>
  <c r="N156" i="16"/>
  <c r="S156" i="16"/>
  <c r="Y156" i="16"/>
  <c r="AF157" i="16"/>
  <c r="AB157" i="16"/>
  <c r="T157" i="16"/>
  <c r="P157" i="16"/>
  <c r="H157" i="16"/>
  <c r="D157" i="16"/>
  <c r="N157" i="16"/>
  <c r="S157" i="16"/>
  <c r="Y157" i="16"/>
  <c r="AF158" i="16"/>
  <c r="AB158" i="16"/>
  <c r="T158" i="16"/>
  <c r="P158" i="16"/>
  <c r="H158" i="16"/>
  <c r="D158" i="16"/>
  <c r="N158" i="16"/>
  <c r="S158" i="16"/>
  <c r="Y158" i="16"/>
  <c r="AF159" i="16"/>
  <c r="AB159" i="16"/>
  <c r="T159" i="16"/>
  <c r="P159" i="16"/>
  <c r="H159" i="16"/>
  <c r="D159" i="16"/>
  <c r="N159" i="16"/>
  <c r="S159" i="16"/>
  <c r="Y159" i="16"/>
  <c r="Z160" i="16"/>
  <c r="V160" i="16"/>
  <c r="N160" i="16"/>
  <c r="J160" i="16"/>
  <c r="AF160" i="16"/>
  <c r="AB160" i="16"/>
  <c r="T160" i="16"/>
  <c r="P160" i="16"/>
  <c r="H160" i="16"/>
  <c r="D160" i="16"/>
  <c r="K160" i="16"/>
  <c r="S160" i="16"/>
  <c r="Z164" i="16"/>
  <c r="V164" i="16"/>
  <c r="N164" i="16"/>
  <c r="J164" i="16"/>
  <c r="AC164" i="16"/>
  <c r="AF164" i="16"/>
  <c r="AB164" i="16"/>
  <c r="T164" i="16"/>
  <c r="P164" i="16"/>
  <c r="H164" i="16"/>
  <c r="D164" i="16"/>
  <c r="K164" i="16"/>
  <c r="S164" i="16"/>
  <c r="Z173" i="16"/>
  <c r="V173" i="16"/>
  <c r="N173" i="16"/>
  <c r="J173" i="16"/>
  <c r="AC173" i="16"/>
  <c r="Y173" i="16"/>
  <c r="Q173" i="16"/>
  <c r="M173" i="16"/>
  <c r="E173" i="16"/>
  <c r="AF173" i="16"/>
  <c r="AB173" i="16"/>
  <c r="T173" i="16"/>
  <c r="P173" i="16"/>
  <c r="H173" i="16"/>
  <c r="D173" i="16"/>
  <c r="S173" i="16"/>
  <c r="Z177" i="16"/>
  <c r="V177" i="16"/>
  <c r="N177" i="16"/>
  <c r="J177" i="16"/>
  <c r="AC177" i="16"/>
  <c r="Y177" i="16"/>
  <c r="Q177" i="16"/>
  <c r="M177" i="16"/>
  <c r="E177" i="16"/>
  <c r="AF177" i="16"/>
  <c r="AB177" i="16"/>
  <c r="T177" i="16"/>
  <c r="P177" i="16"/>
  <c r="H177" i="16"/>
  <c r="D177" i="16"/>
  <c r="S177" i="16"/>
  <c r="Z181" i="16"/>
  <c r="V181" i="16"/>
  <c r="N181" i="16"/>
  <c r="J181" i="16"/>
  <c r="AC181" i="16"/>
  <c r="Y181" i="16"/>
  <c r="Q181" i="16"/>
  <c r="M181" i="16"/>
  <c r="E181" i="16"/>
  <c r="AF181" i="16"/>
  <c r="AB181" i="16"/>
  <c r="T181" i="16"/>
  <c r="P181" i="16"/>
  <c r="H181" i="16"/>
  <c r="D181" i="16"/>
  <c r="S181" i="16"/>
  <c r="Z185" i="16"/>
  <c r="V185" i="16"/>
  <c r="N185" i="16"/>
  <c r="J185" i="16"/>
  <c r="AC185" i="16"/>
  <c r="Y185" i="16"/>
  <c r="Q185" i="16"/>
  <c r="M185" i="16"/>
  <c r="E185" i="16"/>
  <c r="AF185" i="16"/>
  <c r="AB185" i="16"/>
  <c r="T185" i="16"/>
  <c r="P185" i="16"/>
  <c r="H185" i="16"/>
  <c r="D185" i="16"/>
  <c r="S185" i="16"/>
  <c r="G146" i="16"/>
  <c r="K146" i="16"/>
  <c r="S146" i="16"/>
  <c r="W146" i="16"/>
  <c r="AE146" i="16"/>
  <c r="G147" i="16"/>
  <c r="K147" i="16"/>
  <c r="S147" i="16"/>
  <c r="W147" i="16"/>
  <c r="AE147" i="16"/>
  <c r="AG147" i="16" s="1"/>
  <c r="E151" i="16"/>
  <c r="J151" i="16"/>
  <c r="Z151" i="16"/>
  <c r="AE151" i="16"/>
  <c r="E152" i="16"/>
  <c r="J152" i="16"/>
  <c r="Z152" i="16"/>
  <c r="AE152" i="16"/>
  <c r="E153" i="16"/>
  <c r="J153" i="16"/>
  <c r="Z153" i="16"/>
  <c r="AE153" i="16"/>
  <c r="E154" i="16"/>
  <c r="J154" i="16"/>
  <c r="Z154" i="16"/>
  <c r="AE154" i="16"/>
  <c r="AG154" i="16" s="1"/>
  <c r="E155" i="16"/>
  <c r="J155" i="16"/>
  <c r="Z155" i="16"/>
  <c r="AE155" i="16"/>
  <c r="E156" i="16"/>
  <c r="J156" i="16"/>
  <c r="Z156" i="16"/>
  <c r="AE156" i="16"/>
  <c r="E157" i="16"/>
  <c r="J157" i="16"/>
  <c r="Z157" i="16"/>
  <c r="AE157" i="16"/>
  <c r="E158" i="16"/>
  <c r="J158" i="16"/>
  <c r="Z158" i="16"/>
  <c r="AE158" i="16"/>
  <c r="E159" i="16"/>
  <c r="J159" i="16"/>
  <c r="Z159" i="16"/>
  <c r="AE159" i="16"/>
  <c r="E160" i="16"/>
  <c r="M160" i="16"/>
  <c r="AC160" i="16"/>
  <c r="Z161" i="16"/>
  <c r="V161" i="16"/>
  <c r="N161" i="16"/>
  <c r="J161" i="16"/>
  <c r="AF161" i="16"/>
  <c r="AB161" i="16"/>
  <c r="T161" i="16"/>
  <c r="P161" i="16"/>
  <c r="H161" i="16"/>
  <c r="D161" i="16"/>
  <c r="F161" i="16" s="1"/>
  <c r="K161" i="16"/>
  <c r="S161" i="16"/>
  <c r="Q162" i="16"/>
  <c r="E164" i="16"/>
  <c r="M164" i="16"/>
  <c r="AE164" i="16"/>
  <c r="G173" i="16"/>
  <c r="W173" i="16"/>
  <c r="Z174" i="16"/>
  <c r="V174" i="16"/>
  <c r="N174" i="16"/>
  <c r="J174" i="16"/>
  <c r="AC174" i="16"/>
  <c r="Y174" i="16"/>
  <c r="Q174" i="16"/>
  <c r="M174" i="16"/>
  <c r="E174" i="16"/>
  <c r="AF174" i="16"/>
  <c r="AG174" i="16" s="1"/>
  <c r="AB174" i="16"/>
  <c r="T174" i="16"/>
  <c r="P174" i="16"/>
  <c r="H174" i="16"/>
  <c r="I174" i="16" s="1"/>
  <c r="D174" i="16"/>
  <c r="S174" i="16"/>
  <c r="G177" i="16"/>
  <c r="W177" i="16"/>
  <c r="Z178" i="16"/>
  <c r="V178" i="16"/>
  <c r="N178" i="16"/>
  <c r="J178" i="16"/>
  <c r="AC178" i="16"/>
  <c r="Y178" i="16"/>
  <c r="Q178" i="16"/>
  <c r="M178" i="16"/>
  <c r="E178" i="16"/>
  <c r="AF178" i="16"/>
  <c r="AB178" i="16"/>
  <c r="T178" i="16"/>
  <c r="P178" i="16"/>
  <c r="H178" i="16"/>
  <c r="D178" i="16"/>
  <c r="S178" i="16"/>
  <c r="G181" i="16"/>
  <c r="I181" i="16" s="1"/>
  <c r="W181" i="16"/>
  <c r="Z182" i="16"/>
  <c r="V182" i="16"/>
  <c r="N182" i="16"/>
  <c r="J182" i="16"/>
  <c r="AC182" i="16"/>
  <c r="Y182" i="16"/>
  <c r="Q182" i="16"/>
  <c r="M182" i="16"/>
  <c r="E182" i="16"/>
  <c r="AF182" i="16"/>
  <c r="AB182" i="16"/>
  <c r="T182" i="16"/>
  <c r="P182" i="16"/>
  <c r="H182" i="16"/>
  <c r="D182" i="16"/>
  <c r="S182" i="16"/>
  <c r="G185" i="16"/>
  <c r="W185" i="16"/>
  <c r="Z186" i="16"/>
  <c r="V186" i="16"/>
  <c r="N186" i="16"/>
  <c r="J186" i="16"/>
  <c r="AC186" i="16"/>
  <c r="Y186" i="16"/>
  <c r="Q186" i="16"/>
  <c r="M186" i="16"/>
  <c r="E186" i="16"/>
  <c r="AF186" i="16"/>
  <c r="AB186" i="16"/>
  <c r="T186" i="16"/>
  <c r="P186" i="16"/>
  <c r="H186" i="16"/>
  <c r="D186" i="16"/>
  <c r="S186" i="16"/>
  <c r="K151" i="16"/>
  <c r="Q151" i="16"/>
  <c r="V151" i="16"/>
  <c r="K152" i="16"/>
  <c r="Q152" i="16"/>
  <c r="V152" i="16"/>
  <c r="K153" i="16"/>
  <c r="Q153" i="16"/>
  <c r="V153" i="16"/>
  <c r="K154" i="16"/>
  <c r="Q154" i="16"/>
  <c r="V154" i="16"/>
  <c r="K155" i="16"/>
  <c r="Q155" i="16"/>
  <c r="V155" i="16"/>
  <c r="K156" i="16"/>
  <c r="Q156" i="16"/>
  <c r="V156" i="16"/>
  <c r="K157" i="16"/>
  <c r="Q157" i="16"/>
  <c r="V157" i="16"/>
  <c r="K158" i="16"/>
  <c r="Q158" i="16"/>
  <c r="V158" i="16"/>
  <c r="K159" i="16"/>
  <c r="Q159" i="16"/>
  <c r="V159" i="16"/>
  <c r="G160" i="16"/>
  <c r="W160" i="16"/>
  <c r="AE160" i="16"/>
  <c r="Z162" i="16"/>
  <c r="V162" i="16"/>
  <c r="N162" i="16"/>
  <c r="J162" i="16"/>
  <c r="AF162" i="16"/>
  <c r="AB162" i="16"/>
  <c r="T162" i="16"/>
  <c r="P162" i="16"/>
  <c r="H162" i="16"/>
  <c r="D162" i="16"/>
  <c r="K162" i="16"/>
  <c r="S162" i="16"/>
  <c r="G164" i="16"/>
  <c r="W164" i="16"/>
  <c r="K173" i="16"/>
  <c r="Z175" i="16"/>
  <c r="V175" i="16"/>
  <c r="N175" i="16"/>
  <c r="J175" i="16"/>
  <c r="AC175" i="16"/>
  <c r="Y175" i="16"/>
  <c r="Q175" i="16"/>
  <c r="M175" i="16"/>
  <c r="E175" i="16"/>
  <c r="AF175" i="16"/>
  <c r="AG175" i="16" s="1"/>
  <c r="AB175" i="16"/>
  <c r="T175" i="16"/>
  <c r="P175" i="16"/>
  <c r="H175" i="16"/>
  <c r="D175" i="16"/>
  <c r="S175" i="16"/>
  <c r="K177" i="16"/>
  <c r="Z179" i="16"/>
  <c r="V179" i="16"/>
  <c r="N179" i="16"/>
  <c r="J179" i="16"/>
  <c r="AC179" i="16"/>
  <c r="Y179" i="16"/>
  <c r="Q179" i="16"/>
  <c r="M179" i="16"/>
  <c r="E179" i="16"/>
  <c r="AF179" i="16"/>
  <c r="AG179" i="16" s="1"/>
  <c r="AB179" i="16"/>
  <c r="T179" i="16"/>
  <c r="P179" i="16"/>
  <c r="H179" i="16"/>
  <c r="D179" i="16"/>
  <c r="S179" i="16"/>
  <c r="K181" i="16"/>
  <c r="Z183" i="16"/>
  <c r="V183" i="16"/>
  <c r="N183" i="16"/>
  <c r="J183" i="16"/>
  <c r="AC183" i="16"/>
  <c r="Y183" i="16"/>
  <c r="Q183" i="16"/>
  <c r="M183" i="16"/>
  <c r="E183" i="16"/>
  <c r="AF183" i="16"/>
  <c r="AG183" i="16" s="1"/>
  <c r="AB183" i="16"/>
  <c r="T183" i="16"/>
  <c r="P183" i="16"/>
  <c r="H183" i="16"/>
  <c r="D183" i="16"/>
  <c r="S183" i="16"/>
  <c r="K185" i="16"/>
  <c r="AC187" i="16"/>
  <c r="Y187" i="16"/>
  <c r="Q187" i="16"/>
  <c r="R187" i="16" s="1"/>
  <c r="M187" i="16"/>
  <c r="AE187" i="16"/>
  <c r="Z187" i="16"/>
  <c r="T187" i="16"/>
  <c r="J187" i="16"/>
  <c r="S187" i="16"/>
  <c r="N187" i="16"/>
  <c r="E187" i="16"/>
  <c r="AB187" i="16"/>
  <c r="W187" i="16"/>
  <c r="H187" i="16"/>
  <c r="D187" i="16"/>
  <c r="V187" i="16"/>
  <c r="E146" i="16"/>
  <c r="M146" i="16"/>
  <c r="Q146" i="16"/>
  <c r="Y146" i="16"/>
  <c r="E147" i="16"/>
  <c r="M147" i="16"/>
  <c r="Q147" i="16"/>
  <c r="Y147" i="16"/>
  <c r="AC147" i="16"/>
  <c r="G151" i="16"/>
  <c r="M151" i="16"/>
  <c r="W151" i="16"/>
  <c r="AC151" i="16"/>
  <c r="G152" i="16"/>
  <c r="M152" i="16"/>
  <c r="W152" i="16"/>
  <c r="AC152" i="16"/>
  <c r="G153" i="16"/>
  <c r="M153" i="16"/>
  <c r="W153" i="16"/>
  <c r="AC153" i="16"/>
  <c r="G154" i="16"/>
  <c r="M154" i="16"/>
  <c r="W154" i="16"/>
  <c r="AC154" i="16"/>
  <c r="G155" i="16"/>
  <c r="M155" i="16"/>
  <c r="W155" i="16"/>
  <c r="AC155" i="16"/>
  <c r="G156" i="16"/>
  <c r="M156" i="16"/>
  <c r="W156" i="16"/>
  <c r="AC156" i="16"/>
  <c r="G157" i="16"/>
  <c r="M157" i="16"/>
  <c r="W157" i="16"/>
  <c r="AC157" i="16"/>
  <c r="G158" i="16"/>
  <c r="M158" i="16"/>
  <c r="W158" i="16"/>
  <c r="AC158" i="16"/>
  <c r="G159" i="16"/>
  <c r="M159" i="16"/>
  <c r="W159" i="16"/>
  <c r="AC159" i="16"/>
  <c r="Q160" i="16"/>
  <c r="Y160" i="16"/>
  <c r="G161" i="16"/>
  <c r="W161" i="16"/>
  <c r="AE161" i="16"/>
  <c r="E162" i="16"/>
  <c r="M162" i="16"/>
  <c r="AC162" i="16"/>
  <c r="Z163" i="16"/>
  <c r="V163" i="16"/>
  <c r="N163" i="16"/>
  <c r="J163" i="16"/>
  <c r="AF163" i="16"/>
  <c r="AB163" i="16"/>
  <c r="T163" i="16"/>
  <c r="P163" i="16"/>
  <c r="H163" i="16"/>
  <c r="D163" i="16"/>
  <c r="F163" i="16" s="1"/>
  <c r="K163" i="16"/>
  <c r="S163" i="16"/>
  <c r="Q164" i="16"/>
  <c r="Y164" i="16"/>
  <c r="Z165" i="16"/>
  <c r="V165" i="16"/>
  <c r="N165" i="16"/>
  <c r="J165" i="16"/>
  <c r="AC165" i="16"/>
  <c r="Y165" i="16"/>
  <c r="Q165" i="16"/>
  <c r="M165" i="16"/>
  <c r="E165" i="16"/>
  <c r="AF165" i="16"/>
  <c r="AG165" i="16" s="1"/>
  <c r="AB165" i="16"/>
  <c r="T165" i="16"/>
  <c r="P165" i="16"/>
  <c r="H165" i="16"/>
  <c r="D165" i="16"/>
  <c r="S165" i="16"/>
  <c r="AE173" i="16"/>
  <c r="K174" i="16"/>
  <c r="G175" i="16"/>
  <c r="W175" i="16"/>
  <c r="Z176" i="16"/>
  <c r="V176" i="16"/>
  <c r="N176" i="16"/>
  <c r="J176" i="16"/>
  <c r="AC176" i="16"/>
  <c r="Y176" i="16"/>
  <c r="Q176" i="16"/>
  <c r="M176" i="16"/>
  <c r="E176" i="16"/>
  <c r="AF176" i="16"/>
  <c r="AB176" i="16"/>
  <c r="T176" i="16"/>
  <c r="P176" i="16"/>
  <c r="H176" i="16"/>
  <c r="D176" i="16"/>
  <c r="S176" i="16"/>
  <c r="AE177" i="16"/>
  <c r="K178" i="16"/>
  <c r="G179" i="16"/>
  <c r="W179" i="16"/>
  <c r="Z180" i="16"/>
  <c r="V180" i="16"/>
  <c r="N180" i="16"/>
  <c r="J180" i="16"/>
  <c r="AC180" i="16"/>
  <c r="Y180" i="16"/>
  <c r="Q180" i="16"/>
  <c r="M180" i="16"/>
  <c r="E180" i="16"/>
  <c r="AF180" i="16"/>
  <c r="AG180" i="16" s="1"/>
  <c r="AB180" i="16"/>
  <c r="T180" i="16"/>
  <c r="P180" i="16"/>
  <c r="H180" i="16"/>
  <c r="D180" i="16"/>
  <c r="S180" i="16"/>
  <c r="AE181" i="16"/>
  <c r="K182" i="16"/>
  <c r="G183" i="16"/>
  <c r="W183" i="16"/>
  <c r="Z184" i="16"/>
  <c r="V184" i="16"/>
  <c r="N184" i="16"/>
  <c r="J184" i="16"/>
  <c r="AC184" i="16"/>
  <c r="Y184" i="16"/>
  <c r="Q184" i="16"/>
  <c r="M184" i="16"/>
  <c r="E184" i="16"/>
  <c r="AF184" i="16"/>
  <c r="AG184" i="16" s="1"/>
  <c r="AB184" i="16"/>
  <c r="T184" i="16"/>
  <c r="P184" i="16"/>
  <c r="H184" i="16"/>
  <c r="D184" i="16"/>
  <c r="S184" i="16"/>
  <c r="AE185" i="16"/>
  <c r="K186" i="16"/>
  <c r="G187" i="16"/>
  <c r="G188" i="16"/>
  <c r="W188" i="16"/>
  <c r="G189" i="16"/>
  <c r="W189" i="16"/>
  <c r="G190" i="16"/>
  <c r="W190" i="16"/>
  <c r="G191" i="16"/>
  <c r="W191" i="16"/>
  <c r="G192" i="16"/>
  <c r="W192" i="16"/>
  <c r="G200" i="16"/>
  <c r="W200" i="16"/>
  <c r="G201" i="16"/>
  <c r="W201" i="16"/>
  <c r="G202" i="16"/>
  <c r="W202" i="16"/>
  <c r="G203" i="16"/>
  <c r="W203" i="16"/>
  <c r="G204" i="16"/>
  <c r="AC188" i="16"/>
  <c r="AD188" i="16" s="1"/>
  <c r="Y188" i="16"/>
  <c r="Q188" i="16"/>
  <c r="M188" i="16"/>
  <c r="E188" i="16"/>
  <c r="H188" i="16"/>
  <c r="N188" i="16"/>
  <c r="S188" i="16"/>
  <c r="AC189" i="16"/>
  <c r="Y189" i="16"/>
  <c r="Q189" i="16"/>
  <c r="M189" i="16"/>
  <c r="E189" i="16"/>
  <c r="H189" i="16"/>
  <c r="N189" i="16"/>
  <c r="S189" i="16"/>
  <c r="AC190" i="16"/>
  <c r="AD190" i="16" s="1"/>
  <c r="Y190" i="16"/>
  <c r="Q190" i="16"/>
  <c r="M190" i="16"/>
  <c r="E190" i="16"/>
  <c r="H190" i="16"/>
  <c r="N190" i="16"/>
  <c r="S190" i="16"/>
  <c r="AC191" i="16"/>
  <c r="AD191" i="16" s="1"/>
  <c r="Y191" i="16"/>
  <c r="Q191" i="16"/>
  <c r="M191" i="16"/>
  <c r="E191" i="16"/>
  <c r="H191" i="16"/>
  <c r="N191" i="16"/>
  <c r="S191" i="16"/>
  <c r="AC192" i="16"/>
  <c r="AD192" i="16" s="1"/>
  <c r="Y192" i="16"/>
  <c r="Q192" i="16"/>
  <c r="M192" i="16"/>
  <c r="E192" i="16"/>
  <c r="H192" i="16"/>
  <c r="N192" i="16"/>
  <c r="S192" i="16"/>
  <c r="AC200" i="16"/>
  <c r="AD200" i="16" s="1"/>
  <c r="Y200" i="16"/>
  <c r="Q200" i="16"/>
  <c r="M200" i="16"/>
  <c r="E200" i="16"/>
  <c r="H200" i="16"/>
  <c r="N200" i="16"/>
  <c r="S200" i="16"/>
  <c r="AC201" i="16"/>
  <c r="AD201" i="16" s="1"/>
  <c r="Y201" i="16"/>
  <c r="Q201" i="16"/>
  <c r="M201" i="16"/>
  <c r="E201" i="16"/>
  <c r="H201" i="16"/>
  <c r="N201" i="16"/>
  <c r="S201" i="16"/>
  <c r="AC202" i="16"/>
  <c r="Y202" i="16"/>
  <c r="Q202" i="16"/>
  <c r="M202" i="16"/>
  <c r="E202" i="16"/>
  <c r="H202" i="16"/>
  <c r="N202" i="16"/>
  <c r="S202" i="16"/>
  <c r="AC203" i="16"/>
  <c r="AD203" i="16" s="1"/>
  <c r="Y203" i="16"/>
  <c r="Q203" i="16"/>
  <c r="M203" i="16"/>
  <c r="E203" i="16"/>
  <c r="H203" i="16"/>
  <c r="N203" i="16"/>
  <c r="S203" i="16"/>
  <c r="AF204" i="16"/>
  <c r="AB204" i="16"/>
  <c r="T204" i="16"/>
  <c r="P204" i="16"/>
  <c r="Y204" i="16"/>
  <c r="S204" i="16"/>
  <c r="N204" i="16"/>
  <c r="O204" i="16" s="1"/>
  <c r="E204" i="16"/>
  <c r="H204" i="16"/>
  <c r="V204" i="16"/>
  <c r="AC204" i="16"/>
  <c r="D188" i="16"/>
  <c r="J188" i="16"/>
  <c r="T188" i="16"/>
  <c r="Z188" i="16"/>
  <c r="AE188" i="16"/>
  <c r="D189" i="16"/>
  <c r="J189" i="16"/>
  <c r="T189" i="16"/>
  <c r="Z189" i="16"/>
  <c r="AE189" i="16"/>
  <c r="D190" i="16"/>
  <c r="J190" i="16"/>
  <c r="T190" i="16"/>
  <c r="Z190" i="16"/>
  <c r="AE190" i="16"/>
  <c r="D191" i="16"/>
  <c r="J191" i="16"/>
  <c r="T191" i="16"/>
  <c r="Z191" i="16"/>
  <c r="AE191" i="16"/>
  <c r="D192" i="16"/>
  <c r="J192" i="16"/>
  <c r="T192" i="16"/>
  <c r="Z192" i="16"/>
  <c r="AE192" i="16"/>
  <c r="D200" i="16"/>
  <c r="J200" i="16"/>
  <c r="T200" i="16"/>
  <c r="Z200" i="16"/>
  <c r="AE200" i="16"/>
  <c r="D201" i="16"/>
  <c r="J201" i="16"/>
  <c r="T201" i="16"/>
  <c r="Z201" i="16"/>
  <c r="AE201" i="16"/>
  <c r="D202" i="16"/>
  <c r="J202" i="16"/>
  <c r="T202" i="16"/>
  <c r="Z202" i="16"/>
  <c r="AE202" i="16"/>
  <c r="D203" i="16"/>
  <c r="J203" i="16"/>
  <c r="T203" i="16"/>
  <c r="Z203" i="16"/>
  <c r="AE203" i="16"/>
  <c r="D204" i="16"/>
  <c r="J204" i="16"/>
  <c r="Q204" i="16"/>
  <c r="W204" i="16"/>
  <c r="AE204" i="16"/>
  <c r="Z239" i="16"/>
  <c r="V239" i="16"/>
  <c r="N239" i="16"/>
  <c r="J239" i="16"/>
  <c r="AC239" i="16"/>
  <c r="Y239" i="16"/>
  <c r="Q239" i="16"/>
  <c r="M239" i="16"/>
  <c r="E239" i="16"/>
  <c r="AF239" i="16"/>
  <c r="AB239" i="16"/>
  <c r="T239" i="16"/>
  <c r="P239" i="16"/>
  <c r="H239" i="16"/>
  <c r="D239" i="16"/>
  <c r="AE239" i="16"/>
  <c r="K239" i="16"/>
  <c r="W239" i="16"/>
  <c r="G239" i="16"/>
  <c r="Z245" i="16"/>
  <c r="V245" i="16"/>
  <c r="N245" i="16"/>
  <c r="J245" i="16"/>
  <c r="AF245" i="16"/>
  <c r="AB245" i="16"/>
  <c r="T245" i="16"/>
  <c r="P245" i="16"/>
  <c r="H245" i="16"/>
  <c r="D245" i="16"/>
  <c r="Y245" i="16"/>
  <c r="Q245" i="16"/>
  <c r="AE245" i="16"/>
  <c r="W245" i="16"/>
  <c r="G245" i="16"/>
  <c r="AC245" i="16"/>
  <c r="M245" i="16"/>
  <c r="E245" i="16"/>
  <c r="S245" i="16"/>
  <c r="K245" i="16"/>
  <c r="S239" i="16"/>
  <c r="AF205" i="16"/>
  <c r="AB205" i="16"/>
  <c r="AD205" i="16" s="1"/>
  <c r="T205" i="16"/>
  <c r="P205" i="16"/>
  <c r="H205" i="16"/>
  <c r="D205" i="16"/>
  <c r="N205" i="16"/>
  <c r="S205" i="16"/>
  <c r="Y205" i="16"/>
  <c r="AF206" i="16"/>
  <c r="AB206" i="16"/>
  <c r="T206" i="16"/>
  <c r="P206" i="16"/>
  <c r="H206" i="16"/>
  <c r="D206" i="16"/>
  <c r="N206" i="16"/>
  <c r="S206" i="16"/>
  <c r="Y206" i="16"/>
  <c r="AF207" i="16"/>
  <c r="AG207" i="16" s="1"/>
  <c r="AB207" i="16"/>
  <c r="T207" i="16"/>
  <c r="P207" i="16"/>
  <c r="H207" i="16"/>
  <c r="D207" i="16"/>
  <c r="N207" i="16"/>
  <c r="S207" i="16"/>
  <c r="Y207" i="16"/>
  <c r="AF208" i="16"/>
  <c r="AB208" i="16"/>
  <c r="T208" i="16"/>
  <c r="P208" i="16"/>
  <c r="H208" i="16"/>
  <c r="D208" i="16"/>
  <c r="N208" i="16"/>
  <c r="S208" i="16"/>
  <c r="Y208" i="16"/>
  <c r="AF209" i="16"/>
  <c r="AB209" i="16"/>
  <c r="T209" i="16"/>
  <c r="P209" i="16"/>
  <c r="H209" i="16"/>
  <c r="D209" i="16"/>
  <c r="N209" i="16"/>
  <c r="O209" i="16" s="1"/>
  <c r="S209" i="16"/>
  <c r="Y209" i="16"/>
  <c r="AF210" i="16"/>
  <c r="AB210" i="16"/>
  <c r="T210" i="16"/>
  <c r="P210" i="16"/>
  <c r="H210" i="16"/>
  <c r="D210" i="16"/>
  <c r="N210" i="16"/>
  <c r="S210" i="16"/>
  <c r="Y210" i="16"/>
  <c r="AF211" i="16"/>
  <c r="AG211" i="16" s="1"/>
  <c r="AB211" i="16"/>
  <c r="T211" i="16"/>
  <c r="P211" i="16"/>
  <c r="H211" i="16"/>
  <c r="D211" i="16"/>
  <c r="N211" i="16"/>
  <c r="S211" i="16"/>
  <c r="Y211" i="16"/>
  <c r="AF212" i="16"/>
  <c r="AB212" i="16"/>
  <c r="AD212" i="16" s="1"/>
  <c r="T212" i="16"/>
  <c r="P212" i="16"/>
  <c r="H212" i="16"/>
  <c r="D212" i="16"/>
  <c r="N212" i="16"/>
  <c r="S212" i="16"/>
  <c r="Y212" i="16"/>
  <c r="AF213" i="16"/>
  <c r="AB213" i="16"/>
  <c r="T213" i="16"/>
  <c r="P213" i="16"/>
  <c r="H213" i="16"/>
  <c r="D213" i="16"/>
  <c r="N213" i="16"/>
  <c r="S213" i="16"/>
  <c r="Y213" i="16"/>
  <c r="AF214" i="16"/>
  <c r="AB214" i="16"/>
  <c r="T214" i="16"/>
  <c r="P214" i="16"/>
  <c r="H214" i="16"/>
  <c r="D214" i="16"/>
  <c r="N214" i="16"/>
  <c r="S214" i="16"/>
  <c r="Y214" i="16"/>
  <c r="AF215" i="16"/>
  <c r="AB215" i="16"/>
  <c r="T215" i="16"/>
  <c r="P215" i="16"/>
  <c r="H215" i="16"/>
  <c r="D215" i="16"/>
  <c r="N215" i="16"/>
  <c r="S215" i="16"/>
  <c r="Y215" i="16"/>
  <c r="AF216" i="16"/>
  <c r="AB216" i="16"/>
  <c r="T216" i="16"/>
  <c r="P216" i="16"/>
  <c r="H216" i="16"/>
  <c r="D216" i="16"/>
  <c r="N216" i="16"/>
  <c r="S216" i="16"/>
  <c r="Y216" i="16"/>
  <c r="AF217" i="16"/>
  <c r="AB217" i="16"/>
  <c r="T217" i="16"/>
  <c r="P217" i="16"/>
  <c r="H217" i="16"/>
  <c r="D217" i="16"/>
  <c r="N217" i="16"/>
  <c r="S217" i="16"/>
  <c r="Y217" i="16"/>
  <c r="AA217" i="16" s="1"/>
  <c r="AC218" i="16"/>
  <c r="Y218" i="16"/>
  <c r="AF218" i="16"/>
  <c r="AB218" i="16"/>
  <c r="T218" i="16"/>
  <c r="P218" i="16"/>
  <c r="H218" i="16"/>
  <c r="D218" i="16"/>
  <c r="N218" i="16"/>
  <c r="S218" i="16"/>
  <c r="K238" i="16"/>
  <c r="Z240" i="16"/>
  <c r="V240" i="16"/>
  <c r="N240" i="16"/>
  <c r="J240" i="16"/>
  <c r="L240" i="16" s="1"/>
  <c r="AC240" i="16"/>
  <c r="Y240" i="16"/>
  <c r="Q240" i="16"/>
  <c r="M240" i="16"/>
  <c r="E240" i="16"/>
  <c r="AF240" i="16"/>
  <c r="AB240" i="16"/>
  <c r="T240" i="16"/>
  <c r="P240" i="16"/>
  <c r="H240" i="16"/>
  <c r="D240" i="16"/>
  <c r="S240" i="16"/>
  <c r="AF256" i="16"/>
  <c r="AB256" i="16"/>
  <c r="AE256" i="16"/>
  <c r="Z256" i="16"/>
  <c r="V256" i="16"/>
  <c r="N256" i="16"/>
  <c r="J256" i="16"/>
  <c r="AC256" i="16"/>
  <c r="T256" i="16"/>
  <c r="P256" i="16"/>
  <c r="H256" i="16"/>
  <c r="D256" i="16"/>
  <c r="Y256" i="16"/>
  <c r="Q256" i="16"/>
  <c r="W256" i="16"/>
  <c r="G256" i="16"/>
  <c r="M256" i="16"/>
  <c r="E256" i="16"/>
  <c r="AC219" i="16"/>
  <c r="Y219" i="16"/>
  <c r="Q219" i="16"/>
  <c r="M219" i="16"/>
  <c r="E219" i="16"/>
  <c r="AF219" i="16"/>
  <c r="AB219" i="16"/>
  <c r="T219" i="16"/>
  <c r="P219" i="16"/>
  <c r="H219" i="16"/>
  <c r="D219" i="16"/>
  <c r="K219" i="16"/>
  <c r="S219" i="16"/>
  <c r="AC227" i="16"/>
  <c r="Y227" i="16"/>
  <c r="Q227" i="16"/>
  <c r="M227" i="16"/>
  <c r="E227" i="16"/>
  <c r="AF227" i="16"/>
  <c r="AG227" i="16" s="1"/>
  <c r="AB227" i="16"/>
  <c r="T227" i="16"/>
  <c r="P227" i="16"/>
  <c r="H227" i="16"/>
  <c r="D227" i="16"/>
  <c r="K227" i="16"/>
  <c r="S227" i="16"/>
  <c r="AC228" i="16"/>
  <c r="Y228" i="16"/>
  <c r="AA228" i="16" s="1"/>
  <c r="Q228" i="16"/>
  <c r="M228" i="16"/>
  <c r="E228" i="16"/>
  <c r="AF228" i="16"/>
  <c r="AB228" i="16"/>
  <c r="T228" i="16"/>
  <c r="P228" i="16"/>
  <c r="H228" i="16"/>
  <c r="D228" i="16"/>
  <c r="K228" i="16"/>
  <c r="S228" i="16"/>
  <c r="AC229" i="16"/>
  <c r="Y229" i="16"/>
  <c r="Q229" i="16"/>
  <c r="M229" i="16"/>
  <c r="E229" i="16"/>
  <c r="AF229" i="16"/>
  <c r="AB229" i="16"/>
  <c r="T229" i="16"/>
  <c r="P229" i="16"/>
  <c r="H229" i="16"/>
  <c r="D229" i="16"/>
  <c r="K229" i="16"/>
  <c r="S229" i="16"/>
  <c r="AC230" i="16"/>
  <c r="Y230" i="16"/>
  <c r="Q230" i="16"/>
  <c r="M230" i="16"/>
  <c r="E230" i="16"/>
  <c r="AF230" i="16"/>
  <c r="AB230" i="16"/>
  <c r="T230" i="16"/>
  <c r="P230" i="16"/>
  <c r="H230" i="16"/>
  <c r="D230" i="16"/>
  <c r="K230" i="16"/>
  <c r="S230" i="16"/>
  <c r="AC231" i="16"/>
  <c r="Y231" i="16"/>
  <c r="Q231" i="16"/>
  <c r="M231" i="16"/>
  <c r="E231" i="16"/>
  <c r="AF231" i="16"/>
  <c r="AG231" i="16" s="1"/>
  <c r="AB231" i="16"/>
  <c r="T231" i="16"/>
  <c r="P231" i="16"/>
  <c r="H231" i="16"/>
  <c r="D231" i="16"/>
  <c r="K231" i="16"/>
  <c r="S231" i="16"/>
  <c r="AC232" i="16"/>
  <c r="Y232" i="16"/>
  <c r="AA232" i="16" s="1"/>
  <c r="Q232" i="16"/>
  <c r="M232" i="16"/>
  <c r="E232" i="16"/>
  <c r="AF232" i="16"/>
  <c r="AB232" i="16"/>
  <c r="T232" i="16"/>
  <c r="P232" i="16"/>
  <c r="H232" i="16"/>
  <c r="D232" i="16"/>
  <c r="K232" i="16"/>
  <c r="S232" i="16"/>
  <c r="AC233" i="16"/>
  <c r="Y233" i="16"/>
  <c r="Q233" i="16"/>
  <c r="M233" i="16"/>
  <c r="E233" i="16"/>
  <c r="AF233" i="16"/>
  <c r="AB233" i="16"/>
  <c r="T233" i="16"/>
  <c r="P233" i="16"/>
  <c r="H233" i="16"/>
  <c r="D233" i="16"/>
  <c r="K233" i="16"/>
  <c r="S233" i="16"/>
  <c r="AC234" i="16"/>
  <c r="Y234" i="16"/>
  <c r="Q234" i="16"/>
  <c r="M234" i="16"/>
  <c r="E234" i="16"/>
  <c r="AF234" i="16"/>
  <c r="AB234" i="16"/>
  <c r="T234" i="16"/>
  <c r="P234" i="16"/>
  <c r="H234" i="16"/>
  <c r="D234" i="16"/>
  <c r="K234" i="16"/>
  <c r="S234" i="16"/>
  <c r="AC235" i="16"/>
  <c r="Y235" i="16"/>
  <c r="Q235" i="16"/>
  <c r="M235" i="16"/>
  <c r="E235" i="16"/>
  <c r="AF235" i="16"/>
  <c r="AG235" i="16" s="1"/>
  <c r="AB235" i="16"/>
  <c r="T235" i="16"/>
  <c r="P235" i="16"/>
  <c r="H235" i="16"/>
  <c r="D235" i="16"/>
  <c r="K235" i="16"/>
  <c r="S235" i="16"/>
  <c r="AC236" i="16"/>
  <c r="Y236" i="16"/>
  <c r="Q236" i="16"/>
  <c r="M236" i="16"/>
  <c r="E236" i="16"/>
  <c r="AF236" i="16"/>
  <c r="AG236" i="16" s="1"/>
  <c r="AB236" i="16"/>
  <c r="T236" i="16"/>
  <c r="P236" i="16"/>
  <c r="H236" i="16"/>
  <c r="D236" i="16"/>
  <c r="K236" i="16"/>
  <c r="S236" i="16"/>
  <c r="Z237" i="16"/>
  <c r="V237" i="16"/>
  <c r="N237" i="16"/>
  <c r="J237" i="16"/>
  <c r="AC237" i="16"/>
  <c r="Y237" i="16"/>
  <c r="Q237" i="16"/>
  <c r="M237" i="16"/>
  <c r="E237" i="16"/>
  <c r="AF237" i="16"/>
  <c r="AB237" i="16"/>
  <c r="T237" i="16"/>
  <c r="P237" i="16"/>
  <c r="H237" i="16"/>
  <c r="I237" i="16" s="1"/>
  <c r="D237" i="16"/>
  <c r="S237" i="16"/>
  <c r="G240" i="16"/>
  <c r="W240" i="16"/>
  <c r="AF241" i="16"/>
  <c r="Z241" i="16"/>
  <c r="V241" i="16"/>
  <c r="N241" i="16"/>
  <c r="J241" i="16"/>
  <c r="AC241" i="16"/>
  <c r="Y241" i="16"/>
  <c r="Q241" i="16"/>
  <c r="M241" i="16"/>
  <c r="E241" i="16"/>
  <c r="AB241" i="16"/>
  <c r="T241" i="16"/>
  <c r="P241" i="16"/>
  <c r="H241" i="16"/>
  <c r="D241" i="16"/>
  <c r="S241" i="16"/>
  <c r="K256" i="16"/>
  <c r="Z238" i="16"/>
  <c r="V238" i="16"/>
  <c r="N238" i="16"/>
  <c r="J238" i="16"/>
  <c r="AC238" i="16"/>
  <c r="Y238" i="16"/>
  <c r="Q238" i="16"/>
  <c r="M238" i="16"/>
  <c r="E238" i="16"/>
  <c r="AF238" i="16"/>
  <c r="AG238" i="16" s="1"/>
  <c r="AB238" i="16"/>
  <c r="T238" i="16"/>
  <c r="P238" i="16"/>
  <c r="H238" i="16"/>
  <c r="D238" i="16"/>
  <c r="S238" i="16"/>
  <c r="S256" i="16"/>
  <c r="K242" i="16"/>
  <c r="Q242" i="16"/>
  <c r="V242" i="16"/>
  <c r="K243" i="16"/>
  <c r="Q243" i="16"/>
  <c r="Y243" i="16"/>
  <c r="G244" i="16"/>
  <c r="W244" i="16"/>
  <c r="AE244" i="16"/>
  <c r="Z246" i="16"/>
  <c r="AA246" i="16" s="1"/>
  <c r="V246" i="16"/>
  <c r="N246" i="16"/>
  <c r="J246" i="16"/>
  <c r="AF246" i="16"/>
  <c r="AB246" i="16"/>
  <c r="T246" i="16"/>
  <c r="P246" i="16"/>
  <c r="H246" i="16"/>
  <c r="D246" i="16"/>
  <c r="K246" i="16"/>
  <c r="S246" i="16"/>
  <c r="Q254" i="16"/>
  <c r="G255" i="16"/>
  <c r="W255" i="16"/>
  <c r="AE255" i="16"/>
  <c r="G242" i="16"/>
  <c r="M242" i="16"/>
  <c r="W242" i="16"/>
  <c r="G243" i="16"/>
  <c r="M243" i="16"/>
  <c r="Q244" i="16"/>
  <c r="E246" i="16"/>
  <c r="M246" i="16"/>
  <c r="AC246" i="16"/>
  <c r="Z254" i="16"/>
  <c r="AA254" i="16" s="1"/>
  <c r="V254" i="16"/>
  <c r="N254" i="16"/>
  <c r="J254" i="16"/>
  <c r="AF254" i="16"/>
  <c r="AB254" i="16"/>
  <c r="T254" i="16"/>
  <c r="P254" i="16"/>
  <c r="H254" i="16"/>
  <c r="D254" i="16"/>
  <c r="K254" i="16"/>
  <c r="S254" i="16"/>
  <c r="Q255" i="16"/>
  <c r="AF242" i="16"/>
  <c r="AB242" i="16"/>
  <c r="AD242" i="16" s="1"/>
  <c r="T242" i="16"/>
  <c r="P242" i="16"/>
  <c r="H242" i="16"/>
  <c r="D242" i="16"/>
  <c r="N242" i="16"/>
  <c r="S242" i="16"/>
  <c r="Y242" i="16"/>
  <c r="Z243" i="16"/>
  <c r="V243" i="16"/>
  <c r="AF243" i="16"/>
  <c r="AB243" i="16"/>
  <c r="T243" i="16"/>
  <c r="U243" i="16" s="1"/>
  <c r="P243" i="16"/>
  <c r="H243" i="16"/>
  <c r="D243" i="16"/>
  <c r="N243" i="16"/>
  <c r="AC243" i="16"/>
  <c r="Z244" i="16"/>
  <c r="AA244" i="16" s="1"/>
  <c r="V244" i="16"/>
  <c r="N244" i="16"/>
  <c r="J244" i="16"/>
  <c r="AF244" i="16"/>
  <c r="AB244" i="16"/>
  <c r="T244" i="16"/>
  <c r="P244" i="16"/>
  <c r="H244" i="16"/>
  <c r="D244" i="16"/>
  <c r="K244" i="16"/>
  <c r="S244" i="16"/>
  <c r="Z255" i="16"/>
  <c r="AA255" i="16" s="1"/>
  <c r="V255" i="16"/>
  <c r="N255" i="16"/>
  <c r="J255" i="16"/>
  <c r="AF255" i="16"/>
  <c r="AB255" i="16"/>
  <c r="T255" i="16"/>
  <c r="P255" i="16"/>
  <c r="H255" i="16"/>
  <c r="D255" i="16"/>
  <c r="K255" i="16"/>
  <c r="S255" i="16"/>
  <c r="Z261" i="16"/>
  <c r="V261" i="16"/>
  <c r="N261" i="16"/>
  <c r="J261" i="16"/>
  <c r="AC261" i="16"/>
  <c r="Y261" i="16"/>
  <c r="Q261" i="16"/>
  <c r="M261" i="16"/>
  <c r="E261" i="16"/>
  <c r="AF261" i="16"/>
  <c r="AB261" i="16"/>
  <c r="T261" i="16"/>
  <c r="U261" i="16" s="1"/>
  <c r="P261" i="16"/>
  <c r="H261" i="16"/>
  <c r="D261" i="16"/>
  <c r="AE261" i="16"/>
  <c r="K261" i="16"/>
  <c r="W261" i="16"/>
  <c r="G261" i="16"/>
  <c r="AC257" i="16"/>
  <c r="Y257" i="16"/>
  <c r="AA257" i="16" s="1"/>
  <c r="Q257" i="16"/>
  <c r="M257" i="16"/>
  <c r="E257" i="16"/>
  <c r="AF257" i="16"/>
  <c r="AB257" i="16"/>
  <c r="T257" i="16"/>
  <c r="P257" i="16"/>
  <c r="H257" i="16"/>
  <c r="D257" i="16"/>
  <c r="K257" i="16"/>
  <c r="S257" i="16"/>
  <c r="Z258" i="16"/>
  <c r="V258" i="16"/>
  <c r="N258" i="16"/>
  <c r="J258" i="16"/>
  <c r="AC258" i="16"/>
  <c r="Y258" i="16"/>
  <c r="Q258" i="16"/>
  <c r="M258" i="16"/>
  <c r="E258" i="16"/>
  <c r="AF258" i="16"/>
  <c r="AB258" i="16"/>
  <c r="T258" i="16"/>
  <c r="P258" i="16"/>
  <c r="H258" i="16"/>
  <c r="D258" i="16"/>
  <c r="S258" i="16"/>
  <c r="Z262" i="16"/>
  <c r="V262" i="16"/>
  <c r="N262" i="16"/>
  <c r="J262" i="16"/>
  <c r="AC262" i="16"/>
  <c r="Y262" i="16"/>
  <c r="Q262" i="16"/>
  <c r="M262" i="16"/>
  <c r="E262" i="16"/>
  <c r="AF262" i="16"/>
  <c r="AG262" i="16" s="1"/>
  <c r="AB262" i="16"/>
  <c r="T262" i="16"/>
  <c r="P262" i="16"/>
  <c r="H262" i="16"/>
  <c r="D262" i="16"/>
  <c r="S262" i="16"/>
  <c r="Z259" i="16"/>
  <c r="V259" i="16"/>
  <c r="N259" i="16"/>
  <c r="J259" i="16"/>
  <c r="AC259" i="16"/>
  <c r="Y259" i="16"/>
  <c r="Q259" i="16"/>
  <c r="M259" i="16"/>
  <c r="E259" i="16"/>
  <c r="AF259" i="16"/>
  <c r="AG259" i="16" s="1"/>
  <c r="AB259" i="16"/>
  <c r="T259" i="16"/>
  <c r="P259" i="16"/>
  <c r="H259" i="16"/>
  <c r="D259" i="16"/>
  <c r="S259" i="16"/>
  <c r="AC263" i="16"/>
  <c r="Y263" i="16"/>
  <c r="Q263" i="16"/>
  <c r="AF263" i="16"/>
  <c r="AB263" i="16"/>
  <c r="T263" i="16"/>
  <c r="P263" i="16"/>
  <c r="V263" i="16"/>
  <c r="N263" i="16"/>
  <c r="J263" i="16"/>
  <c r="L263" i="16" s="1"/>
  <c r="S263" i="16"/>
  <c r="M263" i="16"/>
  <c r="E263" i="16"/>
  <c r="Z263" i="16"/>
  <c r="H263" i="16"/>
  <c r="D263" i="16"/>
  <c r="W263" i="16"/>
  <c r="G257" i="16"/>
  <c r="W257" i="16"/>
  <c r="AE257" i="16"/>
  <c r="K258" i="16"/>
  <c r="G259" i="16"/>
  <c r="W259" i="16"/>
  <c r="Z260" i="16"/>
  <c r="V260" i="16"/>
  <c r="N260" i="16"/>
  <c r="J260" i="16"/>
  <c r="AC260" i="16"/>
  <c r="Y260" i="16"/>
  <c r="Q260" i="16"/>
  <c r="M260" i="16"/>
  <c r="E260" i="16"/>
  <c r="AF260" i="16"/>
  <c r="AG260" i="16" s="1"/>
  <c r="AB260" i="16"/>
  <c r="T260" i="16"/>
  <c r="P260" i="16"/>
  <c r="H260" i="16"/>
  <c r="D260" i="16"/>
  <c r="S260" i="16"/>
  <c r="K262" i="16"/>
  <c r="G263" i="16"/>
  <c r="AE263" i="16"/>
  <c r="J264" i="16"/>
  <c r="J265" i="16"/>
  <c r="J266" i="16"/>
  <c r="J267" i="16"/>
  <c r="J268" i="16"/>
  <c r="J269" i="16"/>
  <c r="J270" i="16"/>
  <c r="J271" i="16"/>
  <c r="J272" i="16"/>
  <c r="AC264" i="16"/>
  <c r="Y264" i="16"/>
  <c r="AA264" i="16" s="1"/>
  <c r="Q264" i="16"/>
  <c r="M264" i="16"/>
  <c r="E264" i="16"/>
  <c r="AF264" i="16"/>
  <c r="AB264" i="16"/>
  <c r="T264" i="16"/>
  <c r="P264" i="16"/>
  <c r="H264" i="16"/>
  <c r="D264" i="16"/>
  <c r="K264" i="16"/>
  <c r="S264" i="16"/>
  <c r="AC265" i="16"/>
  <c r="Y265" i="16"/>
  <c r="AA265" i="16" s="1"/>
  <c r="Q265" i="16"/>
  <c r="M265" i="16"/>
  <c r="E265" i="16"/>
  <c r="AF265" i="16"/>
  <c r="AB265" i="16"/>
  <c r="T265" i="16"/>
  <c r="P265" i="16"/>
  <c r="H265" i="16"/>
  <c r="D265" i="16"/>
  <c r="K265" i="16"/>
  <c r="S265" i="16"/>
  <c r="AC266" i="16"/>
  <c r="Y266" i="16"/>
  <c r="AA266" i="16" s="1"/>
  <c r="Q266" i="16"/>
  <c r="M266" i="16"/>
  <c r="E266" i="16"/>
  <c r="AF266" i="16"/>
  <c r="AB266" i="16"/>
  <c r="T266" i="16"/>
  <c r="P266" i="16"/>
  <c r="H266" i="16"/>
  <c r="D266" i="16"/>
  <c r="K266" i="16"/>
  <c r="S266" i="16"/>
  <c r="AC267" i="16"/>
  <c r="Y267" i="16"/>
  <c r="AA267" i="16" s="1"/>
  <c r="Q267" i="16"/>
  <c r="M267" i="16"/>
  <c r="E267" i="16"/>
  <c r="AF267" i="16"/>
  <c r="AB267" i="16"/>
  <c r="T267" i="16"/>
  <c r="P267" i="16"/>
  <c r="H267" i="16"/>
  <c r="D267" i="16"/>
  <c r="K267" i="16"/>
  <c r="S267" i="16"/>
  <c r="AC268" i="16"/>
  <c r="Y268" i="16"/>
  <c r="AA268" i="16" s="1"/>
  <c r="Q268" i="16"/>
  <c r="M268" i="16"/>
  <c r="E268" i="16"/>
  <c r="AF268" i="16"/>
  <c r="AB268" i="16"/>
  <c r="T268" i="16"/>
  <c r="P268" i="16"/>
  <c r="H268" i="16"/>
  <c r="D268" i="16"/>
  <c r="K268" i="16"/>
  <c r="S268" i="16"/>
  <c r="AC269" i="16"/>
  <c r="Y269" i="16"/>
  <c r="Q269" i="16"/>
  <c r="M269" i="16"/>
  <c r="E269" i="16"/>
  <c r="AF269" i="16"/>
  <c r="AB269" i="16"/>
  <c r="T269" i="16"/>
  <c r="P269" i="16"/>
  <c r="H269" i="16"/>
  <c r="D269" i="16"/>
  <c r="K269" i="16"/>
  <c r="S269" i="16"/>
  <c r="AC270" i="16"/>
  <c r="Y270" i="16"/>
  <c r="AA270" i="16" s="1"/>
  <c r="Q270" i="16"/>
  <c r="M270" i="16"/>
  <c r="E270" i="16"/>
  <c r="AF270" i="16"/>
  <c r="AB270" i="16"/>
  <c r="T270" i="16"/>
  <c r="P270" i="16"/>
  <c r="H270" i="16"/>
  <c r="D270" i="16"/>
  <c r="K270" i="16"/>
  <c r="S270" i="16"/>
  <c r="AC271" i="16"/>
  <c r="Y271" i="16"/>
  <c r="AA271" i="16" s="1"/>
  <c r="Q271" i="16"/>
  <c r="M271" i="16"/>
  <c r="E271" i="16"/>
  <c r="AF271" i="16"/>
  <c r="AB271" i="16"/>
  <c r="T271" i="16"/>
  <c r="P271" i="16"/>
  <c r="H271" i="16"/>
  <c r="D271" i="16"/>
  <c r="K271" i="16"/>
  <c r="S271" i="16"/>
  <c r="AC272" i="16"/>
  <c r="Y272" i="16"/>
  <c r="AA272" i="16" s="1"/>
  <c r="Q272" i="16"/>
  <c r="M272" i="16"/>
  <c r="E272" i="16"/>
  <c r="AF272" i="16"/>
  <c r="AB272" i="16"/>
  <c r="T272" i="16"/>
  <c r="P272" i="16"/>
  <c r="H272" i="16"/>
  <c r="D272" i="16"/>
  <c r="AE272" i="16"/>
  <c r="K272" i="16"/>
  <c r="S272" i="16"/>
  <c r="N264" i="16"/>
  <c r="V264" i="16"/>
  <c r="N265" i="16"/>
  <c r="V265" i="16"/>
  <c r="N266" i="16"/>
  <c r="V266" i="16"/>
  <c r="N267" i="16"/>
  <c r="V267" i="16"/>
  <c r="N268" i="16"/>
  <c r="V268" i="16"/>
  <c r="N269" i="16"/>
  <c r="V269" i="16"/>
  <c r="N270" i="16"/>
  <c r="V270" i="16"/>
  <c r="N271" i="16"/>
  <c r="V271" i="16"/>
  <c r="N272" i="16"/>
  <c r="V272" i="16"/>
  <c r="G273" i="16"/>
  <c r="K273" i="16"/>
  <c r="S273" i="16"/>
  <c r="W273" i="16"/>
  <c r="AE273" i="16"/>
  <c r="D273" i="16"/>
  <c r="H273" i="16"/>
  <c r="P273" i="16"/>
  <c r="T273" i="16"/>
  <c r="AB273" i="16"/>
  <c r="AD273" i="16" s="1"/>
  <c r="AF273" i="16"/>
  <c r="E273" i="16"/>
  <c r="M273" i="16"/>
  <c r="Q273" i="16"/>
  <c r="Y273" i="16"/>
  <c r="BU11" i="1"/>
  <c r="BB124" i="18"/>
  <c r="BC124" i="18" s="1"/>
  <c r="BA124" i="18"/>
  <c r="BB123" i="18"/>
  <c r="BC123" i="18" s="1"/>
  <c r="BA123" i="18"/>
  <c r="BB122" i="18"/>
  <c r="BC122" i="18" s="1"/>
  <c r="BA122" i="18"/>
  <c r="BB121" i="18"/>
  <c r="BC121" i="18" s="1"/>
  <c r="BA121" i="18"/>
  <c r="BB120" i="18"/>
  <c r="BC120" i="18" s="1"/>
  <c r="BA120" i="18"/>
  <c r="BB119" i="18"/>
  <c r="BC119" i="18" s="1"/>
  <c r="BA119" i="18"/>
  <c r="BB118" i="18"/>
  <c r="BC118" i="18" s="1"/>
  <c r="BA118" i="18"/>
  <c r="BB117" i="18"/>
  <c r="BC117" i="18" s="1"/>
  <c r="BA117" i="18"/>
  <c r="BB116" i="18"/>
  <c r="BC116" i="18" s="1"/>
  <c r="BA116" i="18"/>
  <c r="BB115" i="18"/>
  <c r="BC115" i="18" s="1"/>
  <c r="BA115" i="18"/>
  <c r="AK124" i="18"/>
  <c r="AL124" i="18" s="1"/>
  <c r="AJ124" i="18"/>
  <c r="AK123" i="18"/>
  <c r="AL123" i="18" s="1"/>
  <c r="AJ123" i="18"/>
  <c r="AK122" i="18"/>
  <c r="AL122" i="18" s="1"/>
  <c r="AJ122" i="18"/>
  <c r="AK121" i="18"/>
  <c r="AL121" i="18" s="1"/>
  <c r="AJ121" i="18"/>
  <c r="AK120" i="18"/>
  <c r="AL120" i="18" s="1"/>
  <c r="AJ120" i="18"/>
  <c r="AK119" i="18"/>
  <c r="AL119" i="18" s="1"/>
  <c r="AJ119" i="18"/>
  <c r="AK118" i="18"/>
  <c r="AL118" i="18" s="1"/>
  <c r="AJ118" i="18"/>
  <c r="AK117" i="18"/>
  <c r="AL117" i="18" s="1"/>
  <c r="AJ117" i="18"/>
  <c r="AK116" i="18"/>
  <c r="AL116" i="18" s="1"/>
  <c r="AJ116" i="18"/>
  <c r="AK115" i="18"/>
  <c r="AL115" i="18" s="1"/>
  <c r="AJ115" i="18"/>
  <c r="T124" i="18"/>
  <c r="U124" i="18" s="1"/>
  <c r="S124" i="18"/>
  <c r="T123" i="18"/>
  <c r="U123" i="18" s="1"/>
  <c r="S123" i="18"/>
  <c r="T122" i="18"/>
  <c r="U122" i="18" s="1"/>
  <c r="S122" i="18"/>
  <c r="T121" i="18"/>
  <c r="U121" i="18" s="1"/>
  <c r="S121" i="18"/>
  <c r="T120" i="18"/>
  <c r="U120" i="18" s="1"/>
  <c r="S120" i="18"/>
  <c r="T119" i="18"/>
  <c r="U119" i="18" s="1"/>
  <c r="S119" i="18"/>
  <c r="T118" i="18"/>
  <c r="U118" i="18" s="1"/>
  <c r="S118" i="18"/>
  <c r="T117" i="18"/>
  <c r="U117" i="18" s="1"/>
  <c r="S117" i="18"/>
  <c r="T116" i="18"/>
  <c r="U116" i="18" s="1"/>
  <c r="S116" i="18"/>
  <c r="T115" i="18"/>
  <c r="U115" i="18" s="1"/>
  <c r="S115" i="18"/>
  <c r="C124" i="18"/>
  <c r="D124" i="18" s="1"/>
  <c r="B124" i="18"/>
  <c r="C123" i="18"/>
  <c r="D123" i="18" s="1"/>
  <c r="B123" i="18"/>
  <c r="C122" i="18"/>
  <c r="D122" i="18" s="1"/>
  <c r="B122" i="18"/>
  <c r="C121" i="18"/>
  <c r="D121" i="18" s="1"/>
  <c r="B121" i="18"/>
  <c r="C120" i="18"/>
  <c r="D120" i="18" s="1"/>
  <c r="B120" i="18"/>
  <c r="C119" i="18"/>
  <c r="D119" i="18" s="1"/>
  <c r="B119" i="18"/>
  <c r="C118" i="18"/>
  <c r="D118" i="18" s="1"/>
  <c r="B118" i="18"/>
  <c r="C117" i="18"/>
  <c r="D117" i="18" s="1"/>
  <c r="B117" i="18"/>
  <c r="C116" i="18"/>
  <c r="D116" i="18" s="1"/>
  <c r="B116" i="18"/>
  <c r="C115" i="18"/>
  <c r="D115" i="18" s="1"/>
  <c r="B115" i="18"/>
  <c r="BB97" i="18"/>
  <c r="BC97" i="18" s="1"/>
  <c r="BA97" i="18"/>
  <c r="BB96" i="18"/>
  <c r="BC96" i="18" s="1"/>
  <c r="BA96" i="18"/>
  <c r="BB95" i="18"/>
  <c r="BC95" i="18" s="1"/>
  <c r="BA95" i="18"/>
  <c r="BB94" i="18"/>
  <c r="BC94" i="18" s="1"/>
  <c r="BA94" i="18"/>
  <c r="BB93" i="18"/>
  <c r="BC93" i="18" s="1"/>
  <c r="BA93" i="18"/>
  <c r="BB92" i="18"/>
  <c r="BC92" i="18" s="1"/>
  <c r="BA92" i="18"/>
  <c r="BB91" i="18"/>
  <c r="BC91" i="18" s="1"/>
  <c r="BA91" i="18"/>
  <c r="BB90" i="18"/>
  <c r="BC90" i="18" s="1"/>
  <c r="BA90" i="18"/>
  <c r="BB89" i="18"/>
  <c r="BC89" i="18" s="1"/>
  <c r="BA89" i="18"/>
  <c r="BB88" i="18"/>
  <c r="BC88" i="18" s="1"/>
  <c r="BA88" i="18"/>
  <c r="AK97" i="18"/>
  <c r="AL97" i="18" s="1"/>
  <c r="AJ97" i="18"/>
  <c r="AK96" i="18"/>
  <c r="AL96" i="18" s="1"/>
  <c r="AJ96" i="18"/>
  <c r="AK95" i="18"/>
  <c r="AL95" i="18" s="1"/>
  <c r="AJ95" i="18"/>
  <c r="AK94" i="18"/>
  <c r="AL94" i="18" s="1"/>
  <c r="AJ94" i="18"/>
  <c r="AK93" i="18"/>
  <c r="AL93" i="18" s="1"/>
  <c r="AJ93" i="18"/>
  <c r="AK92" i="18"/>
  <c r="AL92" i="18" s="1"/>
  <c r="AJ92" i="18"/>
  <c r="AK91" i="18"/>
  <c r="AL91" i="18" s="1"/>
  <c r="AJ91" i="18"/>
  <c r="AK90" i="18"/>
  <c r="AL90" i="18" s="1"/>
  <c r="AJ90" i="18"/>
  <c r="AK89" i="18"/>
  <c r="AL89" i="18" s="1"/>
  <c r="AJ89" i="18"/>
  <c r="AK88" i="18"/>
  <c r="AL88" i="18" s="1"/>
  <c r="AJ88" i="18"/>
  <c r="T97" i="18"/>
  <c r="U97" i="18" s="1"/>
  <c r="V97" i="18" s="1"/>
  <c r="S97" i="18"/>
  <c r="T96" i="18"/>
  <c r="U96" i="18" s="1"/>
  <c r="S96" i="18"/>
  <c r="T95" i="18"/>
  <c r="U95" i="18" s="1"/>
  <c r="S95" i="18"/>
  <c r="T94" i="18"/>
  <c r="U94" i="18" s="1"/>
  <c r="S94" i="18"/>
  <c r="T93" i="18"/>
  <c r="U93" i="18" s="1"/>
  <c r="S93" i="18"/>
  <c r="T92" i="18"/>
  <c r="U92" i="18" s="1"/>
  <c r="S92" i="18"/>
  <c r="T91" i="18"/>
  <c r="U91" i="18" s="1"/>
  <c r="S91" i="18"/>
  <c r="T90" i="18"/>
  <c r="U90" i="18" s="1"/>
  <c r="S90" i="18"/>
  <c r="T89" i="18"/>
  <c r="U89" i="18" s="1"/>
  <c r="S89" i="18"/>
  <c r="T88" i="18"/>
  <c r="U88" i="18" s="1"/>
  <c r="S88" i="18"/>
  <c r="C97" i="18"/>
  <c r="D97" i="18" s="1"/>
  <c r="B97" i="18"/>
  <c r="C96" i="18"/>
  <c r="D96" i="18" s="1"/>
  <c r="B96" i="18"/>
  <c r="C95" i="18"/>
  <c r="D95" i="18" s="1"/>
  <c r="B95" i="18"/>
  <c r="C94" i="18"/>
  <c r="D94" i="18" s="1"/>
  <c r="B94" i="18"/>
  <c r="C93" i="18"/>
  <c r="D93" i="18" s="1"/>
  <c r="B93" i="18"/>
  <c r="C92" i="18"/>
  <c r="D92" i="18" s="1"/>
  <c r="B92" i="18"/>
  <c r="C91" i="18"/>
  <c r="D91" i="18" s="1"/>
  <c r="B91" i="18"/>
  <c r="C90" i="18"/>
  <c r="D90" i="18" s="1"/>
  <c r="B90" i="18"/>
  <c r="C89" i="18"/>
  <c r="D89" i="18" s="1"/>
  <c r="B89" i="18"/>
  <c r="C88" i="18"/>
  <c r="D88" i="18" s="1"/>
  <c r="B88" i="18"/>
  <c r="BB70" i="18"/>
  <c r="BC70" i="18" s="1"/>
  <c r="BA70" i="18"/>
  <c r="BB69" i="18"/>
  <c r="BC69" i="18" s="1"/>
  <c r="BA69" i="18"/>
  <c r="BB68" i="18"/>
  <c r="BC68" i="18" s="1"/>
  <c r="BA68" i="18"/>
  <c r="BB67" i="18"/>
  <c r="BC67" i="18" s="1"/>
  <c r="BA67" i="18"/>
  <c r="BB66" i="18"/>
  <c r="BC66" i="18" s="1"/>
  <c r="BA66" i="18"/>
  <c r="BB65" i="18"/>
  <c r="BC65" i="18" s="1"/>
  <c r="BA65" i="18"/>
  <c r="BB64" i="18"/>
  <c r="BC64" i="18" s="1"/>
  <c r="BA64" i="18"/>
  <c r="BB63" i="18"/>
  <c r="BC63" i="18" s="1"/>
  <c r="BA63" i="18"/>
  <c r="BB62" i="18"/>
  <c r="BC62" i="18" s="1"/>
  <c r="BA62" i="18"/>
  <c r="BB61" i="18"/>
  <c r="BC61" i="18" s="1"/>
  <c r="BA61" i="18"/>
  <c r="AK70" i="18"/>
  <c r="AL70" i="18" s="1"/>
  <c r="AJ70" i="18"/>
  <c r="AK69" i="18"/>
  <c r="AL69" i="18" s="1"/>
  <c r="AJ69" i="18"/>
  <c r="AK68" i="18"/>
  <c r="AL68" i="18" s="1"/>
  <c r="AJ68" i="18"/>
  <c r="AK67" i="18"/>
  <c r="AL67" i="18" s="1"/>
  <c r="AJ67" i="18"/>
  <c r="AK66" i="18"/>
  <c r="AL66" i="18" s="1"/>
  <c r="AJ66" i="18"/>
  <c r="AK65" i="18"/>
  <c r="AL65" i="18" s="1"/>
  <c r="AJ65" i="18"/>
  <c r="AK64" i="18"/>
  <c r="AL64" i="18" s="1"/>
  <c r="AJ64" i="18"/>
  <c r="AK63" i="18"/>
  <c r="AL63" i="18" s="1"/>
  <c r="AJ63" i="18"/>
  <c r="AK62" i="18"/>
  <c r="AL62" i="18" s="1"/>
  <c r="AJ62" i="18"/>
  <c r="AK61" i="18"/>
  <c r="AL61" i="18" s="1"/>
  <c r="AJ61" i="18"/>
  <c r="T70" i="18"/>
  <c r="U70" i="18" s="1"/>
  <c r="S70" i="18"/>
  <c r="T69" i="18"/>
  <c r="U69" i="18" s="1"/>
  <c r="S69" i="18"/>
  <c r="T68" i="18"/>
  <c r="U68" i="18" s="1"/>
  <c r="S68" i="18"/>
  <c r="T67" i="18"/>
  <c r="U67" i="18" s="1"/>
  <c r="S67" i="18"/>
  <c r="T66" i="18"/>
  <c r="U66" i="18" s="1"/>
  <c r="S66" i="18"/>
  <c r="T65" i="18"/>
  <c r="U65" i="18" s="1"/>
  <c r="S65" i="18"/>
  <c r="T64" i="18"/>
  <c r="U64" i="18" s="1"/>
  <c r="S64" i="18"/>
  <c r="T63" i="18"/>
  <c r="U63" i="18" s="1"/>
  <c r="S63" i="18"/>
  <c r="T62" i="18"/>
  <c r="U62" i="18" s="1"/>
  <c r="S62" i="18"/>
  <c r="T61" i="18"/>
  <c r="U61" i="18" s="1"/>
  <c r="S61" i="18"/>
  <c r="C70" i="18"/>
  <c r="D70" i="18" s="1"/>
  <c r="B70" i="18"/>
  <c r="C69" i="18"/>
  <c r="D69" i="18" s="1"/>
  <c r="B69" i="18"/>
  <c r="C68" i="18"/>
  <c r="D68" i="18" s="1"/>
  <c r="B68" i="18"/>
  <c r="C67" i="18"/>
  <c r="D67" i="18" s="1"/>
  <c r="B67" i="18"/>
  <c r="C66" i="18"/>
  <c r="D66" i="18" s="1"/>
  <c r="B66" i="18"/>
  <c r="C65" i="18"/>
  <c r="D65" i="18" s="1"/>
  <c r="B65" i="18"/>
  <c r="C64" i="18"/>
  <c r="D64" i="18" s="1"/>
  <c r="B64" i="18"/>
  <c r="C63" i="18"/>
  <c r="D63" i="18" s="1"/>
  <c r="B63" i="18"/>
  <c r="C62" i="18"/>
  <c r="D62" i="18" s="1"/>
  <c r="B62" i="18"/>
  <c r="C61" i="18"/>
  <c r="D61" i="18" s="1"/>
  <c r="B61" i="18"/>
  <c r="BB16" i="18"/>
  <c r="BC16" i="18" s="1"/>
  <c r="BA16" i="18"/>
  <c r="BB15" i="18"/>
  <c r="BC15" i="18" s="1"/>
  <c r="BA15" i="18"/>
  <c r="BB14" i="18"/>
  <c r="BC14" i="18" s="1"/>
  <c r="BA14" i="18"/>
  <c r="BB13" i="18"/>
  <c r="BC13" i="18" s="1"/>
  <c r="BA13" i="18"/>
  <c r="BB12" i="18"/>
  <c r="BC12" i="18" s="1"/>
  <c r="BA12" i="18"/>
  <c r="BB11" i="18"/>
  <c r="BC11" i="18" s="1"/>
  <c r="BA11" i="18"/>
  <c r="BB10" i="18"/>
  <c r="BC10" i="18" s="1"/>
  <c r="BA10" i="18"/>
  <c r="BB9" i="18"/>
  <c r="BC9" i="18" s="1"/>
  <c r="BA9" i="18"/>
  <c r="BB8" i="18"/>
  <c r="BC8" i="18" s="1"/>
  <c r="BA8" i="18"/>
  <c r="BB7" i="18"/>
  <c r="BC7" i="18" s="1"/>
  <c r="BA7" i="18"/>
  <c r="AK16" i="18"/>
  <c r="AL16" i="18" s="1"/>
  <c r="AJ16" i="18"/>
  <c r="AK15" i="18"/>
  <c r="AL15" i="18" s="1"/>
  <c r="AJ15" i="18"/>
  <c r="AK14" i="18"/>
  <c r="AL14" i="18" s="1"/>
  <c r="AJ14" i="18"/>
  <c r="AK13" i="18"/>
  <c r="AL13" i="18" s="1"/>
  <c r="AJ13" i="18"/>
  <c r="AK12" i="18"/>
  <c r="AL12" i="18" s="1"/>
  <c r="AJ12" i="18"/>
  <c r="AK11" i="18"/>
  <c r="AL11" i="18" s="1"/>
  <c r="AJ11" i="18"/>
  <c r="AK10" i="18"/>
  <c r="AL10" i="18" s="1"/>
  <c r="AJ10" i="18"/>
  <c r="AK9" i="18"/>
  <c r="AL9" i="18" s="1"/>
  <c r="AJ9" i="18"/>
  <c r="AK8" i="18"/>
  <c r="AL8" i="18" s="1"/>
  <c r="AJ8" i="18"/>
  <c r="AK7" i="18"/>
  <c r="AL7" i="18" s="1"/>
  <c r="AJ7" i="18"/>
  <c r="T16" i="18"/>
  <c r="U16" i="18" s="1"/>
  <c r="S16" i="18"/>
  <c r="T15" i="18"/>
  <c r="U15" i="18" s="1"/>
  <c r="S15" i="18"/>
  <c r="T14" i="18"/>
  <c r="U14" i="18" s="1"/>
  <c r="X15" i="18" s="1"/>
  <c r="S14" i="18"/>
  <c r="T13" i="18"/>
  <c r="U13" i="18" s="1"/>
  <c r="S13" i="18"/>
  <c r="T12" i="18"/>
  <c r="U12" i="18" s="1"/>
  <c r="S12" i="18"/>
  <c r="T11" i="18"/>
  <c r="U11" i="18" s="1"/>
  <c r="S11" i="18"/>
  <c r="T10" i="18"/>
  <c r="U10" i="18" s="1"/>
  <c r="S10" i="18"/>
  <c r="T9" i="18"/>
  <c r="U9" i="18" s="1"/>
  <c r="S9" i="18"/>
  <c r="T8" i="18"/>
  <c r="U8" i="18" s="1"/>
  <c r="S8" i="18"/>
  <c r="T7" i="18"/>
  <c r="U7" i="18" s="1"/>
  <c r="S7" i="18"/>
  <c r="BB43" i="18"/>
  <c r="BC43" i="18" s="1"/>
  <c r="BA43" i="18"/>
  <c r="BB42" i="18"/>
  <c r="BC42" i="18" s="1"/>
  <c r="BA42" i="18"/>
  <c r="BB41" i="18"/>
  <c r="BC41" i="18" s="1"/>
  <c r="BA41" i="18"/>
  <c r="BB40" i="18"/>
  <c r="BC40" i="18" s="1"/>
  <c r="BA40" i="18"/>
  <c r="BB39" i="18"/>
  <c r="BC39" i="18" s="1"/>
  <c r="BA39" i="18"/>
  <c r="BB38" i="18"/>
  <c r="BC38" i="18" s="1"/>
  <c r="BA38" i="18"/>
  <c r="BB37" i="18"/>
  <c r="BC37" i="18" s="1"/>
  <c r="BA37" i="18"/>
  <c r="BB36" i="18"/>
  <c r="BC36" i="18" s="1"/>
  <c r="BA36" i="18"/>
  <c r="BB35" i="18"/>
  <c r="BC35" i="18" s="1"/>
  <c r="BA35" i="18"/>
  <c r="BB34" i="18"/>
  <c r="BC34" i="18" s="1"/>
  <c r="BA34" i="18"/>
  <c r="AK43" i="18"/>
  <c r="AL43" i="18" s="1"/>
  <c r="AJ43" i="18"/>
  <c r="AK42" i="18"/>
  <c r="AL42" i="18" s="1"/>
  <c r="AJ42" i="18"/>
  <c r="AK41" i="18"/>
  <c r="AL41" i="18" s="1"/>
  <c r="AJ41" i="18"/>
  <c r="AK40" i="18"/>
  <c r="AL40" i="18" s="1"/>
  <c r="AJ40" i="18"/>
  <c r="AK39" i="18"/>
  <c r="AL39" i="18" s="1"/>
  <c r="AJ39" i="18"/>
  <c r="AK38" i="18"/>
  <c r="AL38" i="18" s="1"/>
  <c r="AJ38" i="18"/>
  <c r="AK37" i="18"/>
  <c r="AL37" i="18" s="1"/>
  <c r="AJ37" i="18"/>
  <c r="AK36" i="18"/>
  <c r="AL36" i="18" s="1"/>
  <c r="AJ36" i="18"/>
  <c r="AK35" i="18"/>
  <c r="AL35" i="18" s="1"/>
  <c r="AJ35" i="18"/>
  <c r="AK34" i="18"/>
  <c r="AL34" i="18" s="1"/>
  <c r="AJ34" i="18"/>
  <c r="T43" i="18"/>
  <c r="U43" i="18" s="1"/>
  <c r="S43" i="18"/>
  <c r="T42" i="18"/>
  <c r="U42" i="18" s="1"/>
  <c r="S42" i="18"/>
  <c r="T41" i="18"/>
  <c r="U41" i="18" s="1"/>
  <c r="S41" i="18"/>
  <c r="T40" i="18"/>
  <c r="U40" i="18" s="1"/>
  <c r="S40" i="18"/>
  <c r="T39" i="18"/>
  <c r="U39" i="18" s="1"/>
  <c r="S39" i="18"/>
  <c r="T38" i="18"/>
  <c r="U38" i="18" s="1"/>
  <c r="S38" i="18"/>
  <c r="T37" i="18"/>
  <c r="U37" i="18" s="1"/>
  <c r="S37" i="18"/>
  <c r="T36" i="18"/>
  <c r="U36" i="18" s="1"/>
  <c r="S36" i="18"/>
  <c r="T35" i="18"/>
  <c r="U35" i="18" s="1"/>
  <c r="S35" i="18"/>
  <c r="T34" i="18"/>
  <c r="U34" i="18" s="1"/>
  <c r="S34" i="18"/>
  <c r="C43" i="18"/>
  <c r="D43" i="18" s="1"/>
  <c r="B43" i="18"/>
  <c r="C42" i="18"/>
  <c r="D42" i="18" s="1"/>
  <c r="B42" i="18"/>
  <c r="C41" i="18"/>
  <c r="D41" i="18" s="1"/>
  <c r="B41" i="18"/>
  <c r="C40" i="18"/>
  <c r="D40" i="18" s="1"/>
  <c r="B40" i="18"/>
  <c r="C39" i="18"/>
  <c r="D39" i="18" s="1"/>
  <c r="B39" i="18"/>
  <c r="C38" i="18"/>
  <c r="D38" i="18" s="1"/>
  <c r="B38" i="18"/>
  <c r="C37" i="18"/>
  <c r="D37" i="18" s="1"/>
  <c r="B37" i="18"/>
  <c r="C36" i="18"/>
  <c r="D36" i="18" s="1"/>
  <c r="B36" i="18"/>
  <c r="C35" i="18"/>
  <c r="D35" i="18" s="1"/>
  <c r="B35" i="18"/>
  <c r="C34" i="18"/>
  <c r="D34" i="18" s="1"/>
  <c r="B34" i="18"/>
  <c r="BL45" i="1" l="1"/>
  <c r="BM45" i="1"/>
  <c r="BL44" i="1"/>
  <c r="BK32" i="1"/>
  <c r="BK29" i="1"/>
  <c r="BH33" i="1"/>
  <c r="BH36" i="1"/>
  <c r="BU25" i="1"/>
  <c r="U403" i="16"/>
  <c r="I159" i="16"/>
  <c r="O288" i="16"/>
  <c r="U245" i="16"/>
  <c r="U148" i="16"/>
  <c r="AA213" i="16"/>
  <c r="I364" i="16"/>
  <c r="L202" i="16"/>
  <c r="F341" i="16"/>
  <c r="L204" i="16"/>
  <c r="L237" i="16"/>
  <c r="L229" i="16"/>
  <c r="R313" i="16"/>
  <c r="I375" i="16"/>
  <c r="R202" i="16"/>
  <c r="L394" i="16"/>
  <c r="L390" i="16"/>
  <c r="AA366" i="16"/>
  <c r="AA355" i="16"/>
  <c r="L208" i="16"/>
  <c r="X266" i="16"/>
  <c r="O218" i="16"/>
  <c r="R200" i="16"/>
  <c r="AG373" i="16"/>
  <c r="O228" i="16"/>
  <c r="AG364" i="16"/>
  <c r="X337" i="16"/>
  <c r="X317" i="16"/>
  <c r="AA337" i="16"/>
  <c r="W68" i="18"/>
  <c r="X69" i="18"/>
  <c r="X68" i="18"/>
  <c r="W69" i="18"/>
  <c r="F42" i="18"/>
  <c r="G42" i="18"/>
  <c r="F68" i="18"/>
  <c r="G69" i="18"/>
  <c r="G68" i="18"/>
  <c r="F69" i="18"/>
  <c r="F95" i="18"/>
  <c r="G96" i="18"/>
  <c r="G95" i="18"/>
  <c r="F96" i="18"/>
  <c r="G122" i="18"/>
  <c r="G123" i="18"/>
  <c r="F123" i="18"/>
  <c r="F122" i="18"/>
  <c r="X42" i="18"/>
  <c r="W42" i="18"/>
  <c r="W95" i="18"/>
  <c r="X96" i="18"/>
  <c r="X95" i="18"/>
  <c r="W96" i="18"/>
  <c r="W122" i="18"/>
  <c r="X123" i="18"/>
  <c r="X122" i="18"/>
  <c r="W123" i="18"/>
  <c r="G34" i="18"/>
  <c r="F34" i="18"/>
  <c r="F37" i="18"/>
  <c r="G37" i="18"/>
  <c r="F40" i="18"/>
  <c r="G40" i="18"/>
  <c r="V36" i="18"/>
  <c r="X36" i="18"/>
  <c r="W36" i="18"/>
  <c r="X39" i="18"/>
  <c r="W39" i="18"/>
  <c r="AO35" i="18"/>
  <c r="AN35" i="18"/>
  <c r="AO38" i="18"/>
  <c r="AN38" i="18"/>
  <c r="AO41" i="18"/>
  <c r="AN41" i="18"/>
  <c r="BE34" i="18"/>
  <c r="BF34" i="18"/>
  <c r="BE37" i="18"/>
  <c r="BF37" i="18"/>
  <c r="BF40" i="18"/>
  <c r="BE40" i="18"/>
  <c r="X9" i="18"/>
  <c r="W9" i="18"/>
  <c r="X12" i="18"/>
  <c r="W12" i="18"/>
  <c r="AN8" i="18"/>
  <c r="AO8" i="18"/>
  <c r="AO11" i="18"/>
  <c r="AN11" i="18"/>
  <c r="AN14" i="18"/>
  <c r="AO14" i="18"/>
  <c r="BF7" i="18"/>
  <c r="BE7" i="18"/>
  <c r="BF10" i="18"/>
  <c r="BE10" i="18"/>
  <c r="BF13" i="18"/>
  <c r="BE13" i="18"/>
  <c r="G63" i="18"/>
  <c r="F63" i="18"/>
  <c r="G66" i="18"/>
  <c r="F66" i="18"/>
  <c r="X62" i="18"/>
  <c r="W62" i="18"/>
  <c r="X65" i="18"/>
  <c r="W65" i="18"/>
  <c r="AO61" i="18"/>
  <c r="AN61" i="18"/>
  <c r="AO64" i="18"/>
  <c r="AN64" i="18"/>
  <c r="AO67" i="18"/>
  <c r="AN67" i="18"/>
  <c r="BF63" i="18"/>
  <c r="BE63" i="18"/>
  <c r="BF66" i="18"/>
  <c r="BE66" i="18"/>
  <c r="G89" i="18"/>
  <c r="F89" i="18"/>
  <c r="G92" i="18"/>
  <c r="F92" i="18"/>
  <c r="X88" i="18"/>
  <c r="W88" i="18"/>
  <c r="X91" i="18"/>
  <c r="W91" i="18"/>
  <c r="X94" i="18"/>
  <c r="W94" i="18"/>
  <c r="AO90" i="18"/>
  <c r="AN90" i="18"/>
  <c r="AO93" i="18"/>
  <c r="AN93" i="18"/>
  <c r="BF89" i="18"/>
  <c r="BE89" i="18"/>
  <c r="BF92" i="18"/>
  <c r="BE92" i="18"/>
  <c r="BF95" i="18"/>
  <c r="BE95" i="18"/>
  <c r="G115" i="18"/>
  <c r="F115" i="18"/>
  <c r="G118" i="18"/>
  <c r="F118" i="18"/>
  <c r="G121" i="18"/>
  <c r="F121" i="18"/>
  <c r="X117" i="18"/>
  <c r="W117" i="18"/>
  <c r="X120" i="18"/>
  <c r="W120" i="18"/>
  <c r="AO116" i="18"/>
  <c r="AN116" i="18"/>
  <c r="AO119" i="18"/>
  <c r="AN119" i="18"/>
  <c r="AO122" i="18"/>
  <c r="AN122" i="18"/>
  <c r="BF115" i="18"/>
  <c r="BE115" i="18"/>
  <c r="BF118" i="18"/>
  <c r="BE118" i="18"/>
  <c r="BF121" i="18"/>
  <c r="BE121" i="18"/>
  <c r="G35" i="18"/>
  <c r="F35" i="18"/>
  <c r="G38" i="18"/>
  <c r="F38" i="18"/>
  <c r="G41" i="18"/>
  <c r="F41" i="18"/>
  <c r="X34" i="18"/>
  <c r="W34" i="18"/>
  <c r="X37" i="18"/>
  <c r="W37" i="18"/>
  <c r="X40" i="18"/>
  <c r="W40" i="18"/>
  <c r="AO36" i="18"/>
  <c r="AN36" i="18"/>
  <c r="AN39" i="18"/>
  <c r="AO39" i="18"/>
  <c r="BF35" i="18"/>
  <c r="BE35" i="18"/>
  <c r="BF38" i="18"/>
  <c r="BE38" i="18"/>
  <c r="BF41" i="18"/>
  <c r="BE41" i="18"/>
  <c r="W7" i="18"/>
  <c r="X7" i="18"/>
  <c r="W10" i="18"/>
  <c r="X10" i="18"/>
  <c r="X13" i="18"/>
  <c r="W13" i="18"/>
  <c r="AO9" i="18"/>
  <c r="AN9" i="18"/>
  <c r="AO12" i="18"/>
  <c r="AN12" i="18"/>
  <c r="BF8" i="18"/>
  <c r="BE8" i="18"/>
  <c r="BF11" i="18"/>
  <c r="BE11" i="18"/>
  <c r="BF14" i="18"/>
  <c r="BE14" i="18"/>
  <c r="G61" i="18"/>
  <c r="F61" i="18"/>
  <c r="G64" i="18"/>
  <c r="F64" i="18"/>
  <c r="G67" i="18"/>
  <c r="F67" i="18"/>
  <c r="X63" i="18"/>
  <c r="W63" i="18"/>
  <c r="X66" i="18"/>
  <c r="W66" i="18"/>
  <c r="AO62" i="18"/>
  <c r="AN62" i="18"/>
  <c r="AO65" i="18"/>
  <c r="AN65" i="18"/>
  <c r="AO68" i="18"/>
  <c r="AN68" i="18"/>
  <c r="BF61" i="18"/>
  <c r="BE61" i="18"/>
  <c r="BF64" i="18"/>
  <c r="BE64" i="18"/>
  <c r="BF67" i="18"/>
  <c r="BE67" i="18"/>
  <c r="G90" i="18"/>
  <c r="F90" i="18"/>
  <c r="G93" i="18"/>
  <c r="F93" i="18"/>
  <c r="X89" i="18"/>
  <c r="W89" i="18"/>
  <c r="X92" i="18"/>
  <c r="W92" i="18"/>
  <c r="AO88" i="18"/>
  <c r="AN88" i="18"/>
  <c r="AO91" i="18"/>
  <c r="AN91" i="18"/>
  <c r="AO94" i="18"/>
  <c r="AN94" i="18"/>
  <c r="BF90" i="18"/>
  <c r="BE90" i="18"/>
  <c r="BF93" i="18"/>
  <c r="BE93" i="18"/>
  <c r="E116" i="18"/>
  <c r="G116" i="18"/>
  <c r="F116" i="18"/>
  <c r="G119" i="18"/>
  <c r="F119" i="18"/>
  <c r="X115" i="18"/>
  <c r="W115" i="18"/>
  <c r="X118" i="18"/>
  <c r="W118" i="18"/>
  <c r="X121" i="18"/>
  <c r="W121" i="18"/>
  <c r="AO117" i="18"/>
  <c r="AN117" i="18"/>
  <c r="AO120" i="18"/>
  <c r="AN120" i="18"/>
  <c r="BF116" i="18"/>
  <c r="BE116" i="18"/>
  <c r="BF119" i="18"/>
  <c r="BE119" i="18"/>
  <c r="BF122" i="18"/>
  <c r="BE122" i="18"/>
  <c r="G36" i="18"/>
  <c r="F36" i="18"/>
  <c r="G39" i="18"/>
  <c r="F39" i="18"/>
  <c r="W35" i="18"/>
  <c r="X35" i="18"/>
  <c r="X38" i="18"/>
  <c r="W38" i="18"/>
  <c r="V41" i="18"/>
  <c r="W41" i="18"/>
  <c r="X41" i="18"/>
  <c r="AO34" i="18"/>
  <c r="AN34" i="18"/>
  <c r="AO37" i="18"/>
  <c r="AN37" i="18"/>
  <c r="AO40" i="18"/>
  <c r="AN40" i="18"/>
  <c r="BF36" i="18"/>
  <c r="BE36" i="18"/>
  <c r="BF39" i="18"/>
  <c r="BE39" i="18"/>
  <c r="X8" i="18"/>
  <c r="W8" i="18"/>
  <c r="X11" i="18"/>
  <c r="W11" i="18"/>
  <c r="X14" i="18"/>
  <c r="W14" i="18"/>
  <c r="AO7" i="18"/>
  <c r="AN7" i="18"/>
  <c r="AO10" i="18"/>
  <c r="AN10" i="18"/>
  <c r="AO13" i="18"/>
  <c r="AN13" i="18"/>
  <c r="BE9" i="18"/>
  <c r="BF9" i="18"/>
  <c r="BE12" i="18"/>
  <c r="BF12" i="18"/>
  <c r="G62" i="18"/>
  <c r="F62" i="18"/>
  <c r="G65" i="18"/>
  <c r="F65" i="18"/>
  <c r="X61" i="18"/>
  <c r="W61" i="18"/>
  <c r="X64" i="18"/>
  <c r="W64" i="18"/>
  <c r="X67" i="18"/>
  <c r="W67" i="18"/>
  <c r="AO63" i="18"/>
  <c r="AN63" i="18"/>
  <c r="AO66" i="18"/>
  <c r="AN66" i="18"/>
  <c r="BF62" i="18"/>
  <c r="BE62" i="18"/>
  <c r="BF65" i="18"/>
  <c r="BE65" i="18"/>
  <c r="BF68" i="18"/>
  <c r="BE68" i="18"/>
  <c r="G88" i="18"/>
  <c r="F88" i="18"/>
  <c r="G91" i="18"/>
  <c r="F91" i="18"/>
  <c r="G94" i="18"/>
  <c r="F94" i="18"/>
  <c r="X90" i="18"/>
  <c r="W90" i="18"/>
  <c r="X93" i="18"/>
  <c r="W93" i="18"/>
  <c r="AO89" i="18"/>
  <c r="AN89" i="18"/>
  <c r="AO92" i="18"/>
  <c r="AN92" i="18"/>
  <c r="AO95" i="18"/>
  <c r="AN95" i="18"/>
  <c r="BF88" i="18"/>
  <c r="BE88" i="18"/>
  <c r="BF91" i="18"/>
  <c r="BE91" i="18"/>
  <c r="BF94" i="18"/>
  <c r="BE94" i="18"/>
  <c r="F117" i="18"/>
  <c r="G117" i="18"/>
  <c r="E120" i="18"/>
  <c r="G120" i="18"/>
  <c r="F120" i="18"/>
  <c r="X116" i="18"/>
  <c r="W116" i="18"/>
  <c r="X119" i="18"/>
  <c r="W119" i="18"/>
  <c r="AO115" i="18"/>
  <c r="AN115" i="18"/>
  <c r="AO118" i="18"/>
  <c r="AN118" i="18"/>
  <c r="AO121" i="18"/>
  <c r="AN121" i="18"/>
  <c r="BF117" i="18"/>
  <c r="BE117" i="18"/>
  <c r="BF120" i="18"/>
  <c r="BE120" i="18"/>
  <c r="I373" i="16"/>
  <c r="R217" i="16"/>
  <c r="R299" i="16"/>
  <c r="AG208" i="16"/>
  <c r="U237" i="16"/>
  <c r="F216" i="16"/>
  <c r="U165" i="16"/>
  <c r="F187" i="16"/>
  <c r="AG381" i="16"/>
  <c r="L375" i="16"/>
  <c r="AA370" i="16"/>
  <c r="I355" i="16"/>
  <c r="I266" i="16"/>
  <c r="O236" i="16"/>
  <c r="R216" i="16"/>
  <c r="X320" i="16"/>
  <c r="R254" i="16"/>
  <c r="I405" i="16"/>
  <c r="AD317" i="16"/>
  <c r="F327" i="16"/>
  <c r="AG409" i="16"/>
  <c r="F349" i="16"/>
  <c r="O295" i="16"/>
  <c r="U238" i="16"/>
  <c r="I151" i="16"/>
  <c r="U404" i="16"/>
  <c r="F317" i="16"/>
  <c r="U177" i="16"/>
  <c r="AA404" i="16"/>
  <c r="AA400" i="16"/>
  <c r="X312" i="16"/>
  <c r="O317" i="16"/>
  <c r="AD263" i="16"/>
  <c r="U150" i="16"/>
  <c r="AG405" i="16"/>
  <c r="L408" i="16"/>
  <c r="U180" i="16"/>
  <c r="U175" i="16"/>
  <c r="I173" i="16"/>
  <c r="AG158" i="16"/>
  <c r="U173" i="16"/>
  <c r="AG392" i="16"/>
  <c r="AD319" i="16"/>
  <c r="R263" i="16"/>
  <c r="U240" i="16"/>
  <c r="U239" i="16"/>
  <c r="I187" i="16"/>
  <c r="U186" i="16"/>
  <c r="U178" i="16"/>
  <c r="U174" i="16"/>
  <c r="AG164" i="16"/>
  <c r="X369" i="16"/>
  <c r="X353" i="16"/>
  <c r="U185" i="16"/>
  <c r="R285" i="16"/>
  <c r="AA300" i="16"/>
  <c r="I265" i="16"/>
  <c r="F208" i="16"/>
  <c r="AA398" i="16"/>
  <c r="F337" i="16"/>
  <c r="X265" i="16"/>
  <c r="I230" i="16"/>
  <c r="I208" i="16"/>
  <c r="U402" i="16"/>
  <c r="I379" i="16"/>
  <c r="AG368" i="16"/>
  <c r="AA229" i="16"/>
  <c r="F214" i="16"/>
  <c r="R208" i="16"/>
  <c r="L191" i="16"/>
  <c r="I184" i="16"/>
  <c r="L395" i="16"/>
  <c r="I393" i="16"/>
  <c r="I347" i="16"/>
  <c r="I340" i="16"/>
  <c r="L365" i="16"/>
  <c r="AD352" i="16"/>
  <c r="AD299" i="16"/>
  <c r="L257" i="16"/>
  <c r="O257" i="16"/>
  <c r="F213" i="16"/>
  <c r="R191" i="16"/>
  <c r="L379" i="16"/>
  <c r="I213" i="16"/>
  <c r="AG265" i="16"/>
  <c r="AG258" i="16"/>
  <c r="F218" i="16"/>
  <c r="I217" i="16"/>
  <c r="AD282" i="16"/>
  <c r="U398" i="16"/>
  <c r="I408" i="16"/>
  <c r="AA396" i="16"/>
  <c r="AD400" i="16"/>
  <c r="X391" i="16"/>
  <c r="U184" i="16"/>
  <c r="R298" i="16"/>
  <c r="I254" i="16"/>
  <c r="AG216" i="16"/>
  <c r="R209" i="16"/>
  <c r="AA208" i="16"/>
  <c r="I395" i="16"/>
  <c r="I391" i="16"/>
  <c r="U321" i="16"/>
  <c r="L290" i="16"/>
  <c r="O285" i="16"/>
  <c r="F336" i="16"/>
  <c r="R345" i="16"/>
  <c r="F397" i="16"/>
  <c r="O341" i="16"/>
  <c r="F324" i="16"/>
  <c r="F318" i="16"/>
  <c r="F345" i="16"/>
  <c r="AD202" i="16"/>
  <c r="AG163" i="16"/>
  <c r="AG186" i="16"/>
  <c r="AD161" i="16"/>
  <c r="L349" i="16"/>
  <c r="X291" i="16"/>
  <c r="AD340" i="16"/>
  <c r="O255" i="16"/>
  <c r="O230" i="16"/>
  <c r="AD217" i="16"/>
  <c r="AA214" i="16"/>
  <c r="O212" i="16"/>
  <c r="O208" i="16"/>
  <c r="AA206" i="16"/>
  <c r="I165" i="16"/>
  <c r="I399" i="16"/>
  <c r="X395" i="16"/>
  <c r="I382" i="16"/>
  <c r="AG382" i="16"/>
  <c r="I374" i="16"/>
  <c r="AG374" i="16"/>
  <c r="I336" i="16"/>
  <c r="L369" i="16"/>
  <c r="F299" i="16"/>
  <c r="O293" i="16"/>
  <c r="AA327" i="16"/>
  <c r="AD318" i="16"/>
  <c r="AA317" i="16"/>
  <c r="AG340" i="16"/>
  <c r="AG309" i="16"/>
  <c r="AD324" i="16"/>
  <c r="AD345" i="16"/>
  <c r="X322" i="16"/>
  <c r="L353" i="16"/>
  <c r="L291" i="16"/>
  <c r="X232" i="16"/>
  <c r="O287" i="16"/>
  <c r="R311" i="16"/>
  <c r="F311" i="16"/>
  <c r="U322" i="16"/>
  <c r="I369" i="16"/>
  <c r="AD293" i="16"/>
  <c r="R343" i="16"/>
  <c r="AG369" i="16"/>
  <c r="AA319" i="16"/>
  <c r="O314" i="16"/>
  <c r="O340" i="16"/>
  <c r="O319" i="16"/>
  <c r="R316" i="16"/>
  <c r="U260" i="16"/>
  <c r="I212" i="16"/>
  <c r="AA216" i="16"/>
  <c r="L409" i="16"/>
  <c r="I407" i="16"/>
  <c r="I216" i="16"/>
  <c r="O206" i="16"/>
  <c r="AG228" i="16"/>
  <c r="AA210" i="16"/>
  <c r="F205" i="16"/>
  <c r="AG391" i="16"/>
  <c r="L382" i="16"/>
  <c r="I380" i="16"/>
  <c r="L378" i="16"/>
  <c r="L374" i="16"/>
  <c r="U346" i="16"/>
  <c r="U340" i="16"/>
  <c r="U338" i="16"/>
  <c r="AA345" i="16"/>
  <c r="X368" i="16"/>
  <c r="X364" i="16"/>
  <c r="L344" i="16"/>
  <c r="L337" i="16"/>
  <c r="X374" i="16"/>
  <c r="I346" i="16"/>
  <c r="I337" i="16"/>
  <c r="U336" i="16"/>
  <c r="U262" i="16"/>
  <c r="AA310" i="16"/>
  <c r="U181" i="16"/>
  <c r="U183" i="16"/>
  <c r="I240" i="16"/>
  <c r="U317" i="16"/>
  <c r="R350" i="16"/>
  <c r="L320" i="16"/>
  <c r="I351" i="16"/>
  <c r="O244" i="16"/>
  <c r="I228" i="16"/>
  <c r="L219" i="16"/>
  <c r="R211" i="16"/>
  <c r="U182" i="16"/>
  <c r="X241" i="16"/>
  <c r="AA402" i="16"/>
  <c r="L234" i="16"/>
  <c r="I180" i="16"/>
  <c r="AG176" i="16"/>
  <c r="AG393" i="16"/>
  <c r="I378" i="16"/>
  <c r="AG378" i="16"/>
  <c r="I338" i="16"/>
  <c r="X397" i="16"/>
  <c r="O405" i="16"/>
  <c r="I390" i="16"/>
  <c r="X372" i="16"/>
  <c r="L324" i="16"/>
  <c r="AA291" i="16"/>
  <c r="R319" i="16"/>
  <c r="X258" i="16"/>
  <c r="AD255" i="16"/>
  <c r="F243" i="16"/>
  <c r="AG242" i="16"/>
  <c r="F254" i="16"/>
  <c r="X327" i="16"/>
  <c r="R287" i="16"/>
  <c r="X236" i="16"/>
  <c r="AA242" i="16"/>
  <c r="X254" i="16"/>
  <c r="L232" i="16"/>
  <c r="AD215" i="16"/>
  <c r="F211" i="16"/>
  <c r="U241" i="16"/>
  <c r="X235" i="16"/>
  <c r="R246" i="16"/>
  <c r="X238" i="16"/>
  <c r="AG233" i="16"/>
  <c r="O227" i="16"/>
  <c r="O217" i="16"/>
  <c r="AA215" i="16"/>
  <c r="AA207" i="16"/>
  <c r="I207" i="16"/>
  <c r="L165" i="16"/>
  <c r="R147" i="16"/>
  <c r="R146" i="16"/>
  <c r="I162" i="16"/>
  <c r="O161" i="16"/>
  <c r="AD397" i="16"/>
  <c r="F321" i="16"/>
  <c r="I231" i="16"/>
  <c r="O229" i="16"/>
  <c r="AG217" i="16"/>
  <c r="R214" i="16"/>
  <c r="AG209" i="16"/>
  <c r="R206" i="16"/>
  <c r="AA325" i="16"/>
  <c r="AD338" i="16"/>
  <c r="X378" i="16"/>
  <c r="R293" i="16"/>
  <c r="O345" i="16"/>
  <c r="AG201" i="16"/>
  <c r="L200" i="16"/>
  <c r="R190" i="16"/>
  <c r="I381" i="16"/>
  <c r="AG377" i="16"/>
  <c r="X325" i="16"/>
  <c r="X319" i="16"/>
  <c r="L372" i="16"/>
  <c r="L368" i="16"/>
  <c r="L364" i="16"/>
  <c r="AD312" i="16"/>
  <c r="F344" i="16"/>
  <c r="AA348" i="16"/>
  <c r="AD341" i="16"/>
  <c r="O339" i="16"/>
  <c r="I365" i="16"/>
  <c r="F293" i="16"/>
  <c r="F285" i="16"/>
  <c r="L282" i="16"/>
  <c r="R338" i="16"/>
  <c r="I368" i="16"/>
  <c r="X269" i="16"/>
  <c r="I264" i="16"/>
  <c r="AG254" i="16"/>
  <c r="I209" i="16"/>
  <c r="I398" i="16"/>
  <c r="R407" i="16"/>
  <c r="I406" i="16"/>
  <c r="AD402" i="16"/>
  <c r="X393" i="16"/>
  <c r="I322" i="16"/>
  <c r="I319" i="16"/>
  <c r="AD349" i="16"/>
  <c r="F309" i="16"/>
  <c r="AA318" i="16"/>
  <c r="O402" i="16"/>
  <c r="O273" i="16"/>
  <c r="I267" i="16"/>
  <c r="L241" i="16"/>
  <c r="AG241" i="16"/>
  <c r="AG234" i="16"/>
  <c r="O232" i="16"/>
  <c r="AG230" i="16"/>
  <c r="I219" i="16"/>
  <c r="O214" i="16"/>
  <c r="R213" i="16"/>
  <c r="R205" i="16"/>
  <c r="R189" i="16"/>
  <c r="I182" i="16"/>
  <c r="X365" i="16"/>
  <c r="X346" i="16"/>
  <c r="X344" i="16"/>
  <c r="X339" i="16"/>
  <c r="X338" i="16"/>
  <c r="X316" i="16"/>
  <c r="X313" i="16"/>
  <c r="X309" i="16"/>
  <c r="X298" i="16"/>
  <c r="X294" i="16"/>
  <c r="X290" i="16"/>
  <c r="X286" i="16"/>
  <c r="O289" i="16"/>
  <c r="O291" i="16"/>
  <c r="R328" i="16"/>
  <c r="AA321" i="16"/>
  <c r="AA316" i="16"/>
  <c r="R341" i="16"/>
  <c r="AG270" i="16"/>
  <c r="X257" i="16"/>
  <c r="R212" i="16"/>
  <c r="O406" i="16"/>
  <c r="U324" i="16"/>
  <c r="L373" i="16"/>
  <c r="I283" i="16"/>
  <c r="O344" i="16"/>
  <c r="F398" i="16"/>
  <c r="L351" i="16"/>
  <c r="AG355" i="16"/>
  <c r="AD301" i="16"/>
  <c r="X299" i="16"/>
  <c r="X295" i="16"/>
  <c r="F322" i="16"/>
  <c r="U320" i="16"/>
  <c r="U315" i="16"/>
  <c r="I354" i="16"/>
  <c r="F340" i="16"/>
  <c r="AD300" i="16"/>
  <c r="R294" i="16"/>
  <c r="F292" i="16"/>
  <c r="L297" i="16"/>
  <c r="R315" i="16"/>
  <c r="R312" i="16"/>
  <c r="I310" i="16"/>
  <c r="I309" i="16"/>
  <c r="O327" i="16"/>
  <c r="O398" i="16"/>
  <c r="U258" i="16"/>
  <c r="X268" i="16"/>
  <c r="I270" i="16"/>
  <c r="X237" i="16"/>
  <c r="O235" i="16"/>
  <c r="AA233" i="16"/>
  <c r="L231" i="16"/>
  <c r="I229" i="16"/>
  <c r="R218" i="16"/>
  <c r="I215" i="16"/>
  <c r="AG215" i="16"/>
  <c r="AA211" i="16"/>
  <c r="F210" i="16"/>
  <c r="O205" i="16"/>
  <c r="L180" i="16"/>
  <c r="AD163" i="16"/>
  <c r="U399" i="16"/>
  <c r="R409" i="16"/>
  <c r="AA269" i="16"/>
  <c r="F255" i="16"/>
  <c r="AD244" i="16"/>
  <c r="I236" i="16"/>
  <c r="O234" i="16"/>
  <c r="I232" i="16"/>
  <c r="AG240" i="16"/>
  <c r="AD213" i="16"/>
  <c r="AD336" i="16"/>
  <c r="AA336" i="16"/>
  <c r="U176" i="16"/>
  <c r="I315" i="16"/>
  <c r="I314" i="16"/>
  <c r="AD295" i="16"/>
  <c r="F291" i="16"/>
  <c r="AD287" i="16"/>
  <c r="X345" i="16"/>
  <c r="X341" i="16"/>
  <c r="X340" i="16"/>
  <c r="X336" i="16"/>
  <c r="X328" i="16"/>
  <c r="L293" i="16"/>
  <c r="O399" i="16"/>
  <c r="AA339" i="16"/>
  <c r="AD321" i="16"/>
  <c r="F319" i="16"/>
  <c r="L207" i="16"/>
  <c r="AG264" i="16"/>
  <c r="X260" i="16"/>
  <c r="L230" i="16"/>
  <c r="AG210" i="16"/>
  <c r="F209" i="16"/>
  <c r="X202" i="16"/>
  <c r="X200" i="16"/>
  <c r="I163" i="16"/>
  <c r="I156" i="16"/>
  <c r="I152" i="16"/>
  <c r="O147" i="16"/>
  <c r="O146" i="16"/>
  <c r="X186" i="16"/>
  <c r="AG178" i="16"/>
  <c r="AD406" i="16"/>
  <c r="U400" i="16"/>
  <c r="X394" i="16"/>
  <c r="X390" i="16"/>
  <c r="X379" i="16"/>
  <c r="AG380" i="16"/>
  <c r="I376" i="16"/>
  <c r="AA376" i="16"/>
  <c r="AG351" i="16"/>
  <c r="U339" i="16"/>
  <c r="U318" i="16"/>
  <c r="U313" i="16"/>
  <c r="U309" i="16"/>
  <c r="AD294" i="16"/>
  <c r="F286" i="16"/>
  <c r="X399" i="16"/>
  <c r="AG318" i="16"/>
  <c r="X271" i="16"/>
  <c r="L259" i="16"/>
  <c r="X243" i="16"/>
  <c r="I246" i="16"/>
  <c r="AA235" i="16"/>
  <c r="AD216" i="16"/>
  <c r="AG213" i="16"/>
  <c r="R210" i="16"/>
  <c r="AG205" i="16"/>
  <c r="AG202" i="16"/>
  <c r="L201" i="16"/>
  <c r="L190" i="16"/>
  <c r="X176" i="16"/>
  <c r="L175" i="16"/>
  <c r="I397" i="16"/>
  <c r="X355" i="16"/>
  <c r="L340" i="16"/>
  <c r="L328" i="16"/>
  <c r="L326" i="16"/>
  <c r="L310" i="16"/>
  <c r="I372" i="16"/>
  <c r="AG372" i="16"/>
  <c r="I353" i="16"/>
  <c r="I349" i="16"/>
  <c r="F301" i="16"/>
  <c r="AD285" i="16"/>
  <c r="X300" i="16"/>
  <c r="X296" i="16"/>
  <c r="X288" i="16"/>
  <c r="R347" i="16"/>
  <c r="AG266" i="16"/>
  <c r="L242" i="16"/>
  <c r="AA234" i="16"/>
  <c r="AG219" i="16"/>
  <c r="F215" i="16"/>
  <c r="F207" i="16"/>
  <c r="AD207" i="16"/>
  <c r="R192" i="16"/>
  <c r="R188" i="16"/>
  <c r="X192" i="16"/>
  <c r="AA147" i="16"/>
  <c r="AA146" i="16"/>
  <c r="X147" i="16"/>
  <c r="I409" i="16"/>
  <c r="O407" i="16"/>
  <c r="I404" i="16"/>
  <c r="I402" i="16"/>
  <c r="I400" i="16"/>
  <c r="X382" i="16"/>
  <c r="X376" i="16"/>
  <c r="L376" i="16"/>
  <c r="AG349" i="16"/>
  <c r="I348" i="16"/>
  <c r="I345" i="16"/>
  <c r="I343" i="16"/>
  <c r="I341" i="16"/>
  <c r="I328" i="16"/>
  <c r="I327" i="16"/>
  <c r="R290" i="16"/>
  <c r="L285" i="16"/>
  <c r="X209" i="16"/>
  <c r="AA312" i="16"/>
  <c r="AA344" i="16"/>
  <c r="AA397" i="16"/>
  <c r="AD214" i="16"/>
  <c r="AD206" i="16"/>
  <c r="L300" i="16"/>
  <c r="L292" i="16"/>
  <c r="L288" i="16"/>
  <c r="AD284" i="16"/>
  <c r="O219" i="16"/>
  <c r="AG203" i="16"/>
  <c r="AG192" i="16"/>
  <c r="AG188" i="16"/>
  <c r="X189" i="16"/>
  <c r="R288" i="16"/>
  <c r="X293" i="16"/>
  <c r="L209" i="16"/>
  <c r="AA346" i="16"/>
  <c r="X211" i="16"/>
  <c r="O313" i="16"/>
  <c r="X219" i="16"/>
  <c r="X215" i="16"/>
  <c r="X212" i="16"/>
  <c r="X162" i="16"/>
  <c r="AG182" i="16"/>
  <c r="R161" i="16"/>
  <c r="R399" i="16"/>
  <c r="AD408" i="16"/>
  <c r="X380" i="16"/>
  <c r="I344" i="16"/>
  <c r="U179" i="16"/>
  <c r="AG269" i="16"/>
  <c r="L243" i="16"/>
  <c r="AA218" i="16"/>
  <c r="O213" i="16"/>
  <c r="I239" i="16"/>
  <c r="AA236" i="16"/>
  <c r="AD209" i="16"/>
  <c r="R405" i="16"/>
  <c r="AA381" i="16"/>
  <c r="I377" i="16"/>
  <c r="AG352" i="16"/>
  <c r="X348" i="16"/>
  <c r="X321" i="16"/>
  <c r="I366" i="16"/>
  <c r="X206" i="16"/>
  <c r="X283" i="16"/>
  <c r="O348" i="16"/>
  <c r="R344" i="16"/>
  <c r="I271" i="16"/>
  <c r="AG246" i="16"/>
  <c r="I241" i="16"/>
  <c r="L233" i="16"/>
  <c r="AA205" i="16"/>
  <c r="AD189" i="16"/>
  <c r="I178" i="16"/>
  <c r="L405" i="16"/>
  <c r="U325" i="16"/>
  <c r="U312" i="16"/>
  <c r="R289" i="16"/>
  <c r="O297" i="16"/>
  <c r="AG271" i="16"/>
  <c r="X270" i="16"/>
  <c r="L236" i="16"/>
  <c r="I234" i="16"/>
  <c r="AA230" i="16"/>
  <c r="AA212" i="16"/>
  <c r="AG212" i="16"/>
  <c r="O210" i="16"/>
  <c r="X180" i="16"/>
  <c r="F147" i="16"/>
  <c r="F146" i="16"/>
  <c r="L396" i="16"/>
  <c r="L312" i="16"/>
  <c r="AA289" i="16"/>
  <c r="AA328" i="16"/>
  <c r="X315" i="16"/>
  <c r="O322" i="16"/>
  <c r="F202" i="16"/>
  <c r="F191" i="16"/>
  <c r="AG407" i="16"/>
  <c r="X282" i="16"/>
  <c r="F348" i="16"/>
  <c r="R186" i="16"/>
  <c r="F182" i="16"/>
  <c r="AD182" i="16"/>
  <c r="R178" i="16"/>
  <c r="F174" i="16"/>
  <c r="AD174" i="16"/>
  <c r="AA296" i="16"/>
  <c r="O337" i="16"/>
  <c r="X408" i="16"/>
  <c r="O316" i="16"/>
  <c r="X234" i="16"/>
  <c r="AG245" i="16"/>
  <c r="X205" i="16"/>
  <c r="X233" i="16"/>
  <c r="AG344" i="16"/>
  <c r="L260" i="16"/>
  <c r="O254" i="16"/>
  <c r="AG237" i="16"/>
  <c r="O231" i="16"/>
  <c r="F206" i="16"/>
  <c r="L187" i="16"/>
  <c r="X182" i="16"/>
  <c r="X174" i="16"/>
  <c r="I146" i="16"/>
  <c r="O149" i="16"/>
  <c r="X375" i="16"/>
  <c r="AG395" i="16"/>
  <c r="L393" i="16"/>
  <c r="U347" i="16"/>
  <c r="U328" i="16"/>
  <c r="U327" i="16"/>
  <c r="U326" i="16"/>
  <c r="AD291" i="16"/>
  <c r="AG297" i="16"/>
  <c r="AA323" i="16"/>
  <c r="AG324" i="16"/>
  <c r="AG316" i="16"/>
  <c r="AA343" i="16"/>
  <c r="U259" i="16"/>
  <c r="I269" i="16"/>
  <c r="X262" i="16"/>
  <c r="I258" i="16"/>
  <c r="F244" i="16"/>
  <c r="I238" i="16"/>
  <c r="AG232" i="16"/>
  <c r="O216" i="16"/>
  <c r="AG190" i="16"/>
  <c r="L189" i="16"/>
  <c r="X163" i="16"/>
  <c r="I394" i="16"/>
  <c r="L392" i="16"/>
  <c r="AG375" i="16"/>
  <c r="X370" i="16"/>
  <c r="X366" i="16"/>
  <c r="L339" i="16"/>
  <c r="L321" i="16"/>
  <c r="L318" i="16"/>
  <c r="L316" i="16"/>
  <c r="L315" i="16"/>
  <c r="L314" i="16"/>
  <c r="L295" i="16"/>
  <c r="L287" i="16"/>
  <c r="L216" i="16"/>
  <c r="AG328" i="16"/>
  <c r="AG312" i="16"/>
  <c r="F328" i="16"/>
  <c r="AD348" i="16"/>
  <c r="AA342" i="16"/>
  <c r="AA347" i="16"/>
  <c r="O400" i="16"/>
  <c r="F313" i="16"/>
  <c r="F339" i="16"/>
  <c r="X267" i="16"/>
  <c r="I272" i="16"/>
  <c r="AG268" i="16"/>
  <c r="I260" i="16"/>
  <c r="AG243" i="16"/>
  <c r="I235" i="16"/>
  <c r="O233" i="16"/>
  <c r="AA231" i="16"/>
  <c r="I227" i="16"/>
  <c r="AA227" i="16"/>
  <c r="O215" i="16"/>
  <c r="F212" i="16"/>
  <c r="AA209" i="16"/>
  <c r="AD208" i="16"/>
  <c r="O207" i="16"/>
  <c r="I205" i="16"/>
  <c r="I186" i="16"/>
  <c r="L406" i="16"/>
  <c r="L399" i="16"/>
  <c r="U396" i="16"/>
  <c r="I342" i="16"/>
  <c r="I326" i="16"/>
  <c r="I324" i="16"/>
  <c r="I320" i="16"/>
  <c r="I313" i="16"/>
  <c r="L354" i="16"/>
  <c r="AD351" i="16"/>
  <c r="F297" i="16"/>
  <c r="R295" i="16"/>
  <c r="AD289" i="16"/>
  <c r="L286" i="16"/>
  <c r="F399" i="16"/>
  <c r="U323" i="16"/>
  <c r="U311" i="16"/>
  <c r="L367" i="16"/>
  <c r="L363" i="16"/>
  <c r="R352" i="16"/>
  <c r="R349" i="16"/>
  <c r="R297" i="16"/>
  <c r="F287" i="16"/>
  <c r="AG301" i="16"/>
  <c r="AG289" i="16"/>
  <c r="U284" i="16"/>
  <c r="I284" i="16"/>
  <c r="AD283" i="16"/>
  <c r="L211" i="16"/>
  <c r="L214" i="16"/>
  <c r="AA293" i="16"/>
  <c r="U147" i="16"/>
  <c r="X146" i="16"/>
  <c r="L346" i="16"/>
  <c r="L343" i="16"/>
  <c r="L338" i="16"/>
  <c r="L319" i="16"/>
  <c r="L313" i="16"/>
  <c r="L309" i="16"/>
  <c r="L370" i="16"/>
  <c r="L366" i="16"/>
  <c r="R300" i="16"/>
  <c r="F294" i="16"/>
  <c r="AD286" i="16"/>
  <c r="U146" i="16"/>
  <c r="AA371" i="16"/>
  <c r="AA301" i="16"/>
  <c r="AG299" i="16"/>
  <c r="R283" i="16"/>
  <c r="F240" i="16"/>
  <c r="AD240" i="16"/>
  <c r="F239" i="16"/>
  <c r="AD239" i="16"/>
  <c r="AG173" i="16"/>
  <c r="R183" i="16"/>
  <c r="F175" i="16"/>
  <c r="AD175" i="16"/>
  <c r="AG406" i="16"/>
  <c r="F394" i="16"/>
  <c r="AD394" i="16"/>
  <c r="R392" i="16"/>
  <c r="R381" i="16"/>
  <c r="F379" i="16"/>
  <c r="AD379" i="16"/>
  <c r="R377" i="16"/>
  <c r="F375" i="16"/>
  <c r="AD375" i="16"/>
  <c r="AG403" i="16"/>
  <c r="F372" i="16"/>
  <c r="AD372" i="16"/>
  <c r="R370" i="16"/>
  <c r="F368" i="16"/>
  <c r="AD368" i="16"/>
  <c r="R366" i="16"/>
  <c r="F364" i="16"/>
  <c r="AD364" i="16"/>
  <c r="AG313" i="16"/>
  <c r="AG339" i="16"/>
  <c r="F241" i="16"/>
  <c r="AD241" i="16"/>
  <c r="AA241" i="16"/>
  <c r="U233" i="16"/>
  <c r="U229" i="16"/>
  <c r="O156" i="16"/>
  <c r="O152" i="16"/>
  <c r="U380" i="16"/>
  <c r="U376" i="16"/>
  <c r="I403" i="16"/>
  <c r="U373" i="16"/>
  <c r="U369" i="16"/>
  <c r="U365" i="16"/>
  <c r="AD344" i="16"/>
  <c r="AA322" i="16"/>
  <c r="O309" i="16"/>
  <c r="AG311" i="16"/>
  <c r="AA314" i="16"/>
  <c r="AA320" i="16"/>
  <c r="AD320" i="16"/>
  <c r="R237" i="16"/>
  <c r="F235" i="16"/>
  <c r="AD235" i="16"/>
  <c r="R233" i="16"/>
  <c r="F231" i="16"/>
  <c r="AD231" i="16"/>
  <c r="R229" i="16"/>
  <c r="F227" i="16"/>
  <c r="AD227" i="16"/>
  <c r="I245" i="16"/>
  <c r="AA245" i="16"/>
  <c r="L176" i="16"/>
  <c r="O159" i="16"/>
  <c r="O155" i="16"/>
  <c r="O151" i="16"/>
  <c r="L336" i="16"/>
  <c r="L327" i="16"/>
  <c r="L317" i="16"/>
  <c r="F300" i="16"/>
  <c r="AD292" i="16"/>
  <c r="L299" i="16"/>
  <c r="AA340" i="16"/>
  <c r="O315" i="16"/>
  <c r="U210" i="16"/>
  <c r="U206" i="16"/>
  <c r="AG200" i="16"/>
  <c r="AG189" i="16"/>
  <c r="R203" i="16"/>
  <c r="R201" i="16"/>
  <c r="X191" i="16"/>
  <c r="AA163" i="16"/>
  <c r="O179" i="16"/>
  <c r="I363" i="16"/>
  <c r="AD350" i="16"/>
  <c r="F295" i="16"/>
  <c r="AA285" i="16"/>
  <c r="F316" i="16"/>
  <c r="I147" i="16"/>
  <c r="L146" i="16"/>
  <c r="F395" i="16"/>
  <c r="AD395" i="16"/>
  <c r="R393" i="16"/>
  <c r="F391" i="16"/>
  <c r="AD391" i="16"/>
  <c r="R382" i="16"/>
  <c r="F380" i="16"/>
  <c r="AD380" i="16"/>
  <c r="R378" i="16"/>
  <c r="F376" i="16"/>
  <c r="AD376" i="16"/>
  <c r="R374" i="16"/>
  <c r="X354" i="16"/>
  <c r="X323" i="16"/>
  <c r="X318" i="16"/>
  <c r="X310" i="16"/>
  <c r="F373" i="16"/>
  <c r="AD373" i="16"/>
  <c r="R371" i="16"/>
  <c r="AG370" i="16"/>
  <c r="F369" i="16"/>
  <c r="AD369" i="16"/>
  <c r="R367" i="16"/>
  <c r="AG366" i="16"/>
  <c r="F365" i="16"/>
  <c r="AD365" i="16"/>
  <c r="F354" i="16"/>
  <c r="AD354" i="16"/>
  <c r="AA326" i="16"/>
  <c r="AG185" i="16"/>
  <c r="AG181" i="16"/>
  <c r="AG177" i="16"/>
  <c r="O162" i="16"/>
  <c r="I161" i="16"/>
  <c r="F201" i="16"/>
  <c r="F190" i="16"/>
  <c r="AG257" i="16"/>
  <c r="AG204" i="16"/>
  <c r="F189" i="16"/>
  <c r="F184" i="16"/>
  <c r="AD184" i="16"/>
  <c r="F180" i="16"/>
  <c r="AD180" i="16"/>
  <c r="I179" i="16"/>
  <c r="F176" i="16"/>
  <c r="AD176" i="16"/>
  <c r="F165" i="16"/>
  <c r="AD165" i="16"/>
  <c r="AG161" i="16"/>
  <c r="I158" i="16"/>
  <c r="I157" i="16"/>
  <c r="I154" i="16"/>
  <c r="I153" i="16"/>
  <c r="R175" i="16"/>
  <c r="I164" i="16"/>
  <c r="I185" i="16"/>
  <c r="I177" i="16"/>
  <c r="O164" i="16"/>
  <c r="O160" i="16"/>
  <c r="AG401" i="16"/>
  <c r="AD296" i="16"/>
  <c r="F288" i="16"/>
  <c r="X289" i="16"/>
  <c r="X284" i="16"/>
  <c r="AA287" i="16"/>
  <c r="O326" i="16"/>
  <c r="AA313" i="16"/>
  <c r="R346" i="16"/>
  <c r="F315" i="16"/>
  <c r="R273" i="16"/>
  <c r="AG272" i="16"/>
  <c r="R271" i="16"/>
  <c r="F269" i="16"/>
  <c r="AD269" i="16"/>
  <c r="R267" i="16"/>
  <c r="F265" i="16"/>
  <c r="AD265" i="16"/>
  <c r="F259" i="16"/>
  <c r="AD259" i="16"/>
  <c r="R241" i="16"/>
  <c r="O241" i="16"/>
  <c r="O240" i="16"/>
  <c r="O245" i="16"/>
  <c r="F203" i="16"/>
  <c r="F192" i="16"/>
  <c r="F188" i="16"/>
  <c r="F179" i="16"/>
  <c r="AD179" i="16"/>
  <c r="U162" i="16"/>
  <c r="R162" i="16"/>
  <c r="F173" i="16"/>
  <c r="AD173" i="16"/>
  <c r="R400" i="16"/>
  <c r="R390" i="16"/>
  <c r="R364" i="16"/>
  <c r="F355" i="16"/>
  <c r="AD355" i="16"/>
  <c r="R353" i="16"/>
  <c r="I401" i="16"/>
  <c r="I282" i="16"/>
  <c r="L215" i="16"/>
  <c r="X227" i="16"/>
  <c r="X228" i="16"/>
  <c r="R324" i="16"/>
  <c r="R321" i="16"/>
  <c r="R348" i="16"/>
  <c r="R397" i="16"/>
  <c r="AD316" i="16"/>
  <c r="AG150" i="16"/>
  <c r="U363" i="16"/>
  <c r="U282" i="16"/>
  <c r="R282" i="16"/>
  <c r="AA295" i="16"/>
  <c r="AG326" i="16"/>
  <c r="AG317" i="16"/>
  <c r="X409" i="16"/>
  <c r="AG322" i="16"/>
  <c r="F326" i="16"/>
  <c r="AG315" i="16"/>
  <c r="F312" i="16"/>
  <c r="O328" i="16"/>
  <c r="I155" i="16"/>
  <c r="AA273" i="16"/>
  <c r="AA259" i="16"/>
  <c r="F242" i="16"/>
  <c r="O246" i="16"/>
  <c r="AA256" i="16"/>
  <c r="AG214" i="16"/>
  <c r="I210" i="16"/>
  <c r="R207" i="16"/>
  <c r="AA239" i="16"/>
  <c r="AG191" i="16"/>
  <c r="AA204" i="16"/>
  <c r="I176" i="16"/>
  <c r="R163" i="16"/>
  <c r="AA161" i="16"/>
  <c r="AG159" i="16"/>
  <c r="AG157" i="16"/>
  <c r="AG155" i="16"/>
  <c r="AG153" i="16"/>
  <c r="AG151" i="16"/>
  <c r="AG149" i="16"/>
  <c r="AA399" i="16"/>
  <c r="U397" i="16"/>
  <c r="AD407" i="16"/>
  <c r="U392" i="16"/>
  <c r="AA391" i="16"/>
  <c r="U381" i="16"/>
  <c r="AA380" i="16"/>
  <c r="U377" i="16"/>
  <c r="L350" i="16"/>
  <c r="U345" i="16"/>
  <c r="U341" i="16"/>
  <c r="U337" i="16"/>
  <c r="U319" i="16"/>
  <c r="U316" i="16"/>
  <c r="U314" i="16"/>
  <c r="U310" i="16"/>
  <c r="L371" i="16"/>
  <c r="AG365" i="16"/>
  <c r="R351" i="16"/>
  <c r="X285" i="16"/>
  <c r="L283" i="16"/>
  <c r="AG284" i="16"/>
  <c r="O292" i="16"/>
  <c r="AA299" i="16"/>
  <c r="O294" i="16"/>
  <c r="AA290" i="16"/>
  <c r="R310" i="16"/>
  <c r="AD311" i="16"/>
  <c r="O312" i="16"/>
  <c r="R336" i="16"/>
  <c r="R398" i="16"/>
  <c r="X406" i="16"/>
  <c r="F257" i="16"/>
  <c r="AD257" i="16"/>
  <c r="AA219" i="16"/>
  <c r="O211" i="16"/>
  <c r="X203" i="16"/>
  <c r="X201" i="16"/>
  <c r="X190" i="16"/>
  <c r="R184" i="16"/>
  <c r="R180" i="16"/>
  <c r="R176" i="16"/>
  <c r="O163" i="16"/>
  <c r="U187" i="16"/>
  <c r="AG187" i="16"/>
  <c r="F183" i="16"/>
  <c r="AD183" i="16"/>
  <c r="L179" i="16"/>
  <c r="R185" i="16"/>
  <c r="R181" i="16"/>
  <c r="R177" i="16"/>
  <c r="L407" i="16"/>
  <c r="L398" i="16"/>
  <c r="L397" i="16"/>
  <c r="R404" i="16"/>
  <c r="X396" i="16"/>
  <c r="R395" i="16"/>
  <c r="F393" i="16"/>
  <c r="AD393" i="16"/>
  <c r="R391" i="16"/>
  <c r="AA390" i="16"/>
  <c r="F382" i="16"/>
  <c r="AD382" i="16"/>
  <c r="R380" i="16"/>
  <c r="AG379" i="16"/>
  <c r="F378" i="16"/>
  <c r="AD378" i="16"/>
  <c r="L377" i="16"/>
  <c r="R376" i="16"/>
  <c r="F374" i="16"/>
  <c r="AD374" i="16"/>
  <c r="AA403" i="16"/>
  <c r="L347" i="16"/>
  <c r="L345" i="16"/>
  <c r="L342" i="16"/>
  <c r="L341" i="16"/>
  <c r="L325" i="16"/>
  <c r="L323" i="16"/>
  <c r="L322" i="16"/>
  <c r="L311" i="16"/>
  <c r="R373" i="16"/>
  <c r="F371" i="16"/>
  <c r="AD371" i="16"/>
  <c r="R369" i="16"/>
  <c r="F367" i="16"/>
  <c r="AD367" i="16"/>
  <c r="R365" i="16"/>
  <c r="F363" i="16"/>
  <c r="AD363" i="16"/>
  <c r="R354" i="16"/>
  <c r="AG353" i="16"/>
  <c r="AA401" i="16"/>
  <c r="AD298" i="16"/>
  <c r="R296" i="16"/>
  <c r="F290" i="16"/>
  <c r="L294" i="16"/>
  <c r="L218" i="16"/>
  <c r="X207" i="16"/>
  <c r="X217" i="16"/>
  <c r="L212" i="16"/>
  <c r="O296" i="16"/>
  <c r="AG321" i="16"/>
  <c r="AG327" i="16"/>
  <c r="AD337" i="16"/>
  <c r="I263" i="16"/>
  <c r="AG267" i="16"/>
  <c r="R242" i="16"/>
  <c r="X246" i="16"/>
  <c r="L235" i="16"/>
  <c r="I233" i="16"/>
  <c r="AG229" i="16"/>
  <c r="I218" i="16"/>
  <c r="AD211" i="16"/>
  <c r="L184" i="16"/>
  <c r="O157" i="16"/>
  <c r="O153" i="16"/>
  <c r="X187" i="16"/>
  <c r="AD187" i="16"/>
  <c r="AG162" i="16"/>
  <c r="AA162" i="16"/>
  <c r="U164" i="16"/>
  <c r="U157" i="16"/>
  <c r="U153" i="16"/>
  <c r="U407" i="16"/>
  <c r="F396" i="16"/>
  <c r="AD396" i="16"/>
  <c r="U394" i="16"/>
  <c r="U390" i="16"/>
  <c r="L380" i="16"/>
  <c r="U379" i="16"/>
  <c r="U375" i="16"/>
  <c r="L352" i="16"/>
  <c r="I339" i="16"/>
  <c r="I325" i="16"/>
  <c r="I317" i="16"/>
  <c r="I312" i="16"/>
  <c r="I311" i="16"/>
  <c r="U372" i="16"/>
  <c r="AG371" i="16"/>
  <c r="U368" i="16"/>
  <c r="AG367" i="16"/>
  <c r="AA367" i="16"/>
  <c r="AG363" i="16"/>
  <c r="U353" i="16"/>
  <c r="AD297" i="16"/>
  <c r="R291" i="16"/>
  <c r="F289" i="16"/>
  <c r="X301" i="16"/>
  <c r="AG298" i="16"/>
  <c r="L289" i="16"/>
  <c r="X287" i="16"/>
  <c r="AG283" i="16"/>
  <c r="O282" i="16"/>
  <c r="O300" i="16"/>
  <c r="R322" i="16"/>
  <c r="AD314" i="16"/>
  <c r="O311" i="16"/>
  <c r="R339" i="16"/>
  <c r="F347" i="16"/>
  <c r="O346" i="16"/>
  <c r="X400" i="16"/>
  <c r="AD327" i="16"/>
  <c r="O409" i="16"/>
  <c r="U408" i="16"/>
  <c r="R402" i="16"/>
  <c r="AA394" i="16"/>
  <c r="O404" i="16"/>
  <c r="O408" i="16"/>
  <c r="AG404" i="16"/>
  <c r="AG402" i="16"/>
  <c r="AG400" i="16"/>
  <c r="R394" i="16"/>
  <c r="F392" i="16"/>
  <c r="AD392" i="16"/>
  <c r="X405" i="16"/>
  <c r="AG408" i="16"/>
  <c r="AG399" i="16"/>
  <c r="X398" i="16"/>
  <c r="U406" i="16"/>
  <c r="AD404" i="16"/>
  <c r="I396" i="16"/>
  <c r="I392" i="16"/>
  <c r="AA392" i="16"/>
  <c r="O401" i="16"/>
  <c r="F390" i="16"/>
  <c r="AD390" i="16"/>
  <c r="L381" i="16"/>
  <c r="F381" i="16"/>
  <c r="AD381" i="16"/>
  <c r="R379" i="16"/>
  <c r="F377" i="16"/>
  <c r="AD377" i="16"/>
  <c r="R375" i="16"/>
  <c r="R372" i="16"/>
  <c r="I371" i="16"/>
  <c r="F370" i="16"/>
  <c r="AD370" i="16"/>
  <c r="R368" i="16"/>
  <c r="I367" i="16"/>
  <c r="F366" i="16"/>
  <c r="AD366" i="16"/>
  <c r="AA377" i="16"/>
  <c r="U374" i="16"/>
  <c r="U371" i="16"/>
  <c r="I370" i="16"/>
  <c r="U367" i="16"/>
  <c r="U364" i="16"/>
  <c r="AA363" i="16"/>
  <c r="R363" i="16"/>
  <c r="F352" i="16"/>
  <c r="X347" i="16"/>
  <c r="X343" i="16"/>
  <c r="X342" i="16"/>
  <c r="O352" i="16"/>
  <c r="O351" i="16"/>
  <c r="R342" i="16"/>
  <c r="AD347" i="16"/>
  <c r="O343" i="16"/>
  <c r="O338" i="16"/>
  <c r="F346" i="16"/>
  <c r="O342" i="16"/>
  <c r="AA338" i="16"/>
  <c r="X350" i="16"/>
  <c r="F351" i="16"/>
  <c r="U348" i="16"/>
  <c r="U344" i="16"/>
  <c r="U343" i="16"/>
  <c r="U342" i="16"/>
  <c r="R355" i="16"/>
  <c r="AA354" i="16"/>
  <c r="F353" i="16"/>
  <c r="AD353" i="16"/>
  <c r="F343" i="16"/>
  <c r="F338" i="16"/>
  <c r="X351" i="16"/>
  <c r="AD346" i="16"/>
  <c r="F342" i="16"/>
  <c r="F350" i="16"/>
  <c r="L348" i="16"/>
  <c r="U354" i="16"/>
  <c r="I352" i="16"/>
  <c r="I350" i="16"/>
  <c r="O347" i="16"/>
  <c r="AD343" i="16"/>
  <c r="AD342" i="16"/>
  <c r="R325" i="16"/>
  <c r="I323" i="16"/>
  <c r="I321" i="16"/>
  <c r="I318" i="16"/>
  <c r="I316" i="16"/>
  <c r="R314" i="16"/>
  <c r="AD315" i="16"/>
  <c r="O320" i="16"/>
  <c r="F320" i="16"/>
  <c r="X326" i="16"/>
  <c r="X324" i="16"/>
  <c r="X314" i="16"/>
  <c r="X311" i="16"/>
  <c r="R326" i="16"/>
  <c r="O325" i="16"/>
  <c r="AD328" i="16"/>
  <c r="F325" i="16"/>
  <c r="AD323" i="16"/>
  <c r="R320" i="16"/>
  <c r="AD325" i="16"/>
  <c r="R323" i="16"/>
  <c r="R318" i="16"/>
  <c r="AG320" i="16"/>
  <c r="AD310" i="16"/>
  <c r="O310" i="16"/>
  <c r="F310" i="16"/>
  <c r="AA309" i="16"/>
  <c r="R309" i="16"/>
  <c r="F296" i="16"/>
  <c r="AD288" i="16"/>
  <c r="R286" i="16"/>
  <c r="L296" i="16"/>
  <c r="O301" i="16"/>
  <c r="O290" i="16"/>
  <c r="AA286" i="16"/>
  <c r="L301" i="16"/>
  <c r="X297" i="16"/>
  <c r="AA292" i="16"/>
  <c r="AA298" i="16"/>
  <c r="O286" i="16"/>
  <c r="F298" i="16"/>
  <c r="R292" i="16"/>
  <c r="AD290" i="16"/>
  <c r="X292" i="16"/>
  <c r="L284" i="16"/>
  <c r="O298" i="16"/>
  <c r="AA294" i="16"/>
  <c r="O283" i="16"/>
  <c r="U283" i="16"/>
  <c r="AG282" i="16"/>
  <c r="L273" i="16"/>
  <c r="I268" i="16"/>
  <c r="I262" i="16"/>
  <c r="U256" i="16"/>
  <c r="R272" i="16"/>
  <c r="F270" i="16"/>
  <c r="AD270" i="16"/>
  <c r="R268" i="16"/>
  <c r="F266" i="16"/>
  <c r="AD266" i="16"/>
  <c r="R264" i="16"/>
  <c r="R260" i="16"/>
  <c r="F263" i="16"/>
  <c r="O263" i="16"/>
  <c r="R262" i="16"/>
  <c r="R258" i="16"/>
  <c r="X273" i="16"/>
  <c r="X272" i="16"/>
  <c r="X264" i="16"/>
  <c r="U271" i="16"/>
  <c r="U267" i="16"/>
  <c r="O260" i="16"/>
  <c r="O262" i="16"/>
  <c r="O258" i="16"/>
  <c r="U257" i="16"/>
  <c r="O261" i="16"/>
  <c r="AD256" i="16"/>
  <c r="AD254" i="16"/>
  <c r="U242" i="16"/>
  <c r="X231" i="16"/>
  <c r="L228" i="16"/>
  <c r="L227" i="16"/>
  <c r="AG218" i="16"/>
  <c r="U204" i="16"/>
  <c r="L217" i="16"/>
  <c r="I211" i="16"/>
  <c r="AD210" i="16"/>
  <c r="L206" i="16"/>
  <c r="F217" i="16"/>
  <c r="U215" i="16"/>
  <c r="R215" i="16"/>
  <c r="I214" i="16"/>
  <c r="U211" i="16"/>
  <c r="U207" i="16"/>
  <c r="I206" i="16"/>
  <c r="AG206" i="16"/>
  <c r="L203" i="16"/>
  <c r="L210" i="16"/>
  <c r="L213" i="16"/>
  <c r="L205" i="16"/>
  <c r="F200" i="16"/>
  <c r="I183" i="16"/>
  <c r="I175" i="16"/>
  <c r="X184" i="16"/>
  <c r="L183" i="16"/>
  <c r="AA179" i="16"/>
  <c r="X178" i="16"/>
  <c r="F185" i="16"/>
  <c r="AD185" i="16"/>
  <c r="F181" i="16"/>
  <c r="AD181" i="16"/>
  <c r="F177" i="16"/>
  <c r="AD177" i="16"/>
  <c r="L192" i="16"/>
  <c r="L188" i="16"/>
  <c r="X188" i="16"/>
  <c r="R173" i="16"/>
  <c r="X165" i="16"/>
  <c r="L162" i="16"/>
  <c r="AG160" i="16"/>
  <c r="R165" i="16"/>
  <c r="AG156" i="16"/>
  <c r="AG152" i="16"/>
  <c r="AD164" i="16"/>
  <c r="AA164" i="16"/>
  <c r="AA160" i="16"/>
  <c r="O158" i="16"/>
  <c r="O154" i="16"/>
  <c r="I160" i="16"/>
  <c r="AG148" i="16"/>
  <c r="AD147" i="16"/>
  <c r="L147" i="16"/>
  <c r="AG146" i="16"/>
  <c r="U273" i="16"/>
  <c r="O271" i="16"/>
  <c r="U270" i="16"/>
  <c r="U266" i="16"/>
  <c r="L270" i="16"/>
  <c r="L266" i="16"/>
  <c r="O269" i="16"/>
  <c r="U268" i="16"/>
  <c r="O265" i="16"/>
  <c r="U264" i="16"/>
  <c r="AA260" i="16"/>
  <c r="AA262" i="16"/>
  <c r="AA258" i="16"/>
  <c r="AA261" i="16"/>
  <c r="U246" i="16"/>
  <c r="L246" i="16"/>
  <c r="AD204" i="16"/>
  <c r="L149" i="16"/>
  <c r="X150" i="16"/>
  <c r="F409" i="16"/>
  <c r="AA406" i="16"/>
  <c r="F405" i="16"/>
  <c r="F404" i="16"/>
  <c r="F402" i="16"/>
  <c r="F400" i="16"/>
  <c r="U395" i="16"/>
  <c r="O392" i="16"/>
  <c r="U391" i="16"/>
  <c r="O381" i="16"/>
  <c r="O377" i="16"/>
  <c r="F403" i="16"/>
  <c r="AD403" i="16"/>
  <c r="O371" i="16"/>
  <c r="U370" i="16"/>
  <c r="O367" i="16"/>
  <c r="U366" i="16"/>
  <c r="O363" i="16"/>
  <c r="U355" i="16"/>
  <c r="I301" i="16"/>
  <c r="I299" i="16"/>
  <c r="U297" i="16"/>
  <c r="I295" i="16"/>
  <c r="U293" i="16"/>
  <c r="I291" i="16"/>
  <c r="U289" i="16"/>
  <c r="I287" i="16"/>
  <c r="U285" i="16"/>
  <c r="AA284" i="16"/>
  <c r="R284" i="16"/>
  <c r="AA283" i="16"/>
  <c r="F282" i="16"/>
  <c r="O242" i="16"/>
  <c r="AA409" i="16"/>
  <c r="F408" i="16"/>
  <c r="AA405" i="16"/>
  <c r="L404" i="16"/>
  <c r="L402" i="16"/>
  <c r="L400" i="16"/>
  <c r="O395" i="16"/>
  <c r="O391" i="16"/>
  <c r="O380" i="16"/>
  <c r="O376" i="16"/>
  <c r="L403" i="16"/>
  <c r="O370" i="16"/>
  <c r="O366" i="16"/>
  <c r="O355" i="16"/>
  <c r="AA352" i="16"/>
  <c r="AA351" i="16"/>
  <c r="AA350" i="16"/>
  <c r="AA349" i="16"/>
  <c r="F401" i="16"/>
  <c r="AD401" i="16"/>
  <c r="U300" i="16"/>
  <c r="I298" i="16"/>
  <c r="U296" i="16"/>
  <c r="I294" i="16"/>
  <c r="U292" i="16"/>
  <c r="I290" i="16"/>
  <c r="U288" i="16"/>
  <c r="I286" i="16"/>
  <c r="AA282" i="16"/>
  <c r="AG261" i="16"/>
  <c r="L261" i="16"/>
  <c r="F246" i="16"/>
  <c r="AD246" i="16"/>
  <c r="X242" i="16"/>
  <c r="R238" i="16"/>
  <c r="R236" i="16"/>
  <c r="F234" i="16"/>
  <c r="AD234" i="16"/>
  <c r="R232" i="16"/>
  <c r="F230" i="16"/>
  <c r="AD230" i="16"/>
  <c r="R228" i="16"/>
  <c r="F219" i="16"/>
  <c r="AD219" i="16"/>
  <c r="X256" i="16"/>
  <c r="AA240" i="16"/>
  <c r="U217" i="16"/>
  <c r="U213" i="16"/>
  <c r="U209" i="16"/>
  <c r="U205" i="16"/>
  <c r="O203" i="16"/>
  <c r="O202" i="16"/>
  <c r="O201" i="16"/>
  <c r="O200" i="16"/>
  <c r="O192" i="16"/>
  <c r="O191" i="16"/>
  <c r="O190" i="16"/>
  <c r="O189" i="16"/>
  <c r="O188" i="16"/>
  <c r="U159" i="16"/>
  <c r="U155" i="16"/>
  <c r="U151" i="16"/>
  <c r="AA149" i="16"/>
  <c r="I149" i="16"/>
  <c r="F149" i="16"/>
  <c r="AD149" i="16"/>
  <c r="X148" i="16"/>
  <c r="U409" i="16"/>
  <c r="AA408" i="16"/>
  <c r="F407" i="16"/>
  <c r="U405" i="16"/>
  <c r="O394" i="16"/>
  <c r="U393" i="16"/>
  <c r="O390" i="16"/>
  <c r="U382" i="16"/>
  <c r="O379" i="16"/>
  <c r="U378" i="16"/>
  <c r="O375" i="16"/>
  <c r="O403" i="16"/>
  <c r="R403" i="16"/>
  <c r="O373" i="16"/>
  <c r="O369" i="16"/>
  <c r="O365" i="16"/>
  <c r="O354" i="16"/>
  <c r="L401" i="16"/>
  <c r="U301" i="16"/>
  <c r="U299" i="16"/>
  <c r="I297" i="16"/>
  <c r="U295" i="16"/>
  <c r="I293" i="16"/>
  <c r="U291" i="16"/>
  <c r="I289" i="16"/>
  <c r="U287" i="16"/>
  <c r="I285" i="16"/>
  <c r="F284" i="16"/>
  <c r="X263" i="16"/>
  <c r="O259" i="16"/>
  <c r="F261" i="16"/>
  <c r="AD261" i="16"/>
  <c r="U235" i="16"/>
  <c r="U231" i="16"/>
  <c r="U227" i="16"/>
  <c r="I256" i="16"/>
  <c r="AA407" i="16"/>
  <c r="F406" i="16"/>
  <c r="O396" i="16"/>
  <c r="AG396" i="16"/>
  <c r="O393" i="16"/>
  <c r="O382" i="16"/>
  <c r="O378" i="16"/>
  <c r="O374" i="16"/>
  <c r="X373" i="16"/>
  <c r="O372" i="16"/>
  <c r="O368" i="16"/>
  <c r="O364" i="16"/>
  <c r="O353" i="16"/>
  <c r="U352" i="16"/>
  <c r="U351" i="16"/>
  <c r="U350" i="16"/>
  <c r="O350" i="16"/>
  <c r="U349" i="16"/>
  <c r="O349" i="16"/>
  <c r="X401" i="16"/>
  <c r="R401" i="16"/>
  <c r="I300" i="16"/>
  <c r="U298" i="16"/>
  <c r="I296" i="16"/>
  <c r="U294" i="16"/>
  <c r="I292" i="16"/>
  <c r="U290" i="16"/>
  <c r="I288" i="16"/>
  <c r="U286" i="16"/>
  <c r="F283" i="16"/>
  <c r="AG255" i="16"/>
  <c r="L245" i="16"/>
  <c r="O272" i="16"/>
  <c r="O268" i="16"/>
  <c r="O264" i="16"/>
  <c r="L269" i="16"/>
  <c r="L265" i="16"/>
  <c r="I261" i="16"/>
  <c r="U255" i="16"/>
  <c r="R255" i="16"/>
  <c r="L255" i="16"/>
  <c r="U244" i="16"/>
  <c r="R244" i="16"/>
  <c r="L244" i="16"/>
  <c r="R243" i="16"/>
  <c r="O238" i="16"/>
  <c r="L238" i="16"/>
  <c r="O237" i="16"/>
  <c r="U236" i="16"/>
  <c r="U232" i="16"/>
  <c r="U228" i="16"/>
  <c r="O256" i="16"/>
  <c r="AD218" i="16"/>
  <c r="U214" i="16"/>
  <c r="X239" i="16"/>
  <c r="F204" i="16"/>
  <c r="I204" i="16"/>
  <c r="I202" i="16"/>
  <c r="I200" i="16"/>
  <c r="I191" i="16"/>
  <c r="I189" i="16"/>
  <c r="O184" i="16"/>
  <c r="O180" i="16"/>
  <c r="O176" i="16"/>
  <c r="O165" i="16"/>
  <c r="O183" i="16"/>
  <c r="AA175" i="16"/>
  <c r="X175" i="16"/>
  <c r="X157" i="16"/>
  <c r="X153" i="16"/>
  <c r="O186" i="16"/>
  <c r="L186" i="16"/>
  <c r="AA182" i="16"/>
  <c r="O178" i="16"/>
  <c r="L178" i="16"/>
  <c r="AA174" i="16"/>
  <c r="U161" i="16"/>
  <c r="L161" i="16"/>
  <c r="O185" i="16"/>
  <c r="L185" i="16"/>
  <c r="AA181" i="16"/>
  <c r="X181" i="16"/>
  <c r="O177" i="16"/>
  <c r="L177" i="16"/>
  <c r="AA173" i="16"/>
  <c r="X173" i="16"/>
  <c r="L164" i="16"/>
  <c r="U160" i="16"/>
  <c r="R160" i="16"/>
  <c r="L160" i="16"/>
  <c r="AA159" i="16"/>
  <c r="F158" i="16"/>
  <c r="AD158" i="16"/>
  <c r="U156" i="16"/>
  <c r="R156" i="16"/>
  <c r="AA155" i="16"/>
  <c r="F154" i="16"/>
  <c r="AD154" i="16"/>
  <c r="U152" i="16"/>
  <c r="R152" i="16"/>
  <c r="AA151" i="16"/>
  <c r="X149" i="16"/>
  <c r="AA150" i="16"/>
  <c r="I150" i="16"/>
  <c r="F150" i="16"/>
  <c r="AD150" i="16"/>
  <c r="AA148" i="16"/>
  <c r="I148" i="16"/>
  <c r="F148" i="16"/>
  <c r="AD148" i="16"/>
  <c r="AA263" i="16"/>
  <c r="I243" i="16"/>
  <c r="F273" i="16"/>
  <c r="F272" i="16"/>
  <c r="AD272" i="16"/>
  <c r="R270" i="16"/>
  <c r="F268" i="16"/>
  <c r="AD268" i="16"/>
  <c r="O267" i="16"/>
  <c r="R266" i="16"/>
  <c r="F264" i="16"/>
  <c r="AD264" i="16"/>
  <c r="L272" i="16"/>
  <c r="L268" i="16"/>
  <c r="L264" i="16"/>
  <c r="X259" i="16"/>
  <c r="L262" i="16"/>
  <c r="L258" i="16"/>
  <c r="R257" i="16"/>
  <c r="X261" i="16"/>
  <c r="I255" i="16"/>
  <c r="I244" i="16"/>
  <c r="F238" i="16"/>
  <c r="AD238" i="16"/>
  <c r="F237" i="16"/>
  <c r="AD237" i="16"/>
  <c r="R235" i="16"/>
  <c r="F233" i="16"/>
  <c r="AD233" i="16"/>
  <c r="R231" i="16"/>
  <c r="F229" i="16"/>
  <c r="AD229" i="16"/>
  <c r="R227" i="16"/>
  <c r="F256" i="16"/>
  <c r="X240" i="16"/>
  <c r="F245" i="16"/>
  <c r="AD245" i="16"/>
  <c r="X245" i="16"/>
  <c r="R239" i="16"/>
  <c r="X204" i="16"/>
  <c r="AA203" i="16"/>
  <c r="AA202" i="16"/>
  <c r="AA201" i="16"/>
  <c r="AA200" i="16"/>
  <c r="AA192" i="16"/>
  <c r="AA191" i="16"/>
  <c r="AA190" i="16"/>
  <c r="AA189" i="16"/>
  <c r="AA188" i="16"/>
  <c r="O187" i="16"/>
  <c r="X179" i="16"/>
  <c r="F162" i="16"/>
  <c r="AD162" i="16"/>
  <c r="X158" i="16"/>
  <c r="X154" i="16"/>
  <c r="F186" i="16"/>
  <c r="AD186" i="16"/>
  <c r="R182" i="16"/>
  <c r="F178" i="16"/>
  <c r="AD178" i="16"/>
  <c r="R174" i="16"/>
  <c r="L159" i="16"/>
  <c r="L158" i="16"/>
  <c r="L157" i="16"/>
  <c r="L156" i="16"/>
  <c r="L155" i="16"/>
  <c r="L154" i="16"/>
  <c r="L153" i="16"/>
  <c r="L152" i="16"/>
  <c r="L151" i="16"/>
  <c r="F164" i="16"/>
  <c r="R159" i="16"/>
  <c r="AA158" i="16"/>
  <c r="F157" i="16"/>
  <c r="AD157" i="16"/>
  <c r="R155" i="16"/>
  <c r="AA154" i="16"/>
  <c r="F153" i="16"/>
  <c r="AD153" i="16"/>
  <c r="R151" i="16"/>
  <c r="O148" i="16"/>
  <c r="AG244" i="16"/>
  <c r="R256" i="16"/>
  <c r="R245" i="16"/>
  <c r="AG273" i="16"/>
  <c r="I273" i="16"/>
  <c r="U272" i="16"/>
  <c r="F271" i="16"/>
  <c r="AD271" i="16"/>
  <c r="O270" i="16"/>
  <c r="U269" i="16"/>
  <c r="R269" i="16"/>
  <c r="F267" i="16"/>
  <c r="AD267" i="16"/>
  <c r="O266" i="16"/>
  <c r="U265" i="16"/>
  <c r="R265" i="16"/>
  <c r="L271" i="16"/>
  <c r="L267" i="16"/>
  <c r="AG263" i="16"/>
  <c r="F260" i="16"/>
  <c r="AD260" i="16"/>
  <c r="I259" i="16"/>
  <c r="I257" i="16"/>
  <c r="U263" i="16"/>
  <c r="R259" i="16"/>
  <c r="F262" i="16"/>
  <c r="AD262" i="16"/>
  <c r="F258" i="16"/>
  <c r="AD258" i="16"/>
  <c r="R261" i="16"/>
  <c r="X255" i="16"/>
  <c r="X244" i="16"/>
  <c r="AD243" i="16"/>
  <c r="U254" i="16"/>
  <c r="L254" i="16"/>
  <c r="O243" i="16"/>
  <c r="I242" i="16"/>
  <c r="AA243" i="16"/>
  <c r="AA238" i="16"/>
  <c r="AA237" i="16"/>
  <c r="F236" i="16"/>
  <c r="AD236" i="16"/>
  <c r="U234" i="16"/>
  <c r="R234" i="16"/>
  <c r="F232" i="16"/>
  <c r="AD232" i="16"/>
  <c r="U230" i="16"/>
  <c r="R230" i="16"/>
  <c r="F228" i="16"/>
  <c r="AD228" i="16"/>
  <c r="U219" i="16"/>
  <c r="R219" i="16"/>
  <c r="L256" i="16"/>
  <c r="AG256" i="16"/>
  <c r="R240" i="16"/>
  <c r="U218" i="16"/>
  <c r="U216" i="16"/>
  <c r="U212" i="16"/>
  <c r="U208" i="16"/>
  <c r="AG239" i="16"/>
  <c r="O239" i="16"/>
  <c r="L239" i="16"/>
  <c r="I203" i="16"/>
  <c r="I201" i="16"/>
  <c r="I192" i="16"/>
  <c r="I190" i="16"/>
  <c r="I188" i="16"/>
  <c r="AA184" i="16"/>
  <c r="AA180" i="16"/>
  <c r="AA176" i="16"/>
  <c r="AA165" i="16"/>
  <c r="U163" i="16"/>
  <c r="L163" i="16"/>
  <c r="AA183" i="16"/>
  <c r="X183" i="16"/>
  <c r="R179" i="16"/>
  <c r="O175" i="16"/>
  <c r="X159" i="16"/>
  <c r="X155" i="16"/>
  <c r="X151" i="16"/>
  <c r="AA186" i="16"/>
  <c r="O182" i="16"/>
  <c r="L182" i="16"/>
  <c r="AA178" i="16"/>
  <c r="O174" i="16"/>
  <c r="L174" i="16"/>
  <c r="X161" i="16"/>
  <c r="AA185" i="16"/>
  <c r="X185" i="16"/>
  <c r="O181" i="16"/>
  <c r="L181" i="16"/>
  <c r="AA177" i="16"/>
  <c r="X177" i="16"/>
  <c r="O173" i="16"/>
  <c r="L173" i="16"/>
  <c r="X164" i="16"/>
  <c r="F160" i="16"/>
  <c r="AD160" i="16"/>
  <c r="X160" i="16"/>
  <c r="U158" i="16"/>
  <c r="R158" i="16"/>
  <c r="AA157" i="16"/>
  <c r="F156" i="16"/>
  <c r="AD156" i="16"/>
  <c r="U154" i="16"/>
  <c r="R154" i="16"/>
  <c r="AA153" i="16"/>
  <c r="F152" i="16"/>
  <c r="AD152" i="16"/>
  <c r="L150" i="16"/>
  <c r="R150" i="16"/>
  <c r="L148" i="16"/>
  <c r="R148" i="16"/>
  <c r="R204" i="16"/>
  <c r="U203" i="16"/>
  <c r="U202" i="16"/>
  <c r="U201" i="16"/>
  <c r="U200" i="16"/>
  <c r="U192" i="16"/>
  <c r="U191" i="16"/>
  <c r="U190" i="16"/>
  <c r="U189" i="16"/>
  <c r="U188" i="16"/>
  <c r="AA187" i="16"/>
  <c r="X156" i="16"/>
  <c r="X152" i="16"/>
  <c r="R164" i="16"/>
  <c r="F159" i="16"/>
  <c r="AD159" i="16"/>
  <c r="R157" i="16"/>
  <c r="AA156" i="16"/>
  <c r="F155" i="16"/>
  <c r="AD155" i="16"/>
  <c r="R153" i="16"/>
  <c r="AA152" i="16"/>
  <c r="F151" i="16"/>
  <c r="AD151" i="16"/>
  <c r="R149" i="16"/>
  <c r="BD89" i="18"/>
  <c r="BD8" i="18"/>
  <c r="BD15" i="18"/>
  <c r="BF15" i="18"/>
  <c r="BE15" i="18"/>
  <c r="BD62" i="18"/>
  <c r="BD69" i="18"/>
  <c r="BF69" i="18"/>
  <c r="BE69" i="18"/>
  <c r="AM95" i="18"/>
  <c r="BD96" i="18"/>
  <c r="BF96" i="18"/>
  <c r="BE96" i="18"/>
  <c r="AM14" i="18"/>
  <c r="BD42" i="18"/>
  <c r="BE42" i="18"/>
  <c r="BF42" i="18"/>
  <c r="BD34" i="18"/>
  <c r="V9" i="18"/>
  <c r="AO15" i="18"/>
  <c r="AN15" i="18"/>
  <c r="AO69" i="18"/>
  <c r="AN69" i="18"/>
  <c r="AO96" i="18"/>
  <c r="AN96" i="18"/>
  <c r="E123" i="18"/>
  <c r="AM122" i="18"/>
  <c r="BD116" i="18"/>
  <c r="AO123" i="18"/>
  <c r="AN123" i="18"/>
  <c r="AO42" i="18"/>
  <c r="AN42" i="18"/>
  <c r="BD40" i="18"/>
  <c r="V10" i="18"/>
  <c r="AM13" i="18"/>
  <c r="AM35" i="18"/>
  <c r="BD123" i="18"/>
  <c r="BF123" i="18"/>
  <c r="BE123" i="18"/>
  <c r="AO16" i="18"/>
  <c r="AN16" i="18"/>
  <c r="AO97" i="18"/>
  <c r="AN97" i="18"/>
  <c r="G43" i="18"/>
  <c r="F43" i="18"/>
  <c r="X70" i="18"/>
  <c r="W70" i="18"/>
  <c r="V70" i="18"/>
  <c r="X97" i="18"/>
  <c r="W97" i="18"/>
  <c r="AO43" i="18"/>
  <c r="AN43" i="18"/>
  <c r="BE43" i="18"/>
  <c r="BF43" i="18"/>
  <c r="G97" i="18"/>
  <c r="F97" i="18"/>
  <c r="BF97" i="18"/>
  <c r="BE97" i="18"/>
  <c r="AN124" i="18"/>
  <c r="AO124" i="18"/>
  <c r="X16" i="18"/>
  <c r="W16" i="18"/>
  <c r="G70" i="18"/>
  <c r="F70" i="18"/>
  <c r="G124" i="18"/>
  <c r="F124" i="18"/>
  <c r="X43" i="18"/>
  <c r="W43" i="18"/>
  <c r="BF16" i="18"/>
  <c r="BE16" i="18"/>
  <c r="AO70" i="18"/>
  <c r="AN70" i="18"/>
  <c r="BF70" i="18"/>
  <c r="BE70" i="18"/>
  <c r="X124" i="18"/>
  <c r="W124" i="18"/>
  <c r="BF124" i="18"/>
  <c r="BE124" i="18"/>
  <c r="V124" i="18"/>
  <c r="V34" i="18"/>
  <c r="AM39" i="18"/>
  <c r="V38" i="18"/>
  <c r="AM94" i="18"/>
  <c r="D125" i="18"/>
  <c r="E125" i="18" s="1"/>
  <c r="E115" i="18"/>
  <c r="E124" i="18"/>
  <c r="AM117" i="18"/>
  <c r="AM119" i="18"/>
  <c r="E118" i="18"/>
  <c r="E121" i="18"/>
  <c r="V116" i="18"/>
  <c r="V118" i="18"/>
  <c r="V121" i="18"/>
  <c r="V123" i="18"/>
  <c r="BC125" i="18"/>
  <c r="BD125" i="18" s="1"/>
  <c r="BD115" i="18"/>
  <c r="V120" i="18"/>
  <c r="U125" i="18"/>
  <c r="V125" i="18" s="1"/>
  <c r="AL125" i="18"/>
  <c r="AM125" i="18" s="1"/>
  <c r="AM115" i="18"/>
  <c r="AM118" i="18"/>
  <c r="AM121" i="18"/>
  <c r="BD117" i="18"/>
  <c r="BD118" i="18"/>
  <c r="BD119" i="18"/>
  <c r="BD121" i="18"/>
  <c r="BD122" i="18"/>
  <c r="E117" i="18"/>
  <c r="E119" i="18"/>
  <c r="E122" i="18"/>
  <c r="V115" i="18"/>
  <c r="V117" i="18"/>
  <c r="V119" i="18"/>
  <c r="V122" i="18"/>
  <c r="AM116" i="18"/>
  <c r="AM120" i="18"/>
  <c r="AM123" i="18"/>
  <c r="BD124" i="18"/>
  <c r="AM124" i="18"/>
  <c r="BD120" i="18"/>
  <c r="AM93" i="18"/>
  <c r="BD90" i="18"/>
  <c r="BD91" i="18"/>
  <c r="BD92" i="18"/>
  <c r="BD94" i="18"/>
  <c r="BD95" i="18"/>
  <c r="E90" i="18"/>
  <c r="E92" i="18"/>
  <c r="E95" i="18"/>
  <c r="V93" i="18"/>
  <c r="AL98" i="18"/>
  <c r="AM98" i="18" s="1"/>
  <c r="D98" i="18"/>
  <c r="E98" i="18" s="1"/>
  <c r="E88" i="18"/>
  <c r="E97" i="18"/>
  <c r="V88" i="18"/>
  <c r="V90" i="18"/>
  <c r="V92" i="18"/>
  <c r="V95" i="18"/>
  <c r="BC98" i="18"/>
  <c r="BD98" i="18" s="1"/>
  <c r="BD88" i="18"/>
  <c r="E91" i="18"/>
  <c r="E94" i="18"/>
  <c r="E89" i="18"/>
  <c r="E93" i="18"/>
  <c r="E96" i="18"/>
  <c r="V89" i="18"/>
  <c r="V91" i="18"/>
  <c r="V94" i="18"/>
  <c r="V96" i="18"/>
  <c r="U98" i="18"/>
  <c r="V98" i="18" s="1"/>
  <c r="AM89" i="18"/>
  <c r="AM96" i="18"/>
  <c r="BD97" i="18"/>
  <c r="AM90" i="18"/>
  <c r="AM91" i="18"/>
  <c r="AM92" i="18"/>
  <c r="AM97" i="18"/>
  <c r="BD93" i="18"/>
  <c r="AM88" i="18"/>
  <c r="E67" i="18"/>
  <c r="AM63" i="18"/>
  <c r="AM65" i="18"/>
  <c r="AM68" i="18"/>
  <c r="BC71" i="18"/>
  <c r="BD71" i="18" s="1"/>
  <c r="BD61" i="18"/>
  <c r="BD64" i="18"/>
  <c r="BD65" i="18"/>
  <c r="BD67" i="18"/>
  <c r="BD68" i="18"/>
  <c r="E63" i="18"/>
  <c r="E65" i="18"/>
  <c r="E68" i="18"/>
  <c r="V66" i="18"/>
  <c r="U71" i="18"/>
  <c r="V71" i="18" s="1"/>
  <c r="AL71" i="18"/>
  <c r="AM71" i="18" s="1"/>
  <c r="AM61" i="18"/>
  <c r="AM64" i="18"/>
  <c r="AM67" i="18"/>
  <c r="D71" i="18"/>
  <c r="E71" i="18" s="1"/>
  <c r="E61" i="18"/>
  <c r="E70" i="18"/>
  <c r="V61" i="18"/>
  <c r="V63" i="18"/>
  <c r="V65" i="18"/>
  <c r="V68" i="18"/>
  <c r="AM62" i="18"/>
  <c r="AM66" i="18"/>
  <c r="E64" i="18"/>
  <c r="AM69" i="18"/>
  <c r="BD63" i="18"/>
  <c r="E62" i="18"/>
  <c r="E66" i="18"/>
  <c r="E69" i="18"/>
  <c r="V62" i="18"/>
  <c r="V64" i="18"/>
  <c r="V67" i="18"/>
  <c r="V69" i="18"/>
  <c r="BD70" i="18"/>
  <c r="AM70" i="18"/>
  <c r="BD66" i="18"/>
  <c r="V13" i="18"/>
  <c r="V14" i="18"/>
  <c r="BC17" i="18"/>
  <c r="BD17" i="18" s="1"/>
  <c r="BD7" i="18"/>
  <c r="BD9" i="18"/>
  <c r="BD10" i="18"/>
  <c r="BD11" i="18"/>
  <c r="BD14" i="18"/>
  <c r="AM15" i="18"/>
  <c r="BD16" i="18"/>
  <c r="V11" i="18"/>
  <c r="AM8" i="18"/>
  <c r="BD13" i="18"/>
  <c r="U17" i="18"/>
  <c r="V17" i="18" s="1"/>
  <c r="V7" i="18"/>
  <c r="V12" i="18"/>
  <c r="V16" i="18"/>
  <c r="AL17" i="18"/>
  <c r="AM17" i="18" s="1"/>
  <c r="AM12" i="18"/>
  <c r="V8" i="18"/>
  <c r="V15" i="18"/>
  <c r="AM9" i="18"/>
  <c r="AM10" i="18"/>
  <c r="AM11" i="18"/>
  <c r="AM16" i="18"/>
  <c r="BD12" i="18"/>
  <c r="AM7" i="18"/>
  <c r="BD36" i="18"/>
  <c r="BD41" i="18"/>
  <c r="E35" i="18"/>
  <c r="E39" i="18"/>
  <c r="E42" i="18"/>
  <c r="V35" i="18"/>
  <c r="V37" i="18"/>
  <c r="V40" i="18"/>
  <c r="V42" i="18"/>
  <c r="BD38" i="18"/>
  <c r="E36" i="18"/>
  <c r="E38" i="18"/>
  <c r="E41" i="18"/>
  <c r="V39" i="18"/>
  <c r="U44" i="18"/>
  <c r="V44" i="18" s="1"/>
  <c r="AL44" i="18"/>
  <c r="AM44" i="18" s="1"/>
  <c r="AM34" i="18"/>
  <c r="AM37" i="18"/>
  <c r="AM40" i="18"/>
  <c r="BC44" i="18"/>
  <c r="BD44" i="18" s="1"/>
  <c r="D44" i="18"/>
  <c r="E44" i="18" s="1"/>
  <c r="E34" i="18"/>
  <c r="E43" i="18"/>
  <c r="BD35" i="18"/>
  <c r="E37" i="18"/>
  <c r="E40" i="18"/>
  <c r="V43" i="18"/>
  <c r="AM36" i="18"/>
  <c r="AM38" i="18"/>
  <c r="AM41" i="18"/>
  <c r="AM42" i="18"/>
  <c r="BD37" i="18"/>
  <c r="BD43" i="18"/>
  <c r="AM43" i="18"/>
  <c r="BD39" i="18"/>
  <c r="D7" i="16"/>
  <c r="F7" i="16"/>
  <c r="G7" i="16"/>
  <c r="I7" i="16"/>
  <c r="J7" i="16"/>
  <c r="L7" i="16"/>
  <c r="M7" i="16"/>
  <c r="O7" i="16"/>
  <c r="P7" i="16"/>
  <c r="R7" i="16"/>
  <c r="S7" i="16"/>
  <c r="U7" i="16"/>
  <c r="V7" i="16"/>
  <c r="X7" i="16"/>
  <c r="Y7" i="16"/>
  <c r="AA7" i="16"/>
  <c r="AB7" i="16"/>
  <c r="AD7" i="16"/>
  <c r="AE7" i="16"/>
  <c r="AG7" i="16"/>
  <c r="G10" i="1"/>
  <c r="BN44" i="1" l="1"/>
  <c r="BN45" i="1"/>
  <c r="BK34" i="1"/>
  <c r="BH35" i="1"/>
  <c r="BU26" i="1"/>
  <c r="BW26" i="1" s="1"/>
  <c r="S9" i="16"/>
  <c r="T9" i="16"/>
  <c r="AB9" i="16"/>
  <c r="AC9" i="16"/>
  <c r="K9" i="16"/>
  <c r="J9" i="16"/>
  <c r="Y9" i="16"/>
  <c r="Z9" i="16"/>
  <c r="P9" i="16"/>
  <c r="Q9" i="16"/>
  <c r="G9" i="16"/>
  <c r="H9" i="16"/>
  <c r="AE9" i="16"/>
  <c r="AF9" i="16"/>
  <c r="V9" i="16"/>
  <c r="W9" i="16"/>
  <c r="M9" i="16"/>
  <c r="N9" i="16"/>
  <c r="E9" i="16"/>
  <c r="D9" i="16"/>
  <c r="BW271" i="1"/>
  <c r="BW167" i="1"/>
  <c r="BW191" i="1"/>
  <c r="BW247" i="1"/>
  <c r="BW269" i="1"/>
  <c r="BW221" i="1"/>
  <c r="BW173" i="1"/>
  <c r="BW25" i="1"/>
  <c r="BW275" i="1"/>
  <c r="BW227" i="1"/>
  <c r="BW179" i="1"/>
  <c r="BW288" i="1"/>
  <c r="BW241" i="1"/>
  <c r="BW193" i="1"/>
  <c r="BW145" i="1"/>
  <c r="BW184" i="1"/>
  <c r="BW274" i="1"/>
  <c r="BW250" i="1"/>
  <c r="BW226" i="1"/>
  <c r="BW202" i="1"/>
  <c r="BW182" i="1"/>
  <c r="BW158" i="1"/>
  <c r="BW176" i="1"/>
  <c r="BW144" i="1"/>
  <c r="BW299" i="1"/>
  <c r="BW287" i="1"/>
  <c r="BW180" i="1"/>
  <c r="BW156" i="1"/>
  <c r="BW276" i="1"/>
  <c r="BW252" i="1"/>
  <c r="BW239" i="1"/>
  <c r="BW143" i="1"/>
  <c r="BW284" i="1"/>
  <c r="BW279" i="1"/>
  <c r="BW261" i="1"/>
  <c r="BW205" i="1"/>
  <c r="BW149" i="1"/>
  <c r="BW267" i="1"/>
  <c r="BW211" i="1"/>
  <c r="BW155" i="1"/>
  <c r="BW281" i="1"/>
  <c r="BW225" i="1"/>
  <c r="BW169" i="1"/>
  <c r="BW270" i="1"/>
  <c r="BW242" i="1"/>
  <c r="BW214" i="1"/>
  <c r="BW190" i="1"/>
  <c r="BW160" i="1"/>
  <c r="BW305" i="1"/>
  <c r="BW291" i="1"/>
  <c r="BW264" i="1"/>
  <c r="BW236" i="1"/>
  <c r="BW212" i="1"/>
  <c r="BW24" i="1"/>
  <c r="BW292" i="1"/>
  <c r="BW286" i="1"/>
  <c r="BW255" i="1"/>
  <c r="BW215" i="1"/>
  <c r="BW253" i="1"/>
  <c r="BW197" i="1"/>
  <c r="BW141" i="1"/>
  <c r="BW17" i="1"/>
  <c r="BW259" i="1"/>
  <c r="BW203" i="1"/>
  <c r="BW147" i="1"/>
  <c r="BW273" i="1"/>
  <c r="BW217" i="1"/>
  <c r="BW161" i="1"/>
  <c r="BW266" i="1"/>
  <c r="BW238" i="1"/>
  <c r="BW210" i="1"/>
  <c r="BW303" i="1"/>
  <c r="BW289" i="1"/>
  <c r="BW148" i="1"/>
  <c r="BW260" i="1"/>
  <c r="BW232" i="1"/>
  <c r="BW208" i="1"/>
  <c r="BW186" i="1"/>
  <c r="BW162" i="1"/>
  <c r="BW22" i="1"/>
  <c r="BW175" i="1"/>
  <c r="BW263" i="1"/>
  <c r="BW223" i="1"/>
  <c r="BW183" i="1"/>
  <c r="BW245" i="1"/>
  <c r="BW189" i="1"/>
  <c r="BW306" i="1"/>
  <c r="BW251" i="1"/>
  <c r="BW195" i="1"/>
  <c r="BW23" i="1"/>
  <c r="BW265" i="1"/>
  <c r="BW209" i="1"/>
  <c r="BW153" i="1"/>
  <c r="BW262" i="1"/>
  <c r="BW234" i="1"/>
  <c r="BW206" i="1"/>
  <c r="BW150" i="1"/>
  <c r="BW152" i="1"/>
  <c r="BW301" i="1"/>
  <c r="BW285" i="1"/>
  <c r="BW172" i="1"/>
  <c r="BW256" i="1"/>
  <c r="BW228" i="1"/>
  <c r="BW204" i="1"/>
  <c r="BW20" i="1"/>
  <c r="BW302" i="1"/>
  <c r="BW231" i="1"/>
  <c r="BW159" i="1"/>
  <c r="BW151" i="1"/>
  <c r="BW237" i="1"/>
  <c r="BW181" i="1"/>
  <c r="BW298" i="1"/>
  <c r="BW243" i="1"/>
  <c r="BW187" i="1"/>
  <c r="BW15" i="1"/>
  <c r="BW257" i="1"/>
  <c r="BW201" i="1"/>
  <c r="BW168" i="1"/>
  <c r="BW258" i="1"/>
  <c r="BW230" i="1"/>
  <c r="BW198" i="1"/>
  <c r="BW174" i="1"/>
  <c r="BW297" i="1"/>
  <c r="BW283" i="1"/>
  <c r="BW140" i="1"/>
  <c r="BW280" i="1"/>
  <c r="BW248" i="1"/>
  <c r="BW224" i="1"/>
  <c r="BW200" i="1"/>
  <c r="BW178" i="1"/>
  <c r="BW154" i="1"/>
  <c r="BW18" i="1"/>
  <c r="BW16" i="1"/>
  <c r="BW308" i="1"/>
  <c r="BW207" i="1"/>
  <c r="BW199" i="1"/>
  <c r="BW19" i="1"/>
  <c r="BW310" i="1"/>
  <c r="BW229" i="1"/>
  <c r="BW165" i="1"/>
  <c r="BW290" i="1"/>
  <c r="BW235" i="1"/>
  <c r="BW171" i="1"/>
  <c r="BW304" i="1"/>
  <c r="BW249" i="1"/>
  <c r="BW185" i="1"/>
  <c r="BW254" i="1"/>
  <c r="BW222" i="1"/>
  <c r="BW194" i="1"/>
  <c r="BW142" i="1"/>
  <c r="BW309" i="1"/>
  <c r="BW295" i="1"/>
  <c r="BW164" i="1"/>
  <c r="BW272" i="1"/>
  <c r="BW244" i="1"/>
  <c r="BW220" i="1"/>
  <c r="BW196" i="1"/>
  <c r="BW294" i="1"/>
  <c r="BW282" i="1"/>
  <c r="BW233" i="1"/>
  <c r="BW218" i="1"/>
  <c r="BW293" i="1"/>
  <c r="BW216" i="1"/>
  <c r="BW277" i="1"/>
  <c r="BW219" i="1"/>
  <c r="BW177" i="1"/>
  <c r="BW188" i="1"/>
  <c r="BW192" i="1"/>
  <c r="BW278" i="1"/>
  <c r="BW21" i="1"/>
  <c r="BW213" i="1"/>
  <c r="BW163" i="1"/>
  <c r="BW166" i="1"/>
  <c r="BW170" i="1"/>
  <c r="BW157" i="1"/>
  <c r="BW146" i="1"/>
  <c r="BW268" i="1"/>
  <c r="BW296" i="1"/>
  <c r="BW246" i="1"/>
  <c r="BW307" i="1"/>
  <c r="BW240" i="1"/>
  <c r="BW14" i="1"/>
  <c r="BW300" i="1"/>
  <c r="X98" i="18"/>
  <c r="X71" i="18"/>
  <c r="X125" i="18"/>
  <c r="AO125" i="18"/>
  <c r="G125" i="18"/>
  <c r="BF125" i="18"/>
  <c r="BF98" i="18"/>
  <c r="AO98" i="18"/>
  <c r="G98" i="18"/>
  <c r="G71" i="18"/>
  <c r="AO71" i="18"/>
  <c r="BF71" i="18"/>
  <c r="AO17" i="18"/>
  <c r="X17" i="18"/>
  <c r="BF17" i="18"/>
  <c r="AO44" i="18"/>
  <c r="X44" i="18"/>
  <c r="G44" i="18"/>
  <c r="BF44" i="18"/>
  <c r="BL47" i="1" l="1"/>
  <c r="BM47" i="1"/>
  <c r="BL46" i="1"/>
  <c r="BM46" i="1"/>
  <c r="BK36" i="1"/>
  <c r="BK31" i="1"/>
  <c r="BH38" i="1"/>
  <c r="BH37" i="1"/>
  <c r="BU27" i="1"/>
  <c r="BW27" i="1" s="1"/>
  <c r="O9" i="16"/>
  <c r="I9" i="16"/>
  <c r="L9" i="16"/>
  <c r="X9" i="16"/>
  <c r="R9" i="16"/>
  <c r="AD9" i="16"/>
  <c r="AG9" i="16"/>
  <c r="AA9" i="16"/>
  <c r="U9" i="16"/>
  <c r="BW11" i="1"/>
  <c r="AK130" i="1"/>
  <c r="AK133" i="1"/>
  <c r="AK116" i="1"/>
  <c r="AK121" i="1"/>
  <c r="AK174" i="1"/>
  <c r="AK181" i="1"/>
  <c r="AK215" i="1"/>
  <c r="AK221" i="1"/>
  <c r="AK219" i="1"/>
  <c r="AK223" i="1"/>
  <c r="AK226" i="1"/>
  <c r="AK213" i="1"/>
  <c r="AK125" i="1"/>
  <c r="AK111" i="1"/>
  <c r="AK137" i="1"/>
  <c r="AK279" i="1"/>
  <c r="AK214" i="1"/>
  <c r="AK256" i="1"/>
  <c r="AK287" i="1"/>
  <c r="AK225" i="1"/>
  <c r="AK211" i="1"/>
  <c r="AK222" i="1"/>
  <c r="AK234" i="1"/>
  <c r="AK246" i="1"/>
  <c r="AK224" i="1"/>
  <c r="AK258" i="1"/>
  <c r="AK271" i="1"/>
  <c r="AK289" i="1"/>
  <c r="AK233" i="1"/>
  <c r="AK232" i="1"/>
  <c r="AK254" i="1"/>
  <c r="AK297" i="1"/>
  <c r="AK301" i="1"/>
  <c r="AK277" i="1"/>
  <c r="AK309" i="1"/>
  <c r="AK136" i="1"/>
  <c r="AK149" i="1"/>
  <c r="AK193" i="1"/>
  <c r="AK127" i="1"/>
  <c r="AK128" i="1"/>
  <c r="AK184" i="1"/>
  <c r="AK120" i="1"/>
  <c r="AK113" i="1"/>
  <c r="AK157" i="1"/>
  <c r="AK165" i="1"/>
  <c r="AK180" i="1"/>
  <c r="AK134" i="1"/>
  <c r="AK176" i="1"/>
  <c r="AK155" i="1"/>
  <c r="AK268" i="1"/>
  <c r="AK216" i="1"/>
  <c r="AK230" i="1"/>
  <c r="AK242" i="1"/>
  <c r="AK281" i="1"/>
  <c r="AK240" i="1"/>
  <c r="AK293" i="1"/>
  <c r="AK275" i="1"/>
  <c r="AK305" i="1"/>
  <c r="AK124" i="1"/>
  <c r="AK112" i="1"/>
  <c r="AK200" i="1"/>
  <c r="AK123" i="1"/>
  <c r="AK178" i="1"/>
  <c r="AK158" i="1"/>
  <c r="AK177" i="1"/>
  <c r="AK185" i="1"/>
  <c r="AK237" i="1"/>
  <c r="AK244" i="1"/>
  <c r="AK212" i="1"/>
  <c r="AK252" i="1"/>
  <c r="AK217" i="1"/>
  <c r="AK241" i="1"/>
  <c r="AK262" i="1"/>
  <c r="AK248" i="1"/>
  <c r="AK291" i="1"/>
  <c r="AK132" i="1"/>
  <c r="AK168" i="1"/>
  <c r="AK117" i="1"/>
  <c r="AK161" i="1"/>
  <c r="AK189" i="1"/>
  <c r="AK220" i="1"/>
  <c r="AK245" i="1"/>
  <c r="AK229" i="1"/>
  <c r="AK115" i="1"/>
  <c r="AK153" i="1"/>
  <c r="AK208" i="1"/>
  <c r="AK201" i="1"/>
  <c r="AK295" i="1"/>
  <c r="AK285" i="1"/>
  <c r="AK182" i="1"/>
  <c r="AK218" i="1"/>
  <c r="AK238" i="1"/>
  <c r="AK236" i="1"/>
  <c r="AK283" i="1"/>
  <c r="AK192" i="1"/>
  <c r="AK205" i="1"/>
  <c r="AK197" i="1"/>
  <c r="AK209" i="1"/>
  <c r="AK140" i="1"/>
  <c r="AK170" i="1"/>
  <c r="AK144" i="1"/>
  <c r="AK119" i="1"/>
  <c r="AK196" i="1"/>
  <c r="AK260" i="1"/>
  <c r="AK250" i="1"/>
  <c r="AK235" i="1"/>
  <c r="AK247" i="1"/>
  <c r="AK307" i="1"/>
  <c r="AK266" i="1"/>
  <c r="AK227" i="1"/>
  <c r="AK186" i="1"/>
  <c r="AK159" i="1"/>
  <c r="AK138" i="1"/>
  <c r="AK203" i="1"/>
  <c r="AK199" i="1"/>
  <c r="AK166" i="1"/>
  <c r="AK172" i="1"/>
  <c r="AK147" i="1"/>
  <c r="AK207" i="1"/>
  <c r="AK253" i="1"/>
  <c r="AK300" i="1"/>
  <c r="AK292" i="1"/>
  <c r="AK270" i="1"/>
  <c r="AK257" i="1"/>
  <c r="AK286" i="1"/>
  <c r="AK302" i="1"/>
  <c r="AK249" i="1"/>
  <c r="AK290" i="1"/>
  <c r="AK129" i="1"/>
  <c r="AK206" i="1"/>
  <c r="AK169" i="1"/>
  <c r="AK204" i="1"/>
  <c r="AK154" i="1"/>
  <c r="AK118" i="1"/>
  <c r="AK308" i="1"/>
  <c r="AK265" i="1"/>
  <c r="AK267" i="1"/>
  <c r="AK274" i="1"/>
  <c r="AK310" i="1"/>
  <c r="AK306" i="1"/>
  <c r="AK259" i="1"/>
  <c r="AK255" i="1"/>
  <c r="AK251" i="1"/>
  <c r="AK284" i="1"/>
  <c r="AK280" i="1"/>
  <c r="AK282" i="1"/>
  <c r="AK276" i="1"/>
  <c r="AK198" i="1"/>
  <c r="AK173" i="1"/>
  <c r="AK146" i="1"/>
  <c r="AK152" i="1"/>
  <c r="AK210" i="1"/>
  <c r="AK171" i="1"/>
  <c r="AK179" i="1"/>
  <c r="AK145" i="1"/>
  <c r="AK114" i="1"/>
  <c r="AK194" i="1"/>
  <c r="AK156" i="1"/>
  <c r="AK188" i="1"/>
  <c r="AK183" i="1"/>
  <c r="AK160" i="1"/>
  <c r="AK150" i="1"/>
  <c r="AK141" i="1"/>
  <c r="AK143" i="1"/>
  <c r="AK294" i="1"/>
  <c r="AK261" i="1"/>
  <c r="AK298" i="1"/>
  <c r="AK278" i="1"/>
  <c r="AK263" i="1"/>
  <c r="AK175" i="1"/>
  <c r="AK148" i="1"/>
  <c r="AK135" i="1"/>
  <c r="AK239" i="1"/>
  <c r="AK228" i="1"/>
  <c r="AK303" i="1"/>
  <c r="AK272" i="1"/>
  <c r="AK269" i="1"/>
  <c r="AK264" i="1"/>
  <c r="AK231" i="1"/>
  <c r="AK299" i="1"/>
  <c r="AK273" i="1"/>
  <c r="AK243" i="1"/>
  <c r="AK163" i="1"/>
  <c r="AK195" i="1"/>
  <c r="AK167" i="1"/>
  <c r="AK126" i="1"/>
  <c r="AK142" i="1"/>
  <c r="AK151" i="1"/>
  <c r="AK202" i="1"/>
  <c r="AK187" i="1"/>
  <c r="AK122" i="1"/>
  <c r="AK191" i="1"/>
  <c r="AK296" i="1"/>
  <c r="AK304" i="1"/>
  <c r="AK288" i="1"/>
  <c r="AK162" i="1"/>
  <c r="AK131" i="1"/>
  <c r="AK164" i="1"/>
  <c r="AK190" i="1"/>
  <c r="AK139" i="1"/>
  <c r="F9" i="16"/>
  <c r="BN47" i="1" l="1"/>
  <c r="BL49" i="1" s="1"/>
  <c r="BN46" i="1"/>
  <c r="BK38" i="1"/>
  <c r="BH40" i="1"/>
  <c r="BH42" i="1" s="1"/>
  <c r="BU28" i="1"/>
  <c r="BW28" i="1" s="1"/>
  <c r="C16" i="18"/>
  <c r="B16" i="18"/>
  <c r="B15" i="18"/>
  <c r="B14" i="18"/>
  <c r="B13" i="18"/>
  <c r="B12" i="18"/>
  <c r="B11" i="18"/>
  <c r="B10" i="18"/>
  <c r="B9" i="18"/>
  <c r="B8" i="18"/>
  <c r="B7" i="18"/>
  <c r="BM49" i="1" l="1"/>
  <c r="BN49" i="1"/>
  <c r="BL48" i="1"/>
  <c r="BM48" i="1"/>
  <c r="BK40" i="1"/>
  <c r="BK33" i="1"/>
  <c r="BH39" i="1"/>
  <c r="BU29" i="1"/>
  <c r="BW29" i="1" s="1"/>
  <c r="AW28" i="18"/>
  <c r="K11" i="18"/>
  <c r="BN48" i="1" l="1"/>
  <c r="BM50" i="1" s="1"/>
  <c r="BN50" i="1" s="1"/>
  <c r="BK42" i="1"/>
  <c r="BK35" i="1"/>
  <c r="BH44" i="1"/>
  <c r="BU30" i="1"/>
  <c r="BW30" i="1" s="1"/>
  <c r="AF55" i="18"/>
  <c r="AW55" i="18" s="1"/>
  <c r="BN28" i="18"/>
  <c r="AF82" i="18"/>
  <c r="BV109" i="18"/>
  <c r="BV110" i="18" s="1"/>
  <c r="BV55" i="18"/>
  <c r="BV56" i="18" s="1"/>
  <c r="BS62" i="18" s="1"/>
  <c r="BV82" i="18"/>
  <c r="BV83" i="18" s="1"/>
  <c r="BV28" i="18"/>
  <c r="BV29" i="18" s="1"/>
  <c r="BS35" i="18" s="1"/>
  <c r="BK37" i="1" l="1"/>
  <c r="BK44" i="1"/>
  <c r="BH46" i="1"/>
  <c r="BH41" i="1"/>
  <c r="BU31" i="1"/>
  <c r="BW31" i="1" s="1"/>
  <c r="AW82" i="18"/>
  <c r="AF109" i="18"/>
  <c r="BS59" i="18"/>
  <c r="BS61" i="18"/>
  <c r="BS116" i="18"/>
  <c r="BS114" i="18"/>
  <c r="BS113" i="18"/>
  <c r="BS115" i="18"/>
  <c r="BS60" i="18"/>
  <c r="BS32" i="18"/>
  <c r="BS33" i="18"/>
  <c r="BS34" i="18"/>
  <c r="BN55" i="18"/>
  <c r="BS87" i="18"/>
  <c r="BS89" i="18"/>
  <c r="BS86" i="18"/>
  <c r="BS88" i="18"/>
  <c r="C138" i="16"/>
  <c r="B138" i="16"/>
  <c r="C137" i="16"/>
  <c r="B137" i="16"/>
  <c r="C136" i="16"/>
  <c r="B136" i="16"/>
  <c r="C135" i="16"/>
  <c r="B135" i="16"/>
  <c r="C134" i="16"/>
  <c r="B134" i="16"/>
  <c r="C133" i="16"/>
  <c r="B133" i="16"/>
  <c r="C132" i="16"/>
  <c r="B132" i="16"/>
  <c r="C131" i="16"/>
  <c r="B131" i="16"/>
  <c r="C130" i="16"/>
  <c r="B130" i="16"/>
  <c r="C129" i="16"/>
  <c r="B129" i="16"/>
  <c r="C128" i="16"/>
  <c r="B128" i="16"/>
  <c r="C127" i="16"/>
  <c r="B127" i="16"/>
  <c r="C126" i="16"/>
  <c r="B126" i="16"/>
  <c r="C125" i="16"/>
  <c r="B125" i="16"/>
  <c r="C124" i="16"/>
  <c r="B124" i="16"/>
  <c r="C123" i="16"/>
  <c r="B123" i="16"/>
  <c r="C122" i="16"/>
  <c r="B122" i="16"/>
  <c r="C121" i="16"/>
  <c r="B121" i="16"/>
  <c r="C120" i="16"/>
  <c r="B120" i="16"/>
  <c r="C119" i="16"/>
  <c r="B119" i="16"/>
  <c r="C111" i="16"/>
  <c r="B111" i="16"/>
  <c r="C110" i="16"/>
  <c r="B110" i="16"/>
  <c r="C109" i="16"/>
  <c r="B109" i="16"/>
  <c r="C108" i="16"/>
  <c r="B108" i="16"/>
  <c r="C107" i="16"/>
  <c r="B107" i="16"/>
  <c r="C106" i="16"/>
  <c r="B106" i="16"/>
  <c r="C105" i="16"/>
  <c r="B105" i="16"/>
  <c r="C104" i="16"/>
  <c r="B104" i="16"/>
  <c r="C103" i="16"/>
  <c r="B103" i="16"/>
  <c r="C102" i="16"/>
  <c r="B102" i="16"/>
  <c r="C101" i="16"/>
  <c r="B101" i="16"/>
  <c r="C100" i="16"/>
  <c r="B100" i="16"/>
  <c r="C99" i="16"/>
  <c r="B99" i="16"/>
  <c r="C98" i="16"/>
  <c r="B98" i="16"/>
  <c r="C97" i="16"/>
  <c r="B97" i="16"/>
  <c r="C96" i="16"/>
  <c r="B96" i="16"/>
  <c r="C95" i="16"/>
  <c r="B95" i="16"/>
  <c r="C94" i="16"/>
  <c r="B94" i="16"/>
  <c r="C93" i="16"/>
  <c r="B93" i="16"/>
  <c r="C92" i="16"/>
  <c r="B92" i="16"/>
  <c r="C84" i="16"/>
  <c r="B84" i="16"/>
  <c r="C83" i="16"/>
  <c r="B83" i="16"/>
  <c r="C82" i="16"/>
  <c r="B82" i="16"/>
  <c r="C81" i="16"/>
  <c r="B81" i="16"/>
  <c r="C80" i="16"/>
  <c r="B80" i="16"/>
  <c r="C79" i="16"/>
  <c r="B79" i="16"/>
  <c r="C78" i="16"/>
  <c r="B78" i="16"/>
  <c r="C77" i="16"/>
  <c r="B77" i="16"/>
  <c r="C76" i="16"/>
  <c r="B76" i="16"/>
  <c r="C75" i="16"/>
  <c r="B75" i="16"/>
  <c r="C74" i="16"/>
  <c r="B74" i="16"/>
  <c r="C73" i="16"/>
  <c r="B73" i="16"/>
  <c r="C72" i="16"/>
  <c r="B72" i="16"/>
  <c r="C71" i="16"/>
  <c r="B71" i="16"/>
  <c r="C70" i="16"/>
  <c r="B70" i="16"/>
  <c r="C69" i="16"/>
  <c r="B69" i="16"/>
  <c r="C68" i="16"/>
  <c r="B68" i="16"/>
  <c r="C67" i="16"/>
  <c r="B67" i="16"/>
  <c r="C66" i="16"/>
  <c r="B66" i="16"/>
  <c r="C65" i="16"/>
  <c r="B65" i="16"/>
  <c r="C57" i="16"/>
  <c r="B57" i="16"/>
  <c r="C56" i="16"/>
  <c r="B56" i="16"/>
  <c r="C55" i="16"/>
  <c r="B55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C39" i="16"/>
  <c r="B39" i="16"/>
  <c r="C38" i="16"/>
  <c r="B38" i="16"/>
  <c r="BK39" i="1" l="1"/>
  <c r="BH48" i="1"/>
  <c r="BU32" i="1"/>
  <c r="BW32" i="1" s="1"/>
  <c r="AF38" i="16"/>
  <c r="Z38" i="16"/>
  <c r="T38" i="16"/>
  <c r="N38" i="16"/>
  <c r="J38" i="16"/>
  <c r="D38" i="16"/>
  <c r="P38" i="16"/>
  <c r="Y38" i="16"/>
  <c r="S38" i="16"/>
  <c r="M38" i="16"/>
  <c r="H38" i="16"/>
  <c r="AB38" i="16"/>
  <c r="E38" i="16"/>
  <c r="AC38" i="16"/>
  <c r="W38" i="16"/>
  <c r="Q38" i="16"/>
  <c r="G38" i="16"/>
  <c r="V38" i="16"/>
  <c r="K38" i="16"/>
  <c r="AF46" i="16"/>
  <c r="Z46" i="16"/>
  <c r="T46" i="16"/>
  <c r="N46" i="16"/>
  <c r="H46" i="16"/>
  <c r="Y46" i="16"/>
  <c r="S46" i="16"/>
  <c r="M46" i="16"/>
  <c r="AC46" i="16"/>
  <c r="W46" i="16"/>
  <c r="Q46" i="16"/>
  <c r="K46" i="16"/>
  <c r="E46" i="16"/>
  <c r="AB46" i="16"/>
  <c r="G46" i="16"/>
  <c r="V46" i="16"/>
  <c r="D46" i="16"/>
  <c r="P46" i="16"/>
  <c r="J46" i="16"/>
  <c r="Y73" i="16"/>
  <c r="S73" i="16"/>
  <c r="M73" i="16"/>
  <c r="G73" i="16"/>
  <c r="AB73" i="16"/>
  <c r="T73" i="16"/>
  <c r="K73" i="16"/>
  <c r="D73" i="16"/>
  <c r="Z73" i="16"/>
  <c r="Q73" i="16"/>
  <c r="J73" i="16"/>
  <c r="AF73" i="16"/>
  <c r="W73" i="16"/>
  <c r="P73" i="16"/>
  <c r="H73" i="16"/>
  <c r="E73" i="16"/>
  <c r="AC73" i="16"/>
  <c r="V73" i="16"/>
  <c r="N73" i="16"/>
  <c r="AF42" i="16"/>
  <c r="Z42" i="16"/>
  <c r="T42" i="16"/>
  <c r="N42" i="16"/>
  <c r="H42" i="16"/>
  <c r="P42" i="16"/>
  <c r="Y42" i="16"/>
  <c r="S42" i="16"/>
  <c r="M42" i="16"/>
  <c r="G42" i="16"/>
  <c r="AB42" i="16"/>
  <c r="J42" i="16"/>
  <c r="AC42" i="16"/>
  <c r="W42" i="16"/>
  <c r="Q42" i="16"/>
  <c r="K42" i="16"/>
  <c r="E42" i="16"/>
  <c r="V42" i="16"/>
  <c r="D42" i="16"/>
  <c r="AF50" i="16"/>
  <c r="Z50" i="16"/>
  <c r="T50" i="16"/>
  <c r="N50" i="16"/>
  <c r="H50" i="16"/>
  <c r="Y50" i="16"/>
  <c r="S50" i="16"/>
  <c r="M50" i="16"/>
  <c r="G50" i="16"/>
  <c r="AC50" i="16"/>
  <c r="W50" i="16"/>
  <c r="Q50" i="16"/>
  <c r="K50" i="16"/>
  <c r="E50" i="16"/>
  <c r="AB50" i="16"/>
  <c r="D50" i="16"/>
  <c r="V50" i="16"/>
  <c r="P50" i="16"/>
  <c r="J50" i="16"/>
  <c r="Y54" i="16"/>
  <c r="S54" i="16"/>
  <c r="M54" i="16"/>
  <c r="G54" i="16"/>
  <c r="AC54" i="16"/>
  <c r="W54" i="16"/>
  <c r="Q54" i="16"/>
  <c r="K54" i="16"/>
  <c r="E54" i="16"/>
  <c r="AB54" i="16"/>
  <c r="V54" i="16"/>
  <c r="P54" i="16"/>
  <c r="J54" i="16"/>
  <c r="D54" i="16"/>
  <c r="Z54" i="16"/>
  <c r="AF54" i="16"/>
  <c r="T54" i="16"/>
  <c r="H54" i="16"/>
  <c r="N54" i="16"/>
  <c r="Y69" i="16"/>
  <c r="S69" i="16"/>
  <c r="M69" i="16"/>
  <c r="AB69" i="16"/>
  <c r="T69" i="16"/>
  <c r="K69" i="16"/>
  <c r="E69" i="16"/>
  <c r="Z69" i="16"/>
  <c r="Q69" i="16"/>
  <c r="J69" i="16"/>
  <c r="D69" i="16"/>
  <c r="AF69" i="16"/>
  <c r="W69" i="16"/>
  <c r="P69" i="16"/>
  <c r="H69" i="16"/>
  <c r="AC69" i="16"/>
  <c r="G69" i="16"/>
  <c r="V69" i="16"/>
  <c r="N69" i="16"/>
  <c r="AF77" i="16"/>
  <c r="Y77" i="16"/>
  <c r="S77" i="16"/>
  <c r="M77" i="16"/>
  <c r="G77" i="16"/>
  <c r="AB77" i="16"/>
  <c r="T77" i="16"/>
  <c r="K77" i="16"/>
  <c r="D77" i="16"/>
  <c r="Z77" i="16"/>
  <c r="Q77" i="16"/>
  <c r="J77" i="16"/>
  <c r="W77" i="16"/>
  <c r="P77" i="16"/>
  <c r="H77" i="16"/>
  <c r="N77" i="16"/>
  <c r="E77" i="16"/>
  <c r="V77" i="16"/>
  <c r="AC77" i="16"/>
  <c r="AF81" i="16"/>
  <c r="Z81" i="16"/>
  <c r="T81" i="16"/>
  <c r="N81" i="16"/>
  <c r="H81" i="16"/>
  <c r="W81" i="16"/>
  <c r="P81" i="16"/>
  <c r="G81" i="16"/>
  <c r="V81" i="16"/>
  <c r="K81" i="16"/>
  <c r="Y81" i="16"/>
  <c r="J81" i="16"/>
  <c r="S81" i="16"/>
  <c r="E81" i="16"/>
  <c r="AC81" i="16"/>
  <c r="Q81" i="16"/>
  <c r="D81" i="16"/>
  <c r="AB81" i="16"/>
  <c r="M81" i="16"/>
  <c r="AF94" i="16"/>
  <c r="Z94" i="16"/>
  <c r="T94" i="16"/>
  <c r="N94" i="16"/>
  <c r="H94" i="16"/>
  <c r="AB94" i="16"/>
  <c r="S94" i="16"/>
  <c r="K94" i="16"/>
  <c r="D94" i="16"/>
  <c r="AC94" i="16"/>
  <c r="Q94" i="16"/>
  <c r="G94" i="16"/>
  <c r="W94" i="16"/>
  <c r="M94" i="16"/>
  <c r="J94" i="16"/>
  <c r="Y94" i="16"/>
  <c r="E94" i="16"/>
  <c r="V94" i="16"/>
  <c r="P94" i="16"/>
  <c r="AF98" i="16"/>
  <c r="Z98" i="16"/>
  <c r="T98" i="16"/>
  <c r="N98" i="16"/>
  <c r="H98" i="16"/>
  <c r="AB98" i="16"/>
  <c r="S98" i="16"/>
  <c r="K98" i="16"/>
  <c r="D98" i="16"/>
  <c r="Y98" i="16"/>
  <c r="P98" i="16"/>
  <c r="E98" i="16"/>
  <c r="V98" i="16"/>
  <c r="J98" i="16"/>
  <c r="Q98" i="16"/>
  <c r="M98" i="16"/>
  <c r="AC98" i="16"/>
  <c r="G98" i="16"/>
  <c r="W98" i="16"/>
  <c r="Y104" i="16"/>
  <c r="S104" i="16"/>
  <c r="M104" i="16"/>
  <c r="H104" i="16"/>
  <c r="AC104" i="16"/>
  <c r="V104" i="16"/>
  <c r="N104" i="16"/>
  <c r="G104" i="16"/>
  <c r="Z104" i="16"/>
  <c r="P104" i="16"/>
  <c r="E104" i="16"/>
  <c r="AF104" i="16"/>
  <c r="T104" i="16"/>
  <c r="K104" i="16"/>
  <c r="AB104" i="16"/>
  <c r="J104" i="16"/>
  <c r="W104" i="16"/>
  <c r="D104" i="16"/>
  <c r="Q104" i="16"/>
  <c r="Y108" i="16"/>
  <c r="S108" i="16"/>
  <c r="M108" i="16"/>
  <c r="G108" i="16"/>
  <c r="AC108" i="16"/>
  <c r="W108" i="16"/>
  <c r="Q108" i="16"/>
  <c r="K108" i="16"/>
  <c r="E108" i="16"/>
  <c r="Z108" i="16"/>
  <c r="N108" i="16"/>
  <c r="V108" i="16"/>
  <c r="H108" i="16"/>
  <c r="T108" i="16"/>
  <c r="D108" i="16"/>
  <c r="AF108" i="16"/>
  <c r="P108" i="16"/>
  <c r="AB108" i="16"/>
  <c r="J108" i="16"/>
  <c r="AC119" i="16"/>
  <c r="W119" i="16"/>
  <c r="Q119" i="16"/>
  <c r="K119" i="16"/>
  <c r="E119" i="16"/>
  <c r="AB119" i="16"/>
  <c r="V119" i="16"/>
  <c r="P119" i="16"/>
  <c r="J119" i="16"/>
  <c r="D119" i="16"/>
  <c r="Y119" i="16"/>
  <c r="M119" i="16"/>
  <c r="AF119" i="16"/>
  <c r="T119" i="16"/>
  <c r="N119" i="16"/>
  <c r="H119" i="16"/>
  <c r="Z119" i="16"/>
  <c r="G119" i="16"/>
  <c r="S119" i="16"/>
  <c r="AC125" i="16"/>
  <c r="W125" i="16"/>
  <c r="Q125" i="16"/>
  <c r="K125" i="16"/>
  <c r="E125" i="16"/>
  <c r="AF125" i="16"/>
  <c r="Y125" i="16"/>
  <c r="P125" i="16"/>
  <c r="H125" i="16"/>
  <c r="V125" i="16"/>
  <c r="M125" i="16"/>
  <c r="T125" i="16"/>
  <c r="J125" i="16"/>
  <c r="N125" i="16"/>
  <c r="AB125" i="16"/>
  <c r="G125" i="16"/>
  <c r="S125" i="16"/>
  <c r="D125" i="16"/>
  <c r="Z125" i="16"/>
  <c r="AB129" i="16"/>
  <c r="V129" i="16"/>
  <c r="P129" i="16"/>
  <c r="K129" i="16"/>
  <c r="E129" i="16"/>
  <c r="W129" i="16"/>
  <c r="N129" i="16"/>
  <c r="H129" i="16"/>
  <c r="AC129" i="16"/>
  <c r="S129" i="16"/>
  <c r="J129" i="16"/>
  <c r="Z129" i="16"/>
  <c r="Q129" i="16"/>
  <c r="G129" i="16"/>
  <c r="T129" i="16"/>
  <c r="M129" i="16"/>
  <c r="Y129" i="16"/>
  <c r="D129" i="16"/>
  <c r="AF129" i="16"/>
  <c r="AB131" i="16"/>
  <c r="V131" i="16"/>
  <c r="P131" i="16"/>
  <c r="J131" i="16"/>
  <c r="D131" i="16"/>
  <c r="Z131" i="16"/>
  <c r="S131" i="16"/>
  <c r="K131" i="16"/>
  <c r="AF131" i="16"/>
  <c r="W131" i="16"/>
  <c r="M131" i="16"/>
  <c r="T131" i="16"/>
  <c r="H131" i="16"/>
  <c r="Y131" i="16"/>
  <c r="E131" i="16"/>
  <c r="Q131" i="16"/>
  <c r="G131" i="16"/>
  <c r="AC131" i="16"/>
  <c r="N131" i="16"/>
  <c r="AF137" i="16"/>
  <c r="Z137" i="16"/>
  <c r="T137" i="16"/>
  <c r="N137" i="16"/>
  <c r="H137" i="16"/>
  <c r="AC137" i="16"/>
  <c r="V137" i="16"/>
  <c r="M137" i="16"/>
  <c r="E137" i="16"/>
  <c r="W137" i="16"/>
  <c r="K137" i="16"/>
  <c r="S137" i="16"/>
  <c r="J137" i="16"/>
  <c r="P137" i="16"/>
  <c r="AB137" i="16"/>
  <c r="G137" i="16"/>
  <c r="Y137" i="16"/>
  <c r="Q137" i="16"/>
  <c r="D137" i="16"/>
  <c r="AF44" i="16"/>
  <c r="Z44" i="16"/>
  <c r="V44" i="16"/>
  <c r="P44" i="16"/>
  <c r="J44" i="16"/>
  <c r="D44" i="16"/>
  <c r="AC44" i="16"/>
  <c r="S44" i="16"/>
  <c r="M44" i="16"/>
  <c r="G44" i="16"/>
  <c r="T44" i="16"/>
  <c r="H44" i="16"/>
  <c r="K44" i="16"/>
  <c r="AB44" i="16"/>
  <c r="Q44" i="16"/>
  <c r="E44" i="16"/>
  <c r="W44" i="16"/>
  <c r="Y44" i="16"/>
  <c r="N44" i="16"/>
  <c r="Y52" i="16"/>
  <c r="S52" i="16"/>
  <c r="M52" i="16"/>
  <c r="G52" i="16"/>
  <c r="AC52" i="16"/>
  <c r="W52" i="16"/>
  <c r="Q52" i="16"/>
  <c r="K52" i="16"/>
  <c r="E52" i="16"/>
  <c r="AB52" i="16"/>
  <c r="V52" i="16"/>
  <c r="P52" i="16"/>
  <c r="J52" i="16"/>
  <c r="D52" i="16"/>
  <c r="N52" i="16"/>
  <c r="AF52" i="16"/>
  <c r="H52" i="16"/>
  <c r="Z52" i="16"/>
  <c r="T52" i="16"/>
  <c r="AC65" i="16"/>
  <c r="W65" i="16"/>
  <c r="Q65" i="16"/>
  <c r="K65" i="16"/>
  <c r="E65" i="16"/>
  <c r="AB65" i="16"/>
  <c r="V65" i="16"/>
  <c r="P65" i="16"/>
  <c r="J65" i="16"/>
  <c r="D65" i="16"/>
  <c r="AF65" i="16"/>
  <c r="Z65" i="16"/>
  <c r="T65" i="16"/>
  <c r="N65" i="16"/>
  <c r="H65" i="16"/>
  <c r="Y65" i="16"/>
  <c r="S65" i="16"/>
  <c r="M65" i="16"/>
  <c r="G65" i="16"/>
  <c r="Y71" i="16"/>
  <c r="S71" i="16"/>
  <c r="M71" i="16"/>
  <c r="G71" i="16"/>
  <c r="AF71" i="16"/>
  <c r="W71" i="16"/>
  <c r="P71" i="16"/>
  <c r="H71" i="16"/>
  <c r="AC71" i="16"/>
  <c r="V71" i="16"/>
  <c r="N71" i="16"/>
  <c r="E71" i="16"/>
  <c r="AB71" i="16"/>
  <c r="T71" i="16"/>
  <c r="K71" i="16"/>
  <c r="D71" i="16"/>
  <c r="Z71" i="16"/>
  <c r="J71" i="16"/>
  <c r="Q71" i="16"/>
  <c r="AF79" i="16"/>
  <c r="Z79" i="16"/>
  <c r="T79" i="16"/>
  <c r="N79" i="16"/>
  <c r="H79" i="16"/>
  <c r="AB79" i="16"/>
  <c r="S79" i="16"/>
  <c r="K79" i="16"/>
  <c r="D79" i="16"/>
  <c r="AC79" i="16"/>
  <c r="Q79" i="16"/>
  <c r="G79" i="16"/>
  <c r="Y79" i="16"/>
  <c r="M79" i="16"/>
  <c r="W79" i="16"/>
  <c r="J79" i="16"/>
  <c r="V79" i="16"/>
  <c r="E79" i="16"/>
  <c r="P79" i="16"/>
  <c r="AF92" i="16"/>
  <c r="Z92" i="16"/>
  <c r="T92" i="16"/>
  <c r="N92" i="16"/>
  <c r="H92" i="16"/>
  <c r="W92" i="16"/>
  <c r="P92" i="16"/>
  <c r="G92" i="16"/>
  <c r="Y92" i="16"/>
  <c r="M92" i="16"/>
  <c r="D92" i="16"/>
  <c r="AC92" i="16"/>
  <c r="S92" i="16"/>
  <c r="J92" i="16"/>
  <c r="AB92" i="16"/>
  <c r="E92" i="16"/>
  <c r="V92" i="16"/>
  <c r="Q92" i="16"/>
  <c r="K92" i="16"/>
  <c r="Y106" i="16"/>
  <c r="S106" i="16"/>
  <c r="M106" i="16"/>
  <c r="G106" i="16"/>
  <c r="Z106" i="16"/>
  <c r="Q106" i="16"/>
  <c r="J106" i="16"/>
  <c r="AC106" i="16"/>
  <c r="T106" i="16"/>
  <c r="H106" i="16"/>
  <c r="W106" i="16"/>
  <c r="N106" i="16"/>
  <c r="D106" i="16"/>
  <c r="AF106" i="16"/>
  <c r="K106" i="16"/>
  <c r="AB106" i="16"/>
  <c r="E106" i="16"/>
  <c r="V106" i="16"/>
  <c r="P106" i="16"/>
  <c r="AF39" i="16"/>
  <c r="Z39" i="16"/>
  <c r="T39" i="16"/>
  <c r="N39" i="16"/>
  <c r="H39" i="16"/>
  <c r="P39" i="16"/>
  <c r="D39" i="16"/>
  <c r="Y39" i="16"/>
  <c r="S39" i="16"/>
  <c r="M39" i="16"/>
  <c r="G39" i="16"/>
  <c r="V39" i="16"/>
  <c r="AC39" i="16"/>
  <c r="W39" i="16"/>
  <c r="Q39" i="16"/>
  <c r="K39" i="16"/>
  <c r="E39" i="16"/>
  <c r="AB39" i="16"/>
  <c r="J39" i="16"/>
  <c r="AF41" i="16"/>
  <c r="Z41" i="16"/>
  <c r="T41" i="16"/>
  <c r="N41" i="16"/>
  <c r="H41" i="16"/>
  <c r="AB41" i="16"/>
  <c r="J41" i="16"/>
  <c r="Y41" i="16"/>
  <c r="S41" i="16"/>
  <c r="M41" i="16"/>
  <c r="G41" i="16"/>
  <c r="P41" i="16"/>
  <c r="AC41" i="16"/>
  <c r="W41" i="16"/>
  <c r="Q41" i="16"/>
  <c r="K41" i="16"/>
  <c r="E41" i="16"/>
  <c r="V41" i="16"/>
  <c r="D41" i="16"/>
  <c r="AB43" i="16"/>
  <c r="V43" i="16"/>
  <c r="P43" i="16"/>
  <c r="Y43" i="16"/>
  <c r="S43" i="16"/>
  <c r="Z43" i="16"/>
  <c r="N43" i="16"/>
  <c r="H43" i="16"/>
  <c r="D43" i="16"/>
  <c r="W43" i="16"/>
  <c r="M43" i="16"/>
  <c r="G43" i="16"/>
  <c r="Q43" i="16"/>
  <c r="AF43" i="16"/>
  <c r="T43" i="16"/>
  <c r="K43" i="16"/>
  <c r="E43" i="16"/>
  <c r="AC43" i="16"/>
  <c r="J43" i="16"/>
  <c r="AF45" i="16"/>
  <c r="Z45" i="16"/>
  <c r="T45" i="16"/>
  <c r="N45" i="16"/>
  <c r="H45" i="16"/>
  <c r="AC45" i="16"/>
  <c r="W45" i="16"/>
  <c r="Q45" i="16"/>
  <c r="K45" i="16"/>
  <c r="E45" i="16"/>
  <c r="Y45" i="16"/>
  <c r="M45" i="16"/>
  <c r="P45" i="16"/>
  <c r="V45" i="16"/>
  <c r="J45" i="16"/>
  <c r="AB45" i="16"/>
  <c r="S45" i="16"/>
  <c r="G45" i="16"/>
  <c r="D45" i="16"/>
  <c r="AF47" i="16"/>
  <c r="Z47" i="16"/>
  <c r="T47" i="16"/>
  <c r="N47" i="16"/>
  <c r="H47" i="16"/>
  <c r="Y47" i="16"/>
  <c r="S47" i="16"/>
  <c r="M47" i="16"/>
  <c r="G47" i="16"/>
  <c r="AC47" i="16"/>
  <c r="W47" i="16"/>
  <c r="Q47" i="16"/>
  <c r="K47" i="16"/>
  <c r="E47" i="16"/>
  <c r="V47" i="16"/>
  <c r="D47" i="16"/>
  <c r="P47" i="16"/>
  <c r="J47" i="16"/>
  <c r="AB47" i="16"/>
  <c r="AF49" i="16"/>
  <c r="Z49" i="16"/>
  <c r="T49" i="16"/>
  <c r="N49" i="16"/>
  <c r="H49" i="16"/>
  <c r="Y49" i="16"/>
  <c r="S49" i="16"/>
  <c r="M49" i="16"/>
  <c r="G49" i="16"/>
  <c r="AC49" i="16"/>
  <c r="W49" i="16"/>
  <c r="Q49" i="16"/>
  <c r="K49" i="16"/>
  <c r="E49" i="16"/>
  <c r="J49" i="16"/>
  <c r="P49" i="16"/>
  <c r="AB49" i="16"/>
  <c r="D49" i="16"/>
  <c r="V49" i="16"/>
  <c r="Y51" i="16"/>
  <c r="S51" i="16"/>
  <c r="M51" i="16"/>
  <c r="G51" i="16"/>
  <c r="AC51" i="16"/>
  <c r="W51" i="16"/>
  <c r="Q51" i="16"/>
  <c r="K51" i="16"/>
  <c r="AB51" i="16"/>
  <c r="V51" i="16"/>
  <c r="P51" i="16"/>
  <c r="J51" i="16"/>
  <c r="E51" i="16"/>
  <c r="T51" i="16"/>
  <c r="Z51" i="16"/>
  <c r="N51" i="16"/>
  <c r="D51" i="16"/>
  <c r="AF51" i="16"/>
  <c r="H51" i="16"/>
  <c r="Y53" i="16"/>
  <c r="S53" i="16"/>
  <c r="M53" i="16"/>
  <c r="G53" i="16"/>
  <c r="AC53" i="16"/>
  <c r="W53" i="16"/>
  <c r="Q53" i="16"/>
  <c r="K53" i="16"/>
  <c r="E53" i="16"/>
  <c r="AB53" i="16"/>
  <c r="V53" i="16"/>
  <c r="P53" i="16"/>
  <c r="J53" i="16"/>
  <c r="D53" i="16"/>
  <c r="AF53" i="16"/>
  <c r="H53" i="16"/>
  <c r="N53" i="16"/>
  <c r="Z53" i="16"/>
  <c r="T53" i="16"/>
  <c r="Y55" i="16"/>
  <c r="S55" i="16"/>
  <c r="M55" i="16"/>
  <c r="G55" i="16"/>
  <c r="AC55" i="16"/>
  <c r="W55" i="16"/>
  <c r="Q55" i="16"/>
  <c r="K55" i="16"/>
  <c r="E55" i="16"/>
  <c r="AB55" i="16"/>
  <c r="V55" i="16"/>
  <c r="P55" i="16"/>
  <c r="J55" i="16"/>
  <c r="D55" i="16"/>
  <c r="T55" i="16"/>
  <c r="N55" i="16"/>
  <c r="AF55" i="16"/>
  <c r="H55" i="16"/>
  <c r="Z55" i="16"/>
  <c r="AC57" i="16"/>
  <c r="W57" i="16"/>
  <c r="M57" i="16"/>
  <c r="G57" i="16"/>
  <c r="AB57" i="16"/>
  <c r="V57" i="16"/>
  <c r="Q57" i="16"/>
  <c r="K57" i="16"/>
  <c r="E57" i="16"/>
  <c r="AF57" i="16"/>
  <c r="Z57" i="16"/>
  <c r="T57" i="16"/>
  <c r="P57" i="16"/>
  <c r="J57" i="16"/>
  <c r="D57" i="16"/>
  <c r="H57" i="16"/>
  <c r="N57" i="16"/>
  <c r="Y57" i="16"/>
  <c r="S57" i="16"/>
  <c r="AC66" i="16"/>
  <c r="W66" i="16"/>
  <c r="Q66" i="16"/>
  <c r="K66" i="16"/>
  <c r="E66" i="16"/>
  <c r="AB66" i="16"/>
  <c r="V66" i="16"/>
  <c r="P66" i="16"/>
  <c r="J66" i="16"/>
  <c r="D66" i="16"/>
  <c r="AF66" i="16"/>
  <c r="Z66" i="16"/>
  <c r="T66" i="16"/>
  <c r="N66" i="16"/>
  <c r="H66" i="16"/>
  <c r="S66" i="16"/>
  <c r="Y66" i="16"/>
  <c r="M66" i="16"/>
  <c r="G66" i="16"/>
  <c r="AC68" i="16"/>
  <c r="W68" i="16"/>
  <c r="Q68" i="16"/>
  <c r="K68" i="16"/>
  <c r="E68" i="16"/>
  <c r="AB68" i="16"/>
  <c r="V68" i="16"/>
  <c r="P68" i="16"/>
  <c r="J68" i="16"/>
  <c r="D68" i="16"/>
  <c r="AF68" i="16"/>
  <c r="Z68" i="16"/>
  <c r="T68" i="16"/>
  <c r="N68" i="16"/>
  <c r="H68" i="16"/>
  <c r="G68" i="16"/>
  <c r="Y68" i="16"/>
  <c r="M68" i="16"/>
  <c r="S68" i="16"/>
  <c r="Y70" i="16"/>
  <c r="S70" i="16"/>
  <c r="M70" i="16"/>
  <c r="G70" i="16"/>
  <c r="AC70" i="16"/>
  <c r="V70" i="16"/>
  <c r="N70" i="16"/>
  <c r="E70" i="16"/>
  <c r="AB70" i="16"/>
  <c r="T70" i="16"/>
  <c r="K70" i="16"/>
  <c r="D70" i="16"/>
  <c r="Z70" i="16"/>
  <c r="Q70" i="16"/>
  <c r="J70" i="16"/>
  <c r="AF70" i="16"/>
  <c r="W70" i="16"/>
  <c r="P70" i="16"/>
  <c r="H70" i="16"/>
  <c r="Y72" i="16"/>
  <c r="S72" i="16"/>
  <c r="M72" i="16"/>
  <c r="G72" i="16"/>
  <c r="Z72" i="16"/>
  <c r="Q72" i="16"/>
  <c r="J72" i="16"/>
  <c r="AF72" i="16"/>
  <c r="W72" i="16"/>
  <c r="P72" i="16"/>
  <c r="H72" i="16"/>
  <c r="AC72" i="16"/>
  <c r="V72" i="16"/>
  <c r="N72" i="16"/>
  <c r="E72" i="16"/>
  <c r="D72" i="16"/>
  <c r="K72" i="16"/>
  <c r="AB72" i="16"/>
  <c r="T72" i="16"/>
  <c r="Y74" i="16"/>
  <c r="S74" i="16"/>
  <c r="M74" i="16"/>
  <c r="G74" i="16"/>
  <c r="AC74" i="16"/>
  <c r="V74" i="16"/>
  <c r="N74" i="16"/>
  <c r="E74" i="16"/>
  <c r="AB74" i="16"/>
  <c r="T74" i="16"/>
  <c r="K74" i="16"/>
  <c r="D74" i="16"/>
  <c r="Z74" i="16"/>
  <c r="Q74" i="16"/>
  <c r="J74" i="16"/>
  <c r="H74" i="16"/>
  <c r="AF74" i="16"/>
  <c r="P74" i="16"/>
  <c r="W74" i="16"/>
  <c r="Y76" i="16"/>
  <c r="S76" i="16"/>
  <c r="M76" i="16"/>
  <c r="G76" i="16"/>
  <c r="Z76" i="16"/>
  <c r="Q76" i="16"/>
  <c r="J76" i="16"/>
  <c r="AF76" i="16"/>
  <c r="W76" i="16"/>
  <c r="P76" i="16"/>
  <c r="H76" i="16"/>
  <c r="AC76" i="16"/>
  <c r="V76" i="16"/>
  <c r="N76" i="16"/>
  <c r="E76" i="16"/>
  <c r="K76" i="16"/>
  <c r="D76" i="16"/>
  <c r="AB76" i="16"/>
  <c r="T76" i="16"/>
  <c r="AF78" i="16"/>
  <c r="Z78" i="16"/>
  <c r="T78" i="16"/>
  <c r="N78" i="16"/>
  <c r="H78" i="16"/>
  <c r="Y78" i="16"/>
  <c r="Q78" i="16"/>
  <c r="J78" i="16"/>
  <c r="AC78" i="16"/>
  <c r="S78" i="16"/>
  <c r="G78" i="16"/>
  <c r="AB78" i="16"/>
  <c r="P78" i="16"/>
  <c r="E78" i="16"/>
  <c r="W78" i="16"/>
  <c r="M78" i="16"/>
  <c r="D78" i="16"/>
  <c r="V78" i="16"/>
  <c r="K78" i="16"/>
  <c r="AF80" i="16"/>
  <c r="Z80" i="16"/>
  <c r="T80" i="16"/>
  <c r="N80" i="16"/>
  <c r="H80" i="16"/>
  <c r="AC80" i="16"/>
  <c r="V80" i="16"/>
  <c r="M80" i="16"/>
  <c r="E80" i="16"/>
  <c r="S80" i="16"/>
  <c r="J80" i="16"/>
  <c r="Y80" i="16"/>
  <c r="K80" i="16"/>
  <c r="W80" i="16"/>
  <c r="G80" i="16"/>
  <c r="Q80" i="16"/>
  <c r="D80" i="16"/>
  <c r="P80" i="16"/>
  <c r="AB80" i="16"/>
  <c r="AF82" i="16"/>
  <c r="Z82" i="16"/>
  <c r="T82" i="16"/>
  <c r="N82" i="16"/>
  <c r="H82" i="16"/>
  <c r="Y82" i="16"/>
  <c r="Q82" i="16"/>
  <c r="J82" i="16"/>
  <c r="W82" i="16"/>
  <c r="M82" i="16"/>
  <c r="D82" i="16"/>
  <c r="V82" i="16"/>
  <c r="G82" i="16"/>
  <c r="S82" i="16"/>
  <c r="E82" i="16"/>
  <c r="AC82" i="16"/>
  <c r="P82" i="16"/>
  <c r="K82" i="16"/>
  <c r="AB82" i="16"/>
  <c r="AF84" i="16"/>
  <c r="Z84" i="16"/>
  <c r="T84" i="16"/>
  <c r="N84" i="16"/>
  <c r="H84" i="16"/>
  <c r="AC84" i="16"/>
  <c r="V84" i="16"/>
  <c r="M84" i="16"/>
  <c r="E84" i="16"/>
  <c r="AB84" i="16"/>
  <c r="Q84" i="16"/>
  <c r="G84" i="16"/>
  <c r="S84" i="16"/>
  <c r="D84" i="16"/>
  <c r="P84" i="16"/>
  <c r="Y84" i="16"/>
  <c r="K84" i="16"/>
  <c r="J84" i="16"/>
  <c r="W84" i="16"/>
  <c r="AF93" i="16"/>
  <c r="Z93" i="16"/>
  <c r="T93" i="16"/>
  <c r="N93" i="16"/>
  <c r="H93" i="16"/>
  <c r="Y93" i="16"/>
  <c r="Q93" i="16"/>
  <c r="J93" i="16"/>
  <c r="AB93" i="16"/>
  <c r="P93" i="16"/>
  <c r="E93" i="16"/>
  <c r="V93" i="16"/>
  <c r="K93" i="16"/>
  <c r="S93" i="16"/>
  <c r="M93" i="16"/>
  <c r="AC93" i="16"/>
  <c r="G93" i="16"/>
  <c r="W93" i="16"/>
  <c r="D93" i="16"/>
  <c r="AF95" i="16"/>
  <c r="Z95" i="16"/>
  <c r="T95" i="16"/>
  <c r="N95" i="16"/>
  <c r="H95" i="16"/>
  <c r="AC95" i="16"/>
  <c r="V95" i="16"/>
  <c r="M95" i="16"/>
  <c r="E95" i="16"/>
  <c r="S95" i="16"/>
  <c r="J95" i="16"/>
  <c r="Y95" i="16"/>
  <c r="P95" i="16"/>
  <c r="D95" i="16"/>
  <c r="W95" i="16"/>
  <c r="Q95" i="16"/>
  <c r="K95" i="16"/>
  <c r="AB95" i="16"/>
  <c r="G95" i="16"/>
  <c r="AF97" i="16"/>
  <c r="Z97" i="16"/>
  <c r="T97" i="16"/>
  <c r="N97" i="16"/>
  <c r="H97" i="16"/>
  <c r="Y97" i="16"/>
  <c r="Q97" i="16"/>
  <c r="J97" i="16"/>
  <c r="W97" i="16"/>
  <c r="M97" i="16"/>
  <c r="D97" i="16"/>
  <c r="AC97" i="16"/>
  <c r="S97" i="16"/>
  <c r="G97" i="16"/>
  <c r="AB97" i="16"/>
  <c r="E97" i="16"/>
  <c r="V97" i="16"/>
  <c r="P97" i="16"/>
  <c r="K97" i="16"/>
  <c r="AF99" i="16"/>
  <c r="Z99" i="16"/>
  <c r="T99" i="16"/>
  <c r="N99" i="16"/>
  <c r="H99" i="16"/>
  <c r="AC99" i="16"/>
  <c r="V99" i="16"/>
  <c r="M99" i="16"/>
  <c r="E99" i="16"/>
  <c r="AB99" i="16"/>
  <c r="Q99" i="16"/>
  <c r="G99" i="16"/>
  <c r="W99" i="16"/>
  <c r="K99" i="16"/>
  <c r="J99" i="16"/>
  <c r="Y99" i="16"/>
  <c r="D99" i="16"/>
  <c r="S99" i="16"/>
  <c r="P99" i="16"/>
  <c r="AF101" i="16"/>
  <c r="Z101" i="16"/>
  <c r="T101" i="16"/>
  <c r="N101" i="16"/>
  <c r="H101" i="16"/>
  <c r="Y101" i="16"/>
  <c r="Q101" i="16"/>
  <c r="J101" i="16"/>
  <c r="V101" i="16"/>
  <c r="K101" i="16"/>
  <c r="AB101" i="16"/>
  <c r="P101" i="16"/>
  <c r="E101" i="16"/>
  <c r="M101" i="16"/>
  <c r="AC101" i="16"/>
  <c r="G101" i="16"/>
  <c r="W101" i="16"/>
  <c r="D101" i="16"/>
  <c r="S101" i="16"/>
  <c r="AF103" i="16"/>
  <c r="Z103" i="16"/>
  <c r="T103" i="16"/>
  <c r="N103" i="16"/>
  <c r="H103" i="16"/>
  <c r="AC103" i="16"/>
  <c r="V103" i="16"/>
  <c r="M103" i="16"/>
  <c r="E103" i="16"/>
  <c r="Y103" i="16"/>
  <c r="P103" i="16"/>
  <c r="D103" i="16"/>
  <c r="S103" i="16"/>
  <c r="J103" i="16"/>
  <c r="Q103" i="16"/>
  <c r="K103" i="16"/>
  <c r="AB103" i="16"/>
  <c r="G103" i="16"/>
  <c r="W103" i="16"/>
  <c r="Y105" i="16"/>
  <c r="S105" i="16"/>
  <c r="M105" i="16"/>
  <c r="G105" i="16"/>
  <c r="AF105" i="16"/>
  <c r="W105" i="16"/>
  <c r="P105" i="16"/>
  <c r="H105" i="16"/>
  <c r="AB105" i="16"/>
  <c r="Q105" i="16"/>
  <c r="E105" i="16"/>
  <c r="V105" i="16"/>
  <c r="K105" i="16"/>
  <c r="T105" i="16"/>
  <c r="N105" i="16"/>
  <c r="AC105" i="16"/>
  <c r="J105" i="16"/>
  <c r="D105" i="16"/>
  <c r="Z105" i="16"/>
  <c r="Y107" i="16"/>
  <c r="S107" i="16"/>
  <c r="M107" i="16"/>
  <c r="G107" i="16"/>
  <c r="AC107" i="16"/>
  <c r="W107" i="16"/>
  <c r="AF107" i="16"/>
  <c r="T107" i="16"/>
  <c r="K107" i="16"/>
  <c r="D107" i="16"/>
  <c r="V107" i="16"/>
  <c r="J107" i="16"/>
  <c r="Q107" i="16"/>
  <c r="H107" i="16"/>
  <c r="AB107" i="16"/>
  <c r="P107" i="16"/>
  <c r="E107" i="16"/>
  <c r="Z107" i="16"/>
  <c r="N107" i="16"/>
  <c r="Y109" i="16"/>
  <c r="S109" i="16"/>
  <c r="M109" i="16"/>
  <c r="G109" i="16"/>
  <c r="AC109" i="16"/>
  <c r="W109" i="16"/>
  <c r="Q109" i="16"/>
  <c r="K109" i="16"/>
  <c r="E109" i="16"/>
  <c r="AF109" i="16"/>
  <c r="T109" i="16"/>
  <c r="H109" i="16"/>
  <c r="Z109" i="16"/>
  <c r="J109" i="16"/>
  <c r="V109" i="16"/>
  <c r="D109" i="16"/>
  <c r="P109" i="16"/>
  <c r="AB109" i="16"/>
  <c r="N109" i="16"/>
  <c r="AC111" i="16"/>
  <c r="W111" i="16"/>
  <c r="Q111" i="16"/>
  <c r="K111" i="16"/>
  <c r="E111" i="16"/>
  <c r="AB111" i="16"/>
  <c r="V111" i="16"/>
  <c r="P111" i="16"/>
  <c r="J111" i="16"/>
  <c r="D111" i="16"/>
  <c r="S111" i="16"/>
  <c r="G111" i="16"/>
  <c r="Z111" i="16"/>
  <c r="M111" i="16"/>
  <c r="Y111" i="16"/>
  <c r="H111" i="16"/>
  <c r="T111" i="16"/>
  <c r="AF111" i="16"/>
  <c r="N111" i="16"/>
  <c r="AB120" i="16"/>
  <c r="V120" i="16"/>
  <c r="P120" i="16"/>
  <c r="J120" i="16"/>
  <c r="AC120" i="16"/>
  <c r="T120" i="16"/>
  <c r="M120" i="16"/>
  <c r="E120" i="16"/>
  <c r="Z120" i="16"/>
  <c r="S120" i="16"/>
  <c r="K120" i="16"/>
  <c r="D120" i="16"/>
  <c r="W120" i="16"/>
  <c r="G120" i="16"/>
  <c r="AF120" i="16"/>
  <c r="Q120" i="16"/>
  <c r="H120" i="16"/>
  <c r="Y120" i="16"/>
  <c r="N120" i="16"/>
  <c r="Y122" i="16"/>
  <c r="S122" i="16"/>
  <c r="M122" i="16"/>
  <c r="G122" i="16"/>
  <c r="AB122" i="16"/>
  <c r="T122" i="16"/>
  <c r="K122" i="16"/>
  <c r="D122" i="16"/>
  <c r="AC122" i="16"/>
  <c r="Q122" i="16"/>
  <c r="H122" i="16"/>
  <c r="Z122" i="16"/>
  <c r="P122" i="16"/>
  <c r="E122" i="16"/>
  <c r="V122" i="16"/>
  <c r="N122" i="16"/>
  <c r="W122" i="16"/>
  <c r="J122" i="16"/>
  <c r="AF122" i="16"/>
  <c r="AC124" i="16"/>
  <c r="W124" i="16"/>
  <c r="Q124" i="16"/>
  <c r="K124" i="16"/>
  <c r="V124" i="16"/>
  <c r="N124" i="16"/>
  <c r="G124" i="16"/>
  <c r="AF124" i="16"/>
  <c r="T124" i="16"/>
  <c r="J124" i="16"/>
  <c r="AB124" i="16"/>
  <c r="S124" i="16"/>
  <c r="H124" i="16"/>
  <c r="Y124" i="16"/>
  <c r="D124" i="16"/>
  <c r="P124" i="16"/>
  <c r="E124" i="16"/>
  <c r="Z124" i="16"/>
  <c r="M124" i="16"/>
  <c r="AC126" i="16"/>
  <c r="W126" i="16"/>
  <c r="Q126" i="16"/>
  <c r="K126" i="16"/>
  <c r="E126" i="16"/>
  <c r="Z126" i="16"/>
  <c r="S126" i="16"/>
  <c r="J126" i="16"/>
  <c r="Y126" i="16"/>
  <c r="N126" i="16"/>
  <c r="D126" i="16"/>
  <c r="AF126" i="16"/>
  <c r="V126" i="16"/>
  <c r="M126" i="16"/>
  <c r="AB126" i="16"/>
  <c r="G126" i="16"/>
  <c r="T126" i="16"/>
  <c r="P126" i="16"/>
  <c r="H126" i="16"/>
  <c r="AC128" i="16"/>
  <c r="W128" i="16"/>
  <c r="Q128" i="16"/>
  <c r="K128" i="16"/>
  <c r="E128" i="16"/>
  <c r="V128" i="16"/>
  <c r="N128" i="16"/>
  <c r="G128" i="16"/>
  <c r="AB128" i="16"/>
  <c r="S128" i="16"/>
  <c r="H128" i="16"/>
  <c r="Z128" i="16"/>
  <c r="P128" i="16"/>
  <c r="D128" i="16"/>
  <c r="AF128" i="16"/>
  <c r="J128" i="16"/>
  <c r="Y128" i="16"/>
  <c r="M128" i="16"/>
  <c r="T128" i="16"/>
  <c r="AB130" i="16"/>
  <c r="V130" i="16"/>
  <c r="P130" i="16"/>
  <c r="J130" i="16"/>
  <c r="D130" i="16"/>
  <c r="AF130" i="16"/>
  <c r="Y130" i="16"/>
  <c r="Q130" i="16"/>
  <c r="H130" i="16"/>
  <c r="T130" i="16"/>
  <c r="K130" i="16"/>
  <c r="AC130" i="16"/>
  <c r="S130" i="16"/>
  <c r="G130" i="16"/>
  <c r="M130" i="16"/>
  <c r="Z130" i="16"/>
  <c r="E130" i="16"/>
  <c r="W130" i="16"/>
  <c r="N130" i="16"/>
  <c r="AB132" i="16"/>
  <c r="V132" i="16"/>
  <c r="P132" i="16"/>
  <c r="J132" i="16"/>
  <c r="D132" i="16"/>
  <c r="AC132" i="16"/>
  <c r="T132" i="16"/>
  <c r="M132" i="16"/>
  <c r="E132" i="16"/>
  <c r="Y132" i="16"/>
  <c r="N132" i="16"/>
  <c r="AF132" i="16"/>
  <c r="W132" i="16"/>
  <c r="K132" i="16"/>
  <c r="Q132" i="16"/>
  <c r="H132" i="16"/>
  <c r="S132" i="16"/>
  <c r="G132" i="16"/>
  <c r="Z132" i="16"/>
  <c r="AF134" i="16"/>
  <c r="Z134" i="16"/>
  <c r="T134" i="16"/>
  <c r="N134" i="16"/>
  <c r="H134" i="16"/>
  <c r="W134" i="16"/>
  <c r="P134" i="16"/>
  <c r="G134" i="16"/>
  <c r="AB134" i="16"/>
  <c r="Q134" i="16"/>
  <c r="E134" i="16"/>
  <c r="Y134" i="16"/>
  <c r="M134" i="16"/>
  <c r="D134" i="16"/>
  <c r="S134" i="16"/>
  <c r="K134" i="16"/>
  <c r="AC134" i="16"/>
  <c r="V134" i="16"/>
  <c r="J134" i="16"/>
  <c r="AF136" i="16"/>
  <c r="Z136" i="16"/>
  <c r="T136" i="16"/>
  <c r="N136" i="16"/>
  <c r="H136" i="16"/>
  <c r="AB136" i="16"/>
  <c r="S136" i="16"/>
  <c r="K136" i="16"/>
  <c r="D136" i="16"/>
  <c r="V136" i="16"/>
  <c r="J136" i="16"/>
  <c r="AC136" i="16"/>
  <c r="Q136" i="16"/>
  <c r="G136" i="16"/>
  <c r="W136" i="16"/>
  <c r="P136" i="16"/>
  <c r="Y136" i="16"/>
  <c r="M136" i="16"/>
  <c r="E136" i="16"/>
  <c r="Y138" i="16"/>
  <c r="S138" i="16"/>
  <c r="N138" i="16"/>
  <c r="H138" i="16"/>
  <c r="AC138" i="16"/>
  <c r="V138" i="16"/>
  <c r="P138" i="16"/>
  <c r="G138" i="16"/>
  <c r="W138" i="16"/>
  <c r="M138" i="16"/>
  <c r="D138" i="16"/>
  <c r="AF138" i="16"/>
  <c r="T138" i="16"/>
  <c r="K138" i="16"/>
  <c r="Z138" i="16"/>
  <c r="E138" i="16"/>
  <c r="J138" i="16"/>
  <c r="AB138" i="16"/>
  <c r="Q138" i="16"/>
  <c r="AF40" i="16"/>
  <c r="Z40" i="16"/>
  <c r="T40" i="16"/>
  <c r="N40" i="16"/>
  <c r="H40" i="16"/>
  <c r="V40" i="16"/>
  <c r="D40" i="16"/>
  <c r="Y40" i="16"/>
  <c r="S40" i="16"/>
  <c r="M40" i="16"/>
  <c r="G40" i="16"/>
  <c r="AB40" i="16"/>
  <c r="J40" i="16"/>
  <c r="AC40" i="16"/>
  <c r="W40" i="16"/>
  <c r="Q40" i="16"/>
  <c r="K40" i="16"/>
  <c r="E40" i="16"/>
  <c r="P40" i="16"/>
  <c r="AF48" i="16"/>
  <c r="Z48" i="16"/>
  <c r="T48" i="16"/>
  <c r="N48" i="16"/>
  <c r="H48" i="16"/>
  <c r="Y48" i="16"/>
  <c r="S48" i="16"/>
  <c r="M48" i="16"/>
  <c r="G48" i="16"/>
  <c r="AC48" i="16"/>
  <c r="W48" i="16"/>
  <c r="Q48" i="16"/>
  <c r="K48" i="16"/>
  <c r="E48" i="16"/>
  <c r="P48" i="16"/>
  <c r="J48" i="16"/>
  <c r="V48" i="16"/>
  <c r="AB48" i="16"/>
  <c r="D48" i="16"/>
  <c r="Y56" i="16"/>
  <c r="S56" i="16"/>
  <c r="M56" i="16"/>
  <c r="G56" i="16"/>
  <c r="AC56" i="16"/>
  <c r="W56" i="16"/>
  <c r="Q56" i="16"/>
  <c r="K56" i="16"/>
  <c r="E56" i="16"/>
  <c r="AB56" i="16"/>
  <c r="V56" i="16"/>
  <c r="P56" i="16"/>
  <c r="J56" i="16"/>
  <c r="D56" i="16"/>
  <c r="N56" i="16"/>
  <c r="AF56" i="16"/>
  <c r="H56" i="16"/>
  <c r="T56" i="16"/>
  <c r="Z56" i="16"/>
  <c r="AC67" i="16"/>
  <c r="W67" i="16"/>
  <c r="Q67" i="16"/>
  <c r="K67" i="16"/>
  <c r="E67" i="16"/>
  <c r="AB67" i="16"/>
  <c r="V67" i="16"/>
  <c r="P67" i="16"/>
  <c r="J67" i="16"/>
  <c r="D67" i="16"/>
  <c r="AF67" i="16"/>
  <c r="Z67" i="16"/>
  <c r="T67" i="16"/>
  <c r="N67" i="16"/>
  <c r="H67" i="16"/>
  <c r="M67" i="16"/>
  <c r="G67" i="16"/>
  <c r="Y67" i="16"/>
  <c r="S67" i="16"/>
  <c r="Y75" i="16"/>
  <c r="S75" i="16"/>
  <c r="M75" i="16"/>
  <c r="G75" i="16"/>
  <c r="AF75" i="16"/>
  <c r="W75" i="16"/>
  <c r="P75" i="16"/>
  <c r="H75" i="16"/>
  <c r="AC75" i="16"/>
  <c r="V75" i="16"/>
  <c r="N75" i="16"/>
  <c r="E75" i="16"/>
  <c r="AB75" i="16"/>
  <c r="T75" i="16"/>
  <c r="K75" i="16"/>
  <c r="D75" i="16"/>
  <c r="J75" i="16"/>
  <c r="Q75" i="16"/>
  <c r="Z75" i="16"/>
  <c r="AF83" i="16"/>
  <c r="Z83" i="16"/>
  <c r="T83" i="16"/>
  <c r="N83" i="16"/>
  <c r="H83" i="16"/>
  <c r="AB83" i="16"/>
  <c r="S83" i="16"/>
  <c r="K83" i="16"/>
  <c r="D83" i="16"/>
  <c r="Y83" i="16"/>
  <c r="P83" i="16"/>
  <c r="E83" i="16"/>
  <c r="V83" i="16"/>
  <c r="G83" i="16"/>
  <c r="Q83" i="16"/>
  <c r="AC83" i="16"/>
  <c r="M83" i="16"/>
  <c r="W83" i="16"/>
  <c r="J83" i="16"/>
  <c r="AF96" i="16"/>
  <c r="Z96" i="16"/>
  <c r="T96" i="16"/>
  <c r="N96" i="16"/>
  <c r="H96" i="16"/>
  <c r="W96" i="16"/>
  <c r="P96" i="16"/>
  <c r="G96" i="16"/>
  <c r="V96" i="16"/>
  <c r="K96" i="16"/>
  <c r="AB96" i="16"/>
  <c r="Q96" i="16"/>
  <c r="E96" i="16"/>
  <c r="M96" i="16"/>
  <c r="AC96" i="16"/>
  <c r="J96" i="16"/>
  <c r="Y96" i="16"/>
  <c r="D96" i="16"/>
  <c r="S96" i="16"/>
  <c r="AF100" i="16"/>
  <c r="Z100" i="16"/>
  <c r="T100" i="16"/>
  <c r="N100" i="16"/>
  <c r="H100" i="16"/>
  <c r="W100" i="16"/>
  <c r="P100" i="16"/>
  <c r="G100" i="16"/>
  <c r="AC100" i="16"/>
  <c r="S100" i="16"/>
  <c r="J100" i="16"/>
  <c r="Y100" i="16"/>
  <c r="M100" i="16"/>
  <c r="D100" i="16"/>
  <c r="V100" i="16"/>
  <c r="Q100" i="16"/>
  <c r="K100" i="16"/>
  <c r="E100" i="16"/>
  <c r="AB100" i="16"/>
  <c r="AF102" i="16"/>
  <c r="Z102" i="16"/>
  <c r="T102" i="16"/>
  <c r="N102" i="16"/>
  <c r="H102" i="16"/>
  <c r="AB102" i="16"/>
  <c r="S102" i="16"/>
  <c r="K102" i="16"/>
  <c r="D102" i="16"/>
  <c r="W102" i="16"/>
  <c r="M102" i="16"/>
  <c r="AC102" i="16"/>
  <c r="Q102" i="16"/>
  <c r="G102" i="16"/>
  <c r="Y102" i="16"/>
  <c r="E102" i="16"/>
  <c r="V102" i="16"/>
  <c r="P102" i="16"/>
  <c r="J102" i="16"/>
  <c r="AC110" i="16"/>
  <c r="S110" i="16"/>
  <c r="M110" i="16"/>
  <c r="G110" i="16"/>
  <c r="AB110" i="16"/>
  <c r="W110" i="16"/>
  <c r="Q110" i="16"/>
  <c r="K110" i="16"/>
  <c r="E110" i="16"/>
  <c r="Y110" i="16"/>
  <c r="N110" i="16"/>
  <c r="Z110" i="16"/>
  <c r="J110" i="16"/>
  <c r="V110" i="16"/>
  <c r="H110" i="16"/>
  <c r="AF110" i="16"/>
  <c r="T110" i="16"/>
  <c r="D110" i="16"/>
  <c r="P110" i="16"/>
  <c r="Y121" i="16"/>
  <c r="S121" i="16"/>
  <c r="M121" i="16"/>
  <c r="Z121" i="16"/>
  <c r="Q121" i="16"/>
  <c r="J121" i="16"/>
  <c r="D121" i="16"/>
  <c r="AB121" i="16"/>
  <c r="P121" i="16"/>
  <c r="G121" i="16"/>
  <c r="W121" i="16"/>
  <c r="N121" i="16"/>
  <c r="E121" i="16"/>
  <c r="AC121" i="16"/>
  <c r="H121" i="16"/>
  <c r="V121" i="16"/>
  <c r="K121" i="16"/>
  <c r="AF121" i="16"/>
  <c r="T121" i="16"/>
  <c r="Y123" i="16"/>
  <c r="S123" i="16"/>
  <c r="M123" i="16"/>
  <c r="G123" i="16"/>
  <c r="AC123" i="16"/>
  <c r="V123" i="16"/>
  <c r="N123" i="16"/>
  <c r="E123" i="16"/>
  <c r="AF123" i="16"/>
  <c r="T123" i="16"/>
  <c r="J123" i="16"/>
  <c r="AB123" i="16"/>
  <c r="Q123" i="16"/>
  <c r="H123" i="16"/>
  <c r="K123" i="16"/>
  <c r="Z123" i="16"/>
  <c r="D123" i="16"/>
  <c r="W123" i="16"/>
  <c r="P123" i="16"/>
  <c r="AC127" i="16"/>
  <c r="W127" i="16"/>
  <c r="Q127" i="16"/>
  <c r="K127" i="16"/>
  <c r="E127" i="16"/>
  <c r="AB127" i="16"/>
  <c r="T127" i="16"/>
  <c r="M127" i="16"/>
  <c r="D127" i="16"/>
  <c r="Z127" i="16"/>
  <c r="P127" i="16"/>
  <c r="G127" i="16"/>
  <c r="Y127" i="16"/>
  <c r="N127" i="16"/>
  <c r="S127" i="16"/>
  <c r="AF127" i="16"/>
  <c r="J127" i="16"/>
  <c r="V127" i="16"/>
  <c r="H127" i="16"/>
  <c r="AF133" i="16"/>
  <c r="Z133" i="16"/>
  <c r="V133" i="16"/>
  <c r="P133" i="16"/>
  <c r="J133" i="16"/>
  <c r="D133" i="16"/>
  <c r="AC133" i="16"/>
  <c r="W133" i="16"/>
  <c r="N133" i="16"/>
  <c r="G133" i="16"/>
  <c r="Y133" i="16"/>
  <c r="Q133" i="16"/>
  <c r="E133" i="16"/>
  <c r="M133" i="16"/>
  <c r="AB133" i="16"/>
  <c r="H133" i="16"/>
  <c r="T133" i="16"/>
  <c r="S133" i="16"/>
  <c r="K133" i="16"/>
  <c r="AF135" i="16"/>
  <c r="Z135" i="16"/>
  <c r="T135" i="16"/>
  <c r="N135" i="16"/>
  <c r="H135" i="16"/>
  <c r="Y135" i="16"/>
  <c r="Q135" i="16"/>
  <c r="J135" i="16"/>
  <c r="AC135" i="16"/>
  <c r="S135" i="16"/>
  <c r="G135" i="16"/>
  <c r="AB135" i="16"/>
  <c r="P135" i="16"/>
  <c r="E135" i="16"/>
  <c r="K135" i="16"/>
  <c r="W135" i="16"/>
  <c r="D135" i="16"/>
  <c r="M135" i="16"/>
  <c r="V135" i="16"/>
  <c r="BN82" i="18"/>
  <c r="AW109" i="18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1" i="16"/>
  <c r="AE52" i="16"/>
  <c r="AE53" i="16"/>
  <c r="AE54" i="16"/>
  <c r="AE55" i="16"/>
  <c r="AE56" i="16"/>
  <c r="AE57" i="16"/>
  <c r="AE65" i="16"/>
  <c r="AE66" i="16"/>
  <c r="AG66" i="16" s="1"/>
  <c r="AE67" i="16"/>
  <c r="AE68" i="16"/>
  <c r="AE69" i="16"/>
  <c r="AE70" i="16"/>
  <c r="AE71" i="16"/>
  <c r="AE72" i="16"/>
  <c r="AE73" i="16"/>
  <c r="AE74" i="16"/>
  <c r="AE75" i="16"/>
  <c r="AE76" i="16"/>
  <c r="AE77" i="16"/>
  <c r="AE78" i="16"/>
  <c r="AE79" i="16"/>
  <c r="AE80" i="16"/>
  <c r="AE81" i="16"/>
  <c r="AE82" i="16"/>
  <c r="AE83" i="16"/>
  <c r="AE84" i="16"/>
  <c r="AE92" i="16"/>
  <c r="AE93" i="16"/>
  <c r="AE94" i="16"/>
  <c r="AE95" i="16"/>
  <c r="AE96" i="16"/>
  <c r="AE97" i="16"/>
  <c r="AE98" i="16"/>
  <c r="AE99" i="16"/>
  <c r="AE100" i="16"/>
  <c r="AE101" i="16"/>
  <c r="AG101" i="16" s="1"/>
  <c r="AE102" i="16"/>
  <c r="AE103" i="16"/>
  <c r="AE104" i="16"/>
  <c r="AE105" i="16"/>
  <c r="AE106" i="16"/>
  <c r="AE107" i="16"/>
  <c r="AE108" i="16"/>
  <c r="AE109" i="16"/>
  <c r="AE110" i="16"/>
  <c r="AE111" i="16"/>
  <c r="AE119" i="16"/>
  <c r="AE120" i="16"/>
  <c r="AE121" i="16"/>
  <c r="AE122" i="16"/>
  <c r="AE123" i="16"/>
  <c r="AE124" i="16"/>
  <c r="AE125" i="16"/>
  <c r="AE126" i="16"/>
  <c r="AE127" i="16"/>
  <c r="AE128" i="16"/>
  <c r="AE129" i="16"/>
  <c r="AE130" i="16"/>
  <c r="AE131" i="16"/>
  <c r="AE132" i="16"/>
  <c r="AE133" i="16"/>
  <c r="AE134" i="16"/>
  <c r="AE135" i="16"/>
  <c r="AE136" i="16"/>
  <c r="AE137" i="16"/>
  <c r="AE138" i="16"/>
  <c r="BK46" i="1" l="1"/>
  <c r="BH43" i="1"/>
  <c r="U108" i="16"/>
  <c r="BU33" i="1"/>
  <c r="BW33" i="1" s="1"/>
  <c r="O78" i="16"/>
  <c r="X134" i="16"/>
  <c r="F127" i="16"/>
  <c r="U102" i="16"/>
  <c r="L105" i="16"/>
  <c r="O99" i="16"/>
  <c r="O80" i="16"/>
  <c r="R76" i="16"/>
  <c r="X47" i="16"/>
  <c r="O43" i="16"/>
  <c r="X41" i="16"/>
  <c r="AA103" i="16"/>
  <c r="AD48" i="16"/>
  <c r="L77" i="16"/>
  <c r="L73" i="16"/>
  <c r="AG45" i="16"/>
  <c r="I138" i="16"/>
  <c r="O126" i="16"/>
  <c r="O95" i="16"/>
  <c r="AD84" i="16"/>
  <c r="L74" i="16"/>
  <c r="AD74" i="16"/>
  <c r="R72" i="16"/>
  <c r="F51" i="16"/>
  <c r="R51" i="16"/>
  <c r="F49" i="16"/>
  <c r="AA65" i="16"/>
  <c r="F46" i="16"/>
  <c r="R127" i="16"/>
  <c r="X97" i="16"/>
  <c r="AA93" i="16"/>
  <c r="R74" i="16"/>
  <c r="F74" i="16"/>
  <c r="X72" i="16"/>
  <c r="AD57" i="16"/>
  <c r="I43" i="16"/>
  <c r="I131" i="16"/>
  <c r="X42" i="16"/>
  <c r="AD110" i="16"/>
  <c r="AA82" i="16"/>
  <c r="R70" i="16"/>
  <c r="F70" i="16"/>
  <c r="L51" i="16"/>
  <c r="X49" i="16"/>
  <c r="F71" i="16"/>
  <c r="X71" i="16"/>
  <c r="U65" i="16"/>
  <c r="O137" i="16"/>
  <c r="I104" i="16"/>
  <c r="U83" i="16"/>
  <c r="U120" i="16"/>
  <c r="AA97" i="16"/>
  <c r="AA78" i="16"/>
  <c r="X76" i="16"/>
  <c r="O66" i="16"/>
  <c r="X51" i="16"/>
  <c r="U79" i="16"/>
  <c r="U98" i="16"/>
  <c r="F69" i="16"/>
  <c r="AG130" i="16"/>
  <c r="U136" i="16"/>
  <c r="O103" i="16"/>
  <c r="AD99" i="16"/>
  <c r="O84" i="16"/>
  <c r="AD70" i="16"/>
  <c r="X57" i="16"/>
  <c r="AD51" i="16"/>
  <c r="R49" i="16"/>
  <c r="O45" i="16"/>
  <c r="AD106" i="16"/>
  <c r="AD71" i="16"/>
  <c r="U94" i="16"/>
  <c r="L69" i="16"/>
  <c r="AD133" i="16"/>
  <c r="AA83" i="16"/>
  <c r="I82" i="16"/>
  <c r="L79" i="16"/>
  <c r="AA98" i="16"/>
  <c r="AG98" i="16"/>
  <c r="X110" i="16"/>
  <c r="AD75" i="16"/>
  <c r="X75" i="16"/>
  <c r="F75" i="16"/>
  <c r="F120" i="16"/>
  <c r="U127" i="16"/>
  <c r="AA135" i="16"/>
  <c r="AG132" i="16"/>
  <c r="AG103" i="16"/>
  <c r="R73" i="16"/>
  <c r="AA137" i="16"/>
  <c r="AA38" i="16"/>
  <c r="AA81" i="16"/>
  <c r="R126" i="16"/>
  <c r="L83" i="16"/>
  <c r="U93" i="16"/>
  <c r="U57" i="16"/>
  <c r="AA96" i="16"/>
  <c r="AA136" i="16"/>
  <c r="U99" i="16"/>
  <c r="O93" i="16"/>
  <c r="I125" i="16"/>
  <c r="L94" i="16"/>
  <c r="I96" i="16"/>
  <c r="I92" i="16"/>
  <c r="I100" i="16"/>
  <c r="L136" i="16"/>
  <c r="U95" i="16"/>
  <c r="U80" i="16"/>
  <c r="AA57" i="16"/>
  <c r="AD44" i="16"/>
  <c r="L129" i="16"/>
  <c r="I81" i="16"/>
  <c r="F135" i="16"/>
  <c r="U100" i="16"/>
  <c r="AD103" i="16"/>
  <c r="I101" i="16"/>
  <c r="U82" i="16"/>
  <c r="I137" i="16"/>
  <c r="O81" i="16"/>
  <c r="I134" i="16"/>
  <c r="AA92" i="16"/>
  <c r="AD137" i="16"/>
  <c r="AG125" i="16"/>
  <c r="U119" i="16"/>
  <c r="F45" i="16"/>
  <c r="AD45" i="16"/>
  <c r="F108" i="16"/>
  <c r="AD104" i="16"/>
  <c r="L50" i="16"/>
  <c r="F42" i="16"/>
  <c r="AA42" i="16"/>
  <c r="R123" i="16"/>
  <c r="AD100" i="16"/>
  <c r="AD107" i="16"/>
  <c r="AD80" i="16"/>
  <c r="AG57" i="16"/>
  <c r="L49" i="16"/>
  <c r="F41" i="16"/>
  <c r="R94" i="16"/>
  <c r="X54" i="16"/>
  <c r="AD50" i="16"/>
  <c r="U50" i="16"/>
  <c r="I46" i="16"/>
  <c r="U46" i="16"/>
  <c r="AG38" i="16"/>
  <c r="X124" i="16"/>
  <c r="U81" i="16"/>
  <c r="U38" i="16"/>
  <c r="R135" i="16"/>
  <c r="L96" i="16"/>
  <c r="AG67" i="16"/>
  <c r="AD40" i="16"/>
  <c r="X105" i="16"/>
  <c r="R101" i="16"/>
  <c r="U97" i="16"/>
  <c r="U84" i="16"/>
  <c r="R57" i="16"/>
  <c r="F47" i="16"/>
  <c r="X46" i="16"/>
  <c r="AD38" i="16"/>
  <c r="O67" i="16"/>
  <c r="AA111" i="16"/>
  <c r="L99" i="16"/>
  <c r="L132" i="16"/>
  <c r="F124" i="16"/>
  <c r="I124" i="16"/>
  <c r="X122" i="16"/>
  <c r="U111" i="16"/>
  <c r="L95" i="16"/>
  <c r="L93" i="16"/>
  <c r="L80" i="16"/>
  <c r="L72" i="16"/>
  <c r="O53" i="16"/>
  <c r="AA50" i="16"/>
  <c r="X73" i="16"/>
  <c r="AD46" i="16"/>
  <c r="AA46" i="16"/>
  <c r="AG46" i="16"/>
  <c r="R78" i="16"/>
  <c r="I68" i="16"/>
  <c r="O127" i="16"/>
  <c r="U121" i="16"/>
  <c r="F121" i="16"/>
  <c r="R110" i="16"/>
  <c r="I110" i="16"/>
  <c r="X100" i="16"/>
  <c r="L100" i="16"/>
  <c r="U96" i="16"/>
  <c r="R75" i="16"/>
  <c r="R67" i="16"/>
  <c r="X56" i="16"/>
  <c r="F48" i="16"/>
  <c r="U48" i="16"/>
  <c r="U134" i="16"/>
  <c r="F134" i="16"/>
  <c r="O132" i="16"/>
  <c r="O124" i="16"/>
  <c r="AD124" i="16"/>
  <c r="O122" i="16"/>
  <c r="L120" i="16"/>
  <c r="R111" i="16"/>
  <c r="X109" i="16"/>
  <c r="X107" i="16"/>
  <c r="R105" i="16"/>
  <c r="F103" i="16"/>
  <c r="U101" i="16"/>
  <c r="L101" i="16"/>
  <c r="I99" i="16"/>
  <c r="I95" i="16"/>
  <c r="F93" i="16"/>
  <c r="AG93" i="16"/>
  <c r="R84" i="16"/>
  <c r="I84" i="16"/>
  <c r="AD82" i="16"/>
  <c r="X82" i="16"/>
  <c r="L82" i="16"/>
  <c r="I80" i="16"/>
  <c r="AD78" i="16"/>
  <c r="L76" i="16"/>
  <c r="O76" i="16"/>
  <c r="O72" i="16"/>
  <c r="U68" i="16"/>
  <c r="AG68" i="16"/>
  <c r="R68" i="16"/>
  <c r="I66" i="16"/>
  <c r="U66" i="16"/>
  <c r="R66" i="16"/>
  <c r="I57" i="16"/>
  <c r="X55" i="16"/>
  <c r="O55" i="16"/>
  <c r="X53" i="16"/>
  <c r="O51" i="16"/>
  <c r="U49" i="16"/>
  <c r="AD47" i="16"/>
  <c r="U47" i="16"/>
  <c r="L43" i="16"/>
  <c r="AG43" i="16"/>
  <c r="I41" i="16"/>
  <c r="AG41" i="16"/>
  <c r="L39" i="16"/>
  <c r="I39" i="16"/>
  <c r="AG39" i="16"/>
  <c r="R106" i="16"/>
  <c r="O106" i="16"/>
  <c r="AD92" i="16"/>
  <c r="F92" i="16"/>
  <c r="R92" i="16"/>
  <c r="R79" i="16"/>
  <c r="I79" i="16"/>
  <c r="I65" i="16"/>
  <c r="R65" i="16"/>
  <c r="F137" i="16"/>
  <c r="AG137" i="16"/>
  <c r="AG131" i="16"/>
  <c r="AD125" i="16"/>
  <c r="R125" i="16"/>
  <c r="AG119" i="16"/>
  <c r="O119" i="16"/>
  <c r="R119" i="16"/>
  <c r="L119" i="16"/>
  <c r="L108" i="16"/>
  <c r="I94" i="16"/>
  <c r="R81" i="16"/>
  <c r="AD42" i="16"/>
  <c r="AG79" i="16"/>
  <c r="AG44" i="16"/>
  <c r="F129" i="16"/>
  <c r="F125" i="16"/>
  <c r="R50" i="16"/>
  <c r="AG42" i="16"/>
  <c r="U135" i="16"/>
  <c r="X96" i="16"/>
  <c r="I67" i="16"/>
  <c r="U40" i="16"/>
  <c r="L138" i="16"/>
  <c r="AD138" i="16"/>
  <c r="U132" i="16"/>
  <c r="U130" i="16"/>
  <c r="R128" i="16"/>
  <c r="R122" i="16"/>
  <c r="AG120" i="16"/>
  <c r="U103" i="16"/>
  <c r="R97" i="16"/>
  <c r="R93" i="16"/>
  <c r="R82" i="16"/>
  <c r="X78" i="16"/>
  <c r="U78" i="16"/>
  <c r="AD49" i="16"/>
  <c r="U45" i="16"/>
  <c r="X45" i="16"/>
  <c r="U41" i="16"/>
  <c r="U39" i="16"/>
  <c r="X92" i="16"/>
  <c r="U92" i="16"/>
  <c r="F65" i="16"/>
  <c r="AD65" i="16"/>
  <c r="L52" i="16"/>
  <c r="AA129" i="16"/>
  <c r="U125" i="16"/>
  <c r="F119" i="16"/>
  <c r="AD119" i="16"/>
  <c r="I108" i="16"/>
  <c r="L54" i="16"/>
  <c r="I50" i="16"/>
  <c r="AG50" i="16"/>
  <c r="L126" i="16"/>
  <c r="I129" i="16"/>
  <c r="I119" i="16"/>
  <c r="I98" i="16"/>
  <c r="X94" i="16"/>
  <c r="AG94" i="16"/>
  <c r="R121" i="16"/>
  <c r="AG81" i="16"/>
  <c r="AG77" i="16"/>
  <c r="O123" i="16"/>
  <c r="AA127" i="16"/>
  <c r="AD123" i="16"/>
  <c r="I123" i="16"/>
  <c r="AD121" i="16"/>
  <c r="X102" i="16"/>
  <c r="AA100" i="16"/>
  <c r="X83" i="16"/>
  <c r="L48" i="16"/>
  <c r="AA40" i="16"/>
  <c r="R136" i="16"/>
  <c r="AA134" i="16"/>
  <c r="X126" i="16"/>
  <c r="AA126" i="16"/>
  <c r="U124" i="16"/>
  <c r="F122" i="16"/>
  <c r="F109" i="16"/>
  <c r="AG109" i="16"/>
  <c r="R107" i="16"/>
  <c r="L107" i="16"/>
  <c r="AD105" i="16"/>
  <c r="AA99" i="16"/>
  <c r="AA95" i="16"/>
  <c r="AA84" i="16"/>
  <c r="AA80" i="16"/>
  <c r="F78" i="16"/>
  <c r="AA41" i="16"/>
  <c r="AA39" i="16"/>
  <c r="AA94" i="16"/>
  <c r="I126" i="16"/>
  <c r="X130" i="16"/>
  <c r="AA107" i="16"/>
  <c r="AA53" i="16"/>
  <c r="X43" i="16"/>
  <c r="AD39" i="16"/>
  <c r="AG65" i="16"/>
  <c r="AA52" i="16"/>
  <c r="I44" i="16"/>
  <c r="F44" i="16"/>
  <c r="L137" i="16"/>
  <c r="AA108" i="16"/>
  <c r="X104" i="16"/>
  <c r="F81" i="16"/>
  <c r="X81" i="16"/>
  <c r="AA69" i="16"/>
  <c r="L133" i="16"/>
  <c r="L127" i="16"/>
  <c r="AG123" i="16"/>
  <c r="X121" i="16"/>
  <c r="L110" i="16"/>
  <c r="F102" i="16"/>
  <c r="I102" i="16"/>
  <c r="F83" i="16"/>
  <c r="AG75" i="16"/>
  <c r="L67" i="16"/>
  <c r="R56" i="16"/>
  <c r="I56" i="16"/>
  <c r="O48" i="16"/>
  <c r="F136" i="16"/>
  <c r="AD132" i="16"/>
  <c r="F130" i="16"/>
  <c r="L128" i="16"/>
  <c r="I128" i="16"/>
  <c r="F111" i="16"/>
  <c r="I107" i="16"/>
  <c r="AG105" i="16"/>
  <c r="X93" i="16"/>
  <c r="AG74" i="16"/>
  <c r="I55" i="16"/>
  <c r="AG55" i="16"/>
  <c r="AG51" i="16"/>
  <c r="AA43" i="16"/>
  <c r="AD43" i="16"/>
  <c r="X39" i="16"/>
  <c r="I106" i="16"/>
  <c r="AG106" i="16"/>
  <c r="X79" i="16"/>
  <c r="X108" i="16"/>
  <c r="L104" i="16"/>
  <c r="L81" i="16"/>
  <c r="F50" i="16"/>
  <c r="L123" i="16"/>
  <c r="R100" i="16"/>
  <c r="F138" i="16"/>
  <c r="O107" i="16"/>
  <c r="L97" i="16"/>
  <c r="L78" i="16"/>
  <c r="L106" i="16"/>
  <c r="R71" i="16"/>
  <c r="O71" i="16"/>
  <c r="O52" i="16"/>
  <c r="U44" i="16"/>
  <c r="R44" i="16"/>
  <c r="L131" i="16"/>
  <c r="O108" i="16"/>
  <c r="O104" i="16"/>
  <c r="U77" i="16"/>
  <c r="O69" i="16"/>
  <c r="O54" i="16"/>
  <c r="O73" i="16"/>
  <c r="AG56" i="16"/>
  <c r="AG138" i="16"/>
  <c r="L135" i="16"/>
  <c r="R133" i="16"/>
  <c r="AG102" i="16"/>
  <c r="R96" i="16"/>
  <c r="O75" i="16"/>
  <c r="R48" i="16"/>
  <c r="R40" i="16"/>
  <c r="I40" i="16"/>
  <c r="R138" i="16"/>
  <c r="L134" i="16"/>
  <c r="O130" i="16"/>
  <c r="L130" i="16"/>
  <c r="O105" i="16"/>
  <c r="O135" i="16"/>
  <c r="AG135" i="16"/>
  <c r="I135" i="16"/>
  <c r="U133" i="16"/>
  <c r="AA133" i="16"/>
  <c r="X133" i="16"/>
  <c r="X127" i="16"/>
  <c r="X123" i="16"/>
  <c r="U123" i="16"/>
  <c r="AG121" i="16"/>
  <c r="I121" i="16"/>
  <c r="L121" i="16"/>
  <c r="AG110" i="16"/>
  <c r="O110" i="16"/>
  <c r="L102" i="16"/>
  <c r="AA102" i="16"/>
  <c r="O102" i="16"/>
  <c r="F100" i="16"/>
  <c r="F96" i="16"/>
  <c r="O96" i="16"/>
  <c r="AG83" i="16"/>
  <c r="R83" i="16"/>
  <c r="U75" i="16"/>
  <c r="AA67" i="16"/>
  <c r="X67" i="16"/>
  <c r="F56" i="16"/>
  <c r="AD56" i="16"/>
  <c r="U56" i="16"/>
  <c r="AA48" i="16"/>
  <c r="O40" i="16"/>
  <c r="F40" i="16"/>
  <c r="O138" i="16"/>
  <c r="X138" i="16"/>
  <c r="U138" i="16"/>
  <c r="O136" i="16"/>
  <c r="I136" i="16"/>
  <c r="X136" i="16"/>
  <c r="R134" i="16"/>
  <c r="I132" i="16"/>
  <c r="R132" i="16"/>
  <c r="I130" i="16"/>
  <c r="AA130" i="16"/>
  <c r="R130" i="16"/>
  <c r="O128" i="16"/>
  <c r="F128" i="16"/>
  <c r="U128" i="16"/>
  <c r="X128" i="16"/>
  <c r="AD126" i="16"/>
  <c r="F126" i="16"/>
  <c r="U126" i="16"/>
  <c r="AA124" i="16"/>
  <c r="L124" i="16"/>
  <c r="R124" i="16"/>
  <c r="L122" i="16"/>
  <c r="U122" i="16"/>
  <c r="AA120" i="16"/>
  <c r="O120" i="16"/>
  <c r="R120" i="16"/>
  <c r="O111" i="16"/>
  <c r="AG111" i="16"/>
  <c r="X111" i="16"/>
  <c r="AD109" i="16"/>
  <c r="L109" i="16"/>
  <c r="U109" i="16"/>
  <c r="F107" i="16"/>
  <c r="U107" i="16"/>
  <c r="F105" i="16"/>
  <c r="U105" i="16"/>
  <c r="I103" i="16"/>
  <c r="L103" i="16"/>
  <c r="R103" i="16"/>
  <c r="X103" i="16"/>
  <c r="F101" i="16"/>
  <c r="O101" i="16"/>
  <c r="AG99" i="16"/>
  <c r="R99" i="16"/>
  <c r="X99" i="16"/>
  <c r="AG97" i="16"/>
  <c r="AD97" i="16"/>
  <c r="F97" i="16"/>
  <c r="AD95" i="16"/>
  <c r="F95" i="16"/>
  <c r="X95" i="16"/>
  <c r="L84" i="16"/>
  <c r="AG84" i="16"/>
  <c r="X84" i="16"/>
  <c r="F82" i="16"/>
  <c r="R80" i="16"/>
  <c r="X80" i="16"/>
  <c r="AG78" i="16"/>
  <c r="I78" i="16"/>
  <c r="AD76" i="16"/>
  <c r="U76" i="16"/>
  <c r="X74" i="16"/>
  <c r="U74" i="16"/>
  <c r="AD72" i="16"/>
  <c r="U72" i="16"/>
  <c r="X70" i="16"/>
  <c r="U70" i="16"/>
  <c r="O68" i="16"/>
  <c r="X68" i="16"/>
  <c r="X66" i="16"/>
  <c r="F57" i="16"/>
  <c r="O57" i="16"/>
  <c r="F55" i="16"/>
  <c r="AD55" i="16"/>
  <c r="U55" i="16"/>
  <c r="F53" i="16"/>
  <c r="AD53" i="16"/>
  <c r="U53" i="16"/>
  <c r="U51" i="16"/>
  <c r="AA49" i="16"/>
  <c r="L47" i="16"/>
  <c r="AA47" i="16"/>
  <c r="I45" i="16"/>
  <c r="L45" i="16"/>
  <c r="AA45" i="16"/>
  <c r="R43" i="16"/>
  <c r="O41" i="16"/>
  <c r="L41" i="16"/>
  <c r="O39" i="16"/>
  <c r="F39" i="16"/>
  <c r="X106" i="16"/>
  <c r="U106" i="16"/>
  <c r="L92" i="16"/>
  <c r="O92" i="16"/>
  <c r="L71" i="16"/>
  <c r="U71" i="16"/>
  <c r="O65" i="16"/>
  <c r="X65" i="16"/>
  <c r="F52" i="16"/>
  <c r="AD52" i="16"/>
  <c r="X52" i="16"/>
  <c r="U52" i="16"/>
  <c r="AA44" i="16"/>
  <c r="X44" i="16"/>
  <c r="R137" i="16"/>
  <c r="X137" i="16"/>
  <c r="AA131" i="16"/>
  <c r="O131" i="16"/>
  <c r="U131" i="16"/>
  <c r="R131" i="16"/>
  <c r="U129" i="16"/>
  <c r="X129" i="16"/>
  <c r="R129" i="16"/>
  <c r="O125" i="16"/>
  <c r="AA125" i="16"/>
  <c r="AA119" i="16"/>
  <c r="X119" i="16"/>
  <c r="AD108" i="16"/>
  <c r="F104" i="16"/>
  <c r="R104" i="16"/>
  <c r="U104" i="16"/>
  <c r="L98" i="16"/>
  <c r="R98" i="16"/>
  <c r="AD81" i="16"/>
  <c r="X77" i="16"/>
  <c r="R77" i="16"/>
  <c r="AD77" i="16"/>
  <c r="AA77" i="16"/>
  <c r="X69" i="16"/>
  <c r="R69" i="16"/>
  <c r="U69" i="16"/>
  <c r="F54" i="16"/>
  <c r="AD54" i="16"/>
  <c r="U54" i="16"/>
  <c r="U42" i="16"/>
  <c r="U73" i="16"/>
  <c r="R46" i="16"/>
  <c r="X38" i="16"/>
  <c r="O38" i="16"/>
  <c r="R38" i="16"/>
  <c r="X135" i="16"/>
  <c r="AD135" i="16"/>
  <c r="I127" i="16"/>
  <c r="O121" i="16"/>
  <c r="AD96" i="16"/>
  <c r="U67" i="16"/>
  <c r="O56" i="16"/>
  <c r="AG40" i="16"/>
  <c r="O109" i="16"/>
  <c r="AD101" i="16"/>
  <c r="O74" i="16"/>
  <c r="L70" i="16"/>
  <c r="O70" i="16"/>
  <c r="AG133" i="16"/>
  <c r="O133" i="16"/>
  <c r="I133" i="16"/>
  <c r="F133" i="16"/>
  <c r="AG127" i="16"/>
  <c r="AD127" i="16"/>
  <c r="F123" i="16"/>
  <c r="AA123" i="16"/>
  <c r="AA121" i="16"/>
  <c r="F110" i="16"/>
  <c r="AA110" i="16"/>
  <c r="U110" i="16"/>
  <c r="R102" i="16"/>
  <c r="AD102" i="16"/>
  <c r="O100" i="16"/>
  <c r="AG100" i="16"/>
  <c r="AG96" i="16"/>
  <c r="O83" i="16"/>
  <c r="I83" i="16"/>
  <c r="AD83" i="16"/>
  <c r="L75" i="16"/>
  <c r="AA75" i="16"/>
  <c r="F67" i="16"/>
  <c r="AD67" i="16"/>
  <c r="L56" i="16"/>
  <c r="AA56" i="16"/>
  <c r="X48" i="16"/>
  <c r="I48" i="16"/>
  <c r="AG48" i="16"/>
  <c r="L40" i="16"/>
  <c r="X40" i="16"/>
  <c r="AA138" i="16"/>
  <c r="AG136" i="16"/>
  <c r="AD136" i="16"/>
  <c r="O134" i="16"/>
  <c r="AD134" i="16"/>
  <c r="AG134" i="16"/>
  <c r="AA132" i="16"/>
  <c r="X132" i="16"/>
  <c r="AA128" i="16"/>
  <c r="AD128" i="16"/>
  <c r="AG128" i="16"/>
  <c r="AG126" i="16"/>
  <c r="AD122" i="16"/>
  <c r="AA122" i="16"/>
  <c r="I120" i="16"/>
  <c r="X120" i="16"/>
  <c r="AD111" i="16"/>
  <c r="R109" i="16"/>
  <c r="AA109" i="16"/>
  <c r="AA105" i="16"/>
  <c r="X101" i="16"/>
  <c r="AA101" i="16"/>
  <c r="F99" i="16"/>
  <c r="I97" i="16"/>
  <c r="O97" i="16"/>
  <c r="R95" i="16"/>
  <c r="AG95" i="16"/>
  <c r="I93" i="16"/>
  <c r="F84" i="16"/>
  <c r="AG82" i="16"/>
  <c r="O82" i="16"/>
  <c r="F80" i="16"/>
  <c r="AG80" i="16"/>
  <c r="F76" i="16"/>
  <c r="AA76" i="16"/>
  <c r="AA74" i="16"/>
  <c r="AA72" i="16"/>
  <c r="AA70" i="16"/>
  <c r="AA68" i="16"/>
  <c r="F68" i="16"/>
  <c r="AD68" i="16"/>
  <c r="F66" i="16"/>
  <c r="AD66" i="16"/>
  <c r="L57" i="16"/>
  <c r="L55" i="16"/>
  <c r="AA55" i="16"/>
  <c r="L53" i="16"/>
  <c r="AA51" i="16"/>
  <c r="I49" i="16"/>
  <c r="AG49" i="16"/>
  <c r="R47" i="16"/>
  <c r="I47" i="16"/>
  <c r="AG47" i="16"/>
  <c r="F43" i="16"/>
  <c r="U43" i="16"/>
  <c r="AD41" i="16"/>
  <c r="R39" i="16"/>
  <c r="F106" i="16"/>
  <c r="AA106" i="16"/>
  <c r="AG92" i="16"/>
  <c r="O79" i="16"/>
  <c r="AD79" i="16"/>
  <c r="AA71" i="16"/>
  <c r="X131" i="16"/>
  <c r="AG129" i="16"/>
  <c r="L125" i="16"/>
  <c r="X125" i="16"/>
  <c r="R108" i="16"/>
  <c r="AA104" i="16"/>
  <c r="X98" i="16"/>
  <c r="AD98" i="16"/>
  <c r="O94" i="16"/>
  <c r="AD94" i="16"/>
  <c r="F77" i="16"/>
  <c r="I77" i="16"/>
  <c r="I69" i="16"/>
  <c r="AA54" i="16"/>
  <c r="X50" i="16"/>
  <c r="O42" i="16"/>
  <c r="R42" i="16"/>
  <c r="AD73" i="16"/>
  <c r="AA73" i="16"/>
  <c r="I38" i="16"/>
  <c r="F38" i="16"/>
  <c r="I75" i="16"/>
  <c r="F132" i="16"/>
  <c r="AD130" i="16"/>
  <c r="AG124" i="16"/>
  <c r="I122" i="16"/>
  <c r="AG122" i="16"/>
  <c r="AD120" i="16"/>
  <c r="I111" i="16"/>
  <c r="L111" i="16"/>
  <c r="I109" i="16"/>
  <c r="AG107" i="16"/>
  <c r="I105" i="16"/>
  <c r="AD93" i="16"/>
  <c r="I76" i="16"/>
  <c r="AG76" i="16"/>
  <c r="I74" i="16"/>
  <c r="F72" i="16"/>
  <c r="I72" i="16"/>
  <c r="AG72" i="16"/>
  <c r="I70" i="16"/>
  <c r="AG70" i="16"/>
  <c r="L68" i="16"/>
  <c r="AA66" i="16"/>
  <c r="L66" i="16"/>
  <c r="R55" i="16"/>
  <c r="R53" i="16"/>
  <c r="I53" i="16"/>
  <c r="AG53" i="16"/>
  <c r="I51" i="16"/>
  <c r="O49" i="16"/>
  <c r="O47" i="16"/>
  <c r="R45" i="16"/>
  <c r="R41" i="16"/>
  <c r="AA79" i="16"/>
  <c r="F79" i="16"/>
  <c r="I71" i="16"/>
  <c r="AG71" i="16"/>
  <c r="L65" i="16"/>
  <c r="R52" i="16"/>
  <c r="I52" i="16"/>
  <c r="AG52" i="16"/>
  <c r="O44" i="16"/>
  <c r="L44" i="16"/>
  <c r="U137" i="16"/>
  <c r="F131" i="16"/>
  <c r="AD131" i="16"/>
  <c r="O129" i="16"/>
  <c r="AD129" i="16"/>
  <c r="AG108" i="16"/>
  <c r="AG104" i="16"/>
  <c r="O98" i="16"/>
  <c r="F98" i="16"/>
  <c r="F94" i="16"/>
  <c r="O77" i="16"/>
  <c r="AD69" i="16"/>
  <c r="AG69" i="16"/>
  <c r="R54" i="16"/>
  <c r="I54" i="16"/>
  <c r="AG54" i="16"/>
  <c r="O50" i="16"/>
  <c r="L42" i="16"/>
  <c r="I42" i="16"/>
  <c r="F73" i="16"/>
  <c r="I73" i="16"/>
  <c r="AG73" i="16"/>
  <c r="L46" i="16"/>
  <c r="O46" i="16"/>
  <c r="L38" i="16"/>
  <c r="BN109" i="18"/>
  <c r="B12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5" i="16"/>
  <c r="B15" i="16"/>
  <c r="C14" i="16"/>
  <c r="B14" i="16"/>
  <c r="C13" i="16"/>
  <c r="B13" i="16"/>
  <c r="C12" i="16"/>
  <c r="C11" i="16"/>
  <c r="B11" i="16"/>
  <c r="BK48" i="1" l="1"/>
  <c r="BK41" i="1"/>
  <c r="BH50" i="1"/>
  <c r="BU34" i="1"/>
  <c r="BW34" i="1" s="1"/>
  <c r="J2" i="18"/>
  <c r="J56" i="18"/>
  <c r="G13" i="16"/>
  <c r="M13" i="16"/>
  <c r="S13" i="16"/>
  <c r="Y13" i="16"/>
  <c r="Q13" i="16"/>
  <c r="AC13" i="16"/>
  <c r="H13" i="16"/>
  <c r="N13" i="16"/>
  <c r="T13" i="16"/>
  <c r="Z13" i="16"/>
  <c r="AF13" i="16"/>
  <c r="E13" i="16"/>
  <c r="W13" i="16"/>
  <c r="D13" i="16"/>
  <c r="J13" i="16"/>
  <c r="P13" i="16"/>
  <c r="V13" i="16"/>
  <c r="AB13" i="16"/>
  <c r="K13" i="16"/>
  <c r="J110" i="18"/>
  <c r="E15" i="16"/>
  <c r="K15" i="16"/>
  <c r="Q15" i="16"/>
  <c r="W15" i="16"/>
  <c r="AC15" i="16"/>
  <c r="J15" i="16"/>
  <c r="AB15" i="16"/>
  <c r="G15" i="16"/>
  <c r="M15" i="16"/>
  <c r="S15" i="16"/>
  <c r="Y15" i="16"/>
  <c r="D15" i="16"/>
  <c r="V15" i="16"/>
  <c r="H15" i="16"/>
  <c r="N15" i="16"/>
  <c r="T15" i="16"/>
  <c r="Z15" i="16"/>
  <c r="AF15" i="16"/>
  <c r="P15" i="16"/>
  <c r="AA29" i="18"/>
  <c r="E17" i="16"/>
  <c r="K17" i="16"/>
  <c r="Q17" i="16"/>
  <c r="W17" i="16"/>
  <c r="AC17" i="16"/>
  <c r="D17" i="16"/>
  <c r="V17" i="16"/>
  <c r="G17" i="16"/>
  <c r="M17" i="16"/>
  <c r="S17" i="16"/>
  <c r="Y17" i="16"/>
  <c r="J17" i="16"/>
  <c r="AB17" i="16"/>
  <c r="H17" i="16"/>
  <c r="N17" i="16"/>
  <c r="T17" i="16"/>
  <c r="Z17" i="16"/>
  <c r="AF17" i="16"/>
  <c r="P17" i="16"/>
  <c r="AA83" i="18"/>
  <c r="E19" i="16"/>
  <c r="J19" i="16"/>
  <c r="P19" i="16"/>
  <c r="V19" i="16"/>
  <c r="AB19" i="16"/>
  <c r="N19" i="16"/>
  <c r="Z19" i="16"/>
  <c r="G19" i="16"/>
  <c r="K19" i="16"/>
  <c r="Q19" i="16"/>
  <c r="W19" i="16"/>
  <c r="AC19" i="16"/>
  <c r="D19" i="16"/>
  <c r="F19" i="16" s="1"/>
  <c r="T19" i="16"/>
  <c r="AF19" i="16"/>
  <c r="H19" i="16"/>
  <c r="M19" i="16"/>
  <c r="S19" i="16"/>
  <c r="Y19" i="16"/>
  <c r="AR2" i="18"/>
  <c r="AF21" i="16"/>
  <c r="M21" i="16"/>
  <c r="Y21" i="16"/>
  <c r="D21" i="16"/>
  <c r="J21" i="16"/>
  <c r="P21" i="16"/>
  <c r="V21" i="16"/>
  <c r="AB21" i="16"/>
  <c r="G21" i="16"/>
  <c r="S21" i="16"/>
  <c r="AR56" i="18"/>
  <c r="AF23" i="16"/>
  <c r="M23" i="16"/>
  <c r="D23" i="16"/>
  <c r="J23" i="16"/>
  <c r="P23" i="16"/>
  <c r="V23" i="16"/>
  <c r="AB23" i="16"/>
  <c r="S23" i="16"/>
  <c r="G23" i="16"/>
  <c r="Y23" i="16"/>
  <c r="AR110" i="18"/>
  <c r="H25" i="16"/>
  <c r="N25" i="16"/>
  <c r="T25" i="16"/>
  <c r="Y25" i="16"/>
  <c r="G25" i="16"/>
  <c r="AC25" i="16"/>
  <c r="D25" i="16"/>
  <c r="J25" i="16"/>
  <c r="P25" i="16"/>
  <c r="Z25" i="16"/>
  <c r="AF25" i="16"/>
  <c r="S25" i="16"/>
  <c r="K25" i="16"/>
  <c r="Q25" i="16"/>
  <c r="V25" i="16"/>
  <c r="AB25" i="16"/>
  <c r="M25" i="16"/>
  <c r="W25" i="16"/>
  <c r="BI29" i="18"/>
  <c r="G27" i="16"/>
  <c r="K27" i="16"/>
  <c r="Q27" i="16"/>
  <c r="W27" i="16"/>
  <c r="AC27" i="16"/>
  <c r="P27" i="16"/>
  <c r="AB27" i="16"/>
  <c r="H27" i="16"/>
  <c r="M27" i="16"/>
  <c r="S27" i="16"/>
  <c r="Y27" i="16"/>
  <c r="J27" i="16"/>
  <c r="D27" i="16"/>
  <c r="N27" i="16"/>
  <c r="T27" i="16"/>
  <c r="Z27" i="16"/>
  <c r="AF27" i="16"/>
  <c r="E27" i="16"/>
  <c r="V27" i="16"/>
  <c r="BI83" i="18"/>
  <c r="E29" i="16"/>
  <c r="K29" i="16"/>
  <c r="Q29" i="16"/>
  <c r="W29" i="16"/>
  <c r="AC29" i="16"/>
  <c r="D29" i="16"/>
  <c r="V29" i="16"/>
  <c r="G29" i="16"/>
  <c r="M29" i="16"/>
  <c r="S29" i="16"/>
  <c r="Y29" i="16"/>
  <c r="P29" i="16"/>
  <c r="H29" i="16"/>
  <c r="N29" i="16"/>
  <c r="T29" i="16"/>
  <c r="Z29" i="16"/>
  <c r="AF29" i="16"/>
  <c r="J29" i="16"/>
  <c r="AB29" i="16"/>
  <c r="AC11" i="16"/>
  <c r="Q11" i="16"/>
  <c r="E11" i="16"/>
  <c r="V11" i="16"/>
  <c r="J11" i="16"/>
  <c r="T11" i="16"/>
  <c r="Y11" i="16"/>
  <c r="Z11" i="16"/>
  <c r="N11" i="16"/>
  <c r="S11" i="16"/>
  <c r="G11" i="16"/>
  <c r="AF11" i="16"/>
  <c r="M11" i="16"/>
  <c r="W11" i="16"/>
  <c r="K11" i="16"/>
  <c r="AB11" i="16"/>
  <c r="P11" i="16"/>
  <c r="D11" i="16"/>
  <c r="H11" i="16"/>
  <c r="J29" i="18"/>
  <c r="H12" i="16"/>
  <c r="N12" i="16"/>
  <c r="T12" i="16"/>
  <c r="Z12" i="16"/>
  <c r="G12" i="16"/>
  <c r="AC12" i="16"/>
  <c r="D12" i="16"/>
  <c r="J12" i="16"/>
  <c r="P12" i="16"/>
  <c r="V12" i="16"/>
  <c r="AF12" i="16"/>
  <c r="S12" i="16"/>
  <c r="E12" i="16"/>
  <c r="K12" i="16"/>
  <c r="Q12" i="16"/>
  <c r="W12" i="16"/>
  <c r="AB12" i="16"/>
  <c r="M12" i="16"/>
  <c r="Y12" i="16"/>
  <c r="J83" i="18"/>
  <c r="G14" i="16"/>
  <c r="M14" i="16"/>
  <c r="Q14" i="16"/>
  <c r="W14" i="16"/>
  <c r="AC14" i="16"/>
  <c r="K14" i="16"/>
  <c r="AB14" i="16"/>
  <c r="H14" i="16"/>
  <c r="N14" i="16"/>
  <c r="S14" i="16"/>
  <c r="Y14" i="16"/>
  <c r="P14" i="16"/>
  <c r="D14" i="16"/>
  <c r="J14" i="16"/>
  <c r="T14" i="16"/>
  <c r="Z14" i="16"/>
  <c r="AF14" i="16"/>
  <c r="E14" i="16"/>
  <c r="V14" i="16"/>
  <c r="AA2" i="18"/>
  <c r="E16" i="16"/>
  <c r="K16" i="16"/>
  <c r="Q16" i="16"/>
  <c r="W16" i="16"/>
  <c r="AC16" i="16"/>
  <c r="P16" i="16"/>
  <c r="G16" i="16"/>
  <c r="M16" i="16"/>
  <c r="S16" i="16"/>
  <c r="Y16" i="16"/>
  <c r="V16" i="16"/>
  <c r="H16" i="16"/>
  <c r="N16" i="16"/>
  <c r="T16" i="16"/>
  <c r="Z16" i="16"/>
  <c r="AF16" i="16"/>
  <c r="D16" i="16"/>
  <c r="J16" i="16"/>
  <c r="AB16" i="16"/>
  <c r="AA56" i="18"/>
  <c r="E18" i="16"/>
  <c r="K18" i="16"/>
  <c r="Q18" i="16"/>
  <c r="W18" i="16"/>
  <c r="AC18" i="16"/>
  <c r="J18" i="16"/>
  <c r="AB18" i="16"/>
  <c r="G18" i="16"/>
  <c r="M18" i="16"/>
  <c r="S18" i="16"/>
  <c r="Y18" i="16"/>
  <c r="P18" i="16"/>
  <c r="H18" i="16"/>
  <c r="N18" i="16"/>
  <c r="T18" i="16"/>
  <c r="Z18" i="16"/>
  <c r="AF18" i="16"/>
  <c r="D18" i="16"/>
  <c r="V18" i="16"/>
  <c r="AA110" i="18"/>
  <c r="D20" i="16"/>
  <c r="J20" i="16"/>
  <c r="P20" i="16"/>
  <c r="V20" i="16"/>
  <c r="AF20" i="16"/>
  <c r="N20" i="16"/>
  <c r="Z20" i="16"/>
  <c r="E20" i="16"/>
  <c r="K20" i="16"/>
  <c r="Q20" i="16"/>
  <c r="W20" i="16"/>
  <c r="AB20" i="16"/>
  <c r="T20" i="16"/>
  <c r="G20" i="16"/>
  <c r="M20" i="16"/>
  <c r="S20" i="16"/>
  <c r="Y20" i="16"/>
  <c r="AC20" i="16"/>
  <c r="H20" i="16"/>
  <c r="AR29" i="18"/>
  <c r="AF22" i="16"/>
  <c r="M22" i="16"/>
  <c r="D22" i="16"/>
  <c r="J22" i="16"/>
  <c r="P22" i="16"/>
  <c r="V22" i="16"/>
  <c r="AB22" i="16"/>
  <c r="G22" i="16"/>
  <c r="Y22" i="16"/>
  <c r="S22" i="16"/>
  <c r="AR83" i="18"/>
  <c r="H24" i="16"/>
  <c r="N24" i="16"/>
  <c r="Z24" i="16"/>
  <c r="AF24" i="16"/>
  <c r="S24" i="16"/>
  <c r="D24" i="16"/>
  <c r="J24" i="16"/>
  <c r="P24" i="16"/>
  <c r="V24" i="16"/>
  <c r="AB24" i="16"/>
  <c r="M24" i="16"/>
  <c r="E24" i="16"/>
  <c r="K24" i="16"/>
  <c r="Q24" i="16"/>
  <c r="AC24" i="16"/>
  <c r="G24" i="16"/>
  <c r="Y24" i="16"/>
  <c r="BI2" i="18"/>
  <c r="G26" i="16"/>
  <c r="M26" i="16"/>
  <c r="S26" i="16"/>
  <c r="Y26" i="16"/>
  <c r="Q26" i="16"/>
  <c r="AC26" i="16"/>
  <c r="H26" i="16"/>
  <c r="N26" i="16"/>
  <c r="T26" i="16"/>
  <c r="Z26" i="16"/>
  <c r="AF26" i="16"/>
  <c r="E26" i="16"/>
  <c r="W26" i="16"/>
  <c r="D26" i="16"/>
  <c r="J26" i="16"/>
  <c r="P26" i="16"/>
  <c r="V26" i="16"/>
  <c r="AB26" i="16"/>
  <c r="K26" i="16"/>
  <c r="BI56" i="18"/>
  <c r="E28" i="16"/>
  <c r="K28" i="16"/>
  <c r="Q28" i="16"/>
  <c r="W28" i="16"/>
  <c r="AC28" i="16"/>
  <c r="P28" i="16"/>
  <c r="G28" i="16"/>
  <c r="M28" i="16"/>
  <c r="S28" i="16"/>
  <c r="Y28" i="16"/>
  <c r="D28" i="16"/>
  <c r="AB28" i="16"/>
  <c r="H28" i="16"/>
  <c r="N28" i="16"/>
  <c r="T28" i="16"/>
  <c r="Z28" i="16"/>
  <c r="AF28" i="16"/>
  <c r="J28" i="16"/>
  <c r="V28" i="16"/>
  <c r="E30" i="16"/>
  <c r="K30" i="16"/>
  <c r="Q30" i="16"/>
  <c r="W30" i="16"/>
  <c r="AC30" i="16"/>
  <c r="D30" i="16"/>
  <c r="V30" i="16"/>
  <c r="G30" i="16"/>
  <c r="M30" i="16"/>
  <c r="S30" i="16"/>
  <c r="Y30" i="16"/>
  <c r="P30" i="16"/>
  <c r="H30" i="16"/>
  <c r="N30" i="16"/>
  <c r="T30" i="16"/>
  <c r="Z30" i="16"/>
  <c r="AF30" i="16"/>
  <c r="J30" i="16"/>
  <c r="AB30" i="16"/>
  <c r="BI110" i="18"/>
  <c r="I8" i="18" l="1"/>
  <c r="BK50" i="1"/>
  <c r="BK43" i="1"/>
  <c r="BH52" i="1"/>
  <c r="BH45" i="1"/>
  <c r="BU35" i="1"/>
  <c r="BW35" i="1" s="1"/>
  <c r="BU36" i="1"/>
  <c r="BW36" i="1" s="1"/>
  <c r="AD13" i="16"/>
  <c r="AD26" i="16"/>
  <c r="AA19" i="16"/>
  <c r="O23" i="16"/>
  <c r="AA23" i="16"/>
  <c r="R17" i="16"/>
  <c r="X13" i="16"/>
  <c r="R13" i="16"/>
  <c r="X26" i="16"/>
  <c r="X27" i="16"/>
  <c r="L18" i="16"/>
  <c r="O21" i="16"/>
  <c r="L15" i="16"/>
  <c r="O22" i="16"/>
  <c r="O25" i="16"/>
  <c r="X15" i="16"/>
  <c r="X28" i="16"/>
  <c r="AA24" i="16"/>
  <c r="X16" i="16"/>
  <c r="X14" i="16"/>
  <c r="AA12" i="16"/>
  <c r="U21" i="16"/>
  <c r="I13" i="16"/>
  <c r="U27" i="16"/>
  <c r="F15" i="16"/>
  <c r="AD25" i="16"/>
  <c r="F23" i="16"/>
  <c r="L17" i="16"/>
  <c r="O19" i="16"/>
  <c r="U25" i="16"/>
  <c r="U23" i="16"/>
  <c r="AD28" i="16"/>
  <c r="I22" i="16"/>
  <c r="L27" i="16"/>
  <c r="F13" i="16"/>
  <c r="I23" i="16"/>
  <c r="O12" i="16"/>
  <c r="AA30" i="16"/>
  <c r="R30" i="16"/>
  <c r="O30" i="16"/>
  <c r="I24" i="16"/>
  <c r="AA20" i="16"/>
  <c r="U18" i="16"/>
  <c r="I16" i="16"/>
  <c r="U12" i="16"/>
  <c r="F16" i="16"/>
  <c r="L14" i="16"/>
  <c r="AD12" i="16"/>
  <c r="R18" i="16"/>
  <c r="AD21" i="16"/>
  <c r="L30" i="16"/>
  <c r="X29" i="16"/>
  <c r="X25" i="16"/>
  <c r="AA21" i="16"/>
  <c r="X17" i="16"/>
  <c r="F29" i="16"/>
  <c r="I26" i="16"/>
  <c r="O28" i="16"/>
  <c r="X22" i="16"/>
  <c r="X20" i="16"/>
  <c r="U28" i="16"/>
  <c r="O26" i="16"/>
  <c r="AD24" i="16"/>
  <c r="F24" i="16"/>
  <c r="U22" i="16"/>
  <c r="AD22" i="16"/>
  <c r="F22" i="16"/>
  <c r="F20" i="16"/>
  <c r="L16" i="16"/>
  <c r="L29" i="16"/>
  <c r="AA29" i="16"/>
  <c r="L25" i="16"/>
  <c r="X21" i="16"/>
  <c r="X19" i="16"/>
  <c r="O17" i="16"/>
  <c r="F17" i="16"/>
  <c r="U15" i="16"/>
  <c r="U13" i="16"/>
  <c r="R28" i="16"/>
  <c r="AD16" i="16"/>
  <c r="AD14" i="16"/>
  <c r="I30" i="16"/>
  <c r="O24" i="16"/>
  <c r="AD20" i="16"/>
  <c r="O18" i="16"/>
  <c r="AA16" i="16"/>
  <c r="F12" i="16"/>
  <c r="U29" i="16"/>
  <c r="AA27" i="16"/>
  <c r="AA25" i="16"/>
  <c r="L23" i="16"/>
  <c r="O20" i="16"/>
  <c r="I19" i="16"/>
  <c r="AD30" i="16"/>
  <c r="U24" i="16"/>
  <c r="R16" i="16"/>
  <c r="R21" i="16"/>
  <c r="R19" i="16"/>
  <c r="I17" i="16"/>
  <c r="O15" i="16"/>
  <c r="O13" i="16"/>
  <c r="U20" i="16"/>
  <c r="X30" i="16"/>
  <c r="I28" i="16"/>
  <c r="L26" i="16"/>
  <c r="AA26" i="16"/>
  <c r="X24" i="16"/>
  <c r="R24" i="16"/>
  <c r="AA22" i="16"/>
  <c r="R22" i="16"/>
  <c r="R20" i="16"/>
  <c r="I18" i="16"/>
  <c r="X18" i="16"/>
  <c r="U16" i="16"/>
  <c r="F14" i="16"/>
  <c r="U14" i="16"/>
  <c r="O14" i="16"/>
  <c r="L12" i="16"/>
  <c r="X12" i="16"/>
  <c r="R29" i="16"/>
  <c r="O29" i="16"/>
  <c r="AD29" i="16"/>
  <c r="F27" i="16"/>
  <c r="R27" i="16"/>
  <c r="R23" i="16"/>
  <c r="AD23" i="16"/>
  <c r="L21" i="16"/>
  <c r="I21" i="16"/>
  <c r="U19" i="16"/>
  <c r="L19" i="16"/>
  <c r="AA17" i="16"/>
  <c r="I15" i="16"/>
  <c r="F28" i="16"/>
  <c r="R26" i="16"/>
  <c r="U30" i="16"/>
  <c r="F30" i="16"/>
  <c r="AA28" i="16"/>
  <c r="L28" i="16"/>
  <c r="F26" i="16"/>
  <c r="U26" i="16"/>
  <c r="L24" i="16"/>
  <c r="L22" i="16"/>
  <c r="I20" i="16"/>
  <c r="L20" i="16"/>
  <c r="F18" i="16"/>
  <c r="AA18" i="16"/>
  <c r="AD18" i="16"/>
  <c r="O16" i="16"/>
  <c r="AA14" i="16"/>
  <c r="R14" i="16"/>
  <c r="I14" i="16"/>
  <c r="R12" i="16"/>
  <c r="I12" i="16"/>
  <c r="I29" i="16"/>
  <c r="O27" i="16"/>
  <c r="AD27" i="16"/>
  <c r="I27" i="16"/>
  <c r="F25" i="16"/>
  <c r="R25" i="16"/>
  <c r="I25" i="16"/>
  <c r="X23" i="16"/>
  <c r="F21" i="16"/>
  <c r="AD19" i="16"/>
  <c r="AD17" i="16"/>
  <c r="U17" i="16"/>
  <c r="AA15" i="16"/>
  <c r="AD15" i="16"/>
  <c r="R15" i="16"/>
  <c r="L13" i="16"/>
  <c r="AA13" i="16"/>
  <c r="BG121" i="18"/>
  <c r="BK116" i="18" s="1"/>
  <c r="AP121" i="18"/>
  <c r="AT116" i="18" s="1"/>
  <c r="H121" i="18"/>
  <c r="L116" i="18" s="1"/>
  <c r="BG94" i="18"/>
  <c r="BK89" i="18" s="1"/>
  <c r="AP94" i="18"/>
  <c r="AT89" i="18" s="1"/>
  <c r="H94" i="18"/>
  <c r="L89" i="18" s="1"/>
  <c r="Y67" i="18"/>
  <c r="AC62" i="18" s="1"/>
  <c r="Y121" i="18"/>
  <c r="AC116" i="18" s="1"/>
  <c r="Y94" i="18"/>
  <c r="AC89" i="18" s="1"/>
  <c r="BG67" i="18"/>
  <c r="BK62" i="18" s="1"/>
  <c r="AP67" i="18"/>
  <c r="AT62" i="18" s="1"/>
  <c r="AP40" i="18"/>
  <c r="AT35" i="18" s="1"/>
  <c r="Y40" i="18"/>
  <c r="AC35" i="18" s="1"/>
  <c r="BG13" i="18"/>
  <c r="BK8" i="18" s="1"/>
  <c r="H67" i="18"/>
  <c r="L62" i="18" s="1"/>
  <c r="AP13" i="18"/>
  <c r="AT8" i="18" s="1"/>
  <c r="H40" i="18"/>
  <c r="L35" i="18" s="1"/>
  <c r="Y13" i="18"/>
  <c r="AC8" i="18" s="1"/>
  <c r="BG40" i="18"/>
  <c r="BK35" i="18" s="1"/>
  <c r="Y120" i="18"/>
  <c r="AB116" i="18" s="1"/>
  <c r="Y93" i="18"/>
  <c r="AB89" i="18" s="1"/>
  <c r="BG120" i="18"/>
  <c r="BJ116" i="18" s="1"/>
  <c r="H93" i="18"/>
  <c r="K89" i="18" s="1"/>
  <c r="AP93" i="18"/>
  <c r="AS89" i="18" s="1"/>
  <c r="BG12" i="18"/>
  <c r="BJ8" i="18" s="1"/>
  <c r="Y12" i="18"/>
  <c r="AB8" i="18" s="1"/>
  <c r="H120" i="18"/>
  <c r="K116" i="18" s="1"/>
  <c r="BG93" i="18"/>
  <c r="BJ89" i="18" s="1"/>
  <c r="Y66" i="18"/>
  <c r="AB62" i="18" s="1"/>
  <c r="H66" i="18"/>
  <c r="K62" i="18" s="1"/>
  <c r="AP12" i="18"/>
  <c r="AS8" i="18" s="1"/>
  <c r="AP66" i="18"/>
  <c r="AS62" i="18" s="1"/>
  <c r="BG66" i="18"/>
  <c r="BJ62" i="18" s="1"/>
  <c r="AP120" i="18"/>
  <c r="AS116" i="18" s="1"/>
  <c r="BG39" i="18"/>
  <c r="BJ35" i="18" s="1"/>
  <c r="Y39" i="18"/>
  <c r="AB35" i="18" s="1"/>
  <c r="H39" i="18"/>
  <c r="K35" i="18" s="1"/>
  <c r="AP39" i="18"/>
  <c r="AS35" i="18" s="1"/>
  <c r="BG118" i="18"/>
  <c r="BM115" i="18" s="1"/>
  <c r="AP91" i="18"/>
  <c r="AV88" i="18" s="1"/>
  <c r="AP118" i="18"/>
  <c r="AV115" i="18" s="1"/>
  <c r="BG91" i="18"/>
  <c r="BM88" i="18" s="1"/>
  <c r="H91" i="18"/>
  <c r="N88" i="18" s="1"/>
  <c r="Y64" i="18"/>
  <c r="AE61" i="18" s="1"/>
  <c r="AP10" i="18"/>
  <c r="AV7" i="18" s="1"/>
  <c r="BG64" i="18"/>
  <c r="BM61" i="18" s="1"/>
  <c r="H118" i="18"/>
  <c r="N115" i="18" s="1"/>
  <c r="AP64" i="18"/>
  <c r="AV61" i="18" s="1"/>
  <c r="H64" i="18"/>
  <c r="N61" i="18" s="1"/>
  <c r="BG10" i="18"/>
  <c r="BM7" i="18" s="1"/>
  <c r="H37" i="18"/>
  <c r="N34" i="18" s="1"/>
  <c r="Y91" i="18"/>
  <c r="AE88" i="18" s="1"/>
  <c r="Y10" i="18"/>
  <c r="AE7" i="18" s="1"/>
  <c r="BG37" i="18"/>
  <c r="BM34" i="18" s="1"/>
  <c r="Y37" i="18"/>
  <c r="AE34" i="18" s="1"/>
  <c r="Y118" i="18"/>
  <c r="AE115" i="18" s="1"/>
  <c r="AP37" i="18"/>
  <c r="AV34" i="18" s="1"/>
  <c r="BG117" i="18"/>
  <c r="BL115" i="18" s="1"/>
  <c r="H90" i="18"/>
  <c r="M88" i="18" s="1"/>
  <c r="H117" i="18"/>
  <c r="M115" i="18" s="1"/>
  <c r="AP90" i="18"/>
  <c r="AU88" i="18" s="1"/>
  <c r="Y63" i="18"/>
  <c r="AD61" i="18" s="1"/>
  <c r="H63" i="18"/>
  <c r="M61" i="18" s="1"/>
  <c r="AP117" i="18"/>
  <c r="AU115" i="18" s="1"/>
  <c r="BG63" i="18"/>
  <c r="BL61" i="18" s="1"/>
  <c r="BG9" i="18"/>
  <c r="BL7" i="18" s="1"/>
  <c r="Y117" i="18"/>
  <c r="AD115" i="18" s="1"/>
  <c r="AP9" i="18"/>
  <c r="AU7" i="18" s="1"/>
  <c r="BG90" i="18"/>
  <c r="BL88" i="18" s="1"/>
  <c r="Y90" i="18"/>
  <c r="AD88" i="18" s="1"/>
  <c r="AP63" i="18"/>
  <c r="AU61" i="18" s="1"/>
  <c r="AP36" i="18"/>
  <c r="AU34" i="18" s="1"/>
  <c r="H36" i="18"/>
  <c r="M34" i="18" s="1"/>
  <c r="Y36" i="18"/>
  <c r="AD34" i="18" s="1"/>
  <c r="Y9" i="18"/>
  <c r="AD7" i="18" s="1"/>
  <c r="BG36" i="18"/>
  <c r="BL34" i="18" s="1"/>
  <c r="BG116" i="18"/>
  <c r="BK115" i="18" s="1"/>
  <c r="H89" i="18"/>
  <c r="L88" i="18" s="1"/>
  <c r="AP89" i="18"/>
  <c r="AT88" i="18" s="1"/>
  <c r="Y116" i="18"/>
  <c r="AC115" i="18" s="1"/>
  <c r="H116" i="18"/>
  <c r="L115" i="18" s="1"/>
  <c r="BG89" i="18"/>
  <c r="BK88" i="18" s="1"/>
  <c r="Y89" i="18"/>
  <c r="AC88" i="18" s="1"/>
  <c r="Y62" i="18"/>
  <c r="AC61" i="18" s="1"/>
  <c r="H62" i="18"/>
  <c r="L61" i="18" s="1"/>
  <c r="BG62" i="18"/>
  <c r="BK61" i="18" s="1"/>
  <c r="AP8" i="18"/>
  <c r="AT7" i="18" s="1"/>
  <c r="AP116" i="18"/>
  <c r="AT115" i="18" s="1"/>
  <c r="BG8" i="18"/>
  <c r="BK7" i="18" s="1"/>
  <c r="H35" i="18"/>
  <c r="L34" i="18" s="1"/>
  <c r="AP62" i="18"/>
  <c r="AT61" i="18" s="1"/>
  <c r="Y8" i="18"/>
  <c r="AC7" i="18" s="1"/>
  <c r="BG35" i="18"/>
  <c r="BK34" i="18" s="1"/>
  <c r="Y35" i="18"/>
  <c r="AC34" i="18" s="1"/>
  <c r="AP35" i="18"/>
  <c r="AT34" i="18" s="1"/>
  <c r="BG122" i="18"/>
  <c r="BL116" i="18" s="1"/>
  <c r="AP95" i="18"/>
  <c r="AU89" i="18" s="1"/>
  <c r="Y122" i="18"/>
  <c r="AD116" i="18" s="1"/>
  <c r="Y95" i="18"/>
  <c r="AD89" i="18" s="1"/>
  <c r="AP68" i="18"/>
  <c r="AU62" i="18" s="1"/>
  <c r="BG95" i="18"/>
  <c r="BL89" i="18" s="1"/>
  <c r="AP122" i="18"/>
  <c r="AU116" i="18" s="1"/>
  <c r="H95" i="18"/>
  <c r="M89" i="18" s="1"/>
  <c r="BG68" i="18"/>
  <c r="BL62" i="18" s="1"/>
  <c r="H122" i="18"/>
  <c r="M116" i="18" s="1"/>
  <c r="Y68" i="18"/>
  <c r="AD62" i="18" s="1"/>
  <c r="Y14" i="18"/>
  <c r="AD8" i="18" s="1"/>
  <c r="BG41" i="18"/>
  <c r="BL35" i="18" s="1"/>
  <c r="H41" i="18"/>
  <c r="M35" i="18" s="1"/>
  <c r="H68" i="18"/>
  <c r="M62" i="18" s="1"/>
  <c r="BG14" i="18"/>
  <c r="BL8" i="18" s="1"/>
  <c r="AP14" i="18"/>
  <c r="AU8" i="18" s="1"/>
  <c r="Y41" i="18"/>
  <c r="AD35" i="18" s="1"/>
  <c r="AP41" i="18"/>
  <c r="AU35" i="18" s="1"/>
  <c r="BG119" i="18"/>
  <c r="BN115" i="18" s="1"/>
  <c r="AP119" i="18"/>
  <c r="AW115" i="18" s="1"/>
  <c r="H119" i="18"/>
  <c r="O115" i="18" s="1"/>
  <c r="Y119" i="18"/>
  <c r="AF115" i="18" s="1"/>
  <c r="BG92" i="18"/>
  <c r="BN88" i="18" s="1"/>
  <c r="AP92" i="18"/>
  <c r="AW88" i="18" s="1"/>
  <c r="Y92" i="18"/>
  <c r="AF88" i="18" s="1"/>
  <c r="AP65" i="18"/>
  <c r="AW61" i="18" s="1"/>
  <c r="BG11" i="18"/>
  <c r="BN7" i="18" s="1"/>
  <c r="Y38" i="18"/>
  <c r="AF34" i="18" s="1"/>
  <c r="AP11" i="18"/>
  <c r="AW7" i="18" s="1"/>
  <c r="H38" i="18"/>
  <c r="O34" i="18" s="1"/>
  <c r="H65" i="18"/>
  <c r="O61" i="18" s="1"/>
  <c r="Y65" i="18"/>
  <c r="AF61" i="18" s="1"/>
  <c r="BG65" i="18"/>
  <c r="BN61" i="18" s="1"/>
  <c r="Y11" i="18"/>
  <c r="AF7" i="18" s="1"/>
  <c r="BG38" i="18"/>
  <c r="BN34" i="18" s="1"/>
  <c r="AP38" i="18"/>
  <c r="AW34" i="18" s="1"/>
  <c r="H92" i="18"/>
  <c r="O88" i="18" s="1"/>
  <c r="Y123" i="18"/>
  <c r="AE116" i="18" s="1"/>
  <c r="H123" i="18"/>
  <c r="N116" i="18" s="1"/>
  <c r="BG96" i="18"/>
  <c r="BM89" i="18" s="1"/>
  <c r="AP96" i="18"/>
  <c r="AV89" i="18" s="1"/>
  <c r="Y96" i="18"/>
  <c r="AE89" i="18" s="1"/>
  <c r="BG69" i="18"/>
  <c r="BM62" i="18" s="1"/>
  <c r="H96" i="18"/>
  <c r="N89" i="18" s="1"/>
  <c r="AP69" i="18"/>
  <c r="AV62" i="18" s="1"/>
  <c r="Y15" i="18"/>
  <c r="AE8" i="18" s="1"/>
  <c r="AP123" i="18"/>
  <c r="AV116" i="18" s="1"/>
  <c r="Y69" i="18"/>
  <c r="AE62" i="18" s="1"/>
  <c r="BG42" i="18"/>
  <c r="BM35" i="18" s="1"/>
  <c r="BG123" i="18"/>
  <c r="BM116" i="18" s="1"/>
  <c r="AP42" i="18"/>
  <c r="AV35" i="18" s="1"/>
  <c r="BG15" i="18"/>
  <c r="BM8" i="18" s="1"/>
  <c r="Y42" i="18"/>
  <c r="AE35" i="18" s="1"/>
  <c r="H42" i="18"/>
  <c r="N35" i="18" s="1"/>
  <c r="H69" i="18"/>
  <c r="N62" i="18" s="1"/>
  <c r="AP15" i="18"/>
  <c r="AV8" i="18" s="1"/>
  <c r="AP115" i="18"/>
  <c r="AS115" i="18" s="1"/>
  <c r="BG115" i="18"/>
  <c r="BJ115" i="18" s="1"/>
  <c r="Y115" i="18"/>
  <c r="AB115" i="18" s="1"/>
  <c r="Y88" i="18"/>
  <c r="AB88" i="18" s="1"/>
  <c r="H88" i="18"/>
  <c r="K88" i="18" s="1"/>
  <c r="AP88" i="18"/>
  <c r="AS88" i="18" s="1"/>
  <c r="BG61" i="18"/>
  <c r="BJ61" i="18" s="1"/>
  <c r="AP61" i="18"/>
  <c r="AS61" i="18" s="1"/>
  <c r="Y61" i="18"/>
  <c r="AB61" i="18" s="1"/>
  <c r="H61" i="18"/>
  <c r="K61" i="18" s="1"/>
  <c r="AP7" i="18"/>
  <c r="AS7" i="18" s="1"/>
  <c r="H115" i="18"/>
  <c r="K115" i="18" s="1"/>
  <c r="BG88" i="18"/>
  <c r="BJ88" i="18" s="1"/>
  <c r="BG7" i="18"/>
  <c r="BJ7" i="18" s="1"/>
  <c r="H34" i="18"/>
  <c r="K34" i="18" s="1"/>
  <c r="Y7" i="18"/>
  <c r="AB7" i="18" s="1"/>
  <c r="AP34" i="18"/>
  <c r="AS34" i="18" s="1"/>
  <c r="BG34" i="18"/>
  <c r="BJ34" i="18" s="1"/>
  <c r="Y34" i="18"/>
  <c r="AB34" i="18" s="1"/>
  <c r="H7" i="18"/>
  <c r="H9" i="18"/>
  <c r="H8" i="18"/>
  <c r="H12" i="18"/>
  <c r="H15" i="18"/>
  <c r="H14" i="18"/>
  <c r="H11" i="18"/>
  <c r="H10" i="18"/>
  <c r="H13" i="18"/>
  <c r="BK45" i="1" l="1"/>
  <c r="BH47" i="1"/>
  <c r="D16" i="18"/>
  <c r="BK47" i="1" l="1"/>
  <c r="BK52" i="1"/>
  <c r="BH54" i="1"/>
  <c r="BU37" i="1"/>
  <c r="BW37" i="1" s="1"/>
  <c r="K7" i="18"/>
  <c r="N8" i="18"/>
  <c r="L7" i="18"/>
  <c r="K8" i="18"/>
  <c r="N7" i="18"/>
  <c r="O7" i="18"/>
  <c r="M7" i="18"/>
  <c r="L8" i="18"/>
  <c r="M8" i="18"/>
  <c r="G16" i="18"/>
  <c r="F16" i="18"/>
  <c r="BV1" i="18" s="1"/>
  <c r="D17" i="18"/>
  <c r="E17" i="18" s="1"/>
  <c r="E16" i="18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BK49" i="1" l="1"/>
  <c r="BH49" i="1"/>
  <c r="BH56" i="1"/>
  <c r="BU38" i="1"/>
  <c r="BW38" i="1" s="1"/>
  <c r="AG28" i="16"/>
  <c r="AG24" i="16"/>
  <c r="AG20" i="16"/>
  <c r="AG16" i="16"/>
  <c r="AG27" i="16"/>
  <c r="AG23" i="16"/>
  <c r="AG19" i="16"/>
  <c r="AG15" i="16"/>
  <c r="AG30" i="16"/>
  <c r="AG26" i="16"/>
  <c r="AG22" i="16"/>
  <c r="AG18" i="16"/>
  <c r="AG14" i="16"/>
  <c r="AG29" i="16"/>
  <c r="AG25" i="16"/>
  <c r="AG21" i="16"/>
  <c r="AG17" i="16"/>
  <c r="AG13" i="16"/>
  <c r="AG12" i="16"/>
  <c r="AI13" i="1"/>
  <c r="AI12" i="1"/>
  <c r="BK54" i="1" l="1"/>
  <c r="BK51" i="1"/>
  <c r="BH51" i="1"/>
  <c r="BH58" i="1"/>
  <c r="BU39" i="1"/>
  <c r="BW39" i="1" s="1"/>
  <c r="G17" i="18"/>
  <c r="BV2" i="18"/>
  <c r="BK56" i="1" l="1"/>
  <c r="BH60" i="1"/>
  <c r="BU40" i="1"/>
  <c r="BW40" i="1" s="1"/>
  <c r="BS8" i="18"/>
  <c r="BS7" i="18"/>
  <c r="BS6" i="18"/>
  <c r="BS5" i="18"/>
  <c r="BK58" i="1" l="1"/>
  <c r="BK53" i="1"/>
  <c r="BH53" i="1"/>
  <c r="BH62" i="1"/>
  <c r="BU41" i="1"/>
  <c r="BW41" i="1" s="1"/>
  <c r="AE11" i="16"/>
  <c r="BK60" i="1" l="1"/>
  <c r="BK62" i="1" s="1"/>
  <c r="BK64" i="1" s="1"/>
  <c r="BK66" i="1" s="1"/>
  <c r="BK68" i="1" s="1"/>
  <c r="BK70" i="1" s="1"/>
  <c r="BK72" i="1" s="1"/>
  <c r="BK74" i="1" s="1"/>
  <c r="BK76" i="1" s="1"/>
  <c r="BK78" i="1" s="1"/>
  <c r="BH55" i="1"/>
  <c r="BH57" i="1" s="1"/>
  <c r="BH59" i="1" s="1"/>
  <c r="BH61" i="1" s="1"/>
  <c r="BH63" i="1" s="1"/>
  <c r="BH64" i="1"/>
  <c r="BU42" i="1"/>
  <c r="BW42" i="1" s="1"/>
  <c r="BG70" i="18"/>
  <c r="Y97" i="18"/>
  <c r="AP43" i="18"/>
  <c r="H97" i="18"/>
  <c r="AP124" i="18"/>
  <c r="Y124" i="18"/>
  <c r="BG43" i="18"/>
  <c r="BG124" i="18"/>
  <c r="Y43" i="18"/>
  <c r="H43" i="18"/>
  <c r="H70" i="18"/>
  <c r="AP97" i="18"/>
  <c r="Y16" i="18"/>
  <c r="AP70" i="18"/>
  <c r="H124" i="18"/>
  <c r="BG16" i="18"/>
  <c r="Y70" i="18"/>
  <c r="BG97" i="18"/>
  <c r="AP16" i="18"/>
  <c r="H16" i="18"/>
  <c r="BK55" i="1" l="1"/>
  <c r="BH66" i="1"/>
  <c r="BH68" i="1" s="1"/>
  <c r="BH65" i="1"/>
  <c r="BU43" i="1"/>
  <c r="BW43" i="1" s="1"/>
  <c r="AW8" i="18"/>
  <c r="AP17" i="18"/>
  <c r="AT5" i="18" s="1"/>
  <c r="AS6" i="18" s="1"/>
  <c r="O116" i="18"/>
  <c r="H125" i="18"/>
  <c r="L113" i="18" s="1"/>
  <c r="K114" i="18" s="1"/>
  <c r="O62" i="18"/>
  <c r="H71" i="18"/>
  <c r="L59" i="18" s="1"/>
  <c r="K60" i="18" s="1"/>
  <c r="BN35" i="18"/>
  <c r="BG44" i="18"/>
  <c r="BK32" i="18" s="1"/>
  <c r="BJ33" i="18" s="1"/>
  <c r="AW35" i="18"/>
  <c r="AP44" i="18"/>
  <c r="AT32" i="18" s="1"/>
  <c r="AS33" i="18" s="1"/>
  <c r="BN8" i="18"/>
  <c r="BG17" i="18"/>
  <c r="BK5" i="18" s="1"/>
  <c r="BJ6" i="18" s="1"/>
  <c r="AW89" i="18"/>
  <c r="AP98" i="18"/>
  <c r="AT86" i="18" s="1"/>
  <c r="AS87" i="18" s="1"/>
  <c r="BN116" i="18"/>
  <c r="BG125" i="18"/>
  <c r="BK113" i="18" s="1"/>
  <c r="BJ114" i="18" s="1"/>
  <c r="O89" i="18"/>
  <c r="H98" i="18"/>
  <c r="L86" i="18" s="1"/>
  <c r="K87" i="18" s="1"/>
  <c r="BN89" i="18"/>
  <c r="BG98" i="18"/>
  <c r="BK86" i="18" s="1"/>
  <c r="BJ87" i="18" s="1"/>
  <c r="AW62" i="18"/>
  <c r="AP71" i="18"/>
  <c r="AT59" i="18" s="1"/>
  <c r="AS60" i="18" s="1"/>
  <c r="O35" i="18"/>
  <c r="H44" i="18"/>
  <c r="AF116" i="18"/>
  <c r="Y125" i="18"/>
  <c r="AC113" i="18" s="1"/>
  <c r="AB114" i="18" s="1"/>
  <c r="AF89" i="18"/>
  <c r="Y98" i="18"/>
  <c r="AC86" i="18" s="1"/>
  <c r="AB87" i="18" s="1"/>
  <c r="AF62" i="18"/>
  <c r="Y71" i="18"/>
  <c r="AC59" i="18" s="1"/>
  <c r="AB60" i="18" s="1"/>
  <c r="AF8" i="18"/>
  <c r="Y17" i="18"/>
  <c r="AC5" i="18" s="1"/>
  <c r="AF35" i="18"/>
  <c r="Y44" i="18"/>
  <c r="AC32" i="18" s="1"/>
  <c r="AB33" i="18" s="1"/>
  <c r="AW116" i="18"/>
  <c r="AP125" i="18"/>
  <c r="AT113" i="18" s="1"/>
  <c r="AS114" i="18" s="1"/>
  <c r="BN62" i="18"/>
  <c r="BG71" i="18"/>
  <c r="BK59" i="18" s="1"/>
  <c r="BJ60" i="18" s="1"/>
  <c r="O8" i="18"/>
  <c r="H17" i="18"/>
  <c r="L5" i="18" s="1"/>
  <c r="I117" i="18"/>
  <c r="M124" i="18" s="1"/>
  <c r="AQ90" i="18"/>
  <c r="AU97" i="18" s="1"/>
  <c r="AQ117" i="18"/>
  <c r="AU124" i="18" s="1"/>
  <c r="BH90" i="18"/>
  <c r="BL97" i="18" s="1"/>
  <c r="BH117" i="18"/>
  <c r="BL124" i="18" s="1"/>
  <c r="BH63" i="18"/>
  <c r="BL70" i="18" s="1"/>
  <c r="Z117" i="18"/>
  <c r="AD124" i="18" s="1"/>
  <c r="Z90" i="18"/>
  <c r="AD97" i="18" s="1"/>
  <c r="AQ9" i="18"/>
  <c r="AU16" i="18" s="1"/>
  <c r="AQ63" i="18"/>
  <c r="AU70" i="18" s="1"/>
  <c r="I63" i="18"/>
  <c r="M70" i="18" s="1"/>
  <c r="AQ36" i="18"/>
  <c r="AU43" i="18" s="1"/>
  <c r="I36" i="18"/>
  <c r="M43" i="18" s="1"/>
  <c r="I90" i="18"/>
  <c r="M97" i="18" s="1"/>
  <c r="BH9" i="18"/>
  <c r="BL16" i="18" s="1"/>
  <c r="Z36" i="18"/>
  <c r="AD43" i="18" s="1"/>
  <c r="Z9" i="18"/>
  <c r="AD16" i="18" s="1"/>
  <c r="BH36" i="18"/>
  <c r="BL43" i="18" s="1"/>
  <c r="Z63" i="18"/>
  <c r="AD70" i="18" s="1"/>
  <c r="BH120" i="18"/>
  <c r="BJ125" i="18" s="1"/>
  <c r="I93" i="18"/>
  <c r="K98" i="18" s="1"/>
  <c r="AQ120" i="18"/>
  <c r="AS125" i="18" s="1"/>
  <c r="AQ93" i="18"/>
  <c r="AS98" i="18" s="1"/>
  <c r="I120" i="18"/>
  <c r="K125" i="18" s="1"/>
  <c r="BH93" i="18"/>
  <c r="BJ98" i="18" s="1"/>
  <c r="Z66" i="18"/>
  <c r="AB71" i="18" s="1"/>
  <c r="I66" i="18"/>
  <c r="K71" i="18" s="1"/>
  <c r="AQ12" i="18"/>
  <c r="AS17" i="18" s="1"/>
  <c r="Z120" i="18"/>
  <c r="AB125" i="18" s="1"/>
  <c r="Z93" i="18"/>
  <c r="AB98" i="18" s="1"/>
  <c r="BH66" i="18"/>
  <c r="BJ71" i="18" s="1"/>
  <c r="Z39" i="18"/>
  <c r="AB44" i="18" s="1"/>
  <c r="I39" i="18"/>
  <c r="K44" i="18" s="1"/>
  <c r="BH39" i="18"/>
  <c r="BJ44" i="18" s="1"/>
  <c r="AQ66" i="18"/>
  <c r="AS71" i="18" s="1"/>
  <c r="Z12" i="18"/>
  <c r="AB17" i="18" s="1"/>
  <c r="BH12" i="18"/>
  <c r="BJ17" i="18" s="1"/>
  <c r="AQ39" i="18"/>
  <c r="AS44" i="18" s="1"/>
  <c r="BH97" i="18"/>
  <c r="BN98" i="18" s="1"/>
  <c r="BH70" i="18"/>
  <c r="BN71" i="18" s="1"/>
  <c r="AQ124" i="18"/>
  <c r="AW125" i="18" s="1"/>
  <c r="Z16" i="18"/>
  <c r="AF17" i="18" s="1"/>
  <c r="AQ97" i="18"/>
  <c r="AW98" i="18" s="1"/>
  <c r="AQ70" i="18"/>
  <c r="AW71" i="18" s="1"/>
  <c r="BH16" i="18"/>
  <c r="BN17" i="18" s="1"/>
  <c r="AQ43" i="18"/>
  <c r="AW44" i="18" s="1"/>
  <c r="Z43" i="18"/>
  <c r="AF44" i="18" s="1"/>
  <c r="I124" i="18"/>
  <c r="O125" i="18" s="1"/>
  <c r="I70" i="18"/>
  <c r="O71" i="18" s="1"/>
  <c r="AQ16" i="18"/>
  <c r="AW17" i="18" s="1"/>
  <c r="BH124" i="18"/>
  <c r="BN125" i="18" s="1"/>
  <c r="Z124" i="18"/>
  <c r="AF125" i="18" s="1"/>
  <c r="I97" i="18"/>
  <c r="O98" i="18" s="1"/>
  <c r="Z97" i="18"/>
  <c r="AF98" i="18" s="1"/>
  <c r="Z70" i="18"/>
  <c r="AF71" i="18" s="1"/>
  <c r="BH43" i="18"/>
  <c r="BN44" i="18" s="1"/>
  <c r="I43" i="18"/>
  <c r="O44" i="18" s="1"/>
  <c r="AQ118" i="18"/>
  <c r="AV124" i="18" s="1"/>
  <c r="BH91" i="18"/>
  <c r="BM97" i="18" s="1"/>
  <c r="BH64" i="18"/>
  <c r="BM70" i="18" s="1"/>
  <c r="BH118" i="18"/>
  <c r="BM124" i="18" s="1"/>
  <c r="Z118" i="18"/>
  <c r="AE124" i="18" s="1"/>
  <c r="AQ91" i="18"/>
  <c r="AV97" i="18" s="1"/>
  <c r="Z91" i="18"/>
  <c r="AE97" i="18" s="1"/>
  <c r="AQ64" i="18"/>
  <c r="AV70" i="18" s="1"/>
  <c r="Z64" i="18"/>
  <c r="AE70" i="18" s="1"/>
  <c r="AQ37" i="18"/>
  <c r="AV43" i="18" s="1"/>
  <c r="I91" i="18"/>
  <c r="N97" i="18" s="1"/>
  <c r="Z10" i="18"/>
  <c r="AE16" i="18" s="1"/>
  <c r="BH37" i="18"/>
  <c r="BM43" i="18" s="1"/>
  <c r="Z37" i="18"/>
  <c r="AQ10" i="18"/>
  <c r="AV16" i="18" s="1"/>
  <c r="I118" i="18"/>
  <c r="N124" i="18" s="1"/>
  <c r="I64" i="18"/>
  <c r="N70" i="18" s="1"/>
  <c r="BH10" i="18"/>
  <c r="BM16" i="18" s="1"/>
  <c r="I37" i="18"/>
  <c r="N43" i="18" s="1"/>
  <c r="I119" i="18"/>
  <c r="O124" i="18" s="1"/>
  <c r="Z119" i="18"/>
  <c r="AF124" i="18" s="1"/>
  <c r="BH92" i="18"/>
  <c r="BN97" i="18" s="1"/>
  <c r="Z92" i="18"/>
  <c r="AF97" i="18" s="1"/>
  <c r="I92" i="18"/>
  <c r="O97" i="18" s="1"/>
  <c r="BH65" i="18"/>
  <c r="BN70" i="18" s="1"/>
  <c r="AQ92" i="18"/>
  <c r="AW97" i="18" s="1"/>
  <c r="AQ65" i="18"/>
  <c r="AW70" i="18" s="1"/>
  <c r="I65" i="18"/>
  <c r="O70" i="18" s="1"/>
  <c r="AQ11" i="18"/>
  <c r="AW16" i="18" s="1"/>
  <c r="AQ119" i="18"/>
  <c r="AW124" i="18" s="1"/>
  <c r="Z65" i="18"/>
  <c r="AF70" i="18" s="1"/>
  <c r="BH11" i="18"/>
  <c r="BN16" i="18" s="1"/>
  <c r="Z11" i="18"/>
  <c r="AF16" i="18" s="1"/>
  <c r="BH38" i="18"/>
  <c r="BN43" i="18" s="1"/>
  <c r="AQ38" i="18"/>
  <c r="AW43" i="18" s="1"/>
  <c r="I38" i="18"/>
  <c r="O43" i="18" s="1"/>
  <c r="BH119" i="18"/>
  <c r="BN124" i="18" s="1"/>
  <c r="Z38" i="18"/>
  <c r="AF43" i="18" s="1"/>
  <c r="BH115" i="18"/>
  <c r="Z115" i="18"/>
  <c r="Z88" i="18"/>
  <c r="I88" i="18"/>
  <c r="I115" i="18"/>
  <c r="AQ115" i="18"/>
  <c r="BH61" i="18"/>
  <c r="AQ61" i="18"/>
  <c r="Z61" i="18"/>
  <c r="I61" i="18"/>
  <c r="AQ7" i="18"/>
  <c r="AQ88" i="18"/>
  <c r="Z7" i="18"/>
  <c r="AQ34" i="18"/>
  <c r="BH34" i="18"/>
  <c r="I34" i="18"/>
  <c r="Z34" i="18"/>
  <c r="BH88" i="18"/>
  <c r="BH7" i="18"/>
  <c r="AQ95" i="18"/>
  <c r="AU98" i="18" s="1"/>
  <c r="Z122" i="18"/>
  <c r="AD125" i="18" s="1"/>
  <c r="I122" i="18"/>
  <c r="M125" i="18" s="1"/>
  <c r="BH95" i="18"/>
  <c r="BL98" i="18" s="1"/>
  <c r="Z95" i="18"/>
  <c r="AD98" i="18" s="1"/>
  <c r="I95" i="18"/>
  <c r="M98" i="18" s="1"/>
  <c r="BH68" i="18"/>
  <c r="BL71" i="18" s="1"/>
  <c r="I68" i="18"/>
  <c r="M71" i="18" s="1"/>
  <c r="AQ14" i="18"/>
  <c r="AU17" i="18" s="1"/>
  <c r="AQ68" i="18"/>
  <c r="AU71" i="18" s="1"/>
  <c r="Z68" i="18"/>
  <c r="AD71" i="18" s="1"/>
  <c r="Z14" i="18"/>
  <c r="AD17" i="18" s="1"/>
  <c r="BH41" i="18"/>
  <c r="BL44" i="18" s="1"/>
  <c r="I41" i="18"/>
  <c r="M44" i="18" s="1"/>
  <c r="BH122" i="18"/>
  <c r="BL125" i="18" s="1"/>
  <c r="BH14" i="18"/>
  <c r="BL17" i="18" s="1"/>
  <c r="Z41" i="18"/>
  <c r="AD44" i="18" s="1"/>
  <c r="AQ41" i="18"/>
  <c r="AU44" i="18" s="1"/>
  <c r="AQ122" i="18"/>
  <c r="AU125" i="18" s="1"/>
  <c r="AQ89" i="18"/>
  <c r="AT97" i="18" s="1"/>
  <c r="AQ116" i="18"/>
  <c r="AT124" i="18" s="1"/>
  <c r="I116" i="18"/>
  <c r="L124" i="18" s="1"/>
  <c r="BH89" i="18"/>
  <c r="BK97" i="18" s="1"/>
  <c r="BH62" i="18"/>
  <c r="BK70" i="18" s="1"/>
  <c r="BH116" i="18"/>
  <c r="BK124" i="18" s="1"/>
  <c r="I62" i="18"/>
  <c r="L70" i="18" s="1"/>
  <c r="AQ35" i="18"/>
  <c r="AT43" i="18" s="1"/>
  <c r="BH35" i="18"/>
  <c r="BK43" i="18" s="1"/>
  <c r="Z62" i="18"/>
  <c r="AC70" i="18" s="1"/>
  <c r="BH8" i="18"/>
  <c r="BK16" i="18" s="1"/>
  <c r="I35" i="18"/>
  <c r="L43" i="18" s="1"/>
  <c r="Z89" i="18"/>
  <c r="AC97" i="18" s="1"/>
  <c r="I89" i="18"/>
  <c r="L97" i="18" s="1"/>
  <c r="AQ62" i="18"/>
  <c r="AT70" i="18" s="1"/>
  <c r="Z8" i="18"/>
  <c r="AC16" i="18" s="1"/>
  <c r="Z35" i="18"/>
  <c r="AC43" i="18" s="1"/>
  <c r="Z116" i="18"/>
  <c r="AC124" i="18" s="1"/>
  <c r="AQ8" i="18"/>
  <c r="AT16" i="18" s="1"/>
  <c r="I123" i="18"/>
  <c r="N125" i="18" s="1"/>
  <c r="BH96" i="18"/>
  <c r="BM98" i="18" s="1"/>
  <c r="AQ96" i="18"/>
  <c r="AV98" i="18" s="1"/>
  <c r="Z96" i="18"/>
  <c r="AE98" i="18" s="1"/>
  <c r="BH69" i="18"/>
  <c r="BM71" i="18" s="1"/>
  <c r="I96" i="18"/>
  <c r="N98" i="18" s="1"/>
  <c r="Z123" i="18"/>
  <c r="AE125" i="18" s="1"/>
  <c r="Z15" i="18"/>
  <c r="AE17" i="18" s="1"/>
  <c r="Z69" i="18"/>
  <c r="AE71" i="18" s="1"/>
  <c r="I69" i="18"/>
  <c r="N71" i="18" s="1"/>
  <c r="BH15" i="18"/>
  <c r="BM17" i="18" s="1"/>
  <c r="AQ15" i="18"/>
  <c r="AV17" i="18" s="1"/>
  <c r="Z42" i="18"/>
  <c r="AE44" i="18" s="1"/>
  <c r="I42" i="18"/>
  <c r="N44" i="18" s="1"/>
  <c r="AQ42" i="18"/>
  <c r="AV44" i="18" s="1"/>
  <c r="AQ123" i="18"/>
  <c r="AV125" i="18" s="1"/>
  <c r="BH42" i="18"/>
  <c r="BM44" i="18" s="1"/>
  <c r="BH123" i="18"/>
  <c r="BM125" i="18" s="1"/>
  <c r="AQ69" i="18"/>
  <c r="AV71" i="18" s="1"/>
  <c r="BH94" i="18"/>
  <c r="BK98" i="18" s="1"/>
  <c r="BH67" i="18"/>
  <c r="BK71" i="18" s="1"/>
  <c r="Z121" i="18"/>
  <c r="AC125" i="18" s="1"/>
  <c r="Z94" i="18"/>
  <c r="AC98" i="18" s="1"/>
  <c r="AQ67" i="18"/>
  <c r="AT71" i="18" s="1"/>
  <c r="BH121" i="18"/>
  <c r="BK125" i="18" s="1"/>
  <c r="I94" i="18"/>
  <c r="L98" i="18" s="1"/>
  <c r="Z67" i="18"/>
  <c r="AC71" i="18" s="1"/>
  <c r="Z13" i="18"/>
  <c r="AC17" i="18" s="1"/>
  <c r="BH40" i="18"/>
  <c r="BK44" i="18" s="1"/>
  <c r="AQ94" i="18"/>
  <c r="AT98" i="18" s="1"/>
  <c r="I67" i="18"/>
  <c r="L71" i="18" s="1"/>
  <c r="AQ13" i="18"/>
  <c r="AT17" i="18" s="1"/>
  <c r="AQ40" i="18"/>
  <c r="AT44" i="18" s="1"/>
  <c r="BH13" i="18"/>
  <c r="BK17" i="18" s="1"/>
  <c r="I121" i="18"/>
  <c r="L125" i="18" s="1"/>
  <c r="I40" i="18"/>
  <c r="L44" i="18" s="1"/>
  <c r="AQ121" i="18"/>
  <c r="AT125" i="18" s="1"/>
  <c r="Z40" i="18"/>
  <c r="AC44" i="18" s="1"/>
  <c r="I11" i="18"/>
  <c r="O16" i="18" s="1"/>
  <c r="R11" i="16"/>
  <c r="I9" i="18"/>
  <c r="M16" i="18" s="1"/>
  <c r="L11" i="16"/>
  <c r="I16" i="18"/>
  <c r="O17" i="18" s="1"/>
  <c r="AG11" i="16"/>
  <c r="I13" i="18"/>
  <c r="L17" i="18" s="1"/>
  <c r="X11" i="16"/>
  <c r="L16" i="18"/>
  <c r="I11" i="16"/>
  <c r="AD11" i="16"/>
  <c r="I15" i="18"/>
  <c r="N17" i="18" s="1"/>
  <c r="K17" i="18"/>
  <c r="U11" i="16"/>
  <c r="I10" i="18"/>
  <c r="N16" i="18" s="1"/>
  <c r="O11" i="16"/>
  <c r="I14" i="18"/>
  <c r="M17" i="18" s="1"/>
  <c r="AA11" i="16"/>
  <c r="L32" i="18" l="1"/>
  <c r="K33" i="18" s="1"/>
  <c r="AB6" i="18"/>
  <c r="K6" i="18"/>
  <c r="BK57" i="1"/>
  <c r="BH67" i="1"/>
  <c r="BH69" i="1" s="1"/>
  <c r="BU44" i="1"/>
  <c r="BW44" i="1" s="1"/>
  <c r="I17" i="18"/>
  <c r="AB43" i="18"/>
  <c r="AB70" i="18"/>
  <c r="Z71" i="18"/>
  <c r="AC68" i="18" s="1"/>
  <c r="AB69" i="18" s="1"/>
  <c r="BH125" i="18"/>
  <c r="BK122" i="18" s="1"/>
  <c r="BJ123" i="18" s="1"/>
  <c r="BJ124" i="18"/>
  <c r="AQ98" i="18"/>
  <c r="AT95" i="18" s="1"/>
  <c r="AS96" i="18" s="1"/>
  <c r="AS97" i="18"/>
  <c r="K97" i="18"/>
  <c r="I98" i="18"/>
  <c r="L95" i="18" s="1"/>
  <c r="K96" i="18" s="1"/>
  <c r="Z44" i="18"/>
  <c r="AC41" i="18" s="1"/>
  <c r="AB42" i="18" s="1"/>
  <c r="AE43" i="18"/>
  <c r="BH17" i="18"/>
  <c r="BK14" i="18" s="1"/>
  <c r="BJ15" i="18" s="1"/>
  <c r="BJ16" i="18"/>
  <c r="BJ43" i="18"/>
  <c r="BH44" i="18"/>
  <c r="BK41" i="18" s="1"/>
  <c r="BJ42" i="18" s="1"/>
  <c r="AQ17" i="18"/>
  <c r="AS16" i="18"/>
  <c r="BJ70" i="18"/>
  <c r="BH71" i="18"/>
  <c r="BK68" i="18" s="1"/>
  <c r="BJ69" i="18" s="1"/>
  <c r="Z98" i="18"/>
  <c r="AC95" i="18" s="1"/>
  <c r="AB96" i="18" s="1"/>
  <c r="AB97" i="18"/>
  <c r="AB16" i="18"/>
  <c r="Z17" i="18"/>
  <c r="K124" i="18"/>
  <c r="I125" i="18"/>
  <c r="L122" i="18" s="1"/>
  <c r="K123" i="18" s="1"/>
  <c r="K43" i="18"/>
  <c r="I44" i="18"/>
  <c r="L41" i="18" s="1"/>
  <c r="K42" i="18" s="1"/>
  <c r="AQ71" i="18"/>
  <c r="AT68" i="18" s="1"/>
  <c r="AS69" i="18" s="1"/>
  <c r="AS70" i="18"/>
  <c r="BH98" i="18"/>
  <c r="BK95" i="18" s="1"/>
  <c r="BJ96" i="18" s="1"/>
  <c r="BJ97" i="18"/>
  <c r="AQ44" i="18"/>
  <c r="AT41" i="18" s="1"/>
  <c r="AS42" i="18" s="1"/>
  <c r="AS43" i="18"/>
  <c r="K70" i="18"/>
  <c r="I71" i="18"/>
  <c r="L68" i="18" s="1"/>
  <c r="K69" i="18" s="1"/>
  <c r="AS124" i="18"/>
  <c r="AQ125" i="18"/>
  <c r="AT122" i="18" s="1"/>
  <c r="AS123" i="18" s="1"/>
  <c r="AB124" i="18"/>
  <c r="Z125" i="18"/>
  <c r="AC122" i="18" s="1"/>
  <c r="AB123" i="18" s="1"/>
  <c r="K16" i="18"/>
  <c r="AB15" i="18" l="1"/>
  <c r="K15" i="18"/>
  <c r="BU45" i="1"/>
  <c r="BW45" i="1" s="1"/>
  <c r="AT14" i="18"/>
  <c r="AS15" i="18" s="1"/>
  <c r="AI11" i="1"/>
  <c r="BK59" i="1" l="1"/>
  <c r="BK61" i="1" s="1"/>
  <c r="BK63" i="1" s="1"/>
  <c r="BK65" i="1" s="1"/>
  <c r="BK67" i="1" s="1"/>
  <c r="BK69" i="1" s="1"/>
  <c r="BK71" i="1" s="1"/>
  <c r="BK73" i="1" s="1"/>
  <c r="BK75" i="1" s="1"/>
  <c r="BK77" i="1" s="1"/>
  <c r="BK79" i="1" s="1"/>
  <c r="BU46" i="1"/>
  <c r="BW46" i="1" s="1"/>
  <c r="F11" i="16"/>
  <c r="BU48" i="1" l="1"/>
  <c r="BW48" i="1" s="1"/>
  <c r="BU47" i="1"/>
  <c r="BW47" i="1" s="1"/>
  <c r="BX4" i="1"/>
  <c r="BX6" i="1"/>
  <c r="BX5" i="1"/>
  <c r="BX3" i="1"/>
  <c r="AK40" i="1"/>
  <c r="AK37" i="1"/>
  <c r="AK87" i="1"/>
  <c r="AK107" i="1"/>
  <c r="AK80" i="1"/>
  <c r="AK35" i="1"/>
  <c r="AK72" i="1"/>
  <c r="AK75" i="1"/>
  <c r="AK49" i="1"/>
  <c r="AK70" i="1"/>
  <c r="AK85" i="1"/>
  <c r="AK32" i="1"/>
  <c r="AK106" i="1"/>
  <c r="AK102" i="1"/>
  <c r="AK74" i="1"/>
  <c r="AK68" i="1"/>
  <c r="AK48" i="1"/>
  <c r="AK42" i="1"/>
  <c r="AK43" i="1"/>
  <c r="AK33" i="1"/>
  <c r="AK89" i="1"/>
  <c r="AK54" i="1"/>
  <c r="AK44" i="1"/>
  <c r="AK60" i="1"/>
  <c r="AK76" i="1"/>
  <c r="AK51" i="1"/>
  <c r="AK52" i="1"/>
  <c r="AK69" i="1"/>
  <c r="AK38" i="1"/>
  <c r="AK98" i="1"/>
  <c r="AK71" i="1"/>
  <c r="AK77" i="1"/>
  <c r="AK46" i="1"/>
  <c r="AK100" i="1"/>
  <c r="AK73" i="1"/>
  <c r="AK110" i="1"/>
  <c r="AK82" i="1"/>
  <c r="AK95" i="1"/>
  <c r="AK47" i="1"/>
  <c r="AK45" i="1"/>
  <c r="AK99" i="1"/>
  <c r="AK83" i="1"/>
  <c r="AK67" i="1"/>
  <c r="AK66" i="1"/>
  <c r="AK109" i="1"/>
  <c r="AK78" i="1"/>
  <c r="AK31" i="1"/>
  <c r="AK92" i="1"/>
  <c r="AK65" i="1"/>
  <c r="AK50" i="1"/>
  <c r="AK36" i="1"/>
  <c r="AK91" i="1"/>
  <c r="AK55" i="1"/>
  <c r="AK81" i="1"/>
  <c r="AK53" i="1"/>
  <c r="AK96" i="1"/>
  <c r="AK94" i="1"/>
  <c r="AK61" i="1"/>
  <c r="AK90" i="1"/>
  <c r="AK56" i="1"/>
  <c r="AK97" i="1"/>
  <c r="AK57" i="1"/>
  <c r="AK101" i="1"/>
  <c r="AK104" i="1"/>
  <c r="AK105" i="1"/>
  <c r="AK84" i="1"/>
  <c r="AK103" i="1"/>
  <c r="AK79" i="1"/>
  <c r="AK34" i="1"/>
  <c r="AK93" i="1"/>
  <c r="AK88" i="1"/>
  <c r="AK39" i="1"/>
  <c r="AK58" i="1"/>
  <c r="AK63" i="1"/>
  <c r="AK41" i="1"/>
  <c r="AK62" i="1"/>
  <c r="AK59" i="1"/>
  <c r="AK64" i="1"/>
  <c r="AK86" i="1"/>
  <c r="AK108" i="1"/>
  <c r="AK12" i="1"/>
  <c r="AK16" i="1"/>
  <c r="AK30" i="1"/>
  <c r="AK17" i="1"/>
  <c r="AK14" i="1"/>
  <c r="AK19" i="1"/>
  <c r="AK27" i="1"/>
  <c r="AK13" i="1"/>
  <c r="AK28" i="1"/>
  <c r="AK20" i="1"/>
  <c r="AK26" i="1"/>
  <c r="AK15" i="1"/>
  <c r="AK24" i="1"/>
  <c r="AK21" i="1"/>
  <c r="AK23" i="1"/>
  <c r="AK18" i="1"/>
  <c r="AK22" i="1"/>
  <c r="AK29" i="1"/>
  <c r="AK25" i="1"/>
  <c r="AK11" i="1"/>
  <c r="BV30" i="1" l="1"/>
  <c r="BV285" i="1"/>
  <c r="BV252" i="1"/>
  <c r="BV22" i="1"/>
  <c r="BV286" i="1"/>
  <c r="BV247" i="1"/>
  <c r="BV205" i="1"/>
  <c r="BV145" i="1"/>
  <c r="BV228" i="1"/>
  <c r="BV183" i="1"/>
  <c r="BV43" i="1"/>
  <c r="BV310" i="1"/>
  <c r="BV271" i="1"/>
  <c r="BV241" i="1"/>
  <c r="BV208" i="1"/>
  <c r="BV157" i="1"/>
  <c r="BV47" i="1"/>
  <c r="BV302" i="1"/>
  <c r="BV257" i="1"/>
  <c r="BV218" i="1"/>
  <c r="BV149" i="1"/>
  <c r="BV297" i="1"/>
  <c r="BV255" i="1"/>
  <c r="BV213" i="1"/>
  <c r="BV171" i="1"/>
  <c r="BV35" i="1"/>
  <c r="BV299" i="1"/>
  <c r="BV269" i="1"/>
  <c r="BV236" i="1"/>
  <c r="BV206" i="1"/>
  <c r="BV161" i="1"/>
  <c r="BV306" i="1"/>
  <c r="BV270" i="1"/>
  <c r="BV234" i="1"/>
  <c r="BV46" i="1"/>
  <c r="BV301" i="1"/>
  <c r="BV265" i="1"/>
  <c r="BV229" i="1"/>
  <c r="BV187" i="1"/>
  <c r="BV21" i="1"/>
  <c r="BV210" i="1"/>
  <c r="BV141" i="1"/>
  <c r="BV28" i="1"/>
  <c r="BV292" i="1"/>
  <c r="BV253" i="1"/>
  <c r="BV223" i="1"/>
  <c r="BV181" i="1"/>
  <c r="BV23" i="1"/>
  <c r="BV278" i="1"/>
  <c r="BV239" i="1"/>
  <c r="BV197" i="1"/>
  <c r="BV27" i="1"/>
  <c r="BV276" i="1"/>
  <c r="BV237" i="1"/>
  <c r="BV195" i="1"/>
  <c r="BV20" i="1"/>
  <c r="BV284" i="1"/>
  <c r="BV254" i="1"/>
  <c r="BV224" i="1"/>
  <c r="BV191" i="1"/>
  <c r="BV18" i="1"/>
  <c r="BV258" i="1"/>
  <c r="BV31" i="1"/>
  <c r="BV274" i="1"/>
  <c r="BV217" i="1"/>
  <c r="BV216" i="1"/>
  <c r="BV19" i="1"/>
  <c r="BV259" i="1"/>
  <c r="BV211" i="1"/>
  <c r="BV287" i="1"/>
  <c r="BV221" i="1"/>
  <c r="BV282" i="1"/>
  <c r="BV219" i="1"/>
  <c r="BV147" i="1"/>
  <c r="BV26" i="1"/>
  <c r="BV275" i="1"/>
  <c r="BV227" i="1"/>
  <c r="BV173" i="1"/>
  <c r="BV158" i="1"/>
  <c r="BV180" i="1"/>
  <c r="BV148" i="1"/>
  <c r="BV186" i="1"/>
  <c r="BV162" i="1"/>
  <c r="BV24" i="1"/>
  <c r="BV25" i="1"/>
  <c r="BV294" i="1"/>
  <c r="BV243" i="1"/>
  <c r="BV16" i="1"/>
  <c r="BV262" i="1"/>
  <c r="BV199" i="1"/>
  <c r="BV39" i="1"/>
  <c r="BV198" i="1"/>
  <c r="BV304" i="1"/>
  <c r="BV250" i="1"/>
  <c r="BV202" i="1"/>
  <c r="BV41" i="1"/>
  <c r="BV272" i="1"/>
  <c r="BV212" i="1"/>
  <c r="BV45" i="1"/>
  <c r="BV267" i="1"/>
  <c r="BV204" i="1"/>
  <c r="BV17" i="1"/>
  <c r="BV266" i="1"/>
  <c r="BV215" i="1"/>
  <c r="BV155" i="1"/>
  <c r="BV184" i="1"/>
  <c r="BV182" i="1"/>
  <c r="BV150" i="1"/>
  <c r="BV152" i="1"/>
  <c r="BV172" i="1"/>
  <c r="BV264" i="1"/>
  <c r="BV268" i="1"/>
  <c r="BV288" i="1"/>
  <c r="BV240" i="1"/>
  <c r="BV307" i="1"/>
  <c r="BV256" i="1"/>
  <c r="BV196" i="1"/>
  <c r="BV33" i="1"/>
  <c r="BV189" i="1"/>
  <c r="BV295" i="1"/>
  <c r="BV244" i="1"/>
  <c r="BV193" i="1"/>
  <c r="BV29" i="1"/>
  <c r="BV263" i="1"/>
  <c r="BV203" i="1"/>
  <c r="BV36" i="1"/>
  <c r="BV261" i="1"/>
  <c r="BV201" i="1"/>
  <c r="BV305" i="1"/>
  <c r="BV260" i="1"/>
  <c r="BV209" i="1"/>
  <c r="BV168" i="1"/>
  <c r="BV174" i="1"/>
  <c r="BV140" i="1"/>
  <c r="BV178" i="1"/>
  <c r="BV154" i="1"/>
  <c r="BV280" i="1"/>
  <c r="BV48" i="1"/>
  <c r="BV279" i="1"/>
  <c r="BV225" i="1"/>
  <c r="BV298" i="1"/>
  <c r="BV238" i="1"/>
  <c r="BV175" i="1"/>
  <c r="BV15" i="1"/>
  <c r="BV165" i="1"/>
  <c r="BV40" i="1"/>
  <c r="BV283" i="1"/>
  <c r="BV232" i="1"/>
  <c r="BV169" i="1"/>
  <c r="BV14" i="1"/>
  <c r="BV251" i="1"/>
  <c r="BV185" i="1"/>
  <c r="BV309" i="1"/>
  <c r="BV249" i="1"/>
  <c r="BV192" i="1"/>
  <c r="BV44" i="1"/>
  <c r="BV296" i="1"/>
  <c r="BV248" i="1"/>
  <c r="BV200" i="1"/>
  <c r="BV142" i="1"/>
  <c r="BV144" i="1"/>
  <c r="BV164" i="1"/>
  <c r="BV42" i="1"/>
  <c r="BV273" i="1"/>
  <c r="BV207" i="1"/>
  <c r="BV289" i="1"/>
  <c r="BV235" i="1"/>
  <c r="BV151" i="1"/>
  <c r="BV300" i="1"/>
  <c r="BV153" i="1"/>
  <c r="BV34" i="1"/>
  <c r="BV277" i="1"/>
  <c r="BV226" i="1"/>
  <c r="BV163" i="1"/>
  <c r="BV308" i="1"/>
  <c r="BV245" i="1"/>
  <c r="BV167" i="1"/>
  <c r="BV303" i="1"/>
  <c r="BV246" i="1"/>
  <c r="BV177" i="1"/>
  <c r="BV38" i="1"/>
  <c r="BV290" i="1"/>
  <c r="BV242" i="1"/>
  <c r="BV194" i="1"/>
  <c r="BV166" i="1"/>
  <c r="BV176" i="1"/>
  <c r="BV188" i="1"/>
  <c r="BV170" i="1"/>
  <c r="BV146" i="1"/>
  <c r="BV37" i="1"/>
  <c r="BV220" i="1"/>
  <c r="BV222" i="1"/>
  <c r="BV214" i="1"/>
  <c r="BV293" i="1"/>
  <c r="BV159" i="1"/>
  <c r="BV291" i="1"/>
  <c r="BV230" i="1"/>
  <c r="BV190" i="1"/>
  <c r="BV156" i="1"/>
  <c r="BV233" i="1"/>
  <c r="BV143" i="1"/>
  <c r="BV32" i="1"/>
  <c r="BV281" i="1"/>
  <c r="BV231" i="1"/>
  <c r="BV179" i="1"/>
  <c r="BV160" i="1"/>
  <c r="BV11" i="1"/>
  <c r="AJ232" i="1"/>
  <c r="AJ130" i="1"/>
  <c r="AJ240" i="1"/>
  <c r="AJ244" i="1"/>
  <c r="AJ254" i="1"/>
  <c r="AJ283" i="1"/>
  <c r="AJ134" i="1"/>
  <c r="AJ248" i="1"/>
  <c r="AJ285" i="1"/>
  <c r="AJ279" i="1"/>
  <c r="AJ214" i="1"/>
  <c r="AJ256" i="1"/>
  <c r="AJ287" i="1"/>
  <c r="AJ277" i="1"/>
  <c r="AJ236" i="1"/>
  <c r="AJ291" i="1"/>
  <c r="AJ215" i="1"/>
  <c r="AJ221" i="1"/>
  <c r="AJ219" i="1"/>
  <c r="AJ223" i="1"/>
  <c r="AJ226" i="1"/>
  <c r="AJ213" i="1"/>
  <c r="AJ220" i="1"/>
  <c r="AJ252" i="1"/>
  <c r="AJ217" i="1"/>
  <c r="AJ241" i="1"/>
  <c r="AJ242" i="1"/>
  <c r="AJ293" i="1"/>
  <c r="AJ229" i="1"/>
  <c r="AJ115" i="1"/>
  <c r="AJ168" i="1"/>
  <c r="AJ158" i="1"/>
  <c r="AJ170" i="1"/>
  <c r="AJ222" i="1"/>
  <c r="AJ212" i="1"/>
  <c r="AJ238" i="1"/>
  <c r="AJ224" i="1"/>
  <c r="AJ262" i="1"/>
  <c r="AJ237" i="1"/>
  <c r="AJ209" i="1"/>
  <c r="AJ136" i="1"/>
  <c r="AJ128" i="1"/>
  <c r="AJ144" i="1"/>
  <c r="AJ120" i="1"/>
  <c r="AJ140" i="1"/>
  <c r="AJ113" i="1"/>
  <c r="AJ157" i="1"/>
  <c r="AJ192" i="1"/>
  <c r="AJ155" i="1"/>
  <c r="AJ121" i="1"/>
  <c r="AJ196" i="1"/>
  <c r="AJ197" i="1"/>
  <c r="AJ205" i="1"/>
  <c r="AJ258" i="1"/>
  <c r="AJ225" i="1"/>
  <c r="AJ230" i="1"/>
  <c r="AJ289" i="1"/>
  <c r="AJ233" i="1"/>
  <c r="AJ305" i="1"/>
  <c r="AJ124" i="1"/>
  <c r="AJ127" i="1"/>
  <c r="AJ200" i="1"/>
  <c r="AJ123" i="1"/>
  <c r="AJ178" i="1"/>
  <c r="AJ116" i="1"/>
  <c r="AJ133" i="1"/>
  <c r="AJ125" i="1"/>
  <c r="AJ177" i="1"/>
  <c r="AJ185" i="1"/>
  <c r="AJ211" i="1"/>
  <c r="AJ246" i="1"/>
  <c r="AJ218" i="1"/>
  <c r="AJ271" i="1"/>
  <c r="AJ309" i="1"/>
  <c r="AJ117" i="1"/>
  <c r="AJ137" i="1"/>
  <c r="AJ174" i="1"/>
  <c r="AJ189" i="1"/>
  <c r="AJ268" i="1"/>
  <c r="AJ245" i="1"/>
  <c r="AJ295" i="1"/>
  <c r="AJ301" i="1"/>
  <c r="AJ193" i="1"/>
  <c r="AJ132" i="1"/>
  <c r="AJ119" i="1"/>
  <c r="AJ161" i="1"/>
  <c r="AJ176" i="1"/>
  <c r="AJ234" i="1"/>
  <c r="AJ216" i="1"/>
  <c r="AJ281" i="1"/>
  <c r="AJ275" i="1"/>
  <c r="AJ112" i="1"/>
  <c r="AJ208" i="1"/>
  <c r="AJ201" i="1"/>
  <c r="AJ149" i="1"/>
  <c r="AJ111" i="1"/>
  <c r="AJ182" i="1"/>
  <c r="AJ184" i="1"/>
  <c r="AJ153" i="1"/>
  <c r="AJ181" i="1"/>
  <c r="AJ297" i="1"/>
  <c r="AJ165" i="1"/>
  <c r="AJ180" i="1"/>
  <c r="AJ296" i="1"/>
  <c r="AJ294" i="1"/>
  <c r="AJ261" i="1"/>
  <c r="AJ253" i="1"/>
  <c r="AJ304" i="1"/>
  <c r="AJ300" i="1"/>
  <c r="AJ292" i="1"/>
  <c r="AJ288" i="1"/>
  <c r="AJ270" i="1"/>
  <c r="AJ257" i="1"/>
  <c r="AJ286" i="1"/>
  <c r="AJ302" i="1"/>
  <c r="AJ298" i="1"/>
  <c r="AJ249" i="1"/>
  <c r="AJ278" i="1"/>
  <c r="AJ290" i="1"/>
  <c r="AJ263" i="1"/>
  <c r="AJ175" i="1"/>
  <c r="AJ162" i="1"/>
  <c r="AJ148" i="1"/>
  <c r="AJ129" i="1"/>
  <c r="AJ131" i="1"/>
  <c r="AJ206" i="1"/>
  <c r="AJ169" i="1"/>
  <c r="AJ164" i="1"/>
  <c r="AJ135" i="1"/>
  <c r="AJ204" i="1"/>
  <c r="AJ154" i="1"/>
  <c r="AJ190" i="1"/>
  <c r="AJ139" i="1"/>
  <c r="AJ118" i="1"/>
  <c r="AJ307" i="1"/>
  <c r="AJ266" i="1"/>
  <c r="AJ159" i="1"/>
  <c r="AJ199" i="1"/>
  <c r="AJ172" i="1"/>
  <c r="AJ239" i="1"/>
  <c r="AJ228" i="1"/>
  <c r="AJ303" i="1"/>
  <c r="AJ272" i="1"/>
  <c r="AJ269" i="1"/>
  <c r="AJ264" i="1"/>
  <c r="AJ231" i="1"/>
  <c r="AJ299" i="1"/>
  <c r="AJ273" i="1"/>
  <c r="AJ243" i="1"/>
  <c r="AJ163" i="1"/>
  <c r="AJ195" i="1"/>
  <c r="AJ167" i="1"/>
  <c r="AJ126" i="1"/>
  <c r="AJ142" i="1"/>
  <c r="AJ151" i="1"/>
  <c r="AJ202" i="1"/>
  <c r="AJ187" i="1"/>
  <c r="AJ122" i="1"/>
  <c r="AJ191" i="1"/>
  <c r="AJ260" i="1"/>
  <c r="AJ235" i="1"/>
  <c r="AJ227" i="1"/>
  <c r="AJ203" i="1"/>
  <c r="AJ166" i="1"/>
  <c r="AJ147" i="1"/>
  <c r="AJ308" i="1"/>
  <c r="AJ265" i="1"/>
  <c r="AJ267" i="1"/>
  <c r="AJ274" i="1"/>
  <c r="AJ310" i="1"/>
  <c r="AJ306" i="1"/>
  <c r="AJ259" i="1"/>
  <c r="AJ255" i="1"/>
  <c r="AJ251" i="1"/>
  <c r="AJ284" i="1"/>
  <c r="AJ280" i="1"/>
  <c r="AJ282" i="1"/>
  <c r="AJ276" i="1"/>
  <c r="AJ198" i="1"/>
  <c r="AJ173" i="1"/>
  <c r="AJ146" i="1"/>
  <c r="AJ152" i="1"/>
  <c r="AJ210" i="1"/>
  <c r="AJ171" i="1"/>
  <c r="AJ179" i="1"/>
  <c r="AJ145" i="1"/>
  <c r="AJ114" i="1"/>
  <c r="AJ194" i="1"/>
  <c r="AJ156" i="1"/>
  <c r="AJ188" i="1"/>
  <c r="AJ183" i="1"/>
  <c r="AJ160" i="1"/>
  <c r="AJ150" i="1"/>
  <c r="AJ141" i="1"/>
  <c r="AJ143" i="1"/>
  <c r="AJ250" i="1"/>
  <c r="AJ247" i="1"/>
  <c r="AJ186" i="1"/>
  <c r="AJ138" i="1"/>
  <c r="AJ207" i="1"/>
  <c r="AJ40" i="1"/>
  <c r="AJ87" i="1"/>
  <c r="AJ107" i="1"/>
  <c r="AJ80" i="1"/>
  <c r="AJ72" i="1"/>
  <c r="AJ37" i="1"/>
  <c r="AJ35" i="1"/>
  <c r="AJ67" i="1"/>
  <c r="AJ97" i="1"/>
  <c r="AJ66" i="1"/>
  <c r="AJ93" i="1"/>
  <c r="AJ109" i="1"/>
  <c r="AJ57" i="1"/>
  <c r="AJ78" i="1"/>
  <c r="AJ101" i="1"/>
  <c r="AJ31" i="1"/>
  <c r="AJ88" i="1"/>
  <c r="AJ92" i="1"/>
  <c r="AJ104" i="1"/>
  <c r="AJ65" i="1"/>
  <c r="AJ105" i="1"/>
  <c r="AJ50" i="1"/>
  <c r="AJ84" i="1"/>
  <c r="AJ36" i="1"/>
  <c r="AJ39" i="1"/>
  <c r="AJ91" i="1"/>
  <c r="AJ103" i="1"/>
  <c r="AJ55" i="1"/>
  <c r="AJ81" i="1"/>
  <c r="AJ58" i="1"/>
  <c r="AJ53" i="1"/>
  <c r="AJ63" i="1"/>
  <c r="AJ96" i="1"/>
  <c r="AJ86" i="1"/>
  <c r="AJ34" i="1"/>
  <c r="AJ108" i="1"/>
  <c r="AJ41" i="1"/>
  <c r="AJ94" i="1"/>
  <c r="AJ62" i="1"/>
  <c r="AJ61" i="1"/>
  <c r="AJ79" i="1"/>
  <c r="AJ90" i="1"/>
  <c r="AJ59" i="1"/>
  <c r="AJ56" i="1"/>
  <c r="AJ64" i="1"/>
  <c r="AJ75" i="1"/>
  <c r="AJ46" i="1"/>
  <c r="AJ70" i="1"/>
  <c r="AJ102" i="1"/>
  <c r="AJ42" i="1"/>
  <c r="AJ33" i="1"/>
  <c r="AJ49" i="1"/>
  <c r="AJ85" i="1"/>
  <c r="AJ106" i="1"/>
  <c r="AJ74" i="1"/>
  <c r="AJ48" i="1"/>
  <c r="AJ43" i="1"/>
  <c r="AJ89" i="1"/>
  <c r="AJ44" i="1"/>
  <c r="AJ76" i="1"/>
  <c r="AJ52" i="1"/>
  <c r="AJ38" i="1"/>
  <c r="AJ71" i="1"/>
  <c r="AJ110" i="1"/>
  <c r="AJ95" i="1"/>
  <c r="AJ45" i="1"/>
  <c r="AJ83" i="1"/>
  <c r="AJ100" i="1"/>
  <c r="AJ32" i="1"/>
  <c r="AJ68" i="1"/>
  <c r="AJ54" i="1"/>
  <c r="AJ98" i="1"/>
  <c r="AJ73" i="1"/>
  <c r="AJ60" i="1"/>
  <c r="AJ77" i="1"/>
  <c r="AJ82" i="1"/>
  <c r="AJ51" i="1"/>
  <c r="AJ47" i="1"/>
  <c r="AJ69" i="1"/>
  <c r="AJ99" i="1"/>
  <c r="AJ28" i="1"/>
  <c r="AJ20" i="1"/>
  <c r="AJ26" i="1"/>
  <c r="AJ15" i="1"/>
  <c r="AJ24" i="1"/>
  <c r="AJ21" i="1"/>
  <c r="AJ23" i="1"/>
  <c r="AJ18" i="1"/>
  <c r="AJ22" i="1"/>
  <c r="AJ29" i="1"/>
  <c r="AJ12" i="1"/>
  <c r="AJ16" i="1"/>
  <c r="AJ30" i="1"/>
  <c r="AJ17" i="1"/>
  <c r="AJ14" i="1"/>
  <c r="AJ19" i="1"/>
  <c r="AJ25" i="1"/>
  <c r="AJ27" i="1"/>
  <c r="AJ13" i="1"/>
  <c r="AJ11" i="1"/>
  <c r="BU50" i="1" l="1"/>
  <c r="BU49" i="1"/>
  <c r="BU12" i="1"/>
  <c r="BU51" i="1" l="1"/>
  <c r="BU52" i="1"/>
  <c r="BW50" i="1"/>
  <c r="BV50" i="1"/>
  <c r="BW49" i="1"/>
  <c r="BV49" i="1"/>
  <c r="BW12" i="1"/>
  <c r="BV12" i="1"/>
  <c r="BU13" i="1"/>
  <c r="BW51" i="1" l="1"/>
  <c r="BV51" i="1"/>
  <c r="BW52" i="1"/>
  <c r="BV52" i="1"/>
  <c r="BU53" i="1"/>
  <c r="BW13" i="1"/>
  <c r="BV13" i="1"/>
  <c r="BW53" i="1" l="1"/>
  <c r="BV53" i="1"/>
  <c r="BU55" i="1"/>
  <c r="BU54" i="1"/>
  <c r="BW54" i="1" l="1"/>
  <c r="BV54" i="1"/>
  <c r="BU57" i="1"/>
  <c r="BW55" i="1"/>
  <c r="BV55" i="1"/>
  <c r="BW57" i="1" l="1"/>
  <c r="BV57" i="1"/>
  <c r="BU59" i="1"/>
  <c r="BU56" i="1"/>
  <c r="BW59" i="1" l="1"/>
  <c r="BV59" i="1"/>
  <c r="BU61" i="1"/>
  <c r="BW56" i="1"/>
  <c r="BV56" i="1"/>
  <c r="BU58" i="1"/>
  <c r="BW58" i="1" l="1"/>
  <c r="BV58" i="1"/>
  <c r="BW61" i="1"/>
  <c r="BV61" i="1"/>
  <c r="BU60" i="1"/>
  <c r="BU63" i="1"/>
  <c r="BU77" i="1"/>
  <c r="BW63" i="1" l="1"/>
  <c r="BV63" i="1"/>
  <c r="BU65" i="1"/>
  <c r="BW60" i="1"/>
  <c r="BV60" i="1"/>
  <c r="BU62" i="1"/>
  <c r="BW77" i="1"/>
  <c r="BV77" i="1"/>
  <c r="BU79" i="1"/>
  <c r="BW62" i="1" l="1"/>
  <c r="BV62" i="1"/>
  <c r="BV65" i="1"/>
  <c r="BW65" i="1"/>
  <c r="BU64" i="1"/>
  <c r="BU67" i="1"/>
  <c r="BU78" i="1"/>
  <c r="BU81" i="1"/>
  <c r="BW79" i="1"/>
  <c r="BV79" i="1"/>
  <c r="BV67" i="1" l="1"/>
  <c r="BW67" i="1"/>
  <c r="BU69" i="1"/>
  <c r="BW64" i="1"/>
  <c r="BV64" i="1"/>
  <c r="BU66" i="1"/>
  <c r="BU80" i="1"/>
  <c r="BW78" i="1"/>
  <c r="BV78" i="1"/>
  <c r="BW81" i="1"/>
  <c r="BV81" i="1"/>
  <c r="BU83" i="1"/>
  <c r="BV66" i="1" l="1"/>
  <c r="BW66" i="1"/>
  <c r="BV69" i="1"/>
  <c r="BW69" i="1"/>
  <c r="BU68" i="1"/>
  <c r="BU71" i="1"/>
  <c r="BW80" i="1"/>
  <c r="BV80" i="1"/>
  <c r="BU82" i="1"/>
  <c r="BW83" i="1"/>
  <c r="BV83" i="1"/>
  <c r="BU85" i="1"/>
  <c r="BU70" i="1" l="1"/>
  <c r="BW71" i="1"/>
  <c r="BV71" i="1"/>
  <c r="BU75" i="1"/>
  <c r="BU73" i="1"/>
  <c r="BV68" i="1"/>
  <c r="BW68" i="1"/>
  <c r="BW82" i="1"/>
  <c r="BV82" i="1"/>
  <c r="BU84" i="1"/>
  <c r="BU87" i="1"/>
  <c r="BW85" i="1"/>
  <c r="BV85" i="1"/>
  <c r="BW73" i="1" l="1"/>
  <c r="BV73" i="1"/>
  <c r="BW70" i="1"/>
  <c r="BV70" i="1"/>
  <c r="BV75" i="1"/>
  <c r="BW75" i="1"/>
  <c r="BU72" i="1"/>
  <c r="BU86" i="1"/>
  <c r="BW84" i="1"/>
  <c r="BV84" i="1"/>
  <c r="BW87" i="1"/>
  <c r="BV87" i="1"/>
  <c r="BU89" i="1"/>
  <c r="BW72" i="1" l="1"/>
  <c r="BV72" i="1"/>
  <c r="BU76" i="1"/>
  <c r="BU74" i="1"/>
  <c r="BW86" i="1"/>
  <c r="BV86" i="1"/>
  <c r="BU88" i="1"/>
  <c r="BW89" i="1"/>
  <c r="BV89" i="1"/>
  <c r="BU91" i="1"/>
  <c r="BW74" i="1" l="1"/>
  <c r="BV74" i="1"/>
  <c r="BV76" i="1"/>
  <c r="BW76" i="1"/>
  <c r="BW88" i="1"/>
  <c r="BV88" i="1"/>
  <c r="BU90" i="1"/>
  <c r="BW91" i="1"/>
  <c r="BV91" i="1"/>
  <c r="BU93" i="1"/>
  <c r="BU92" i="1" l="1"/>
  <c r="BW90" i="1"/>
  <c r="BV90" i="1"/>
  <c r="BW93" i="1"/>
  <c r="BV93" i="1"/>
  <c r="BU95" i="1"/>
  <c r="BW92" i="1" l="1"/>
  <c r="BV92" i="1"/>
  <c r="BU94" i="1"/>
  <c r="BW95" i="1"/>
  <c r="BV95" i="1"/>
  <c r="BU97" i="1"/>
  <c r="BU98" i="1" l="1"/>
  <c r="BW98" i="1" s="1"/>
  <c r="BU96" i="1"/>
  <c r="BW94" i="1"/>
  <c r="BV94" i="1"/>
  <c r="BW97" i="1"/>
  <c r="BV97" i="1"/>
  <c r="BU99" i="1"/>
  <c r="BU100" i="1"/>
  <c r="BV98" i="1" l="1"/>
  <c r="BW96" i="1"/>
  <c r="BV96" i="1"/>
  <c r="BU102" i="1"/>
  <c r="BW100" i="1"/>
  <c r="BV100" i="1"/>
  <c r="BW99" i="1"/>
  <c r="BV99" i="1"/>
  <c r="BU101" i="1"/>
  <c r="BW101" i="1" l="1"/>
  <c r="BV101" i="1"/>
  <c r="BU103" i="1"/>
  <c r="BW102" i="1"/>
  <c r="BV102" i="1"/>
  <c r="BU104" i="1"/>
  <c r="BW103" i="1" l="1"/>
  <c r="BV103" i="1"/>
  <c r="BW104" i="1"/>
  <c r="BV104" i="1"/>
  <c r="BU106" i="1"/>
  <c r="BU105" i="1"/>
  <c r="BW105" i="1" l="1"/>
  <c r="BV105" i="1"/>
  <c r="BU107" i="1"/>
  <c r="BW106" i="1"/>
  <c r="BV106" i="1"/>
  <c r="BU108" i="1"/>
  <c r="BU110" i="1" l="1"/>
  <c r="BW108" i="1"/>
  <c r="BV108" i="1"/>
  <c r="BW107" i="1"/>
  <c r="BV107" i="1"/>
  <c r="BU109" i="1"/>
  <c r="BW109" i="1" l="1"/>
  <c r="BV109" i="1"/>
  <c r="BU111" i="1"/>
  <c r="BW110" i="1"/>
  <c r="BV110" i="1"/>
  <c r="BU112" i="1"/>
  <c r="BW111" i="1" l="1"/>
  <c r="BV111" i="1"/>
  <c r="BW112" i="1"/>
  <c r="BV112" i="1"/>
  <c r="BU114" i="1"/>
  <c r="BU113" i="1"/>
  <c r="BW113" i="1" l="1"/>
  <c r="BV113" i="1"/>
  <c r="BU115" i="1"/>
  <c r="BW114" i="1"/>
  <c r="BV114" i="1"/>
  <c r="BU116" i="1"/>
  <c r="BW116" i="1" l="1"/>
  <c r="BV116" i="1"/>
  <c r="BW115" i="1"/>
  <c r="BV115" i="1"/>
  <c r="BU117" i="1"/>
  <c r="BU118" i="1"/>
  <c r="BW118" i="1" l="1"/>
  <c r="BV118" i="1"/>
  <c r="BW117" i="1"/>
  <c r="BV117" i="1"/>
  <c r="BU120" i="1"/>
  <c r="BU119" i="1"/>
  <c r="BW119" i="1" l="1"/>
  <c r="BV119" i="1"/>
  <c r="BU121" i="1"/>
  <c r="BW120" i="1"/>
  <c r="BV120" i="1"/>
  <c r="BU122" i="1"/>
  <c r="BW121" i="1" l="1"/>
  <c r="BV121" i="1"/>
  <c r="BU123" i="1"/>
  <c r="BW122" i="1"/>
  <c r="BV122" i="1"/>
  <c r="BU124" i="1"/>
  <c r="BW123" i="1" l="1"/>
  <c r="BV123" i="1"/>
  <c r="BU126" i="1"/>
  <c r="BU125" i="1"/>
  <c r="BW124" i="1"/>
  <c r="BV124" i="1"/>
  <c r="BW126" i="1" l="1"/>
  <c r="BV126" i="1"/>
  <c r="BU128" i="1"/>
  <c r="BW125" i="1"/>
  <c r="BV125" i="1"/>
  <c r="BU127" i="1"/>
  <c r="BW128" i="1" l="1"/>
  <c r="BV128" i="1"/>
  <c r="BU129" i="1"/>
  <c r="BU130" i="1"/>
  <c r="BW127" i="1"/>
  <c r="BV127" i="1"/>
  <c r="BW129" i="1" l="1"/>
  <c r="BV129" i="1"/>
  <c r="BU131" i="1"/>
  <c r="BW130" i="1"/>
  <c r="BV130" i="1"/>
  <c r="BU132" i="1"/>
  <c r="BW132" i="1" l="1"/>
  <c r="BV132" i="1"/>
  <c r="BU134" i="1"/>
  <c r="BU133" i="1"/>
  <c r="BW131" i="1"/>
  <c r="BV131" i="1"/>
  <c r="BW133" i="1" l="1"/>
  <c r="BV133" i="1"/>
  <c r="BW134" i="1"/>
  <c r="BV134" i="1"/>
  <c r="BU138" i="1"/>
  <c r="BU136" i="1"/>
  <c r="BU135" i="1"/>
  <c r="BW135" i="1" l="1"/>
  <c r="BV135" i="1"/>
  <c r="BU139" i="1"/>
  <c r="BU137" i="1"/>
  <c r="BW136" i="1"/>
  <c r="BV136" i="1"/>
  <c r="BW138" i="1"/>
  <c r="BV138" i="1"/>
  <c r="BW139" i="1" l="1"/>
  <c r="BV139" i="1"/>
  <c r="BW137" i="1"/>
  <c r="BV137" i="1"/>
</calcChain>
</file>

<file path=xl/sharedStrings.xml><?xml version="1.0" encoding="utf-8"?>
<sst xmlns="http://schemas.openxmlformats.org/spreadsheetml/2006/main" count="1097" uniqueCount="114">
  <si>
    <t xml:space="preserve"> دولة  ليبيا</t>
  </si>
  <si>
    <t>وزارة التربية والتعليم</t>
  </si>
  <si>
    <t xml:space="preserve"> </t>
  </si>
  <si>
    <t>إدارة الإمتحانات</t>
  </si>
  <si>
    <t>رقم مسلسل</t>
  </si>
  <si>
    <t>اسم التلميذ بالكامل</t>
  </si>
  <si>
    <t>المــــــــــــــــــــــــــــواد الدراسيــــــــــــــــــــــــــــــــــــــــــــــــــــــــة</t>
  </si>
  <si>
    <t>التقدير</t>
  </si>
  <si>
    <t>النسبة المئوية</t>
  </si>
  <si>
    <t>المجموع</t>
  </si>
  <si>
    <t>الاعمال</t>
  </si>
  <si>
    <t>المجموع الكلي</t>
  </si>
  <si>
    <t>ممتاز</t>
  </si>
  <si>
    <t>جيد</t>
  </si>
  <si>
    <t>مقبول</t>
  </si>
  <si>
    <t>رقم القيد</t>
  </si>
  <si>
    <t>الفترة الاولى</t>
  </si>
  <si>
    <t>الفترة الثانية</t>
  </si>
  <si>
    <t xml:space="preserve">الاسم </t>
  </si>
  <si>
    <t>التوقيع</t>
  </si>
  <si>
    <t>إقرار مدير المدرسة</t>
  </si>
  <si>
    <t>كتبه</t>
  </si>
  <si>
    <t>أملاه</t>
  </si>
  <si>
    <t>رجع الكتابة</t>
  </si>
  <si>
    <t>رجع الملاء</t>
  </si>
  <si>
    <t>عدد الحصص</t>
  </si>
  <si>
    <t>النهايــــات</t>
  </si>
  <si>
    <t>درجــات الفترتين</t>
  </si>
  <si>
    <t>الكبرى</t>
  </si>
  <si>
    <t>الفترة الاول</t>
  </si>
  <si>
    <t>التوقيعــــات</t>
  </si>
  <si>
    <t>الفترة الثانيــــــة</t>
  </si>
  <si>
    <t>رائــــد الصف</t>
  </si>
  <si>
    <t>مدير المدرسة</t>
  </si>
  <si>
    <t>ولي الأمــــر</t>
  </si>
  <si>
    <t xml:space="preserve">ملاحظات عن نتيجة الطالب خلال الفتـــرة </t>
  </si>
  <si>
    <t xml:space="preserve">تنبيـــــــــــه </t>
  </si>
  <si>
    <t xml:space="preserve">يجب إعطاء هذه البطاقة للتلميذ فىنهاية كل فتـــــرة </t>
  </si>
  <si>
    <t xml:space="preserve"> كل كشط أو تغيير في هذه االبطاقة يلغيها</t>
  </si>
  <si>
    <t>الغياب</t>
  </si>
  <si>
    <t>مشروع</t>
  </si>
  <si>
    <t>غير مشروع</t>
  </si>
  <si>
    <t>الصغرى</t>
  </si>
  <si>
    <t>يعتمد مدير المدرسة</t>
  </si>
  <si>
    <t>التاريخ</t>
  </si>
  <si>
    <t>الختم</t>
  </si>
  <si>
    <t>جيدجداً</t>
  </si>
  <si>
    <t>الاسم</t>
  </si>
  <si>
    <t>مكتب امتحانات تاجوراء</t>
  </si>
  <si>
    <t>ضيف</t>
  </si>
  <si>
    <t>الثانية</t>
  </si>
  <si>
    <t>الأولى:</t>
  </si>
  <si>
    <t xml:space="preserve">أقر أنا   </t>
  </si>
  <si>
    <t>مدير مدرسة</t>
  </si>
  <si>
    <t>بأن جميع ماوردة في هدا الكشف مطابقا للبينات المثبتة بالسجلات</t>
  </si>
  <si>
    <t>ختم مدير  المدرسة</t>
  </si>
  <si>
    <t>أسماء المراجعين</t>
  </si>
  <si>
    <t>املاه</t>
  </si>
  <si>
    <t>راجع الكتابه</t>
  </si>
  <si>
    <t>راجع الاملاء</t>
  </si>
  <si>
    <t>رئيس لجنة النظام والمراجعة</t>
  </si>
  <si>
    <t>منسق الامتحانات</t>
  </si>
  <si>
    <t>مدير مكتب الامتحانات</t>
  </si>
  <si>
    <t>المهدي بشير البطيسي</t>
  </si>
  <si>
    <t xml:space="preserve">تاريخ النتيجة </t>
  </si>
  <si>
    <t>تاريخ الصحيفة ف1</t>
  </si>
  <si>
    <t>تاريخ الصحيفة ف2</t>
  </si>
  <si>
    <t>المواد الدراسية المقررة</t>
  </si>
  <si>
    <t>الدرجة المقررة للفترة</t>
  </si>
  <si>
    <t>الدرجة المقررة للفترتيــن 30%</t>
  </si>
  <si>
    <t>العلوم</t>
  </si>
  <si>
    <t>الرياضيات</t>
  </si>
  <si>
    <t>النحو والقراءة والنصوص</t>
  </si>
  <si>
    <t>الإنجليزي</t>
  </si>
  <si>
    <t>التربية الإسلامية</t>
  </si>
  <si>
    <t>الحاسوب</t>
  </si>
  <si>
    <t>الجغرافيا</t>
  </si>
  <si>
    <t>المدرسة /</t>
  </si>
  <si>
    <t>وزارة والتعليم</t>
  </si>
  <si>
    <t>الدرجة المقررة للفترتيــن 60%</t>
  </si>
  <si>
    <t>رقم الجلوس</t>
  </si>
  <si>
    <t xml:space="preserve">  بطاقة تقدير بيان للصف ( التاسع ) من التعليم الاساسي</t>
  </si>
  <si>
    <t>درجة الامتحان</t>
  </si>
  <si>
    <t>الكتابة (الخط والاملاء والخط )</t>
  </si>
  <si>
    <t>ضعيف</t>
  </si>
  <si>
    <t>سهول العلم للتعليم الخاص</t>
  </si>
  <si>
    <t>العام  الدراسي 1445 - 1446 هجرية / الموافق 2024 - 2025 ميلادية</t>
  </si>
  <si>
    <t xml:space="preserve">                كشف رصد النتائج النهائية للصف التاسع من مرحلة التعليم الاساسي     1446 - 1447 هجرية  الموافق 2025 - 2026 ميلادية</t>
  </si>
  <si>
    <t>احمد توفيق احمد وحيده</t>
  </si>
  <si>
    <t xml:space="preserve">اسلام محمد عوض الحداد </t>
  </si>
  <si>
    <t>اسيل فاروق فيصل ابو الطويرات</t>
  </si>
  <si>
    <t>انس محمد عبدالكريم ابوحميده</t>
  </si>
  <si>
    <t>إيناس فاروق فيصل ابو الطويرات</t>
  </si>
  <si>
    <t>جمعة خيرى عبدالله الدرهوبي</t>
  </si>
  <si>
    <t>دنيه علي حمد القبائلى</t>
  </si>
  <si>
    <t>رزان خليل محمد المغربي</t>
  </si>
  <si>
    <t>رفال عبدالحميد سالم القاضي</t>
  </si>
  <si>
    <t>رنا عبدالحميد سيد ابوبكر</t>
  </si>
  <si>
    <t>ريناد محمد ابراهيم السلامي</t>
  </si>
  <si>
    <t>عبدالرحيم عبدالمولي الجمل</t>
  </si>
  <si>
    <t>عبدالله احمد سالم العزيبي</t>
  </si>
  <si>
    <t>علاء الدين لطفي الهادى  امعمر</t>
  </si>
  <si>
    <t>عمران أسامة سالم طاهر</t>
  </si>
  <si>
    <t>مالك  علي حمد القبائلى</t>
  </si>
  <si>
    <t>محمد جمعة رمضان العزيبي</t>
  </si>
  <si>
    <t>محمد على عامر الخالقي</t>
  </si>
  <si>
    <t xml:space="preserve">محمد وسام حسن دريدر </t>
  </si>
  <si>
    <t>نورالدين الشعاب سليمان رجب</t>
  </si>
  <si>
    <t>العام  الدراسي 1446 - 1447 هجرية / الموافق 2025 - 2026 ميلادية</t>
  </si>
  <si>
    <t>أ.غزالة عويدات التهامي</t>
  </si>
  <si>
    <t>أ. فهيم عبدالمجيد بوازويتة</t>
  </si>
  <si>
    <t>يحتاج إلى عناية في مادة</t>
  </si>
  <si>
    <t xml:space="preserve">يجب إعطاء هذه البطاقة للتلميذ في نهاية كل فتـــــرة </t>
  </si>
  <si>
    <t>العام  الدراسي 1445 - 1446 هجرية / الموافق 2025 - 2026 ميلادية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</si>
</sst>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3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  <charset val="178"/>
      <scheme val="minor"/>
    </font>
    <font>
      <sz val="6"/>
      <color theme="1"/>
      <name val="Arial"/>
      <family val="2"/>
      <charset val="178"/>
      <scheme val="minor"/>
    </font>
    <font>
      <sz val="9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b/>
      <sz val="11"/>
      <color theme="1"/>
      <name val="Microsoft Uighur"/>
    </font>
    <font>
      <sz val="10"/>
      <name val="Arial"/>
      <family val="2"/>
      <scheme val="minor"/>
    </font>
    <font>
      <b/>
      <u/>
      <sz val="14"/>
      <color theme="1"/>
      <name val="Microsoft Uighur"/>
    </font>
    <font>
      <sz val="11"/>
      <color theme="1"/>
      <name val="Microsoft Uighur"/>
    </font>
    <font>
      <b/>
      <sz val="14"/>
      <color theme="1"/>
      <name val="Microsoft Uighur"/>
    </font>
    <font>
      <b/>
      <sz val="16"/>
      <color theme="1"/>
      <name val="Arial"/>
      <family val="2"/>
      <scheme val="minor"/>
    </font>
    <font>
      <b/>
      <i/>
      <sz val="8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7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  <font>
      <sz val="11"/>
      <color theme="1"/>
      <name val="8514oem"/>
      <family val="3"/>
      <charset val="255"/>
    </font>
    <font>
      <b/>
      <sz val="8"/>
      <color theme="1"/>
      <name val="Bauhaus 93"/>
      <family val="5"/>
    </font>
    <font>
      <sz val="6"/>
      <name val="Arial"/>
      <family val="2"/>
      <scheme val="minor"/>
    </font>
    <font>
      <sz val="16"/>
      <color theme="1"/>
      <name val="Arial"/>
      <family val="2"/>
      <charset val="178"/>
      <scheme val="minor"/>
    </font>
    <font>
      <b/>
      <sz val="9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b/>
      <sz val="12"/>
      <color theme="1"/>
      <name val="Arial"/>
      <family val="2"/>
      <charset val="178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Calibri"/>
      <family val="2"/>
    </font>
    <font>
      <b/>
      <sz val="11"/>
      <color rgb="FFFF0000"/>
      <name val="Microsoft Uighur"/>
    </font>
  </fonts>
  <fills count="2">
    <fill>
      <patternFill patternType="none"/>
    </fill>
    <fill>
      <patternFill patternType="gray125"/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0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/>
    <xf numFmtId="0" fontId="2" fillId="0" borderId="0" xfId="1" applyFont="1"/>
    <xf numFmtId="0" fontId="4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6" xfId="0" applyFont="1" applyBorder="1" applyAlignment="1">
      <alignment horizontal="center" vertical="center" textRotation="90"/>
    </xf>
    <xf numFmtId="0" fontId="8" fillId="0" borderId="7" xfId="0" applyFont="1" applyBorder="1" applyAlignment="1">
      <alignment horizontal="center" vertical="center" textRotation="90"/>
    </xf>
    <xf numFmtId="0" fontId="8" fillId="0" borderId="8" xfId="0" applyFont="1" applyBorder="1" applyAlignment="1">
      <alignment horizontal="center" vertical="center" textRotation="90"/>
    </xf>
    <xf numFmtId="0" fontId="8" fillId="0" borderId="14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 wrapText="1"/>
    </xf>
    <xf numFmtId="10" fontId="9" fillId="0" borderId="52" xfId="0" applyNumberFormat="1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10" fontId="9" fillId="0" borderId="42" xfId="0" applyNumberFormat="1" applyFont="1" applyBorder="1" applyAlignment="1">
      <alignment horizontal="center" vertical="center"/>
    </xf>
    <xf numFmtId="10" fontId="9" fillId="0" borderId="61" xfId="0" applyNumberFormat="1" applyFont="1" applyBorder="1" applyAlignment="1">
      <alignment horizontal="center" vertical="center"/>
    </xf>
    <xf numFmtId="10" fontId="9" fillId="0" borderId="60" xfId="0" applyNumberFormat="1" applyFont="1" applyBorder="1" applyAlignment="1">
      <alignment horizontal="center" vertical="center"/>
    </xf>
    <xf numFmtId="10" fontId="9" fillId="0" borderId="60" xfId="0" applyNumberFormat="1" applyFont="1" applyBorder="1" applyAlignment="1">
      <alignment horizontal="center"/>
    </xf>
    <xf numFmtId="10" fontId="9" fillId="0" borderId="62" xfId="0" applyNumberFormat="1" applyFont="1" applyBorder="1" applyAlignment="1">
      <alignment horizontal="center" vertical="center"/>
    </xf>
    <xf numFmtId="10" fontId="9" fillId="0" borderId="63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8" fillId="0" borderId="44" xfId="0" applyFont="1" applyBorder="1" applyAlignment="1">
      <alignment vertical="center" wrapText="1"/>
    </xf>
    <xf numFmtId="0" fontId="8" fillId="0" borderId="64" xfId="0" applyFont="1" applyBorder="1" applyAlignment="1">
      <alignment vertical="center" wrapText="1"/>
    </xf>
    <xf numFmtId="0" fontId="8" fillId="0" borderId="65" xfId="0" applyFont="1" applyBorder="1" applyAlignment="1">
      <alignment vertical="center" wrapText="1"/>
    </xf>
    <xf numFmtId="0" fontId="8" fillId="0" borderId="66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/>
    <xf numFmtId="0" fontId="25" fillId="0" borderId="0" xfId="0" applyFont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32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0" xfId="0" applyFont="1"/>
    <xf numFmtId="0" fontId="29" fillId="0" borderId="0" xfId="1" applyFont="1"/>
    <xf numFmtId="0" fontId="21" fillId="0" borderId="0" xfId="0" applyFont="1"/>
    <xf numFmtId="0" fontId="21" fillId="0" borderId="0" xfId="1" applyFont="1" applyAlignment="1">
      <alignment horizontal="center"/>
    </xf>
    <xf numFmtId="10" fontId="21" fillId="0" borderId="71" xfId="0" applyNumberFormat="1" applyFont="1" applyBorder="1" applyAlignment="1">
      <alignment horizontal="center" vertical="center"/>
    </xf>
    <xf numFmtId="10" fontId="21" fillId="0" borderId="16" xfId="0" applyNumberFormat="1" applyFont="1" applyBorder="1" applyAlignment="1">
      <alignment horizontal="center" vertical="center"/>
    </xf>
    <xf numFmtId="10" fontId="21" fillId="0" borderId="72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 shrinkToFit="1"/>
    </xf>
    <xf numFmtId="0" fontId="29" fillId="0" borderId="39" xfId="0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10" fontId="21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0" fontId="21" fillId="0" borderId="7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10" fontId="21" fillId="0" borderId="1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28" fillId="0" borderId="73" xfId="0" applyFont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8" fillId="0" borderId="75" xfId="0" applyFont="1" applyBorder="1" applyAlignment="1">
      <alignment horizontal="center" vertical="center"/>
    </xf>
    <xf numFmtId="0" fontId="12" fillId="0" borderId="0" xfId="1" applyFont="1"/>
    <xf numFmtId="0" fontId="8" fillId="0" borderId="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8" fillId="0" borderId="76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0" fontId="28" fillId="0" borderId="7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/>
      <protection locked="0" hidden="1"/>
    </xf>
    <xf numFmtId="0" fontId="13" fillId="0" borderId="2" xfId="0" applyFont="1" applyBorder="1" applyAlignment="1" applyProtection="1">
      <alignment horizontal="center" vertical="center"/>
      <protection locked="0" hidden="1"/>
    </xf>
    <xf numFmtId="0" fontId="13" fillId="0" borderId="6" xfId="0" applyFont="1" applyBorder="1" applyAlignment="1" applyProtection="1">
      <alignment horizontal="center" vertical="center"/>
      <protection locked="0" hidden="1"/>
    </xf>
    <xf numFmtId="0" fontId="13" fillId="0" borderId="5" xfId="0" applyFont="1" applyBorder="1" applyAlignment="1" applyProtection="1">
      <alignment horizontal="center" vertical="center"/>
      <protection locked="0" hidden="1"/>
    </xf>
    <xf numFmtId="0" fontId="13" fillId="0" borderId="10" xfId="0" applyFont="1" applyBorder="1" applyAlignment="1" applyProtection="1">
      <alignment horizontal="center" vertical="center"/>
      <protection locked="0" hidden="1"/>
    </xf>
    <xf numFmtId="0" fontId="13" fillId="0" borderId="9" xfId="0" applyFont="1" applyBorder="1" applyAlignment="1" applyProtection="1">
      <alignment horizontal="center" vertical="center"/>
      <protection locked="0" hidden="1"/>
    </xf>
    <xf numFmtId="0" fontId="32" fillId="0" borderId="0" xfId="0" applyFont="1"/>
    <xf numFmtId="0" fontId="33" fillId="0" borderId="0" xfId="1" applyFont="1"/>
    <xf numFmtId="0" fontId="32" fillId="0" borderId="76" xfId="0" applyFont="1" applyBorder="1" applyAlignment="1">
      <alignment horizontal="center" vertical="center"/>
    </xf>
    <xf numFmtId="0" fontId="32" fillId="0" borderId="77" xfId="0" applyFont="1" applyBorder="1" applyAlignment="1">
      <alignment horizontal="center" vertical="center"/>
    </xf>
    <xf numFmtId="0" fontId="32" fillId="0" borderId="78" xfId="0" applyFont="1" applyBorder="1" applyAlignment="1">
      <alignment horizontal="center" vertical="center"/>
    </xf>
    <xf numFmtId="0" fontId="32" fillId="0" borderId="69" xfId="0" applyFont="1" applyBorder="1" applyAlignment="1">
      <alignment horizontal="center" vertical="center"/>
    </xf>
    <xf numFmtId="0" fontId="32" fillId="0" borderId="70" xfId="0" applyFont="1" applyBorder="1" applyAlignment="1">
      <alignment horizontal="center" vertical="center"/>
    </xf>
    <xf numFmtId="0" fontId="32" fillId="0" borderId="7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6" xfId="1" applyFont="1" applyBorder="1"/>
    <xf numFmtId="0" fontId="7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shrinkToFit="1"/>
    </xf>
    <xf numFmtId="0" fontId="0" fillId="0" borderId="26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28" xfId="0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 readingOrder="2"/>
    </xf>
    <xf numFmtId="0" fontId="0" fillId="0" borderId="1" xfId="0" applyBorder="1" applyAlignment="1">
      <alignment horizontal="center" vertical="center" shrinkToFit="1"/>
    </xf>
    <xf numFmtId="0" fontId="21" fillId="0" borderId="0" xfId="0" applyFont="1" applyAlignment="1">
      <alignment horizontal="center" vertical="center" textRotation="90" shrinkToFit="1"/>
    </xf>
    <xf numFmtId="0" fontId="12" fillId="0" borderId="48" xfId="0" applyFont="1" applyBorder="1" applyAlignment="1">
      <alignment horizontal="center" vertical="center" shrinkToFit="1"/>
    </xf>
    <xf numFmtId="0" fontId="21" fillId="0" borderId="48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 shrinkToFit="1"/>
    </xf>
    <xf numFmtId="0" fontId="23" fillId="0" borderId="6" xfId="0" applyFont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shrinkToFit="1"/>
    </xf>
    <xf numFmtId="0" fontId="29" fillId="0" borderId="47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 vertical="center" shrinkToFit="1" readingOrder="2"/>
    </xf>
    <xf numFmtId="0" fontId="12" fillId="0" borderId="40" xfId="0" applyFont="1" applyBorder="1" applyAlignment="1">
      <alignment horizontal="center" vertical="center" shrinkToFit="1"/>
    </xf>
    <xf numFmtId="0" fontId="21" fillId="0" borderId="40" xfId="0" applyFont="1" applyBorder="1" applyAlignment="1">
      <alignment horizontal="center" vertical="center" shrinkToFit="1"/>
    </xf>
    <xf numFmtId="0" fontId="23" fillId="0" borderId="9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9" fillId="0" borderId="39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 readingOrder="2"/>
    </xf>
    <xf numFmtId="0" fontId="23" fillId="0" borderId="22" xfId="0" applyFont="1" applyBorder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23" xfId="0" applyFont="1" applyBorder="1" applyAlignment="1">
      <alignment vertical="center" shrinkToFit="1"/>
    </xf>
    <xf numFmtId="0" fontId="18" fillId="0" borderId="0" xfId="0" applyFont="1" applyAlignment="1">
      <alignment horizontal="center" vertical="center" shrinkToFit="1" readingOrder="2"/>
    </xf>
    <xf numFmtId="0" fontId="26" fillId="0" borderId="67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3" fillId="0" borderId="3" xfId="0" applyFont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7" fillId="0" borderId="48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 readingOrder="2"/>
    </xf>
    <xf numFmtId="0" fontId="4" fillId="0" borderId="0" xfId="0" applyFont="1" applyAlignment="1">
      <alignment horizontal="center" vertical="center" shrinkToFit="1" readingOrder="2"/>
    </xf>
    <xf numFmtId="0" fontId="12" fillId="0" borderId="32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0" fillId="0" borderId="32" xfId="0" applyBorder="1" applyAlignment="1">
      <alignment vertical="center" shrinkToFit="1"/>
    </xf>
    <xf numFmtId="0" fontId="0" fillId="0" borderId="34" xfId="0" applyBorder="1" applyAlignment="1">
      <alignment horizontal="center" vertical="center" shrinkToFit="1"/>
    </xf>
    <xf numFmtId="0" fontId="0" fillId="0" borderId="33" xfId="0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0" fillId="0" borderId="68" xfId="0" applyBorder="1" applyAlignment="1">
      <alignment horizontal="center" vertical="center" shrinkToFit="1"/>
    </xf>
    <xf numFmtId="0" fontId="34" fillId="0" borderId="0" xfId="0" applyFont="1"/>
    <xf numFmtId="0" fontId="34" fillId="0" borderId="73" xfId="0" applyFont="1" applyBorder="1" applyAlignment="1">
      <alignment horizontal="center" vertical="center" wrapText="1"/>
    </xf>
    <xf numFmtId="0" fontId="34" fillId="0" borderId="74" xfId="0" applyFont="1" applyBorder="1" applyAlignment="1">
      <alignment horizontal="center" vertical="center" wrapText="1"/>
    </xf>
    <xf numFmtId="0" fontId="34" fillId="0" borderId="7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4" fillId="0" borderId="71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2" xfId="0" applyFont="1" applyBorder="1" applyAlignment="1" applyProtection="1">
      <alignment horizontal="center" vertical="center"/>
      <protection locked="0" hidden="1"/>
    </xf>
    <xf numFmtId="0" fontId="13" fillId="0" borderId="8" xfId="0" applyFont="1" applyBorder="1" applyAlignment="1" applyProtection="1">
      <alignment horizontal="center" vertical="center"/>
      <protection locked="0" hidden="1"/>
    </xf>
    <xf numFmtId="0" fontId="13" fillId="0" borderId="84" xfId="0" applyFont="1" applyBorder="1" applyAlignment="1" applyProtection="1">
      <alignment horizontal="center" vertical="center"/>
      <protection locked="0"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>
      <alignment horizontal="center" vertical="center" textRotation="90"/>
    </xf>
    <xf numFmtId="0" fontId="13" fillId="0" borderId="6" xfId="0" applyFont="1" applyBorder="1" applyAlignment="1">
      <alignment horizontal="center" vertical="center" textRotation="90"/>
    </xf>
    <xf numFmtId="0" fontId="13" fillId="0" borderId="7" xfId="0" applyFont="1" applyBorder="1" applyAlignment="1">
      <alignment horizontal="center" vertical="center" textRotation="90"/>
    </xf>
    <xf numFmtId="0" fontId="13" fillId="0" borderId="5" xfId="0" applyFont="1" applyBorder="1" applyAlignment="1">
      <alignment horizontal="center" vertical="center" textRotation="90"/>
    </xf>
    <xf numFmtId="0" fontId="13" fillId="0" borderId="83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84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71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73" xfId="0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/>
    </xf>
    <xf numFmtId="0" fontId="33" fillId="0" borderId="0" xfId="1" applyFont="1" applyAlignment="1">
      <alignment horizontal="center"/>
    </xf>
    <xf numFmtId="0" fontId="34" fillId="0" borderId="37" xfId="0" applyFont="1" applyBorder="1" applyAlignment="1">
      <alignment vertical="center" textRotation="90" wrapText="1"/>
    </xf>
    <xf numFmtId="0" fontId="36" fillId="0" borderId="87" xfId="0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36" fillId="0" borderId="88" xfId="0" applyFont="1" applyBorder="1" applyAlignment="1">
      <alignment vertical="center" wrapText="1"/>
    </xf>
    <xf numFmtId="0" fontId="28" fillId="0" borderId="6" xfId="0" applyFont="1" applyBorder="1" applyAlignment="1">
      <alignment horizontal="center" vertical="center" shrinkToFit="1"/>
    </xf>
    <xf numFmtId="0" fontId="8" fillId="0" borderId="51" xfId="0" applyFont="1" applyBorder="1" applyAlignment="1">
      <alignment horizontal="center" textRotation="90"/>
    </xf>
    <xf numFmtId="0" fontId="8" fillId="0" borderId="50" xfId="0" applyFont="1" applyBorder="1" applyAlignment="1">
      <alignment horizontal="center" textRotation="90"/>
    </xf>
    <xf numFmtId="0" fontId="8" fillId="0" borderId="31" xfId="0" applyFont="1" applyBorder="1" applyAlignment="1">
      <alignment horizontal="center" textRotation="90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right" vertical="center" wrapText="1"/>
    </xf>
    <xf numFmtId="0" fontId="5" fillId="0" borderId="0" xfId="1" quotePrefix="1" applyFont="1" applyAlignment="1">
      <alignment horizontal="center" vertical="center"/>
    </xf>
    <xf numFmtId="0" fontId="7" fillId="0" borderId="3" xfId="1" applyFont="1" applyBorder="1" applyAlignment="1">
      <alignment horizontal="center" vertical="center" textRotation="90"/>
    </xf>
    <xf numFmtId="0" fontId="7" fillId="0" borderId="16" xfId="1" applyFont="1" applyBorder="1" applyAlignment="1">
      <alignment horizontal="center" vertical="center" textRotation="90"/>
    </xf>
    <xf numFmtId="0" fontId="7" fillId="0" borderId="17" xfId="1" applyFont="1" applyBorder="1" applyAlignment="1">
      <alignment horizontal="center" vertical="center" textRotation="90"/>
    </xf>
    <xf numFmtId="0" fontId="8" fillId="0" borderId="7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23" fillId="0" borderId="76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0" borderId="49" xfId="1" applyFont="1" applyBorder="1" applyAlignment="1">
      <alignment horizontal="center"/>
    </xf>
    <xf numFmtId="0" fontId="7" fillId="0" borderId="50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/>
    </xf>
    <xf numFmtId="0" fontId="28" fillId="0" borderId="2" xfId="0" applyFont="1" applyBorder="1" applyAlignment="1">
      <alignment horizontal="center" vertical="center" textRotation="90"/>
    </xf>
    <xf numFmtId="0" fontId="28" fillId="0" borderId="6" xfId="0" applyFont="1" applyBorder="1" applyAlignment="1">
      <alignment horizontal="center" vertical="center" textRotation="90"/>
    </xf>
    <xf numFmtId="0" fontId="28" fillId="0" borderId="10" xfId="0" applyFont="1" applyBorder="1" applyAlignment="1">
      <alignment horizontal="center" vertical="center" textRotation="90"/>
    </xf>
    <xf numFmtId="0" fontId="30" fillId="0" borderId="2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12" fillId="0" borderId="18" xfId="1" applyFont="1" applyBorder="1" applyAlignment="1">
      <alignment horizontal="center"/>
    </xf>
    <xf numFmtId="0" fontId="19" fillId="0" borderId="0" xfId="1" applyFont="1" applyAlignment="1">
      <alignment horizontal="center"/>
    </xf>
    <xf numFmtId="0" fontId="12" fillId="0" borderId="10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4" fillId="0" borderId="22" xfId="0" quotePrefix="1" applyFont="1" applyBorder="1" applyAlignment="1">
      <alignment horizontal="center" vertical="center" shrinkToFit="1"/>
    </xf>
    <xf numFmtId="0" fontId="24" fillId="0" borderId="0" xfId="0" quotePrefix="1" applyFont="1" applyAlignment="1">
      <alignment horizontal="center" vertical="center" shrinkToFit="1"/>
    </xf>
    <xf numFmtId="0" fontId="24" fillId="0" borderId="23" xfId="0" quotePrefix="1" applyFont="1" applyBorder="1" applyAlignment="1">
      <alignment horizontal="center" vertical="center" shrinkToFit="1"/>
    </xf>
    <xf numFmtId="0" fontId="24" fillId="0" borderId="19" xfId="0" quotePrefix="1" applyFont="1" applyBorder="1" applyAlignment="1">
      <alignment horizontal="center" vertical="center" shrinkToFit="1"/>
    </xf>
    <xf numFmtId="0" fontId="24" fillId="0" borderId="18" xfId="0" quotePrefix="1" applyFont="1" applyBorder="1" applyAlignment="1">
      <alignment horizontal="center" vertical="center" shrinkToFit="1"/>
    </xf>
    <xf numFmtId="0" fontId="24" fillId="0" borderId="20" xfId="0" quotePrefix="1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0" fillId="0" borderId="22" xfId="0" quotePrefix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18" fillId="0" borderId="36" xfId="0" applyFont="1" applyBorder="1" applyAlignment="1">
      <alignment horizontal="center" vertical="center" shrinkToFit="1" readingOrder="2"/>
    </xf>
    <xf numFmtId="0" fontId="18" fillId="0" borderId="37" xfId="0" applyFont="1" applyBorder="1" applyAlignment="1">
      <alignment horizontal="center" vertical="center" shrinkToFit="1" readingOrder="2"/>
    </xf>
    <xf numFmtId="0" fontId="18" fillId="0" borderId="38" xfId="0" applyFont="1" applyBorder="1" applyAlignment="1">
      <alignment horizontal="center" vertical="center" shrinkToFit="1" readingOrder="2"/>
    </xf>
    <xf numFmtId="164" fontId="0" fillId="0" borderId="0" xfId="0" applyNumberFormat="1" applyAlignment="1">
      <alignment horizontal="center" vertical="center" shrinkToFit="1"/>
    </xf>
    <xf numFmtId="164" fontId="0" fillId="0" borderId="23" xfId="0" applyNumberForma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shrinkToFit="1" readingOrder="2"/>
    </xf>
    <xf numFmtId="0" fontId="18" fillId="0" borderId="0" xfId="0" applyFont="1" applyAlignment="1">
      <alignment horizontal="center" vertical="center" shrinkToFit="1" readingOrder="2"/>
    </xf>
    <xf numFmtId="0" fontId="18" fillId="0" borderId="23" xfId="0" applyFont="1" applyBorder="1" applyAlignment="1">
      <alignment horizontal="center" vertical="center" shrinkToFit="1" readingOrder="2"/>
    </xf>
    <xf numFmtId="0" fontId="10" fillId="0" borderId="29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7" fillId="0" borderId="80" xfId="0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31" fillId="0" borderId="2" xfId="0" applyFont="1" applyBorder="1" applyAlignment="1">
      <alignment horizontal="center" vertical="center" textRotation="90" shrinkToFit="1"/>
    </xf>
    <xf numFmtId="0" fontId="31" fillId="0" borderId="6" xfId="0" applyFont="1" applyBorder="1" applyAlignment="1">
      <alignment horizontal="center" vertical="center" textRotation="90" shrinkToFit="1"/>
    </xf>
    <xf numFmtId="0" fontId="31" fillId="0" borderId="37" xfId="0" applyFont="1" applyBorder="1" applyAlignment="1">
      <alignment horizontal="center" vertical="center" textRotation="90" shrinkToFit="1"/>
    </xf>
    <xf numFmtId="0" fontId="15" fillId="0" borderId="6" xfId="0" applyFont="1" applyBorder="1" applyAlignment="1">
      <alignment horizontal="center" vertical="center" textRotation="90" shrinkToFit="1"/>
    </xf>
    <xf numFmtId="0" fontId="15" fillId="0" borderId="37" xfId="0" applyFont="1" applyBorder="1" applyAlignment="1">
      <alignment horizontal="center" vertical="center" textRotation="90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18" fillId="0" borderId="5" xfId="0" applyFont="1" applyBorder="1" applyAlignment="1">
      <alignment horizontal="center" vertical="center" shrinkToFit="1" readingOrder="2"/>
    </xf>
    <xf numFmtId="0" fontId="18" fillId="0" borderId="6" xfId="0" applyFont="1" applyBorder="1" applyAlignment="1">
      <alignment horizontal="center" vertical="center" shrinkToFit="1" readingOrder="2"/>
    </xf>
    <xf numFmtId="0" fontId="18" fillId="0" borderId="7" xfId="0" applyFont="1" applyBorder="1" applyAlignment="1">
      <alignment horizontal="center" vertical="center" shrinkToFit="1" readingOrder="2"/>
    </xf>
    <xf numFmtId="0" fontId="2" fillId="0" borderId="6" xfId="0" applyFont="1" applyBorder="1" applyAlignment="1">
      <alignment horizontal="center" vertical="center" textRotation="90" shrinkToFit="1"/>
    </xf>
    <xf numFmtId="0" fontId="2" fillId="0" borderId="37" xfId="0" applyFont="1" applyBorder="1" applyAlignment="1">
      <alignment horizontal="center" vertical="center" textRotation="90" shrinkToFit="1"/>
    </xf>
    <xf numFmtId="0" fontId="27" fillId="0" borderId="37" xfId="0" applyFont="1" applyBorder="1" applyAlignment="1">
      <alignment horizontal="center" vertical="center" textRotation="90" shrinkToFit="1"/>
    </xf>
    <xf numFmtId="0" fontId="27" fillId="0" borderId="45" xfId="0" applyFont="1" applyBorder="1" applyAlignment="1">
      <alignment horizontal="center" vertical="center" textRotation="90" shrinkToFit="1"/>
    </xf>
    <xf numFmtId="0" fontId="22" fillId="0" borderId="6" xfId="0" applyFont="1" applyBorder="1" applyAlignment="1">
      <alignment horizontal="center" vertical="center" textRotation="90" shrinkToFit="1"/>
    </xf>
    <xf numFmtId="0" fontId="22" fillId="0" borderId="37" xfId="0" applyFont="1" applyBorder="1" applyAlignment="1">
      <alignment horizontal="center" vertical="center" textRotation="90" shrinkToFit="1"/>
    </xf>
    <xf numFmtId="0" fontId="2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80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25" xfId="0" applyFont="1" applyBorder="1" applyAlignment="1">
      <alignment horizontal="center" vertical="center"/>
    </xf>
    <xf numFmtId="0" fontId="0" fillId="0" borderId="29" xfId="0" quotePrefix="1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0" fontId="0" fillId="0" borderId="31" xfId="0" applyBorder="1" applyAlignment="1">
      <alignment horizontal="center" vertical="center" shrinkToFit="1"/>
    </xf>
    <xf numFmtId="0" fontId="3" fillId="0" borderId="69" xfId="0" applyFont="1" applyBorder="1" applyAlignment="1">
      <alignment horizontal="center" vertical="center" shrinkToFit="1"/>
    </xf>
    <xf numFmtId="0" fontId="3" fillId="0" borderId="71" xfId="0" applyFont="1" applyBorder="1" applyAlignment="1">
      <alignment horizontal="center" vertical="center" shrinkToFit="1"/>
    </xf>
    <xf numFmtId="0" fontId="37" fillId="0" borderId="36" xfId="0" applyFont="1" applyBorder="1" applyAlignment="1">
      <alignment horizontal="center" vertical="center" shrinkToFit="1" readingOrder="2"/>
    </xf>
    <xf numFmtId="0" fontId="37" fillId="0" borderId="37" xfId="0" applyFont="1" applyBorder="1" applyAlignment="1">
      <alignment horizontal="center" vertical="center" shrinkToFit="1" readingOrder="2"/>
    </xf>
    <xf numFmtId="0" fontId="37" fillId="0" borderId="38" xfId="0" applyFont="1" applyBorder="1" applyAlignment="1">
      <alignment horizontal="center" vertical="center" shrinkToFit="1" readingOrder="2"/>
    </xf>
    <xf numFmtId="0" fontId="3" fillId="0" borderId="13" xfId="0" applyFont="1" applyBorder="1" applyAlignment="1">
      <alignment horizontal="center" vertical="center" shrinkToFit="1"/>
    </xf>
    <xf numFmtId="0" fontId="27" fillId="0" borderId="37" xfId="0" applyFont="1" applyBorder="1" applyAlignment="1">
      <alignment horizontal="center" vertical="center" textRotation="90" wrapText="1" shrinkToFit="1"/>
    </xf>
    <xf numFmtId="0" fontId="27" fillId="0" borderId="45" xfId="0" applyFont="1" applyBorder="1" applyAlignment="1">
      <alignment horizontal="center" vertical="center" textRotation="90" wrapText="1" shrinkToFit="1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textRotation="90"/>
    </xf>
    <xf numFmtId="0" fontId="32" fillId="0" borderId="6" xfId="0" applyFont="1" applyBorder="1" applyAlignment="1">
      <alignment horizontal="center" vertical="center" textRotation="90"/>
    </xf>
    <xf numFmtId="0" fontId="32" fillId="0" borderId="10" xfId="0" applyFont="1" applyBorder="1" applyAlignment="1">
      <alignment horizontal="center" vertical="center" textRotation="90"/>
    </xf>
    <xf numFmtId="0" fontId="29" fillId="0" borderId="3" xfId="1" applyFont="1" applyBorder="1" applyAlignment="1">
      <alignment horizontal="center" vertical="center" textRotation="90"/>
    </xf>
    <xf numFmtId="0" fontId="29" fillId="0" borderId="7" xfId="1" applyFont="1" applyBorder="1" applyAlignment="1">
      <alignment horizontal="center" vertical="center" textRotation="90"/>
    </xf>
    <xf numFmtId="0" fontId="29" fillId="0" borderId="11" xfId="1" applyFont="1" applyBorder="1" applyAlignment="1">
      <alignment horizontal="center" vertical="center" textRotation="90"/>
    </xf>
    <xf numFmtId="0" fontId="13" fillId="0" borderId="76" xfId="0" applyFont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13" fillId="0" borderId="76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7" fillId="0" borderId="82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28" fillId="0" borderId="81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85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 textRotation="90" wrapText="1"/>
    </xf>
    <xf numFmtId="0" fontId="34" fillId="0" borderId="86" xfId="0" applyFont="1" applyBorder="1" applyAlignment="1">
      <alignment horizontal="center" vertical="center" textRotation="90" wrapText="1"/>
    </xf>
    <xf numFmtId="0" fontId="29" fillId="0" borderId="38" xfId="1" applyFont="1" applyBorder="1" applyAlignment="1">
      <alignment horizontal="center" vertical="center" textRotation="90"/>
    </xf>
    <xf numFmtId="0" fontId="8" fillId="0" borderId="1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37" xfId="0" applyFont="1" applyBorder="1" applyAlignment="1">
      <alignment horizontal="center" vertical="center" textRotation="90" wrapText="1"/>
    </xf>
    <xf numFmtId="0" fontId="32" fillId="0" borderId="37" xfId="0" applyFont="1" applyBorder="1" applyAlignment="1">
      <alignment horizontal="center" vertical="center" textRotation="90"/>
    </xf>
  </cellXfs>
  <cellStyles count="2">
    <cellStyle name="Normal 2 2" xfId="1" xr:uid="{00000000-0005-0000-0000-000001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15"/>
  <sheetViews>
    <sheetView showZeros="0" rightToLeft="1" view="pageBreakPreview" topLeftCell="A19" zoomScale="90" zoomScaleNormal="70" zoomScaleSheetLayoutView="90" zoomScalePageLayoutView="170" workbookViewId="0">
      <selection activeCell="A26" sqref="A26:XFD26"/>
    </sheetView>
  </sheetViews>
  <sheetFormatPr defaultColWidth="8.8984375" defaultRowHeight="13.8" x14ac:dyDescent="0.25"/>
  <cols>
    <col min="1" max="1" width="3.296875" customWidth="1"/>
    <col min="2" max="2" width="6.69921875" customWidth="1"/>
    <col min="3" max="3" width="19" style="61" bestFit="1" customWidth="1"/>
    <col min="4" max="23" width="3.19921875" customWidth="1"/>
    <col min="24" max="24" width="4.09765625" customWidth="1"/>
    <col min="25" max="33" width="3.19921875" customWidth="1"/>
    <col min="34" max="34" width="13.296875" customWidth="1"/>
    <col min="35" max="35" width="16.296875" customWidth="1"/>
  </cols>
  <sheetData>
    <row r="1" spans="1:38" ht="18" customHeight="1" x14ac:dyDescent="0.4">
      <c r="A1" s="247" t="s">
        <v>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6"/>
      <c r="AJ1" s="6"/>
      <c r="AK1" s="6"/>
      <c r="AL1" s="6"/>
    </row>
    <row r="2" spans="1:38" ht="18" customHeight="1" x14ac:dyDescent="0.4">
      <c r="A2" s="247" t="s">
        <v>1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6"/>
      <c r="AJ2" s="6"/>
      <c r="AK2" s="6"/>
      <c r="AL2" s="14"/>
    </row>
    <row r="3" spans="1:38" ht="15" customHeight="1" x14ac:dyDescent="0.4">
      <c r="A3" s="247" t="s">
        <v>3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5"/>
      <c r="AJ3" s="5"/>
      <c r="AK3" s="5"/>
      <c r="AL3" s="15"/>
    </row>
    <row r="4" spans="1:38" ht="18" customHeight="1" x14ac:dyDescent="0.25">
      <c r="A4" s="224" t="str">
        <f>'الفترة الاولى'!A5</f>
        <v xml:space="preserve">                كشف رصد النتائج النهائية للصف التاسع من مرحلة التعليم الاساسي     1446 - 1447 هجرية  الموافق 2025 - 2026 ميلادية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5"/>
      <c r="AJ4" s="5"/>
      <c r="AK4" s="5"/>
      <c r="AL4" s="15"/>
    </row>
    <row r="5" spans="1:38" ht="15.6" thickBot="1" x14ac:dyDescent="0.3">
      <c r="A5" s="246" t="str">
        <f>'الفترة الاولى'!A6:F6</f>
        <v>المدرسة /</v>
      </c>
      <c r="B5" s="246"/>
      <c r="C5" s="82" t="str">
        <f>'الفترة الاولى'!$C$6</f>
        <v>سهول العلم للتعليم الخاص</v>
      </c>
      <c r="D5" s="82"/>
      <c r="E5" s="82"/>
      <c r="G5" s="6"/>
      <c r="H5" s="6"/>
      <c r="I5" s="6"/>
      <c r="J5" s="235"/>
      <c r="K5" s="235"/>
      <c r="L5" s="235"/>
      <c r="M5" s="235"/>
      <c r="N5" s="235"/>
      <c r="O5" s="235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6"/>
      <c r="AI5" s="6"/>
      <c r="AJ5" s="6"/>
      <c r="AK5" s="6"/>
      <c r="AL5" s="14"/>
    </row>
    <row r="6" spans="1:38" ht="15" customHeight="1" thickBot="1" x14ac:dyDescent="0.3">
      <c r="A6" s="237" t="s">
        <v>4</v>
      </c>
      <c r="B6" s="240" t="s">
        <v>15</v>
      </c>
      <c r="C6" s="243" t="s">
        <v>5</v>
      </c>
      <c r="D6" s="233" t="s">
        <v>6</v>
      </c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25"/>
      <c r="AI6" s="6"/>
      <c r="AJ6" s="6"/>
      <c r="AK6" s="6"/>
      <c r="AL6" s="6"/>
    </row>
    <row r="7" spans="1:38" ht="27.75" customHeight="1" x14ac:dyDescent="0.25">
      <c r="A7" s="238"/>
      <c r="B7" s="241"/>
      <c r="C7" s="244"/>
      <c r="D7" s="228" t="str">
        <f>'الفترة الاولى'!E8</f>
        <v>التربية الإسلامية</v>
      </c>
      <c r="E7" s="229"/>
      <c r="F7" s="83">
        <f>'الفترة الاولى'!G8</f>
        <v>2</v>
      </c>
      <c r="G7" s="230" t="str">
        <f>'الفترة الاولى'!H8</f>
        <v>النحو والقراءة والنصوص</v>
      </c>
      <c r="H7" s="231"/>
      <c r="I7" s="84">
        <f>'الفترة الاولى'!J8</f>
        <v>4</v>
      </c>
      <c r="J7" s="228" t="str">
        <f>'الفترة الاولى'!K8</f>
        <v>الكتابة (الخط والاملاء والخط )</v>
      </c>
      <c r="K7" s="229"/>
      <c r="L7" s="83">
        <f>'الفترة الاولى'!M8</f>
        <v>2</v>
      </c>
      <c r="M7" s="228" t="str">
        <f>'الفترة الاولى'!N8</f>
        <v>الإنجليزي</v>
      </c>
      <c r="N7" s="229"/>
      <c r="O7" s="85">
        <f>'الفترة الاولى'!P8</f>
        <v>4</v>
      </c>
      <c r="P7" s="232" t="str">
        <f>'الفترة الاولى'!Q8</f>
        <v>الحاسوب</v>
      </c>
      <c r="Q7" s="229"/>
      <c r="R7" s="85">
        <f>'الفترة الاولى'!S8</f>
        <v>2</v>
      </c>
      <c r="S7" s="232" t="str">
        <f>'الفترة الاولى'!T8</f>
        <v>الرياضيات</v>
      </c>
      <c r="T7" s="229"/>
      <c r="U7" s="85">
        <f>'الفترة الاولى'!V8</f>
        <v>5</v>
      </c>
      <c r="V7" s="232" t="str">
        <f>'الفترة الاولى'!W8</f>
        <v>العلوم</v>
      </c>
      <c r="W7" s="229"/>
      <c r="X7" s="85">
        <f>'الفترة الاولى'!Y8</f>
        <v>5</v>
      </c>
      <c r="Y7" s="232" t="str">
        <f>'الفترة الاولى'!Z8</f>
        <v>التاريخ</v>
      </c>
      <c r="Z7" s="229"/>
      <c r="AA7" s="85">
        <f>'الفترة الاولى'!AB8</f>
        <v>2</v>
      </c>
      <c r="AB7" s="232" t="str">
        <f>'الفترة الاولى'!AC8</f>
        <v>الجغرافيا</v>
      </c>
      <c r="AC7" s="229"/>
      <c r="AD7" s="85">
        <f>'الفترة الاولى'!AE8</f>
        <v>2</v>
      </c>
      <c r="AE7" s="232">
        <f>'الفترة الاولى'!AF8</f>
        <v>0</v>
      </c>
      <c r="AF7" s="229"/>
      <c r="AG7" s="69">
        <f>'الفترة الاولى'!AH8</f>
        <v>0</v>
      </c>
      <c r="AH7" s="226"/>
    </row>
    <row r="8" spans="1:38" ht="39" customHeight="1" x14ac:dyDescent="0.25">
      <c r="A8" s="238"/>
      <c r="B8" s="241"/>
      <c r="C8" s="244"/>
      <c r="D8" s="68" t="s">
        <v>16</v>
      </c>
      <c r="E8" s="16" t="s">
        <v>17</v>
      </c>
      <c r="F8" s="17" t="s">
        <v>9</v>
      </c>
      <c r="G8" s="18" t="s">
        <v>16</v>
      </c>
      <c r="H8" s="16" t="s">
        <v>17</v>
      </c>
      <c r="I8" s="19" t="s">
        <v>9</v>
      </c>
      <c r="J8" s="68" t="s">
        <v>16</v>
      </c>
      <c r="K8" s="16" t="s">
        <v>17</v>
      </c>
      <c r="L8" s="17" t="s">
        <v>9</v>
      </c>
      <c r="M8" s="18" t="s">
        <v>16</v>
      </c>
      <c r="N8" s="16" t="s">
        <v>17</v>
      </c>
      <c r="O8" s="17" t="s">
        <v>9</v>
      </c>
      <c r="P8" s="16" t="s">
        <v>16</v>
      </c>
      <c r="Q8" s="16" t="s">
        <v>17</v>
      </c>
      <c r="R8" s="17" t="s">
        <v>9</v>
      </c>
      <c r="S8" s="16" t="s">
        <v>16</v>
      </c>
      <c r="T8" s="16" t="s">
        <v>17</v>
      </c>
      <c r="U8" s="17" t="s">
        <v>9</v>
      </c>
      <c r="V8" s="16" t="s">
        <v>16</v>
      </c>
      <c r="W8" s="16" t="s">
        <v>17</v>
      </c>
      <c r="X8" s="17" t="s">
        <v>9</v>
      </c>
      <c r="Y8" s="16" t="s">
        <v>16</v>
      </c>
      <c r="Z8" s="16" t="s">
        <v>17</v>
      </c>
      <c r="AA8" s="17" t="s">
        <v>9</v>
      </c>
      <c r="AB8" s="16" t="s">
        <v>16</v>
      </c>
      <c r="AC8" s="16" t="s">
        <v>17</v>
      </c>
      <c r="AD8" s="17" t="s">
        <v>9</v>
      </c>
      <c r="AE8" s="16" t="s">
        <v>16</v>
      </c>
      <c r="AF8" s="16" t="s">
        <v>17</v>
      </c>
      <c r="AG8" s="17" t="s">
        <v>9</v>
      </c>
      <c r="AH8" s="226"/>
    </row>
    <row r="9" spans="1:38" ht="14.4" thickBot="1" x14ac:dyDescent="0.3">
      <c r="A9" s="239"/>
      <c r="B9" s="242"/>
      <c r="C9" s="245"/>
      <c r="D9" s="20">
        <f>F7*0.15*40</f>
        <v>12</v>
      </c>
      <c r="E9" s="21">
        <f>F7*0.15*40</f>
        <v>12</v>
      </c>
      <c r="F9" s="22">
        <f>SUM(D9:E9)</f>
        <v>24</v>
      </c>
      <c r="G9" s="20">
        <f t="shared" ref="G9" si="0">I7*0.15*40</f>
        <v>24</v>
      </c>
      <c r="H9" s="21">
        <f t="shared" ref="H9" si="1">I7*0.15*40</f>
        <v>24</v>
      </c>
      <c r="I9" s="22">
        <f t="shared" ref="I9" si="2">SUM(G9:H9)</f>
        <v>48</v>
      </c>
      <c r="J9" s="20">
        <f t="shared" ref="J9" si="3">L7*0.15*40</f>
        <v>12</v>
      </c>
      <c r="K9" s="21">
        <f t="shared" ref="K9" si="4">L7*0.15*40</f>
        <v>12</v>
      </c>
      <c r="L9" s="22">
        <f t="shared" ref="L9" si="5">SUM(J9:K9)</f>
        <v>24</v>
      </c>
      <c r="M9" s="20">
        <f t="shared" ref="M9" si="6">O7*0.15*40</f>
        <v>24</v>
      </c>
      <c r="N9" s="21">
        <f t="shared" ref="N9" si="7">O7*0.15*40</f>
        <v>24</v>
      </c>
      <c r="O9" s="22">
        <f t="shared" ref="O9" si="8">SUM(M9:N9)</f>
        <v>48</v>
      </c>
      <c r="P9" s="20">
        <f t="shared" ref="P9" si="9">R7*0.15*40</f>
        <v>12</v>
      </c>
      <c r="Q9" s="21">
        <f t="shared" ref="Q9" si="10">R7*0.15*40</f>
        <v>12</v>
      </c>
      <c r="R9" s="22">
        <f t="shared" ref="R9" si="11">SUM(P9:Q9)</f>
        <v>24</v>
      </c>
      <c r="S9" s="20">
        <f t="shared" ref="S9" si="12">U7*0.15*40</f>
        <v>30</v>
      </c>
      <c r="T9" s="21">
        <f t="shared" ref="T9" si="13">U7*0.15*40</f>
        <v>30</v>
      </c>
      <c r="U9" s="22">
        <f t="shared" ref="U9" si="14">SUM(S9:T9)</f>
        <v>60</v>
      </c>
      <c r="V9" s="20">
        <f t="shared" ref="V9" si="15">X7*0.15*40</f>
        <v>30</v>
      </c>
      <c r="W9" s="21">
        <f t="shared" ref="W9" si="16">X7*0.15*40</f>
        <v>30</v>
      </c>
      <c r="X9" s="22">
        <f t="shared" ref="X9" si="17">SUM(V9:W9)</f>
        <v>60</v>
      </c>
      <c r="Y9" s="20">
        <f t="shared" ref="Y9" si="18">AA7*0.15*40</f>
        <v>12</v>
      </c>
      <c r="Z9" s="21">
        <f t="shared" ref="Z9" si="19">AA7*0.15*40</f>
        <v>12</v>
      </c>
      <c r="AA9" s="22">
        <f t="shared" ref="AA9" si="20">SUM(Y9:Z9)</f>
        <v>24</v>
      </c>
      <c r="AB9" s="20">
        <f t="shared" ref="AB9" si="21">AD7*0.15*40</f>
        <v>12</v>
      </c>
      <c r="AC9" s="21">
        <f t="shared" ref="AC9" si="22">AD7*0.15*40</f>
        <v>12</v>
      </c>
      <c r="AD9" s="22">
        <f t="shared" ref="AD9" si="23">SUM(AB9:AC9)</f>
        <v>24</v>
      </c>
      <c r="AE9" s="20">
        <f t="shared" ref="AE9" si="24">AG7*0.15*40</f>
        <v>0</v>
      </c>
      <c r="AF9" s="21">
        <f t="shared" ref="AF9" si="25">AG7*0.15*40</f>
        <v>0</v>
      </c>
      <c r="AG9" s="22">
        <f t="shared" ref="AG9" si="26">SUM(AE9:AF9)</f>
        <v>0</v>
      </c>
      <c r="AH9" s="227"/>
    </row>
    <row r="10" spans="1:38" ht="6.75" customHeight="1" thickBot="1" x14ac:dyDescent="0.3">
      <c r="A10" s="209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1"/>
    </row>
    <row r="11" spans="1:38" ht="18" customHeight="1" thickBot="1" x14ac:dyDescent="0.3">
      <c r="A11" s="23">
        <v>1</v>
      </c>
      <c r="B11" s="24">
        <f t="shared" ref="B11:B30" si="27">IFERROR(VLOOKUP(A11,الاسماء,2,0),"")</f>
        <v>0</v>
      </c>
      <c r="C11" s="59" t="str">
        <f t="shared" ref="C11:C30" si="28">IFERROR(VLOOKUP(A11,الاسماء,3,0),"")</f>
        <v>احمد توفيق احمد وحيده</v>
      </c>
      <c r="D11" s="23">
        <f t="shared" ref="D11:D30" si="29">IFERROR(VLOOKUP($C11,درجات,5,0),0)</f>
        <v>10</v>
      </c>
      <c r="E11" s="24">
        <f t="shared" ref="E11:E30" si="30">IFERROR(VLOOKUP($C11,درجات,43,0),0)</f>
        <v>10</v>
      </c>
      <c r="F11" s="25">
        <f>SUM(D11:E11)</f>
        <v>20</v>
      </c>
      <c r="G11" s="23">
        <f t="shared" ref="G11:G30" si="31">IFERROR(VLOOKUP($C11,درجات,8,0),0)</f>
        <v>17</v>
      </c>
      <c r="H11" s="24">
        <f t="shared" ref="H11:H30" si="32">IFERROR(VLOOKUP($C11,درجات,46,0),0)</f>
        <v>18</v>
      </c>
      <c r="I11" s="25">
        <f>SUM(G11:H11)</f>
        <v>35</v>
      </c>
      <c r="J11" s="23">
        <f t="shared" ref="J11:J30" si="33">IFERROR(VLOOKUP($C11,درجات,11,0),0)</f>
        <v>8</v>
      </c>
      <c r="K11" s="24">
        <f t="shared" ref="K11:K30" si="34">IFERROR(VLOOKUP($C11,درجات,49,0),0)</f>
        <v>9</v>
      </c>
      <c r="L11" s="25">
        <f>SUM(J11:K11)</f>
        <v>17</v>
      </c>
      <c r="M11" s="23">
        <f t="shared" ref="M11:M30" si="35">IFERROR(VLOOKUP($C11,درجات,14,0),0)</f>
        <v>19</v>
      </c>
      <c r="N11" s="24">
        <f t="shared" ref="N11:N30" si="36">IFERROR(VLOOKUP($C11,درجات,52,0),0)</f>
        <v>20</v>
      </c>
      <c r="O11" s="25">
        <f>SUM(M11:N11)</f>
        <v>39</v>
      </c>
      <c r="P11" s="23">
        <f t="shared" ref="P11:P30" si="37">IFERROR(VLOOKUP($C11,درجات,17,0),0)</f>
        <v>11</v>
      </c>
      <c r="Q11" s="24">
        <f t="shared" ref="Q11:Q30" si="38">IFERROR(VLOOKUP($C11,درجات,55,0),0)</f>
        <v>11</v>
      </c>
      <c r="R11" s="25">
        <f>SUM(P11:Q11)</f>
        <v>22</v>
      </c>
      <c r="S11" s="23">
        <f t="shared" ref="S11:S30" si="39">IFERROR(VLOOKUP($C11,درجات,20,0),0)</f>
        <v>12</v>
      </c>
      <c r="T11" s="24">
        <f t="shared" ref="T11:T30" si="40">IFERROR(VLOOKUP($C11,درجات,58,0),0)</f>
        <v>12</v>
      </c>
      <c r="U11" s="25">
        <f>SUM(S11:T11)</f>
        <v>24</v>
      </c>
      <c r="V11" s="23">
        <f t="shared" ref="V11:V30" si="41">IFERROR(VLOOKUP($C11,درجات,23,0),0)</f>
        <v>17</v>
      </c>
      <c r="W11" s="24">
        <f t="shared" ref="W11:W30" si="42">IFERROR(VLOOKUP($C11,درجات,61,0),0)</f>
        <v>18</v>
      </c>
      <c r="X11" s="25">
        <f>SUM(V11:W11)</f>
        <v>35</v>
      </c>
      <c r="Y11" s="23">
        <f t="shared" ref="Y11:Y30" si="43">IFERROR(VLOOKUP($C11,درجات,26,0),0)</f>
        <v>9</v>
      </c>
      <c r="Z11" s="24">
        <f t="shared" ref="Z11:Z30" si="44">IFERROR(VLOOKUP($C11,درجات,64,0),0)</f>
        <v>9</v>
      </c>
      <c r="AA11" s="25">
        <f>SUM(Y11:Z11)</f>
        <v>18</v>
      </c>
      <c r="AB11" s="23">
        <f t="shared" ref="AB11:AB30" si="45">IFERROR(VLOOKUP($C11,درجات,29,0),0)</f>
        <v>9</v>
      </c>
      <c r="AC11" s="24">
        <f t="shared" ref="AC11:AC30" si="46">IFERROR(VLOOKUP($C11,درجات,67,0),0)</f>
        <v>7</v>
      </c>
      <c r="AD11" s="25">
        <f>SUM(AB11:AC11)</f>
        <v>16</v>
      </c>
      <c r="AE11" s="23">
        <f t="shared" ref="AE11:AE30" si="47">IFERROR(VLOOKUP($C11,درجات,32,0),0)</f>
        <v>0</v>
      </c>
      <c r="AF11" s="24">
        <f t="shared" ref="AF11:AF30" si="48">IFERROR(VLOOKUP($C11,درجات,70,0),0)</f>
        <v>0</v>
      </c>
      <c r="AG11" s="25">
        <f>SUM(AE11:AF11)</f>
        <v>0</v>
      </c>
      <c r="AH11" s="26"/>
    </row>
    <row r="12" spans="1:38" ht="18" customHeight="1" thickTop="1" thickBot="1" x14ac:dyDescent="0.3">
      <c r="A12" s="27">
        <v>2</v>
      </c>
      <c r="B12" s="28">
        <f>IFERROR(VLOOKUP(A12,الاسماء,2,0),0)</f>
        <v>0</v>
      </c>
      <c r="C12" s="60" t="str">
        <f t="shared" si="28"/>
        <v xml:space="preserve">اسلام محمد عوض الحداد </v>
      </c>
      <c r="D12" s="23">
        <f t="shared" si="29"/>
        <v>12</v>
      </c>
      <c r="E12" s="24">
        <f t="shared" si="30"/>
        <v>12</v>
      </c>
      <c r="F12" s="25">
        <f t="shared" ref="F12:F30" si="49">SUM(D12:E12)</f>
        <v>24</v>
      </c>
      <c r="G12" s="23">
        <f t="shared" si="31"/>
        <v>20</v>
      </c>
      <c r="H12" s="24">
        <f t="shared" si="32"/>
        <v>22</v>
      </c>
      <c r="I12" s="25">
        <f t="shared" ref="I12:I30" si="50">SUM(G12:H12)</f>
        <v>42</v>
      </c>
      <c r="J12" s="23">
        <f t="shared" si="33"/>
        <v>11</v>
      </c>
      <c r="K12" s="24">
        <f t="shared" si="34"/>
        <v>11</v>
      </c>
      <c r="L12" s="25">
        <f t="shared" ref="L12:L30" si="51">SUM(J12:K12)</f>
        <v>22</v>
      </c>
      <c r="M12" s="23">
        <f t="shared" si="35"/>
        <v>22</v>
      </c>
      <c r="N12" s="24">
        <f t="shared" si="36"/>
        <v>23</v>
      </c>
      <c r="O12" s="25">
        <f t="shared" ref="O12:O30" si="52">SUM(M12:N12)</f>
        <v>45</v>
      </c>
      <c r="P12" s="23">
        <f t="shared" si="37"/>
        <v>12</v>
      </c>
      <c r="Q12" s="24">
        <f t="shared" si="38"/>
        <v>12</v>
      </c>
      <c r="R12" s="25">
        <f t="shared" ref="R12:R30" si="53">SUM(P12:Q12)</f>
        <v>24</v>
      </c>
      <c r="S12" s="23">
        <f t="shared" si="39"/>
        <v>21</v>
      </c>
      <c r="T12" s="24">
        <f t="shared" si="40"/>
        <v>25</v>
      </c>
      <c r="U12" s="25">
        <f t="shared" ref="U12:U30" si="54">SUM(S12:T12)</f>
        <v>46</v>
      </c>
      <c r="V12" s="23">
        <f t="shared" si="41"/>
        <v>25</v>
      </c>
      <c r="W12" s="24">
        <f t="shared" si="42"/>
        <v>28</v>
      </c>
      <c r="X12" s="25">
        <f t="shared" ref="X12:X30" si="55">SUM(V12:W12)</f>
        <v>53</v>
      </c>
      <c r="Y12" s="23">
        <f t="shared" si="43"/>
        <v>12</v>
      </c>
      <c r="Z12" s="24">
        <f t="shared" si="44"/>
        <v>12</v>
      </c>
      <c r="AA12" s="25">
        <f t="shared" ref="AA12:AA30" si="56">SUM(Y12:Z12)</f>
        <v>24</v>
      </c>
      <c r="AB12" s="23">
        <f t="shared" si="45"/>
        <v>11</v>
      </c>
      <c r="AC12" s="24">
        <f t="shared" si="46"/>
        <v>11</v>
      </c>
      <c r="AD12" s="25">
        <f t="shared" ref="AD12:AD30" si="57">SUM(AB12:AC12)</f>
        <v>22</v>
      </c>
      <c r="AE12" s="23">
        <f t="shared" si="47"/>
        <v>0</v>
      </c>
      <c r="AF12" s="24">
        <f t="shared" si="48"/>
        <v>0</v>
      </c>
      <c r="AG12" s="25">
        <f t="shared" ref="AG12:AG30" si="58">SUM(AE12:AF12)</f>
        <v>0</v>
      </c>
      <c r="AH12" s="29"/>
    </row>
    <row r="13" spans="1:38" ht="18" customHeight="1" thickTop="1" thickBot="1" x14ac:dyDescent="0.3">
      <c r="A13" s="23">
        <v>3</v>
      </c>
      <c r="B13" s="28">
        <f t="shared" si="27"/>
        <v>0</v>
      </c>
      <c r="C13" s="60" t="str">
        <f t="shared" si="28"/>
        <v>اسيل فاروق فيصل ابو الطويرات</v>
      </c>
      <c r="D13" s="23">
        <f t="shared" si="29"/>
        <v>9</v>
      </c>
      <c r="E13" s="24">
        <f t="shared" si="30"/>
        <v>10</v>
      </c>
      <c r="F13" s="25">
        <f t="shared" si="49"/>
        <v>19</v>
      </c>
      <c r="G13" s="23">
        <f t="shared" si="31"/>
        <v>15</v>
      </c>
      <c r="H13" s="24">
        <f t="shared" si="32"/>
        <v>20</v>
      </c>
      <c r="I13" s="25">
        <f t="shared" si="50"/>
        <v>35</v>
      </c>
      <c r="J13" s="23">
        <f t="shared" si="33"/>
        <v>9</v>
      </c>
      <c r="K13" s="24">
        <f t="shared" si="34"/>
        <v>8</v>
      </c>
      <c r="L13" s="25">
        <f t="shared" si="51"/>
        <v>17</v>
      </c>
      <c r="M13" s="23">
        <f t="shared" si="35"/>
        <v>20</v>
      </c>
      <c r="N13" s="24">
        <f t="shared" si="36"/>
        <v>21</v>
      </c>
      <c r="O13" s="25">
        <f t="shared" si="52"/>
        <v>41</v>
      </c>
      <c r="P13" s="23">
        <f t="shared" si="37"/>
        <v>11</v>
      </c>
      <c r="Q13" s="24">
        <f t="shared" si="38"/>
        <v>11</v>
      </c>
      <c r="R13" s="25">
        <f t="shared" si="53"/>
        <v>22</v>
      </c>
      <c r="S13" s="23">
        <f t="shared" si="39"/>
        <v>12</v>
      </c>
      <c r="T13" s="24">
        <f t="shared" si="40"/>
        <v>13</v>
      </c>
      <c r="U13" s="25">
        <f t="shared" si="54"/>
        <v>25</v>
      </c>
      <c r="V13" s="23">
        <f t="shared" si="41"/>
        <v>18</v>
      </c>
      <c r="W13" s="24">
        <f t="shared" si="42"/>
        <v>21</v>
      </c>
      <c r="X13" s="25">
        <f t="shared" si="55"/>
        <v>39</v>
      </c>
      <c r="Y13" s="23">
        <f t="shared" si="43"/>
        <v>8</v>
      </c>
      <c r="Z13" s="24">
        <f t="shared" si="44"/>
        <v>8</v>
      </c>
      <c r="AA13" s="25">
        <f t="shared" si="56"/>
        <v>16</v>
      </c>
      <c r="AB13" s="23">
        <f t="shared" si="45"/>
        <v>10</v>
      </c>
      <c r="AC13" s="24">
        <f t="shared" si="46"/>
        <v>9</v>
      </c>
      <c r="AD13" s="25">
        <f t="shared" si="57"/>
        <v>19</v>
      </c>
      <c r="AE13" s="23">
        <f t="shared" si="47"/>
        <v>0</v>
      </c>
      <c r="AF13" s="24">
        <f t="shared" si="48"/>
        <v>0</v>
      </c>
      <c r="AG13" s="25">
        <f t="shared" si="58"/>
        <v>0</v>
      </c>
      <c r="AH13" s="30"/>
    </row>
    <row r="14" spans="1:38" ht="18" customHeight="1" thickTop="1" thickBot="1" x14ac:dyDescent="0.3">
      <c r="A14" s="27">
        <v>4</v>
      </c>
      <c r="B14" s="28">
        <f t="shared" si="27"/>
        <v>0</v>
      </c>
      <c r="C14" s="60" t="str">
        <f t="shared" si="28"/>
        <v>انس محمد عبدالكريم ابوحميده</v>
      </c>
      <c r="D14" s="23">
        <f t="shared" si="29"/>
        <v>12</v>
      </c>
      <c r="E14" s="24">
        <f t="shared" si="30"/>
        <v>12</v>
      </c>
      <c r="F14" s="25">
        <f t="shared" si="49"/>
        <v>24</v>
      </c>
      <c r="G14" s="23">
        <f t="shared" si="31"/>
        <v>21</v>
      </c>
      <c r="H14" s="24">
        <f t="shared" si="32"/>
        <v>23</v>
      </c>
      <c r="I14" s="25">
        <f t="shared" si="50"/>
        <v>44</v>
      </c>
      <c r="J14" s="23">
        <f t="shared" si="33"/>
        <v>10</v>
      </c>
      <c r="K14" s="24">
        <f t="shared" si="34"/>
        <v>11</v>
      </c>
      <c r="L14" s="25">
        <f t="shared" si="51"/>
        <v>21</v>
      </c>
      <c r="M14" s="23">
        <f t="shared" si="35"/>
        <v>24</v>
      </c>
      <c r="N14" s="24">
        <f t="shared" si="36"/>
        <v>22</v>
      </c>
      <c r="O14" s="25">
        <f t="shared" si="52"/>
        <v>46</v>
      </c>
      <c r="P14" s="23">
        <f t="shared" si="37"/>
        <v>12</v>
      </c>
      <c r="Q14" s="24">
        <f t="shared" si="38"/>
        <v>12</v>
      </c>
      <c r="R14" s="25">
        <f t="shared" si="53"/>
        <v>24</v>
      </c>
      <c r="S14" s="23">
        <f t="shared" si="39"/>
        <v>22</v>
      </c>
      <c r="T14" s="24">
        <f t="shared" si="40"/>
        <v>25</v>
      </c>
      <c r="U14" s="25">
        <f t="shared" si="54"/>
        <v>47</v>
      </c>
      <c r="V14" s="23">
        <f t="shared" si="41"/>
        <v>26</v>
      </c>
      <c r="W14" s="24">
        <f t="shared" si="42"/>
        <v>29</v>
      </c>
      <c r="X14" s="25">
        <f t="shared" si="55"/>
        <v>55</v>
      </c>
      <c r="Y14" s="23">
        <f t="shared" si="43"/>
        <v>12</v>
      </c>
      <c r="Z14" s="24">
        <f t="shared" si="44"/>
        <v>12</v>
      </c>
      <c r="AA14" s="25">
        <f t="shared" si="56"/>
        <v>24</v>
      </c>
      <c r="AB14" s="23">
        <f t="shared" si="45"/>
        <v>11</v>
      </c>
      <c r="AC14" s="24">
        <f t="shared" si="46"/>
        <v>12</v>
      </c>
      <c r="AD14" s="25">
        <f t="shared" si="57"/>
        <v>23</v>
      </c>
      <c r="AE14" s="23">
        <f t="shared" si="47"/>
        <v>0</v>
      </c>
      <c r="AF14" s="24">
        <f t="shared" si="48"/>
        <v>0</v>
      </c>
      <c r="AG14" s="25">
        <f t="shared" si="58"/>
        <v>0</v>
      </c>
      <c r="AH14" s="30"/>
    </row>
    <row r="15" spans="1:38" ht="18" customHeight="1" thickTop="1" thickBot="1" x14ac:dyDescent="0.3">
      <c r="A15" s="23">
        <v>5</v>
      </c>
      <c r="B15" s="28">
        <f t="shared" si="27"/>
        <v>0</v>
      </c>
      <c r="C15" s="60" t="str">
        <f t="shared" si="28"/>
        <v>إيناس فاروق فيصل ابو الطويرات</v>
      </c>
      <c r="D15" s="23">
        <f t="shared" si="29"/>
        <v>10</v>
      </c>
      <c r="E15" s="24">
        <f t="shared" si="30"/>
        <v>10</v>
      </c>
      <c r="F15" s="25">
        <f t="shared" si="49"/>
        <v>20</v>
      </c>
      <c r="G15" s="23">
        <f t="shared" si="31"/>
        <v>15</v>
      </c>
      <c r="H15" s="24">
        <f t="shared" si="32"/>
        <v>17</v>
      </c>
      <c r="I15" s="25">
        <f t="shared" si="50"/>
        <v>32</v>
      </c>
      <c r="J15" s="23">
        <f t="shared" si="33"/>
        <v>9</v>
      </c>
      <c r="K15" s="24">
        <f t="shared" si="34"/>
        <v>8</v>
      </c>
      <c r="L15" s="25">
        <f t="shared" si="51"/>
        <v>17</v>
      </c>
      <c r="M15" s="23">
        <f t="shared" si="35"/>
        <v>24</v>
      </c>
      <c r="N15" s="24">
        <f t="shared" si="36"/>
        <v>20</v>
      </c>
      <c r="O15" s="25">
        <f t="shared" si="52"/>
        <v>44</v>
      </c>
      <c r="P15" s="23">
        <f t="shared" si="37"/>
        <v>11</v>
      </c>
      <c r="Q15" s="24">
        <f t="shared" si="38"/>
        <v>12</v>
      </c>
      <c r="R15" s="25">
        <f t="shared" si="53"/>
        <v>23</v>
      </c>
      <c r="S15" s="23">
        <f t="shared" si="39"/>
        <v>12</v>
      </c>
      <c r="T15" s="24">
        <f t="shared" si="40"/>
        <v>12</v>
      </c>
      <c r="U15" s="25">
        <f t="shared" si="54"/>
        <v>24</v>
      </c>
      <c r="V15" s="23">
        <f t="shared" si="41"/>
        <v>19</v>
      </c>
      <c r="W15" s="24">
        <f t="shared" si="42"/>
        <v>23</v>
      </c>
      <c r="X15" s="25">
        <f t="shared" si="55"/>
        <v>42</v>
      </c>
      <c r="Y15" s="23">
        <f t="shared" si="43"/>
        <v>8</v>
      </c>
      <c r="Z15" s="24">
        <f t="shared" si="44"/>
        <v>8</v>
      </c>
      <c r="AA15" s="25">
        <f t="shared" si="56"/>
        <v>16</v>
      </c>
      <c r="AB15" s="23">
        <f t="shared" si="45"/>
        <v>9</v>
      </c>
      <c r="AC15" s="24">
        <f t="shared" si="46"/>
        <v>9</v>
      </c>
      <c r="AD15" s="25">
        <f t="shared" si="57"/>
        <v>18</v>
      </c>
      <c r="AE15" s="23">
        <f t="shared" si="47"/>
        <v>0</v>
      </c>
      <c r="AF15" s="24">
        <f t="shared" si="48"/>
        <v>0</v>
      </c>
      <c r="AG15" s="25">
        <f t="shared" si="58"/>
        <v>0</v>
      </c>
      <c r="AH15" s="30"/>
    </row>
    <row r="16" spans="1:38" ht="18" customHeight="1" thickTop="1" thickBot="1" x14ac:dyDescent="0.3">
      <c r="A16" s="27">
        <v>6</v>
      </c>
      <c r="B16" s="28">
        <f t="shared" si="27"/>
        <v>0</v>
      </c>
      <c r="C16" s="60" t="str">
        <f t="shared" si="28"/>
        <v>جمعة خيرى عبدالله الدرهوبي</v>
      </c>
      <c r="D16" s="23">
        <f t="shared" si="29"/>
        <v>10</v>
      </c>
      <c r="E16" s="24">
        <f t="shared" si="30"/>
        <v>11</v>
      </c>
      <c r="F16" s="25">
        <f t="shared" si="49"/>
        <v>21</v>
      </c>
      <c r="G16" s="23">
        <f t="shared" si="31"/>
        <v>18</v>
      </c>
      <c r="H16" s="24">
        <f t="shared" si="32"/>
        <v>17</v>
      </c>
      <c r="I16" s="25">
        <f t="shared" si="50"/>
        <v>35</v>
      </c>
      <c r="J16" s="23">
        <f t="shared" si="33"/>
        <v>8</v>
      </c>
      <c r="K16" s="24">
        <f t="shared" si="34"/>
        <v>8</v>
      </c>
      <c r="L16" s="25">
        <f t="shared" si="51"/>
        <v>16</v>
      </c>
      <c r="M16" s="23">
        <f t="shared" si="35"/>
        <v>20</v>
      </c>
      <c r="N16" s="24">
        <f t="shared" si="36"/>
        <v>22</v>
      </c>
      <c r="O16" s="25">
        <f t="shared" si="52"/>
        <v>42</v>
      </c>
      <c r="P16" s="23">
        <f t="shared" si="37"/>
        <v>12</v>
      </c>
      <c r="Q16" s="24">
        <f t="shared" si="38"/>
        <v>11</v>
      </c>
      <c r="R16" s="25">
        <f t="shared" si="53"/>
        <v>23</v>
      </c>
      <c r="S16" s="23">
        <f t="shared" si="39"/>
        <v>13</v>
      </c>
      <c r="T16" s="24">
        <f t="shared" si="40"/>
        <v>17</v>
      </c>
      <c r="U16" s="25">
        <f t="shared" si="54"/>
        <v>30</v>
      </c>
      <c r="V16" s="23">
        <f t="shared" si="41"/>
        <v>19</v>
      </c>
      <c r="W16" s="24">
        <f t="shared" si="42"/>
        <v>18</v>
      </c>
      <c r="X16" s="25">
        <f t="shared" si="55"/>
        <v>37</v>
      </c>
      <c r="Y16" s="23">
        <f t="shared" si="43"/>
        <v>9</v>
      </c>
      <c r="Z16" s="24">
        <f t="shared" si="44"/>
        <v>11</v>
      </c>
      <c r="AA16" s="25">
        <f t="shared" si="56"/>
        <v>20</v>
      </c>
      <c r="AB16" s="23">
        <f t="shared" si="45"/>
        <v>10</v>
      </c>
      <c r="AC16" s="24">
        <f t="shared" si="46"/>
        <v>11</v>
      </c>
      <c r="AD16" s="25">
        <f t="shared" si="57"/>
        <v>21</v>
      </c>
      <c r="AE16" s="23">
        <f t="shared" si="47"/>
        <v>0</v>
      </c>
      <c r="AF16" s="24">
        <f t="shared" si="48"/>
        <v>0</v>
      </c>
      <c r="AG16" s="25">
        <f t="shared" si="58"/>
        <v>0</v>
      </c>
      <c r="AH16" s="31"/>
    </row>
    <row r="17" spans="1:34" ht="18" customHeight="1" thickTop="1" thickBot="1" x14ac:dyDescent="0.3">
      <c r="A17" s="23">
        <v>7</v>
      </c>
      <c r="B17" s="28">
        <f t="shared" si="27"/>
        <v>0</v>
      </c>
      <c r="C17" s="60" t="str">
        <f t="shared" si="28"/>
        <v>دنيه علي حمد القبائلى</v>
      </c>
      <c r="D17" s="23">
        <f t="shared" si="29"/>
        <v>12</v>
      </c>
      <c r="E17" s="24">
        <f t="shared" si="30"/>
        <v>12</v>
      </c>
      <c r="F17" s="25">
        <f t="shared" si="49"/>
        <v>24</v>
      </c>
      <c r="G17" s="23">
        <f t="shared" si="31"/>
        <v>23</v>
      </c>
      <c r="H17" s="24">
        <f t="shared" si="32"/>
        <v>23</v>
      </c>
      <c r="I17" s="25">
        <f t="shared" si="50"/>
        <v>46</v>
      </c>
      <c r="J17" s="23">
        <f t="shared" si="33"/>
        <v>11</v>
      </c>
      <c r="K17" s="24">
        <f t="shared" si="34"/>
        <v>11</v>
      </c>
      <c r="L17" s="25">
        <f t="shared" si="51"/>
        <v>22</v>
      </c>
      <c r="M17" s="23">
        <f t="shared" si="35"/>
        <v>23</v>
      </c>
      <c r="N17" s="24">
        <f t="shared" si="36"/>
        <v>24</v>
      </c>
      <c r="O17" s="25">
        <f t="shared" si="52"/>
        <v>47</v>
      </c>
      <c r="P17" s="23">
        <f t="shared" si="37"/>
        <v>12</v>
      </c>
      <c r="Q17" s="24">
        <f t="shared" si="38"/>
        <v>12</v>
      </c>
      <c r="R17" s="25">
        <f t="shared" si="53"/>
        <v>24</v>
      </c>
      <c r="S17" s="23">
        <f t="shared" si="39"/>
        <v>23</v>
      </c>
      <c r="T17" s="24">
        <f t="shared" si="40"/>
        <v>24</v>
      </c>
      <c r="U17" s="25">
        <f t="shared" si="54"/>
        <v>47</v>
      </c>
      <c r="V17" s="23">
        <f t="shared" si="41"/>
        <v>24</v>
      </c>
      <c r="W17" s="24">
        <f t="shared" si="42"/>
        <v>29</v>
      </c>
      <c r="X17" s="25">
        <f t="shared" si="55"/>
        <v>53</v>
      </c>
      <c r="Y17" s="23">
        <f t="shared" si="43"/>
        <v>12</v>
      </c>
      <c r="Z17" s="24">
        <f t="shared" si="44"/>
        <v>11</v>
      </c>
      <c r="AA17" s="25">
        <f t="shared" si="56"/>
        <v>23</v>
      </c>
      <c r="AB17" s="23">
        <f t="shared" si="45"/>
        <v>11</v>
      </c>
      <c r="AC17" s="24">
        <f t="shared" si="46"/>
        <v>12</v>
      </c>
      <c r="AD17" s="25">
        <f t="shared" si="57"/>
        <v>23</v>
      </c>
      <c r="AE17" s="23">
        <f t="shared" si="47"/>
        <v>0</v>
      </c>
      <c r="AF17" s="24">
        <f t="shared" si="48"/>
        <v>0</v>
      </c>
      <c r="AG17" s="25">
        <f t="shared" si="58"/>
        <v>0</v>
      </c>
      <c r="AH17" s="32"/>
    </row>
    <row r="18" spans="1:34" ht="18" customHeight="1" thickTop="1" thickBot="1" x14ac:dyDescent="0.3">
      <c r="A18" s="27">
        <v>8</v>
      </c>
      <c r="B18" s="28">
        <f t="shared" si="27"/>
        <v>0</v>
      </c>
      <c r="C18" s="60" t="str">
        <f t="shared" si="28"/>
        <v>رزان خليل محمد المغربي</v>
      </c>
      <c r="D18" s="23">
        <f t="shared" si="29"/>
        <v>12</v>
      </c>
      <c r="E18" s="24">
        <f t="shared" si="30"/>
        <v>11</v>
      </c>
      <c r="F18" s="25">
        <f t="shared" si="49"/>
        <v>23</v>
      </c>
      <c r="G18" s="23">
        <f t="shared" si="31"/>
        <v>22</v>
      </c>
      <c r="H18" s="24">
        <f t="shared" si="32"/>
        <v>23</v>
      </c>
      <c r="I18" s="25">
        <f t="shared" si="50"/>
        <v>45</v>
      </c>
      <c r="J18" s="23">
        <f t="shared" si="33"/>
        <v>10</v>
      </c>
      <c r="K18" s="24">
        <f t="shared" si="34"/>
        <v>11</v>
      </c>
      <c r="L18" s="25">
        <f t="shared" si="51"/>
        <v>21</v>
      </c>
      <c r="M18" s="23">
        <f t="shared" si="35"/>
        <v>24</v>
      </c>
      <c r="N18" s="24">
        <f t="shared" si="36"/>
        <v>24</v>
      </c>
      <c r="O18" s="25">
        <f t="shared" si="52"/>
        <v>48</v>
      </c>
      <c r="P18" s="23">
        <f t="shared" si="37"/>
        <v>12</v>
      </c>
      <c r="Q18" s="24">
        <f t="shared" si="38"/>
        <v>12</v>
      </c>
      <c r="R18" s="25">
        <f t="shared" si="53"/>
        <v>24</v>
      </c>
      <c r="S18" s="23">
        <f t="shared" si="39"/>
        <v>22</v>
      </c>
      <c r="T18" s="24">
        <f t="shared" si="40"/>
        <v>22</v>
      </c>
      <c r="U18" s="25">
        <f t="shared" si="54"/>
        <v>44</v>
      </c>
      <c r="V18" s="23">
        <f t="shared" si="41"/>
        <v>26</v>
      </c>
      <c r="W18" s="24">
        <f t="shared" si="42"/>
        <v>28</v>
      </c>
      <c r="X18" s="25">
        <f t="shared" si="55"/>
        <v>54</v>
      </c>
      <c r="Y18" s="23">
        <f t="shared" si="43"/>
        <v>12</v>
      </c>
      <c r="Z18" s="24">
        <f t="shared" si="44"/>
        <v>11</v>
      </c>
      <c r="AA18" s="25">
        <f t="shared" si="56"/>
        <v>23</v>
      </c>
      <c r="AB18" s="23">
        <f t="shared" si="45"/>
        <v>11</v>
      </c>
      <c r="AC18" s="24">
        <f t="shared" si="46"/>
        <v>12</v>
      </c>
      <c r="AD18" s="25">
        <f t="shared" si="57"/>
        <v>23</v>
      </c>
      <c r="AE18" s="23">
        <f t="shared" si="47"/>
        <v>0</v>
      </c>
      <c r="AF18" s="24">
        <f t="shared" si="48"/>
        <v>0</v>
      </c>
      <c r="AG18" s="25">
        <f t="shared" si="58"/>
        <v>0</v>
      </c>
      <c r="AH18" s="29"/>
    </row>
    <row r="19" spans="1:34" ht="18" customHeight="1" thickTop="1" thickBot="1" x14ac:dyDescent="0.3">
      <c r="A19" s="23">
        <v>9</v>
      </c>
      <c r="B19" s="28">
        <f t="shared" si="27"/>
        <v>0</v>
      </c>
      <c r="C19" s="60" t="str">
        <f t="shared" si="28"/>
        <v>رفال عبدالحميد سالم القاضي</v>
      </c>
      <c r="D19" s="23">
        <f t="shared" si="29"/>
        <v>11</v>
      </c>
      <c r="E19" s="24">
        <f t="shared" si="30"/>
        <v>12</v>
      </c>
      <c r="F19" s="25">
        <f t="shared" si="49"/>
        <v>23</v>
      </c>
      <c r="G19" s="23">
        <f t="shared" si="31"/>
        <v>21</v>
      </c>
      <c r="H19" s="24">
        <f t="shared" si="32"/>
        <v>24</v>
      </c>
      <c r="I19" s="25">
        <f t="shared" si="50"/>
        <v>45</v>
      </c>
      <c r="J19" s="23">
        <f t="shared" si="33"/>
        <v>12</v>
      </c>
      <c r="K19" s="24">
        <f t="shared" si="34"/>
        <v>12</v>
      </c>
      <c r="L19" s="25">
        <f t="shared" si="51"/>
        <v>24</v>
      </c>
      <c r="M19" s="23">
        <f t="shared" si="35"/>
        <v>24</v>
      </c>
      <c r="N19" s="24">
        <f t="shared" si="36"/>
        <v>24</v>
      </c>
      <c r="O19" s="25">
        <f t="shared" si="52"/>
        <v>48</v>
      </c>
      <c r="P19" s="23">
        <f t="shared" si="37"/>
        <v>12</v>
      </c>
      <c r="Q19" s="24">
        <f t="shared" si="38"/>
        <v>12</v>
      </c>
      <c r="R19" s="25">
        <f t="shared" si="53"/>
        <v>24</v>
      </c>
      <c r="S19" s="23">
        <f t="shared" si="39"/>
        <v>24</v>
      </c>
      <c r="T19" s="24">
        <f t="shared" si="40"/>
        <v>28</v>
      </c>
      <c r="U19" s="25">
        <f t="shared" si="54"/>
        <v>52</v>
      </c>
      <c r="V19" s="23">
        <f t="shared" si="41"/>
        <v>29</v>
      </c>
      <c r="W19" s="24">
        <f t="shared" si="42"/>
        <v>28</v>
      </c>
      <c r="X19" s="25">
        <f t="shared" si="55"/>
        <v>57</v>
      </c>
      <c r="Y19" s="23">
        <f t="shared" si="43"/>
        <v>12</v>
      </c>
      <c r="Z19" s="24">
        <f t="shared" si="44"/>
        <v>12</v>
      </c>
      <c r="AA19" s="25">
        <f t="shared" si="56"/>
        <v>24</v>
      </c>
      <c r="AB19" s="23">
        <f t="shared" si="45"/>
        <v>12</v>
      </c>
      <c r="AC19" s="24">
        <f t="shared" si="46"/>
        <v>12</v>
      </c>
      <c r="AD19" s="25">
        <f t="shared" si="57"/>
        <v>24</v>
      </c>
      <c r="AE19" s="23">
        <f t="shared" si="47"/>
        <v>0</v>
      </c>
      <c r="AF19" s="24">
        <f t="shared" si="48"/>
        <v>0</v>
      </c>
      <c r="AG19" s="25">
        <f t="shared" si="58"/>
        <v>0</v>
      </c>
      <c r="AH19" s="31"/>
    </row>
    <row r="20" spans="1:34" ht="18" customHeight="1" thickTop="1" thickBot="1" x14ac:dyDescent="0.3">
      <c r="A20" s="27">
        <v>10</v>
      </c>
      <c r="B20" s="28">
        <f t="shared" si="27"/>
        <v>0</v>
      </c>
      <c r="C20" s="60" t="str">
        <f t="shared" si="28"/>
        <v>رنا عبدالحميد سيد ابوبكر</v>
      </c>
      <c r="D20" s="23">
        <f t="shared" si="29"/>
        <v>12</v>
      </c>
      <c r="E20" s="24">
        <f t="shared" si="30"/>
        <v>11</v>
      </c>
      <c r="F20" s="25">
        <f t="shared" si="49"/>
        <v>23</v>
      </c>
      <c r="G20" s="23">
        <f t="shared" si="31"/>
        <v>21</v>
      </c>
      <c r="H20" s="24">
        <f t="shared" si="32"/>
        <v>22</v>
      </c>
      <c r="I20" s="25">
        <f t="shared" si="50"/>
        <v>43</v>
      </c>
      <c r="J20" s="23">
        <f t="shared" si="33"/>
        <v>9</v>
      </c>
      <c r="K20" s="24">
        <f t="shared" si="34"/>
        <v>10</v>
      </c>
      <c r="L20" s="25">
        <f t="shared" si="51"/>
        <v>19</v>
      </c>
      <c r="M20" s="23">
        <f t="shared" si="35"/>
        <v>24</v>
      </c>
      <c r="N20" s="24">
        <f t="shared" si="36"/>
        <v>24</v>
      </c>
      <c r="O20" s="25">
        <f t="shared" si="52"/>
        <v>48</v>
      </c>
      <c r="P20" s="23">
        <f t="shared" si="37"/>
        <v>12</v>
      </c>
      <c r="Q20" s="24">
        <f t="shared" si="38"/>
        <v>12</v>
      </c>
      <c r="R20" s="25">
        <f t="shared" si="53"/>
        <v>24</v>
      </c>
      <c r="S20" s="23">
        <f t="shared" si="39"/>
        <v>23</v>
      </c>
      <c r="T20" s="24">
        <f t="shared" si="40"/>
        <v>24</v>
      </c>
      <c r="U20" s="25">
        <f t="shared" si="54"/>
        <v>47</v>
      </c>
      <c r="V20" s="23">
        <f t="shared" si="41"/>
        <v>29</v>
      </c>
      <c r="W20" s="24">
        <f t="shared" si="42"/>
        <v>29</v>
      </c>
      <c r="X20" s="25">
        <f t="shared" si="55"/>
        <v>58</v>
      </c>
      <c r="Y20" s="23">
        <f t="shared" si="43"/>
        <v>12</v>
      </c>
      <c r="Z20" s="24">
        <f t="shared" si="44"/>
        <v>11</v>
      </c>
      <c r="AA20" s="25">
        <f t="shared" si="56"/>
        <v>23</v>
      </c>
      <c r="AB20" s="23">
        <f t="shared" si="45"/>
        <v>10</v>
      </c>
      <c r="AC20" s="24">
        <f t="shared" si="46"/>
        <v>12</v>
      </c>
      <c r="AD20" s="25">
        <f t="shared" si="57"/>
        <v>22</v>
      </c>
      <c r="AE20" s="23">
        <f t="shared" si="47"/>
        <v>0</v>
      </c>
      <c r="AF20" s="24">
        <f t="shared" si="48"/>
        <v>0</v>
      </c>
      <c r="AG20" s="25">
        <f t="shared" si="58"/>
        <v>0</v>
      </c>
      <c r="AH20" s="33"/>
    </row>
    <row r="21" spans="1:34" ht="18" customHeight="1" thickTop="1" thickBot="1" x14ac:dyDescent="0.3">
      <c r="A21" s="23">
        <v>11</v>
      </c>
      <c r="B21" s="28">
        <f t="shared" si="27"/>
        <v>0</v>
      </c>
      <c r="C21" s="60" t="str">
        <f t="shared" si="28"/>
        <v>ريناد محمد ابراهيم السلامي</v>
      </c>
      <c r="D21" s="23">
        <f t="shared" si="29"/>
        <v>10</v>
      </c>
      <c r="E21" s="24">
        <f t="shared" si="30"/>
        <v>11</v>
      </c>
      <c r="F21" s="25">
        <f t="shared" si="49"/>
        <v>21</v>
      </c>
      <c r="G21" s="23">
        <f t="shared" si="31"/>
        <v>18</v>
      </c>
      <c r="H21" s="24">
        <f t="shared" si="32"/>
        <v>22</v>
      </c>
      <c r="I21" s="25">
        <f t="shared" si="50"/>
        <v>40</v>
      </c>
      <c r="J21" s="23">
        <f t="shared" si="33"/>
        <v>7</v>
      </c>
      <c r="K21" s="24">
        <f t="shared" si="34"/>
        <v>11</v>
      </c>
      <c r="L21" s="25">
        <f t="shared" si="51"/>
        <v>18</v>
      </c>
      <c r="M21" s="23">
        <f t="shared" si="35"/>
        <v>22</v>
      </c>
      <c r="N21" s="24">
        <f t="shared" si="36"/>
        <v>24</v>
      </c>
      <c r="O21" s="25">
        <f t="shared" si="52"/>
        <v>46</v>
      </c>
      <c r="P21" s="23">
        <f t="shared" si="37"/>
        <v>11</v>
      </c>
      <c r="Q21" s="24">
        <f t="shared" si="38"/>
        <v>12</v>
      </c>
      <c r="R21" s="25">
        <f t="shared" si="53"/>
        <v>23</v>
      </c>
      <c r="S21" s="23">
        <f t="shared" si="39"/>
        <v>18</v>
      </c>
      <c r="T21" s="24">
        <f t="shared" si="40"/>
        <v>18</v>
      </c>
      <c r="U21" s="25">
        <f t="shared" si="54"/>
        <v>36</v>
      </c>
      <c r="V21" s="23">
        <f t="shared" si="41"/>
        <v>26</v>
      </c>
      <c r="W21" s="24">
        <f t="shared" si="42"/>
        <v>25</v>
      </c>
      <c r="X21" s="25">
        <f t="shared" si="55"/>
        <v>51</v>
      </c>
      <c r="Y21" s="23">
        <f t="shared" si="43"/>
        <v>11</v>
      </c>
      <c r="Z21" s="24">
        <f t="shared" si="44"/>
        <v>10</v>
      </c>
      <c r="AA21" s="25">
        <f t="shared" si="56"/>
        <v>21</v>
      </c>
      <c r="AB21" s="23">
        <f t="shared" si="45"/>
        <v>11</v>
      </c>
      <c r="AC21" s="24">
        <f t="shared" si="46"/>
        <v>11</v>
      </c>
      <c r="AD21" s="25">
        <f t="shared" si="57"/>
        <v>22</v>
      </c>
      <c r="AE21" s="23">
        <f t="shared" si="47"/>
        <v>0</v>
      </c>
      <c r="AF21" s="24">
        <f t="shared" si="48"/>
        <v>0</v>
      </c>
      <c r="AG21" s="25">
        <f t="shared" si="58"/>
        <v>0</v>
      </c>
      <c r="AH21" s="29"/>
    </row>
    <row r="22" spans="1:34" ht="18" customHeight="1" thickTop="1" thickBot="1" x14ac:dyDescent="0.3">
      <c r="A22" s="27">
        <v>12</v>
      </c>
      <c r="B22" s="28">
        <f t="shared" si="27"/>
        <v>0</v>
      </c>
      <c r="C22" s="60" t="str">
        <f t="shared" si="28"/>
        <v>عبدالرحيم عبدالمولي الجمل</v>
      </c>
      <c r="D22" s="23">
        <f t="shared" si="29"/>
        <v>7</v>
      </c>
      <c r="E22" s="24">
        <f t="shared" si="30"/>
        <v>8</v>
      </c>
      <c r="F22" s="25">
        <f t="shared" si="49"/>
        <v>15</v>
      </c>
      <c r="G22" s="23">
        <f t="shared" si="31"/>
        <v>12</v>
      </c>
      <c r="H22" s="24">
        <f t="shared" si="32"/>
        <v>14</v>
      </c>
      <c r="I22" s="25">
        <f t="shared" si="50"/>
        <v>26</v>
      </c>
      <c r="J22" s="23">
        <f t="shared" si="33"/>
        <v>5</v>
      </c>
      <c r="K22" s="24">
        <f t="shared" si="34"/>
        <v>7</v>
      </c>
      <c r="L22" s="25">
        <f t="shared" si="51"/>
        <v>12</v>
      </c>
      <c r="M22" s="23">
        <f t="shared" si="35"/>
        <v>19</v>
      </c>
      <c r="N22" s="24">
        <f t="shared" si="36"/>
        <v>20</v>
      </c>
      <c r="O22" s="25">
        <f t="shared" si="52"/>
        <v>39</v>
      </c>
      <c r="P22" s="23">
        <f t="shared" si="37"/>
        <v>11</v>
      </c>
      <c r="Q22" s="24">
        <f t="shared" si="38"/>
        <v>11</v>
      </c>
      <c r="R22" s="25">
        <f t="shared" si="53"/>
        <v>22</v>
      </c>
      <c r="S22" s="23">
        <f t="shared" si="39"/>
        <v>14</v>
      </c>
      <c r="T22" s="24">
        <f t="shared" si="40"/>
        <v>13</v>
      </c>
      <c r="U22" s="25">
        <f t="shared" si="54"/>
        <v>27</v>
      </c>
      <c r="V22" s="23">
        <f t="shared" si="41"/>
        <v>16</v>
      </c>
      <c r="W22" s="24">
        <f t="shared" si="42"/>
        <v>16</v>
      </c>
      <c r="X22" s="25">
        <f t="shared" si="55"/>
        <v>32</v>
      </c>
      <c r="Y22" s="23">
        <f t="shared" si="43"/>
        <v>9</v>
      </c>
      <c r="Z22" s="24">
        <f t="shared" si="44"/>
        <v>7</v>
      </c>
      <c r="AA22" s="25">
        <f t="shared" si="56"/>
        <v>16</v>
      </c>
      <c r="AB22" s="23">
        <f t="shared" si="45"/>
        <v>10</v>
      </c>
      <c r="AC22" s="24">
        <f t="shared" si="46"/>
        <v>9</v>
      </c>
      <c r="AD22" s="25">
        <f t="shared" si="57"/>
        <v>19</v>
      </c>
      <c r="AE22" s="23">
        <f t="shared" si="47"/>
        <v>0</v>
      </c>
      <c r="AF22" s="24">
        <f t="shared" si="48"/>
        <v>0</v>
      </c>
      <c r="AG22" s="25">
        <f t="shared" si="58"/>
        <v>0</v>
      </c>
      <c r="AH22" s="31"/>
    </row>
    <row r="23" spans="1:34" ht="18" customHeight="1" thickTop="1" thickBot="1" x14ac:dyDescent="0.3">
      <c r="A23" s="23">
        <v>13</v>
      </c>
      <c r="B23" s="28">
        <f t="shared" si="27"/>
        <v>0</v>
      </c>
      <c r="C23" s="60" t="str">
        <f t="shared" si="28"/>
        <v>عبدالله احمد سالم العزيبي</v>
      </c>
      <c r="D23" s="23">
        <f t="shared" si="29"/>
        <v>12</v>
      </c>
      <c r="E23" s="24">
        <f t="shared" si="30"/>
        <v>10</v>
      </c>
      <c r="F23" s="25">
        <f t="shared" si="49"/>
        <v>22</v>
      </c>
      <c r="G23" s="23">
        <f t="shared" si="31"/>
        <v>16</v>
      </c>
      <c r="H23" s="24">
        <f t="shared" si="32"/>
        <v>12</v>
      </c>
      <c r="I23" s="25">
        <f t="shared" si="50"/>
        <v>28</v>
      </c>
      <c r="J23" s="23">
        <f t="shared" si="33"/>
        <v>7</v>
      </c>
      <c r="K23" s="24">
        <f t="shared" si="34"/>
        <v>8</v>
      </c>
      <c r="L23" s="25">
        <f t="shared" si="51"/>
        <v>15</v>
      </c>
      <c r="M23" s="23">
        <f t="shared" si="35"/>
        <v>22</v>
      </c>
      <c r="N23" s="24">
        <f t="shared" si="36"/>
        <v>22</v>
      </c>
      <c r="O23" s="25">
        <f t="shared" si="52"/>
        <v>44</v>
      </c>
      <c r="P23" s="23">
        <f t="shared" si="37"/>
        <v>12</v>
      </c>
      <c r="Q23" s="24">
        <f t="shared" si="38"/>
        <v>11</v>
      </c>
      <c r="R23" s="25">
        <f t="shared" si="53"/>
        <v>23</v>
      </c>
      <c r="S23" s="23">
        <f t="shared" si="39"/>
        <v>12</v>
      </c>
      <c r="T23" s="24">
        <f t="shared" si="40"/>
        <v>20</v>
      </c>
      <c r="U23" s="25">
        <f t="shared" si="54"/>
        <v>32</v>
      </c>
      <c r="V23" s="23">
        <f t="shared" si="41"/>
        <v>20</v>
      </c>
      <c r="W23" s="24">
        <f t="shared" si="42"/>
        <v>20</v>
      </c>
      <c r="X23" s="25">
        <f t="shared" si="55"/>
        <v>40</v>
      </c>
      <c r="Y23" s="23">
        <f t="shared" si="43"/>
        <v>12</v>
      </c>
      <c r="Z23" s="24">
        <f t="shared" si="44"/>
        <v>10</v>
      </c>
      <c r="AA23" s="25">
        <f t="shared" si="56"/>
        <v>22</v>
      </c>
      <c r="AB23" s="23">
        <f t="shared" si="45"/>
        <v>10</v>
      </c>
      <c r="AC23" s="24">
        <f t="shared" si="46"/>
        <v>11</v>
      </c>
      <c r="AD23" s="25">
        <f t="shared" si="57"/>
        <v>21</v>
      </c>
      <c r="AE23" s="23">
        <f t="shared" si="47"/>
        <v>0</v>
      </c>
      <c r="AF23" s="24">
        <f t="shared" si="48"/>
        <v>0</v>
      </c>
      <c r="AG23" s="25">
        <f t="shared" si="58"/>
        <v>0</v>
      </c>
      <c r="AH23" s="33"/>
    </row>
    <row r="24" spans="1:34" ht="18" customHeight="1" thickTop="1" thickBot="1" x14ac:dyDescent="0.3">
      <c r="A24" s="27">
        <v>14</v>
      </c>
      <c r="B24" s="28">
        <f t="shared" si="27"/>
        <v>0</v>
      </c>
      <c r="C24" s="60" t="str">
        <f t="shared" si="28"/>
        <v>علاء الدين لطفي الهادى  امعمر</v>
      </c>
      <c r="D24" s="23">
        <f t="shared" si="29"/>
        <v>8</v>
      </c>
      <c r="E24" s="24">
        <f t="shared" si="30"/>
        <v>9</v>
      </c>
      <c r="F24" s="25">
        <f t="shared" si="49"/>
        <v>17</v>
      </c>
      <c r="G24" s="23">
        <f t="shared" si="31"/>
        <v>16</v>
      </c>
      <c r="H24" s="24">
        <f t="shared" si="32"/>
        <v>13</v>
      </c>
      <c r="I24" s="25">
        <f t="shared" si="50"/>
        <v>29</v>
      </c>
      <c r="J24" s="23">
        <f t="shared" si="33"/>
        <v>7</v>
      </c>
      <c r="K24" s="24">
        <f t="shared" si="34"/>
        <v>6</v>
      </c>
      <c r="L24" s="25">
        <f t="shared" si="51"/>
        <v>13</v>
      </c>
      <c r="M24" s="23">
        <f t="shared" si="35"/>
        <v>18</v>
      </c>
      <c r="N24" s="24">
        <f t="shared" si="36"/>
        <v>19</v>
      </c>
      <c r="O24" s="25">
        <f t="shared" si="52"/>
        <v>37</v>
      </c>
      <c r="P24" s="23">
        <f t="shared" si="37"/>
        <v>11</v>
      </c>
      <c r="Q24" s="24">
        <f t="shared" si="38"/>
        <v>11</v>
      </c>
      <c r="R24" s="25">
        <f t="shared" si="53"/>
        <v>22</v>
      </c>
      <c r="S24" s="23">
        <f t="shared" si="39"/>
        <v>12</v>
      </c>
      <c r="T24" s="24">
        <f t="shared" si="40"/>
        <v>10</v>
      </c>
      <c r="U24" s="25">
        <f t="shared" si="54"/>
        <v>22</v>
      </c>
      <c r="V24" s="23">
        <f t="shared" si="41"/>
        <v>18</v>
      </c>
      <c r="W24" s="24">
        <f t="shared" si="42"/>
        <v>18</v>
      </c>
      <c r="X24" s="25">
        <f t="shared" si="55"/>
        <v>36</v>
      </c>
      <c r="Y24" s="23">
        <f t="shared" si="43"/>
        <v>7</v>
      </c>
      <c r="Z24" s="24">
        <f t="shared" si="44"/>
        <v>9</v>
      </c>
      <c r="AA24" s="25">
        <f t="shared" si="56"/>
        <v>16</v>
      </c>
      <c r="AB24" s="23">
        <f t="shared" si="45"/>
        <v>8</v>
      </c>
      <c r="AC24" s="24">
        <f t="shared" si="46"/>
        <v>8</v>
      </c>
      <c r="AD24" s="25">
        <f t="shared" si="57"/>
        <v>16</v>
      </c>
      <c r="AE24" s="23">
        <f t="shared" si="47"/>
        <v>0</v>
      </c>
      <c r="AF24" s="24">
        <f t="shared" si="48"/>
        <v>0</v>
      </c>
      <c r="AG24" s="25">
        <f t="shared" si="58"/>
        <v>0</v>
      </c>
      <c r="AH24" s="29"/>
    </row>
    <row r="25" spans="1:34" ht="18" customHeight="1" thickTop="1" thickBot="1" x14ac:dyDescent="0.3">
      <c r="A25" s="23">
        <v>15</v>
      </c>
      <c r="B25" s="28">
        <f t="shared" si="27"/>
        <v>0</v>
      </c>
      <c r="C25" s="60" t="str">
        <f t="shared" si="28"/>
        <v>عمران أسامة سالم طاهر</v>
      </c>
      <c r="D25" s="23">
        <f t="shared" si="29"/>
        <v>7</v>
      </c>
      <c r="E25" s="24">
        <f t="shared" si="30"/>
        <v>8</v>
      </c>
      <c r="F25" s="25">
        <f t="shared" si="49"/>
        <v>15</v>
      </c>
      <c r="G25" s="23">
        <f t="shared" si="31"/>
        <v>9</v>
      </c>
      <c r="H25" s="24">
        <f t="shared" si="32"/>
        <v>14</v>
      </c>
      <c r="I25" s="25">
        <f t="shared" si="50"/>
        <v>23</v>
      </c>
      <c r="J25" s="23">
        <f t="shared" si="33"/>
        <v>7</v>
      </c>
      <c r="K25" s="24">
        <f t="shared" si="34"/>
        <v>7</v>
      </c>
      <c r="L25" s="25">
        <f t="shared" si="51"/>
        <v>14</v>
      </c>
      <c r="M25" s="23">
        <f t="shared" si="35"/>
        <v>19</v>
      </c>
      <c r="N25" s="24">
        <f t="shared" si="36"/>
        <v>19</v>
      </c>
      <c r="O25" s="25">
        <f t="shared" si="52"/>
        <v>38</v>
      </c>
      <c r="P25" s="23">
        <f t="shared" si="37"/>
        <v>11</v>
      </c>
      <c r="Q25" s="24">
        <f t="shared" si="38"/>
        <v>10</v>
      </c>
      <c r="R25" s="25">
        <f t="shared" si="53"/>
        <v>21</v>
      </c>
      <c r="S25" s="23">
        <f t="shared" si="39"/>
        <v>12</v>
      </c>
      <c r="T25" s="24">
        <f t="shared" si="40"/>
        <v>11</v>
      </c>
      <c r="U25" s="25">
        <f t="shared" si="54"/>
        <v>23</v>
      </c>
      <c r="V25" s="23">
        <f t="shared" si="41"/>
        <v>13</v>
      </c>
      <c r="W25" s="24">
        <f t="shared" si="42"/>
        <v>18</v>
      </c>
      <c r="X25" s="25">
        <f t="shared" si="55"/>
        <v>31</v>
      </c>
      <c r="Y25" s="23">
        <f t="shared" si="43"/>
        <v>7</v>
      </c>
      <c r="Z25" s="24">
        <f t="shared" si="44"/>
        <v>11</v>
      </c>
      <c r="AA25" s="25">
        <f t="shared" si="56"/>
        <v>18</v>
      </c>
      <c r="AB25" s="23">
        <f t="shared" si="45"/>
        <v>7</v>
      </c>
      <c r="AC25" s="24">
        <f t="shared" si="46"/>
        <v>8</v>
      </c>
      <c r="AD25" s="25">
        <f t="shared" si="57"/>
        <v>15</v>
      </c>
      <c r="AE25" s="23">
        <f t="shared" si="47"/>
        <v>0</v>
      </c>
      <c r="AF25" s="24">
        <f t="shared" si="48"/>
        <v>0</v>
      </c>
      <c r="AG25" s="25">
        <f t="shared" si="58"/>
        <v>0</v>
      </c>
      <c r="AH25" s="31"/>
    </row>
    <row r="26" spans="1:34" ht="18" customHeight="1" thickTop="1" thickBot="1" x14ac:dyDescent="0.3">
      <c r="A26" s="27">
        <v>16</v>
      </c>
      <c r="B26" s="28">
        <f t="shared" si="27"/>
        <v>0</v>
      </c>
      <c r="C26" s="60" t="str">
        <f t="shared" si="28"/>
        <v>مالك  علي حمد القبائلى</v>
      </c>
      <c r="D26" s="23">
        <f t="shared" si="29"/>
        <v>11</v>
      </c>
      <c r="E26" s="24">
        <f t="shared" si="30"/>
        <v>11</v>
      </c>
      <c r="F26" s="25">
        <f t="shared" si="49"/>
        <v>22</v>
      </c>
      <c r="G26" s="23">
        <f t="shared" si="31"/>
        <v>19</v>
      </c>
      <c r="H26" s="24">
        <f t="shared" si="32"/>
        <v>18</v>
      </c>
      <c r="I26" s="25">
        <f t="shared" si="50"/>
        <v>37</v>
      </c>
      <c r="J26" s="23">
        <f t="shared" si="33"/>
        <v>8</v>
      </c>
      <c r="K26" s="24">
        <f t="shared" si="34"/>
        <v>11</v>
      </c>
      <c r="L26" s="25">
        <f t="shared" si="51"/>
        <v>19</v>
      </c>
      <c r="M26" s="23">
        <f t="shared" si="35"/>
        <v>22</v>
      </c>
      <c r="N26" s="24">
        <f t="shared" si="36"/>
        <v>24</v>
      </c>
      <c r="O26" s="25">
        <f t="shared" si="52"/>
        <v>46</v>
      </c>
      <c r="P26" s="23">
        <f t="shared" si="37"/>
        <v>12</v>
      </c>
      <c r="Q26" s="24">
        <f t="shared" si="38"/>
        <v>11</v>
      </c>
      <c r="R26" s="25">
        <f t="shared" si="53"/>
        <v>23</v>
      </c>
      <c r="S26" s="23">
        <f t="shared" si="39"/>
        <v>12</v>
      </c>
      <c r="T26" s="24">
        <f t="shared" si="40"/>
        <v>18</v>
      </c>
      <c r="U26" s="25">
        <f t="shared" si="54"/>
        <v>30</v>
      </c>
      <c r="V26" s="23">
        <f t="shared" si="41"/>
        <v>17</v>
      </c>
      <c r="W26" s="24">
        <f t="shared" si="42"/>
        <v>21</v>
      </c>
      <c r="X26" s="25">
        <f t="shared" si="55"/>
        <v>38</v>
      </c>
      <c r="Y26" s="23">
        <f t="shared" si="43"/>
        <v>10</v>
      </c>
      <c r="Z26" s="24">
        <f t="shared" si="44"/>
        <v>8</v>
      </c>
      <c r="AA26" s="25">
        <f t="shared" si="56"/>
        <v>18</v>
      </c>
      <c r="AB26" s="23">
        <f t="shared" si="45"/>
        <v>9</v>
      </c>
      <c r="AC26" s="24">
        <f t="shared" si="46"/>
        <v>10</v>
      </c>
      <c r="AD26" s="25">
        <f t="shared" si="57"/>
        <v>19</v>
      </c>
      <c r="AE26" s="23">
        <f t="shared" si="47"/>
        <v>0</v>
      </c>
      <c r="AF26" s="24">
        <f t="shared" si="48"/>
        <v>0</v>
      </c>
      <c r="AG26" s="25">
        <f t="shared" si="58"/>
        <v>0</v>
      </c>
      <c r="AH26" s="29"/>
    </row>
    <row r="27" spans="1:34" ht="18" customHeight="1" thickTop="1" thickBot="1" x14ac:dyDescent="0.3">
      <c r="A27" s="23">
        <v>17</v>
      </c>
      <c r="B27" s="28">
        <f t="shared" si="27"/>
        <v>0</v>
      </c>
      <c r="C27" s="60" t="str">
        <f t="shared" si="28"/>
        <v>محمد جمعة رمضان العزيبي</v>
      </c>
      <c r="D27" s="23">
        <f t="shared" si="29"/>
        <v>10</v>
      </c>
      <c r="E27" s="24">
        <f t="shared" si="30"/>
        <v>9</v>
      </c>
      <c r="F27" s="25">
        <f t="shared" si="49"/>
        <v>19</v>
      </c>
      <c r="G27" s="23">
        <f t="shared" si="31"/>
        <v>15</v>
      </c>
      <c r="H27" s="24">
        <f t="shared" si="32"/>
        <v>16</v>
      </c>
      <c r="I27" s="25">
        <f t="shared" si="50"/>
        <v>31</v>
      </c>
      <c r="J27" s="23">
        <f t="shared" si="33"/>
        <v>7</v>
      </c>
      <c r="K27" s="24">
        <f t="shared" si="34"/>
        <v>10</v>
      </c>
      <c r="L27" s="25">
        <f t="shared" si="51"/>
        <v>17</v>
      </c>
      <c r="M27" s="23">
        <f t="shared" si="35"/>
        <v>19</v>
      </c>
      <c r="N27" s="24">
        <f t="shared" si="36"/>
        <v>20</v>
      </c>
      <c r="O27" s="25">
        <f t="shared" si="52"/>
        <v>39</v>
      </c>
      <c r="P27" s="23">
        <f t="shared" si="37"/>
        <v>12</v>
      </c>
      <c r="Q27" s="24">
        <f t="shared" si="38"/>
        <v>11</v>
      </c>
      <c r="R27" s="25">
        <f t="shared" si="53"/>
        <v>23</v>
      </c>
      <c r="S27" s="23">
        <f t="shared" si="39"/>
        <v>15</v>
      </c>
      <c r="T27" s="24">
        <f t="shared" si="40"/>
        <v>12</v>
      </c>
      <c r="U27" s="25">
        <f t="shared" si="54"/>
        <v>27</v>
      </c>
      <c r="V27" s="23">
        <f t="shared" si="41"/>
        <v>17</v>
      </c>
      <c r="W27" s="24">
        <f t="shared" si="42"/>
        <v>18</v>
      </c>
      <c r="X27" s="25">
        <f t="shared" si="55"/>
        <v>35</v>
      </c>
      <c r="Y27" s="23">
        <f t="shared" si="43"/>
        <v>9</v>
      </c>
      <c r="Z27" s="24">
        <f t="shared" si="44"/>
        <v>10</v>
      </c>
      <c r="AA27" s="25">
        <f t="shared" si="56"/>
        <v>19</v>
      </c>
      <c r="AB27" s="23">
        <f t="shared" si="45"/>
        <v>10</v>
      </c>
      <c r="AC27" s="24">
        <f t="shared" si="46"/>
        <v>10</v>
      </c>
      <c r="AD27" s="25">
        <f t="shared" si="57"/>
        <v>20</v>
      </c>
      <c r="AE27" s="23">
        <f t="shared" si="47"/>
        <v>0</v>
      </c>
      <c r="AF27" s="24">
        <f t="shared" si="48"/>
        <v>0</v>
      </c>
      <c r="AG27" s="25">
        <f t="shared" si="58"/>
        <v>0</v>
      </c>
      <c r="AH27" s="31"/>
    </row>
    <row r="28" spans="1:34" ht="18" customHeight="1" thickTop="1" thickBot="1" x14ac:dyDescent="0.3">
      <c r="A28" s="27">
        <v>18</v>
      </c>
      <c r="B28" s="28">
        <f t="shared" si="27"/>
        <v>0</v>
      </c>
      <c r="C28" s="60" t="str">
        <f t="shared" si="28"/>
        <v>محمد على عامر الخالقي</v>
      </c>
      <c r="D28" s="23">
        <f t="shared" si="29"/>
        <v>12</v>
      </c>
      <c r="E28" s="24">
        <f t="shared" si="30"/>
        <v>9</v>
      </c>
      <c r="F28" s="25">
        <f t="shared" si="49"/>
        <v>21</v>
      </c>
      <c r="G28" s="23">
        <f t="shared" si="31"/>
        <v>16</v>
      </c>
      <c r="H28" s="24">
        <f t="shared" si="32"/>
        <v>18</v>
      </c>
      <c r="I28" s="25">
        <f t="shared" si="50"/>
        <v>34</v>
      </c>
      <c r="J28" s="23">
        <f t="shared" si="33"/>
        <v>7</v>
      </c>
      <c r="K28" s="24">
        <f t="shared" si="34"/>
        <v>10</v>
      </c>
      <c r="L28" s="25">
        <f t="shared" si="51"/>
        <v>17</v>
      </c>
      <c r="M28" s="23">
        <f t="shared" si="35"/>
        <v>19</v>
      </c>
      <c r="N28" s="24">
        <f t="shared" si="36"/>
        <v>19</v>
      </c>
      <c r="O28" s="25">
        <f t="shared" si="52"/>
        <v>38</v>
      </c>
      <c r="P28" s="23">
        <f t="shared" si="37"/>
        <v>12</v>
      </c>
      <c r="Q28" s="24">
        <f t="shared" si="38"/>
        <v>10</v>
      </c>
      <c r="R28" s="25">
        <f t="shared" si="53"/>
        <v>22</v>
      </c>
      <c r="S28" s="23">
        <f t="shared" si="39"/>
        <v>15</v>
      </c>
      <c r="T28" s="24">
        <f t="shared" si="40"/>
        <v>12</v>
      </c>
      <c r="U28" s="25">
        <f t="shared" si="54"/>
        <v>27</v>
      </c>
      <c r="V28" s="23">
        <f t="shared" si="41"/>
        <v>24</v>
      </c>
      <c r="W28" s="24">
        <f t="shared" si="42"/>
        <v>23</v>
      </c>
      <c r="X28" s="25">
        <f t="shared" si="55"/>
        <v>47</v>
      </c>
      <c r="Y28" s="23">
        <f t="shared" si="43"/>
        <v>12</v>
      </c>
      <c r="Z28" s="24">
        <f t="shared" si="44"/>
        <v>10</v>
      </c>
      <c r="AA28" s="25">
        <f t="shared" si="56"/>
        <v>22</v>
      </c>
      <c r="AB28" s="23">
        <f t="shared" si="45"/>
        <v>11</v>
      </c>
      <c r="AC28" s="24">
        <f t="shared" si="46"/>
        <v>9</v>
      </c>
      <c r="AD28" s="25">
        <f t="shared" si="57"/>
        <v>20</v>
      </c>
      <c r="AE28" s="23">
        <f t="shared" si="47"/>
        <v>0</v>
      </c>
      <c r="AF28" s="24">
        <f t="shared" si="48"/>
        <v>0</v>
      </c>
      <c r="AG28" s="25">
        <f t="shared" si="58"/>
        <v>0</v>
      </c>
      <c r="AH28" s="31"/>
    </row>
    <row r="29" spans="1:34" ht="18" customHeight="1" thickTop="1" thickBot="1" x14ac:dyDescent="0.3">
      <c r="A29" s="23">
        <v>19</v>
      </c>
      <c r="B29" s="28">
        <f t="shared" si="27"/>
        <v>0</v>
      </c>
      <c r="C29" s="60" t="str">
        <f t="shared" si="28"/>
        <v xml:space="preserve">محمد وسام حسن دريدر </v>
      </c>
      <c r="D29" s="23">
        <f t="shared" si="29"/>
        <v>9</v>
      </c>
      <c r="E29" s="24">
        <f t="shared" si="30"/>
        <v>11</v>
      </c>
      <c r="F29" s="25">
        <f t="shared" si="49"/>
        <v>20</v>
      </c>
      <c r="G29" s="23">
        <f t="shared" si="31"/>
        <v>14</v>
      </c>
      <c r="H29" s="24">
        <f t="shared" si="32"/>
        <v>17</v>
      </c>
      <c r="I29" s="25">
        <f t="shared" si="50"/>
        <v>31</v>
      </c>
      <c r="J29" s="23">
        <f t="shared" si="33"/>
        <v>8</v>
      </c>
      <c r="K29" s="24">
        <f t="shared" si="34"/>
        <v>10</v>
      </c>
      <c r="L29" s="25">
        <f t="shared" si="51"/>
        <v>18</v>
      </c>
      <c r="M29" s="23">
        <f t="shared" si="35"/>
        <v>21</v>
      </c>
      <c r="N29" s="24">
        <f t="shared" si="36"/>
        <v>22</v>
      </c>
      <c r="O29" s="25">
        <f t="shared" si="52"/>
        <v>43</v>
      </c>
      <c r="P29" s="23">
        <f t="shared" si="37"/>
        <v>12</v>
      </c>
      <c r="Q29" s="24">
        <f t="shared" si="38"/>
        <v>10</v>
      </c>
      <c r="R29" s="25">
        <f t="shared" si="53"/>
        <v>22</v>
      </c>
      <c r="S29" s="23">
        <f t="shared" si="39"/>
        <v>16</v>
      </c>
      <c r="T29" s="24">
        <f t="shared" si="40"/>
        <v>12</v>
      </c>
      <c r="U29" s="25">
        <f t="shared" si="54"/>
        <v>28</v>
      </c>
      <c r="V29" s="23">
        <f t="shared" si="41"/>
        <v>19</v>
      </c>
      <c r="W29" s="24">
        <f t="shared" si="42"/>
        <v>20</v>
      </c>
      <c r="X29" s="25">
        <f t="shared" si="55"/>
        <v>39</v>
      </c>
      <c r="Y29" s="23">
        <f t="shared" si="43"/>
        <v>6</v>
      </c>
      <c r="Z29" s="24">
        <f t="shared" si="44"/>
        <v>9</v>
      </c>
      <c r="AA29" s="25">
        <f t="shared" si="56"/>
        <v>15</v>
      </c>
      <c r="AB29" s="23">
        <f t="shared" si="45"/>
        <v>8</v>
      </c>
      <c r="AC29" s="24">
        <f t="shared" si="46"/>
        <v>9</v>
      </c>
      <c r="AD29" s="25">
        <f t="shared" si="57"/>
        <v>17</v>
      </c>
      <c r="AE29" s="23">
        <f t="shared" si="47"/>
        <v>0</v>
      </c>
      <c r="AF29" s="24">
        <f t="shared" si="48"/>
        <v>0</v>
      </c>
      <c r="AG29" s="25">
        <f t="shared" si="58"/>
        <v>0</v>
      </c>
      <c r="AH29" s="31"/>
    </row>
    <row r="30" spans="1:34" ht="18" customHeight="1" thickTop="1" thickBot="1" x14ac:dyDescent="0.3">
      <c r="A30" s="27">
        <v>20</v>
      </c>
      <c r="B30" s="28">
        <f t="shared" si="27"/>
        <v>0</v>
      </c>
      <c r="C30" s="60" t="str">
        <f t="shared" si="28"/>
        <v>نورالدين الشعاب سليمان رجب</v>
      </c>
      <c r="D30" s="23">
        <f t="shared" si="29"/>
        <v>9</v>
      </c>
      <c r="E30" s="24">
        <f t="shared" si="30"/>
        <v>11</v>
      </c>
      <c r="F30" s="25">
        <f t="shared" si="49"/>
        <v>20</v>
      </c>
      <c r="G30" s="23">
        <f t="shared" si="31"/>
        <v>12</v>
      </c>
      <c r="H30" s="24">
        <f t="shared" si="32"/>
        <v>12</v>
      </c>
      <c r="I30" s="25">
        <f t="shared" si="50"/>
        <v>24</v>
      </c>
      <c r="J30" s="23">
        <f t="shared" si="33"/>
        <v>8</v>
      </c>
      <c r="K30" s="24">
        <f t="shared" si="34"/>
        <v>6</v>
      </c>
      <c r="L30" s="25">
        <f t="shared" si="51"/>
        <v>14</v>
      </c>
      <c r="M30" s="23">
        <f t="shared" si="35"/>
        <v>19</v>
      </c>
      <c r="N30" s="24">
        <f t="shared" si="36"/>
        <v>21</v>
      </c>
      <c r="O30" s="25">
        <f t="shared" si="52"/>
        <v>40</v>
      </c>
      <c r="P30" s="23">
        <f t="shared" si="37"/>
        <v>12</v>
      </c>
      <c r="Q30" s="24">
        <f t="shared" si="38"/>
        <v>10</v>
      </c>
      <c r="R30" s="25">
        <f t="shared" si="53"/>
        <v>22</v>
      </c>
      <c r="S30" s="23">
        <f t="shared" si="39"/>
        <v>13</v>
      </c>
      <c r="T30" s="24">
        <f t="shared" si="40"/>
        <v>6</v>
      </c>
      <c r="U30" s="25">
        <f t="shared" si="54"/>
        <v>19</v>
      </c>
      <c r="V30" s="23">
        <f t="shared" si="41"/>
        <v>18</v>
      </c>
      <c r="W30" s="24">
        <f t="shared" si="42"/>
        <v>20</v>
      </c>
      <c r="X30" s="25">
        <f t="shared" si="55"/>
        <v>38</v>
      </c>
      <c r="Y30" s="23">
        <f t="shared" si="43"/>
        <v>9</v>
      </c>
      <c r="Z30" s="24">
        <f t="shared" si="44"/>
        <v>9</v>
      </c>
      <c r="AA30" s="25">
        <f t="shared" si="56"/>
        <v>18</v>
      </c>
      <c r="AB30" s="23">
        <f t="shared" si="45"/>
        <v>8</v>
      </c>
      <c r="AC30" s="24">
        <f t="shared" si="46"/>
        <v>8</v>
      </c>
      <c r="AD30" s="25">
        <f t="shared" si="57"/>
        <v>16</v>
      </c>
      <c r="AE30" s="23">
        <f t="shared" si="47"/>
        <v>0</v>
      </c>
      <c r="AF30" s="24">
        <f t="shared" si="48"/>
        <v>0</v>
      </c>
      <c r="AG30" s="25">
        <f t="shared" si="58"/>
        <v>0</v>
      </c>
      <c r="AH30" s="34"/>
    </row>
    <row r="31" spans="1:34" ht="7.95" customHeight="1" thickTop="1" x14ac:dyDescent="0.25">
      <c r="A31" s="212" t="s">
        <v>2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</row>
    <row r="32" spans="1:34" x14ac:dyDescent="0.25">
      <c r="A32" s="213"/>
      <c r="B32" s="213"/>
      <c r="C32" s="213" t="s">
        <v>18</v>
      </c>
      <c r="D32" s="213"/>
      <c r="E32" s="213"/>
      <c r="F32" s="214" t="s">
        <v>19</v>
      </c>
      <c r="G32" s="214"/>
      <c r="H32" s="214"/>
      <c r="I32" s="214"/>
      <c r="J32" s="35"/>
      <c r="K32" s="214" t="s">
        <v>20</v>
      </c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35"/>
      <c r="AD32" s="35"/>
      <c r="AE32" s="214" t="s">
        <v>55</v>
      </c>
      <c r="AF32" s="214"/>
      <c r="AG32" s="214"/>
    </row>
    <row r="33" spans="1:34" ht="13.95" customHeight="1" x14ac:dyDescent="0.25">
      <c r="A33" s="214" t="s">
        <v>21</v>
      </c>
      <c r="B33" s="214"/>
      <c r="C33" s="213">
        <f>'الفترة الاولى'!$CA$10</f>
        <v>0</v>
      </c>
      <c r="D33" s="213"/>
      <c r="E33" s="213"/>
      <c r="F33" s="214"/>
      <c r="G33" s="214"/>
      <c r="H33" s="214"/>
      <c r="I33" s="214"/>
      <c r="J33" s="35"/>
      <c r="K33" s="220" t="s">
        <v>52</v>
      </c>
      <c r="L33" s="215"/>
      <c r="M33" s="215"/>
      <c r="N33" s="223" t="str">
        <f>'الفترة الاولى'!$CA$16</f>
        <v>أ. فهيم عبدالمجيد بوازويتة</v>
      </c>
      <c r="O33" s="223"/>
      <c r="P33" s="223"/>
      <c r="Q33" s="223"/>
      <c r="R33" s="223"/>
      <c r="S33" s="223"/>
      <c r="T33" s="223"/>
      <c r="U33" s="215" t="s">
        <v>53</v>
      </c>
      <c r="V33" s="215"/>
      <c r="W33" s="215"/>
      <c r="X33" s="215" t="str">
        <f>'الفترة الاولى'!$C$6</f>
        <v>سهول العلم للتعليم الخاص</v>
      </c>
      <c r="Y33" s="215"/>
      <c r="Z33" s="215"/>
      <c r="AA33" s="215"/>
      <c r="AB33" s="216"/>
      <c r="AC33" s="36"/>
      <c r="AD33" s="36"/>
      <c r="AE33" s="214" t="s">
        <v>2</v>
      </c>
      <c r="AF33" s="214"/>
      <c r="AG33" s="214"/>
    </row>
    <row r="34" spans="1:34" ht="15.6" customHeight="1" x14ac:dyDescent="0.25">
      <c r="A34" s="214" t="s">
        <v>22</v>
      </c>
      <c r="B34" s="214"/>
      <c r="C34" s="213">
        <f>'الفترة الاولى'!$CA$11</f>
        <v>0</v>
      </c>
      <c r="D34" s="213"/>
      <c r="E34" s="213"/>
      <c r="F34" s="214"/>
      <c r="G34" s="214"/>
      <c r="H34" s="214"/>
      <c r="I34" s="214"/>
      <c r="J34" s="35"/>
      <c r="K34" s="217" t="s">
        <v>54</v>
      </c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9"/>
      <c r="AC34" s="37"/>
      <c r="AD34" s="37"/>
      <c r="AE34" s="214"/>
      <c r="AF34" s="214"/>
      <c r="AG34" s="214"/>
    </row>
    <row r="35" spans="1:34" ht="13.95" customHeight="1" x14ac:dyDescent="0.25">
      <c r="A35" s="214" t="s">
        <v>23</v>
      </c>
      <c r="B35" s="214"/>
      <c r="C35" s="213">
        <f>'الفترة الاولى'!$CA$12</f>
        <v>0</v>
      </c>
      <c r="D35" s="213"/>
      <c r="E35" s="213"/>
      <c r="F35" s="214"/>
      <c r="G35" s="214"/>
      <c r="H35" s="214"/>
      <c r="I35" s="214"/>
      <c r="K35" s="220" t="s">
        <v>44</v>
      </c>
      <c r="L35" s="215"/>
      <c r="M35" s="221">
        <f ca="1">TODAY()</f>
        <v>46181</v>
      </c>
      <c r="N35" s="215"/>
      <c r="O35" s="215"/>
      <c r="P35" s="215"/>
      <c r="Q35" s="215"/>
      <c r="R35" s="215"/>
      <c r="S35" s="215"/>
      <c r="T35" s="215" t="s">
        <v>19</v>
      </c>
      <c r="U35" s="215"/>
      <c r="V35" s="215"/>
      <c r="W35" s="215"/>
      <c r="X35" s="215"/>
      <c r="Y35" s="215"/>
      <c r="Z35" s="215"/>
      <c r="AA35" s="215"/>
      <c r="AB35" s="38"/>
      <c r="AC35" s="36"/>
      <c r="AD35" s="36"/>
      <c r="AE35" s="214"/>
      <c r="AF35" s="214"/>
      <c r="AG35" s="214"/>
    </row>
    <row r="36" spans="1:34" ht="14.4" thickBot="1" x14ac:dyDescent="0.3">
      <c r="A36" s="214" t="s">
        <v>24</v>
      </c>
      <c r="B36" s="214"/>
      <c r="C36" s="213">
        <f>'الفترة الاولى'!$CA$13</f>
        <v>0</v>
      </c>
      <c r="D36" s="213"/>
      <c r="E36" s="213"/>
      <c r="F36" s="214"/>
      <c r="G36" s="214"/>
      <c r="H36" s="214"/>
      <c r="I36" s="214"/>
      <c r="K36" s="39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1"/>
      <c r="AC36" s="36"/>
      <c r="AD36" s="36"/>
      <c r="AE36" s="214"/>
      <c r="AF36" s="214"/>
      <c r="AG36" s="214"/>
    </row>
    <row r="37" spans="1:34" ht="6.75" customHeight="1" thickBot="1" x14ac:dyDescent="0.3">
      <c r="A37" s="209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  <c r="AG37" s="210"/>
      <c r="AH37" s="211"/>
    </row>
    <row r="38" spans="1:34" ht="18" customHeight="1" thickBot="1" x14ac:dyDescent="0.3">
      <c r="A38" s="23">
        <v>21</v>
      </c>
      <c r="B38" s="24">
        <f>IFERROR(VLOOKUP(A38,الاسماء,2,0),"")</f>
        <v>0</v>
      </c>
      <c r="C38" s="59">
        <f t="shared" ref="C38:C57" si="59">IFERROR(VLOOKUP(A38,الاسماء,3,0),"")</f>
        <v>0</v>
      </c>
      <c r="D38" s="23">
        <f t="shared" ref="D38:D57" si="60">IFERROR(VLOOKUP($C38,درجات,5,0),0)</f>
        <v>0</v>
      </c>
      <c r="E38" s="24">
        <f t="shared" ref="E38:E57" si="61">IFERROR(VLOOKUP($C38,درجات,43,0),0)</f>
        <v>0</v>
      </c>
      <c r="F38" s="25">
        <f>SUM(D38:E38)</f>
        <v>0</v>
      </c>
      <c r="G38" s="23">
        <f t="shared" ref="G38:G57" si="62">IFERROR(VLOOKUP($C38,درجات,8,0),0)</f>
        <v>0</v>
      </c>
      <c r="H38" s="24">
        <f t="shared" ref="H38:H57" si="63">IFERROR(VLOOKUP($C38,درجات,46,0),0)</f>
        <v>0</v>
      </c>
      <c r="I38" s="25">
        <f t="shared" ref="I38:I57" si="64">SUM(G38:H38)</f>
        <v>0</v>
      </c>
      <c r="J38" s="23">
        <f t="shared" ref="J38:J57" si="65">IFERROR(VLOOKUP($C38,درجات,11,0),0)</f>
        <v>0</v>
      </c>
      <c r="K38" s="24">
        <f t="shared" ref="K38:K57" si="66">IFERROR(VLOOKUP($C38,درجات,49,0),0)</f>
        <v>0</v>
      </c>
      <c r="L38" s="25">
        <f t="shared" ref="L38:L57" si="67">SUM(J38:K38)</f>
        <v>0</v>
      </c>
      <c r="M38" s="23">
        <f t="shared" ref="M38:M57" si="68">IFERROR(VLOOKUP($C38,درجات,14,0),0)</f>
        <v>0</v>
      </c>
      <c r="N38" s="24">
        <f t="shared" ref="N38:N57" si="69">IFERROR(VLOOKUP($C38,درجات,52,0),0)</f>
        <v>0</v>
      </c>
      <c r="O38" s="25">
        <f t="shared" ref="O38:O57" si="70">SUM(M38:N38)</f>
        <v>0</v>
      </c>
      <c r="P38" s="23">
        <f t="shared" ref="P38:P57" si="71">IFERROR(VLOOKUP($C38,درجات,17,0),0)</f>
        <v>0</v>
      </c>
      <c r="Q38" s="24">
        <f t="shared" ref="Q38:Q57" si="72">IFERROR(VLOOKUP($C38,درجات,55,0),0)</f>
        <v>0</v>
      </c>
      <c r="R38" s="25">
        <f t="shared" ref="R38:R57" si="73">SUM(P38:Q38)</f>
        <v>0</v>
      </c>
      <c r="S38" s="23">
        <f t="shared" ref="S38:S57" si="74">IFERROR(VLOOKUP($C38,درجات,20,0),0)</f>
        <v>0</v>
      </c>
      <c r="T38" s="24">
        <f t="shared" ref="T38:T57" si="75">IFERROR(VLOOKUP($C38,درجات,58,0),0)</f>
        <v>0</v>
      </c>
      <c r="U38" s="25">
        <f t="shared" ref="U38:U57" si="76">SUM(S38:T38)</f>
        <v>0</v>
      </c>
      <c r="V38" s="23">
        <f t="shared" ref="V38:V57" si="77">IFERROR(VLOOKUP($C38,درجات,23,0),0)</f>
        <v>0</v>
      </c>
      <c r="W38" s="24">
        <f t="shared" ref="W38:W57" si="78">IFERROR(VLOOKUP($C38,درجات,61,0),0)</f>
        <v>0</v>
      </c>
      <c r="X38" s="25">
        <f t="shared" ref="X38:X57" si="79">SUM(V38:W38)</f>
        <v>0</v>
      </c>
      <c r="Y38" s="23">
        <f t="shared" ref="Y38:Y57" si="80">IFERROR(VLOOKUP($C38,درجات,26,0),0)</f>
        <v>0</v>
      </c>
      <c r="Z38" s="24">
        <f t="shared" ref="Z38:Z57" si="81">IFERROR(VLOOKUP($C38,درجات,64,0),0)</f>
        <v>0</v>
      </c>
      <c r="AA38" s="25">
        <f t="shared" ref="AA38:AA57" si="82">SUM(Y38:Z38)</f>
        <v>0</v>
      </c>
      <c r="AB38" s="23">
        <f t="shared" ref="AB38:AB57" si="83">IFERROR(VLOOKUP($C38,درجات,29,0),0)</f>
        <v>0</v>
      </c>
      <c r="AC38" s="24">
        <f t="shared" ref="AC38:AC57" si="84">IFERROR(VLOOKUP($C38,درجات,67,0),0)</f>
        <v>0</v>
      </c>
      <c r="AD38" s="25">
        <f t="shared" ref="AD38:AD57" si="85">SUM(AB38:AC38)</f>
        <v>0</v>
      </c>
      <c r="AE38" s="23">
        <f t="shared" ref="AE38:AE57" si="86">IFERROR(VLOOKUP($C38,درجات,32,0),0)</f>
        <v>0</v>
      </c>
      <c r="AF38" s="24">
        <f t="shared" ref="AF38:AF57" si="87">IFERROR(VLOOKUP($C38,درجات,70,0),0)</f>
        <v>0</v>
      </c>
      <c r="AG38" s="25">
        <f t="shared" ref="AG38:AG57" si="88">SUM(AE38:AF38)</f>
        <v>0</v>
      </c>
      <c r="AH38" s="26"/>
    </row>
    <row r="39" spans="1:34" ht="18" customHeight="1" thickTop="1" thickBot="1" x14ac:dyDescent="0.3">
      <c r="A39" s="27">
        <v>22</v>
      </c>
      <c r="B39" s="28">
        <f>IFERROR(VLOOKUP(A39,الاسماء,2,0),0)</f>
        <v>0</v>
      </c>
      <c r="C39" s="60">
        <f t="shared" si="59"/>
        <v>0</v>
      </c>
      <c r="D39" s="23">
        <f t="shared" si="60"/>
        <v>0</v>
      </c>
      <c r="E39" s="24">
        <f t="shared" si="61"/>
        <v>0</v>
      </c>
      <c r="F39" s="25">
        <f t="shared" ref="F39:F57" si="89">SUM(D39:E39)</f>
        <v>0</v>
      </c>
      <c r="G39" s="23">
        <f t="shared" si="62"/>
        <v>0</v>
      </c>
      <c r="H39" s="24">
        <f t="shared" si="63"/>
        <v>0</v>
      </c>
      <c r="I39" s="25">
        <f t="shared" si="64"/>
        <v>0</v>
      </c>
      <c r="J39" s="23">
        <f t="shared" si="65"/>
        <v>0</v>
      </c>
      <c r="K39" s="24">
        <f t="shared" si="66"/>
        <v>0</v>
      </c>
      <c r="L39" s="25">
        <f t="shared" si="67"/>
        <v>0</v>
      </c>
      <c r="M39" s="23">
        <f t="shared" si="68"/>
        <v>0</v>
      </c>
      <c r="N39" s="24">
        <f t="shared" si="69"/>
        <v>0</v>
      </c>
      <c r="O39" s="25">
        <f t="shared" si="70"/>
        <v>0</v>
      </c>
      <c r="P39" s="23">
        <f t="shared" si="71"/>
        <v>0</v>
      </c>
      <c r="Q39" s="24">
        <f t="shared" si="72"/>
        <v>0</v>
      </c>
      <c r="R39" s="25">
        <f t="shared" si="73"/>
        <v>0</v>
      </c>
      <c r="S39" s="23">
        <f t="shared" si="74"/>
        <v>0</v>
      </c>
      <c r="T39" s="24">
        <f t="shared" si="75"/>
        <v>0</v>
      </c>
      <c r="U39" s="25">
        <f t="shared" si="76"/>
        <v>0</v>
      </c>
      <c r="V39" s="23">
        <f t="shared" si="77"/>
        <v>0</v>
      </c>
      <c r="W39" s="24">
        <f t="shared" si="78"/>
        <v>0</v>
      </c>
      <c r="X39" s="25">
        <f t="shared" si="79"/>
        <v>0</v>
      </c>
      <c r="Y39" s="23">
        <f t="shared" si="80"/>
        <v>0</v>
      </c>
      <c r="Z39" s="24">
        <f t="shared" si="81"/>
        <v>0</v>
      </c>
      <c r="AA39" s="25">
        <f t="shared" si="82"/>
        <v>0</v>
      </c>
      <c r="AB39" s="23">
        <f t="shared" si="83"/>
        <v>0</v>
      </c>
      <c r="AC39" s="24">
        <f t="shared" si="84"/>
        <v>0</v>
      </c>
      <c r="AD39" s="25">
        <f t="shared" si="85"/>
        <v>0</v>
      </c>
      <c r="AE39" s="23">
        <f t="shared" si="86"/>
        <v>0</v>
      </c>
      <c r="AF39" s="24">
        <f t="shared" si="87"/>
        <v>0</v>
      </c>
      <c r="AG39" s="25">
        <f t="shared" si="88"/>
        <v>0</v>
      </c>
      <c r="AH39" s="29"/>
    </row>
    <row r="40" spans="1:34" ht="18" customHeight="1" thickTop="1" thickBot="1" x14ac:dyDescent="0.3">
      <c r="A40" s="23">
        <v>23</v>
      </c>
      <c r="B40" s="28">
        <f t="shared" ref="B40:B57" si="90">IFERROR(VLOOKUP(A40,الاسماء,2,0),"")</f>
        <v>0</v>
      </c>
      <c r="C40" s="60">
        <f t="shared" si="59"/>
        <v>0</v>
      </c>
      <c r="D40" s="23">
        <f t="shared" si="60"/>
        <v>0</v>
      </c>
      <c r="E40" s="24">
        <f t="shared" si="61"/>
        <v>0</v>
      </c>
      <c r="F40" s="25">
        <f t="shared" si="89"/>
        <v>0</v>
      </c>
      <c r="G40" s="23">
        <f t="shared" si="62"/>
        <v>0</v>
      </c>
      <c r="H40" s="24">
        <f t="shared" si="63"/>
        <v>0</v>
      </c>
      <c r="I40" s="25">
        <f t="shared" si="64"/>
        <v>0</v>
      </c>
      <c r="J40" s="23">
        <f t="shared" si="65"/>
        <v>0</v>
      </c>
      <c r="K40" s="24">
        <f t="shared" si="66"/>
        <v>0</v>
      </c>
      <c r="L40" s="25">
        <f t="shared" si="67"/>
        <v>0</v>
      </c>
      <c r="M40" s="23">
        <f t="shared" si="68"/>
        <v>0</v>
      </c>
      <c r="N40" s="24">
        <f t="shared" si="69"/>
        <v>0</v>
      </c>
      <c r="O40" s="25">
        <f t="shared" si="70"/>
        <v>0</v>
      </c>
      <c r="P40" s="23">
        <f t="shared" si="71"/>
        <v>0</v>
      </c>
      <c r="Q40" s="24">
        <f t="shared" si="72"/>
        <v>0</v>
      </c>
      <c r="R40" s="25">
        <f t="shared" si="73"/>
        <v>0</v>
      </c>
      <c r="S40" s="23">
        <f t="shared" si="74"/>
        <v>0</v>
      </c>
      <c r="T40" s="24">
        <f t="shared" si="75"/>
        <v>0</v>
      </c>
      <c r="U40" s="25">
        <f t="shared" si="76"/>
        <v>0</v>
      </c>
      <c r="V40" s="23">
        <f t="shared" si="77"/>
        <v>0</v>
      </c>
      <c r="W40" s="24">
        <f t="shared" si="78"/>
        <v>0</v>
      </c>
      <c r="X40" s="25">
        <f t="shared" si="79"/>
        <v>0</v>
      </c>
      <c r="Y40" s="23">
        <f t="shared" si="80"/>
        <v>0</v>
      </c>
      <c r="Z40" s="24">
        <f t="shared" si="81"/>
        <v>0</v>
      </c>
      <c r="AA40" s="25">
        <f t="shared" si="82"/>
        <v>0</v>
      </c>
      <c r="AB40" s="23">
        <f t="shared" si="83"/>
        <v>0</v>
      </c>
      <c r="AC40" s="24">
        <f t="shared" si="84"/>
        <v>0</v>
      </c>
      <c r="AD40" s="25">
        <f t="shared" si="85"/>
        <v>0</v>
      </c>
      <c r="AE40" s="23">
        <f t="shared" si="86"/>
        <v>0</v>
      </c>
      <c r="AF40" s="24">
        <f t="shared" si="87"/>
        <v>0</v>
      </c>
      <c r="AG40" s="25">
        <f t="shared" si="88"/>
        <v>0</v>
      </c>
      <c r="AH40" s="30"/>
    </row>
    <row r="41" spans="1:34" ht="18" customHeight="1" thickTop="1" thickBot="1" x14ac:dyDescent="0.3">
      <c r="A41" s="27">
        <v>24</v>
      </c>
      <c r="B41" s="28">
        <f t="shared" si="90"/>
        <v>0</v>
      </c>
      <c r="C41" s="60">
        <f t="shared" si="59"/>
        <v>0</v>
      </c>
      <c r="D41" s="23">
        <f t="shared" si="60"/>
        <v>0</v>
      </c>
      <c r="E41" s="24">
        <f t="shared" si="61"/>
        <v>0</v>
      </c>
      <c r="F41" s="25">
        <f t="shared" si="89"/>
        <v>0</v>
      </c>
      <c r="G41" s="23">
        <f t="shared" si="62"/>
        <v>0</v>
      </c>
      <c r="H41" s="24">
        <f t="shared" si="63"/>
        <v>0</v>
      </c>
      <c r="I41" s="25">
        <f t="shared" si="64"/>
        <v>0</v>
      </c>
      <c r="J41" s="23">
        <f t="shared" si="65"/>
        <v>0</v>
      </c>
      <c r="K41" s="24">
        <f t="shared" si="66"/>
        <v>0</v>
      </c>
      <c r="L41" s="25">
        <f t="shared" si="67"/>
        <v>0</v>
      </c>
      <c r="M41" s="23">
        <f t="shared" si="68"/>
        <v>0</v>
      </c>
      <c r="N41" s="24">
        <f t="shared" si="69"/>
        <v>0</v>
      </c>
      <c r="O41" s="25">
        <f t="shared" si="70"/>
        <v>0</v>
      </c>
      <c r="P41" s="23">
        <f t="shared" si="71"/>
        <v>0</v>
      </c>
      <c r="Q41" s="24">
        <f t="shared" si="72"/>
        <v>0</v>
      </c>
      <c r="R41" s="25">
        <f t="shared" si="73"/>
        <v>0</v>
      </c>
      <c r="S41" s="23">
        <f t="shared" si="74"/>
        <v>0</v>
      </c>
      <c r="T41" s="24">
        <f t="shared" si="75"/>
        <v>0</v>
      </c>
      <c r="U41" s="25">
        <f t="shared" si="76"/>
        <v>0</v>
      </c>
      <c r="V41" s="23">
        <f t="shared" si="77"/>
        <v>0</v>
      </c>
      <c r="W41" s="24">
        <f t="shared" si="78"/>
        <v>0</v>
      </c>
      <c r="X41" s="25">
        <f t="shared" si="79"/>
        <v>0</v>
      </c>
      <c r="Y41" s="23">
        <f t="shared" si="80"/>
        <v>0</v>
      </c>
      <c r="Z41" s="24">
        <f t="shared" si="81"/>
        <v>0</v>
      </c>
      <c r="AA41" s="25">
        <f t="shared" si="82"/>
        <v>0</v>
      </c>
      <c r="AB41" s="23">
        <f t="shared" si="83"/>
        <v>0</v>
      </c>
      <c r="AC41" s="24">
        <f t="shared" si="84"/>
        <v>0</v>
      </c>
      <c r="AD41" s="25">
        <f t="shared" si="85"/>
        <v>0</v>
      </c>
      <c r="AE41" s="23">
        <f t="shared" si="86"/>
        <v>0</v>
      </c>
      <c r="AF41" s="24">
        <f t="shared" si="87"/>
        <v>0</v>
      </c>
      <c r="AG41" s="25">
        <f t="shared" si="88"/>
        <v>0</v>
      </c>
      <c r="AH41" s="30"/>
    </row>
    <row r="42" spans="1:34" ht="18" customHeight="1" thickTop="1" thickBot="1" x14ac:dyDescent="0.3">
      <c r="A42" s="23">
        <v>25</v>
      </c>
      <c r="B42" s="28">
        <f t="shared" si="90"/>
        <v>0</v>
      </c>
      <c r="C42" s="60">
        <f t="shared" si="59"/>
        <v>0</v>
      </c>
      <c r="D42" s="23">
        <f t="shared" si="60"/>
        <v>0</v>
      </c>
      <c r="E42" s="24">
        <f t="shared" si="61"/>
        <v>0</v>
      </c>
      <c r="F42" s="25">
        <f t="shared" si="89"/>
        <v>0</v>
      </c>
      <c r="G42" s="23">
        <f t="shared" si="62"/>
        <v>0</v>
      </c>
      <c r="H42" s="24">
        <f t="shared" si="63"/>
        <v>0</v>
      </c>
      <c r="I42" s="25">
        <f t="shared" si="64"/>
        <v>0</v>
      </c>
      <c r="J42" s="23">
        <f t="shared" si="65"/>
        <v>0</v>
      </c>
      <c r="K42" s="24">
        <f t="shared" si="66"/>
        <v>0</v>
      </c>
      <c r="L42" s="25">
        <f t="shared" si="67"/>
        <v>0</v>
      </c>
      <c r="M42" s="23">
        <f t="shared" si="68"/>
        <v>0</v>
      </c>
      <c r="N42" s="24">
        <f t="shared" si="69"/>
        <v>0</v>
      </c>
      <c r="O42" s="25">
        <f t="shared" si="70"/>
        <v>0</v>
      </c>
      <c r="P42" s="23">
        <f t="shared" si="71"/>
        <v>0</v>
      </c>
      <c r="Q42" s="24">
        <f t="shared" si="72"/>
        <v>0</v>
      </c>
      <c r="R42" s="25">
        <f t="shared" si="73"/>
        <v>0</v>
      </c>
      <c r="S42" s="23">
        <f t="shared" si="74"/>
        <v>0</v>
      </c>
      <c r="T42" s="24">
        <f t="shared" si="75"/>
        <v>0</v>
      </c>
      <c r="U42" s="25">
        <f t="shared" si="76"/>
        <v>0</v>
      </c>
      <c r="V42" s="23">
        <f t="shared" si="77"/>
        <v>0</v>
      </c>
      <c r="W42" s="24">
        <f t="shared" si="78"/>
        <v>0</v>
      </c>
      <c r="X42" s="25">
        <f t="shared" si="79"/>
        <v>0</v>
      </c>
      <c r="Y42" s="23">
        <f t="shared" si="80"/>
        <v>0</v>
      </c>
      <c r="Z42" s="24">
        <f t="shared" si="81"/>
        <v>0</v>
      </c>
      <c r="AA42" s="25">
        <f t="shared" si="82"/>
        <v>0</v>
      </c>
      <c r="AB42" s="23">
        <f t="shared" si="83"/>
        <v>0</v>
      </c>
      <c r="AC42" s="24">
        <f t="shared" si="84"/>
        <v>0</v>
      </c>
      <c r="AD42" s="25">
        <f t="shared" si="85"/>
        <v>0</v>
      </c>
      <c r="AE42" s="23">
        <f t="shared" si="86"/>
        <v>0</v>
      </c>
      <c r="AF42" s="24">
        <f t="shared" si="87"/>
        <v>0</v>
      </c>
      <c r="AG42" s="25">
        <f t="shared" si="88"/>
        <v>0</v>
      </c>
      <c r="AH42" s="30"/>
    </row>
    <row r="43" spans="1:34" ht="18" customHeight="1" thickTop="1" thickBot="1" x14ac:dyDescent="0.3">
      <c r="A43" s="27">
        <v>26</v>
      </c>
      <c r="B43" s="28">
        <f t="shared" si="90"/>
        <v>0</v>
      </c>
      <c r="C43" s="60">
        <f t="shared" si="59"/>
        <v>0</v>
      </c>
      <c r="D43" s="23">
        <f t="shared" si="60"/>
        <v>0</v>
      </c>
      <c r="E43" s="24">
        <f t="shared" si="61"/>
        <v>0</v>
      </c>
      <c r="F43" s="25">
        <f t="shared" si="89"/>
        <v>0</v>
      </c>
      <c r="G43" s="23">
        <f t="shared" si="62"/>
        <v>0</v>
      </c>
      <c r="H43" s="24">
        <f t="shared" si="63"/>
        <v>0</v>
      </c>
      <c r="I43" s="25">
        <f t="shared" si="64"/>
        <v>0</v>
      </c>
      <c r="J43" s="23">
        <f t="shared" si="65"/>
        <v>0</v>
      </c>
      <c r="K43" s="24">
        <f t="shared" si="66"/>
        <v>0</v>
      </c>
      <c r="L43" s="25">
        <f t="shared" si="67"/>
        <v>0</v>
      </c>
      <c r="M43" s="23">
        <f t="shared" si="68"/>
        <v>0</v>
      </c>
      <c r="N43" s="24">
        <f t="shared" si="69"/>
        <v>0</v>
      </c>
      <c r="O43" s="25">
        <f t="shared" si="70"/>
        <v>0</v>
      </c>
      <c r="P43" s="23">
        <f t="shared" si="71"/>
        <v>0</v>
      </c>
      <c r="Q43" s="24">
        <f t="shared" si="72"/>
        <v>0</v>
      </c>
      <c r="R43" s="25">
        <f t="shared" si="73"/>
        <v>0</v>
      </c>
      <c r="S43" s="23">
        <f t="shared" si="74"/>
        <v>0</v>
      </c>
      <c r="T43" s="24">
        <f t="shared" si="75"/>
        <v>0</v>
      </c>
      <c r="U43" s="25">
        <f t="shared" si="76"/>
        <v>0</v>
      </c>
      <c r="V43" s="23">
        <f t="shared" si="77"/>
        <v>0</v>
      </c>
      <c r="W43" s="24">
        <f t="shared" si="78"/>
        <v>0</v>
      </c>
      <c r="X43" s="25">
        <f t="shared" si="79"/>
        <v>0</v>
      </c>
      <c r="Y43" s="23">
        <f t="shared" si="80"/>
        <v>0</v>
      </c>
      <c r="Z43" s="24">
        <f t="shared" si="81"/>
        <v>0</v>
      </c>
      <c r="AA43" s="25">
        <f t="shared" si="82"/>
        <v>0</v>
      </c>
      <c r="AB43" s="23">
        <f t="shared" si="83"/>
        <v>0</v>
      </c>
      <c r="AC43" s="24">
        <f t="shared" si="84"/>
        <v>0</v>
      </c>
      <c r="AD43" s="25">
        <f t="shared" si="85"/>
        <v>0</v>
      </c>
      <c r="AE43" s="23">
        <f t="shared" si="86"/>
        <v>0</v>
      </c>
      <c r="AF43" s="24">
        <f t="shared" si="87"/>
        <v>0</v>
      </c>
      <c r="AG43" s="25">
        <f t="shared" si="88"/>
        <v>0</v>
      </c>
      <c r="AH43" s="31"/>
    </row>
    <row r="44" spans="1:34" ht="18" customHeight="1" thickTop="1" thickBot="1" x14ac:dyDescent="0.3">
      <c r="A44" s="23">
        <v>27</v>
      </c>
      <c r="B44" s="28">
        <f t="shared" si="90"/>
        <v>0</v>
      </c>
      <c r="C44" s="60">
        <f t="shared" si="59"/>
        <v>0</v>
      </c>
      <c r="D44" s="23">
        <f t="shared" si="60"/>
        <v>0</v>
      </c>
      <c r="E44" s="24">
        <f t="shared" si="61"/>
        <v>0</v>
      </c>
      <c r="F44" s="25">
        <f t="shared" si="89"/>
        <v>0</v>
      </c>
      <c r="G44" s="23">
        <f t="shared" si="62"/>
        <v>0</v>
      </c>
      <c r="H44" s="24">
        <f t="shared" si="63"/>
        <v>0</v>
      </c>
      <c r="I44" s="25">
        <f t="shared" si="64"/>
        <v>0</v>
      </c>
      <c r="J44" s="23">
        <f t="shared" si="65"/>
        <v>0</v>
      </c>
      <c r="K44" s="24">
        <f t="shared" si="66"/>
        <v>0</v>
      </c>
      <c r="L44" s="25">
        <f t="shared" si="67"/>
        <v>0</v>
      </c>
      <c r="M44" s="23">
        <f t="shared" si="68"/>
        <v>0</v>
      </c>
      <c r="N44" s="24">
        <f t="shared" si="69"/>
        <v>0</v>
      </c>
      <c r="O44" s="25">
        <f t="shared" si="70"/>
        <v>0</v>
      </c>
      <c r="P44" s="23">
        <f t="shared" si="71"/>
        <v>0</v>
      </c>
      <c r="Q44" s="24">
        <f t="shared" si="72"/>
        <v>0</v>
      </c>
      <c r="R44" s="25">
        <f t="shared" si="73"/>
        <v>0</v>
      </c>
      <c r="S44" s="23">
        <f t="shared" si="74"/>
        <v>0</v>
      </c>
      <c r="T44" s="24">
        <f t="shared" si="75"/>
        <v>0</v>
      </c>
      <c r="U44" s="25">
        <f t="shared" si="76"/>
        <v>0</v>
      </c>
      <c r="V44" s="23">
        <f t="shared" si="77"/>
        <v>0</v>
      </c>
      <c r="W44" s="24">
        <f t="shared" si="78"/>
        <v>0</v>
      </c>
      <c r="X44" s="25">
        <f t="shared" si="79"/>
        <v>0</v>
      </c>
      <c r="Y44" s="23">
        <f t="shared" si="80"/>
        <v>0</v>
      </c>
      <c r="Z44" s="24">
        <f t="shared" si="81"/>
        <v>0</v>
      </c>
      <c r="AA44" s="25">
        <f t="shared" si="82"/>
        <v>0</v>
      </c>
      <c r="AB44" s="23">
        <f t="shared" si="83"/>
        <v>0</v>
      </c>
      <c r="AC44" s="24">
        <f t="shared" si="84"/>
        <v>0</v>
      </c>
      <c r="AD44" s="25">
        <f t="shared" si="85"/>
        <v>0</v>
      </c>
      <c r="AE44" s="23">
        <f t="shared" si="86"/>
        <v>0</v>
      </c>
      <c r="AF44" s="24">
        <f t="shared" si="87"/>
        <v>0</v>
      </c>
      <c r="AG44" s="25">
        <f t="shared" si="88"/>
        <v>0</v>
      </c>
      <c r="AH44" s="32"/>
    </row>
    <row r="45" spans="1:34" ht="18" customHeight="1" thickTop="1" thickBot="1" x14ac:dyDescent="0.3">
      <c r="A45" s="27">
        <v>28</v>
      </c>
      <c r="B45" s="28">
        <f t="shared" si="90"/>
        <v>0</v>
      </c>
      <c r="C45" s="60">
        <f t="shared" si="59"/>
        <v>0</v>
      </c>
      <c r="D45" s="23">
        <f t="shared" si="60"/>
        <v>0</v>
      </c>
      <c r="E45" s="24">
        <f t="shared" si="61"/>
        <v>0</v>
      </c>
      <c r="F45" s="25">
        <f t="shared" si="89"/>
        <v>0</v>
      </c>
      <c r="G45" s="23">
        <f t="shared" si="62"/>
        <v>0</v>
      </c>
      <c r="H45" s="24">
        <f t="shared" si="63"/>
        <v>0</v>
      </c>
      <c r="I45" s="25">
        <f t="shared" si="64"/>
        <v>0</v>
      </c>
      <c r="J45" s="23">
        <f t="shared" si="65"/>
        <v>0</v>
      </c>
      <c r="K45" s="24">
        <f t="shared" si="66"/>
        <v>0</v>
      </c>
      <c r="L45" s="25">
        <f t="shared" si="67"/>
        <v>0</v>
      </c>
      <c r="M45" s="23">
        <f t="shared" si="68"/>
        <v>0</v>
      </c>
      <c r="N45" s="24">
        <f t="shared" si="69"/>
        <v>0</v>
      </c>
      <c r="O45" s="25">
        <f t="shared" si="70"/>
        <v>0</v>
      </c>
      <c r="P45" s="23">
        <f t="shared" si="71"/>
        <v>0</v>
      </c>
      <c r="Q45" s="24">
        <f t="shared" si="72"/>
        <v>0</v>
      </c>
      <c r="R45" s="25">
        <f t="shared" si="73"/>
        <v>0</v>
      </c>
      <c r="S45" s="23">
        <f t="shared" si="74"/>
        <v>0</v>
      </c>
      <c r="T45" s="24">
        <f t="shared" si="75"/>
        <v>0</v>
      </c>
      <c r="U45" s="25">
        <f t="shared" si="76"/>
        <v>0</v>
      </c>
      <c r="V45" s="23">
        <f t="shared" si="77"/>
        <v>0</v>
      </c>
      <c r="W45" s="24">
        <f t="shared" si="78"/>
        <v>0</v>
      </c>
      <c r="X45" s="25">
        <f t="shared" si="79"/>
        <v>0</v>
      </c>
      <c r="Y45" s="23">
        <f t="shared" si="80"/>
        <v>0</v>
      </c>
      <c r="Z45" s="24">
        <f t="shared" si="81"/>
        <v>0</v>
      </c>
      <c r="AA45" s="25">
        <f t="shared" si="82"/>
        <v>0</v>
      </c>
      <c r="AB45" s="23">
        <f t="shared" si="83"/>
        <v>0</v>
      </c>
      <c r="AC45" s="24">
        <f t="shared" si="84"/>
        <v>0</v>
      </c>
      <c r="AD45" s="25">
        <f t="shared" si="85"/>
        <v>0</v>
      </c>
      <c r="AE45" s="23">
        <f t="shared" si="86"/>
        <v>0</v>
      </c>
      <c r="AF45" s="24">
        <f t="shared" si="87"/>
        <v>0</v>
      </c>
      <c r="AG45" s="25">
        <f t="shared" si="88"/>
        <v>0</v>
      </c>
      <c r="AH45" s="29"/>
    </row>
    <row r="46" spans="1:34" ht="18" customHeight="1" thickTop="1" thickBot="1" x14ac:dyDescent="0.3">
      <c r="A46" s="23">
        <v>29</v>
      </c>
      <c r="B46" s="28">
        <f t="shared" si="90"/>
        <v>0</v>
      </c>
      <c r="C46" s="60">
        <f t="shared" si="59"/>
        <v>0</v>
      </c>
      <c r="D46" s="23">
        <f t="shared" si="60"/>
        <v>0</v>
      </c>
      <c r="E46" s="24">
        <f t="shared" si="61"/>
        <v>0</v>
      </c>
      <c r="F46" s="25">
        <f t="shared" si="89"/>
        <v>0</v>
      </c>
      <c r="G46" s="23">
        <f t="shared" si="62"/>
        <v>0</v>
      </c>
      <c r="H46" s="24">
        <f t="shared" si="63"/>
        <v>0</v>
      </c>
      <c r="I46" s="25">
        <f t="shared" si="64"/>
        <v>0</v>
      </c>
      <c r="J46" s="23">
        <f t="shared" si="65"/>
        <v>0</v>
      </c>
      <c r="K46" s="24">
        <f t="shared" si="66"/>
        <v>0</v>
      </c>
      <c r="L46" s="25">
        <f t="shared" si="67"/>
        <v>0</v>
      </c>
      <c r="M46" s="23">
        <f t="shared" si="68"/>
        <v>0</v>
      </c>
      <c r="N46" s="24">
        <f t="shared" si="69"/>
        <v>0</v>
      </c>
      <c r="O46" s="25">
        <f t="shared" si="70"/>
        <v>0</v>
      </c>
      <c r="P46" s="23">
        <f t="shared" si="71"/>
        <v>0</v>
      </c>
      <c r="Q46" s="24">
        <f t="shared" si="72"/>
        <v>0</v>
      </c>
      <c r="R46" s="25">
        <f t="shared" si="73"/>
        <v>0</v>
      </c>
      <c r="S46" s="23">
        <f t="shared" si="74"/>
        <v>0</v>
      </c>
      <c r="T46" s="24">
        <f t="shared" si="75"/>
        <v>0</v>
      </c>
      <c r="U46" s="25">
        <f t="shared" si="76"/>
        <v>0</v>
      </c>
      <c r="V46" s="23">
        <f t="shared" si="77"/>
        <v>0</v>
      </c>
      <c r="W46" s="24">
        <f t="shared" si="78"/>
        <v>0</v>
      </c>
      <c r="X46" s="25">
        <f t="shared" si="79"/>
        <v>0</v>
      </c>
      <c r="Y46" s="23">
        <f t="shared" si="80"/>
        <v>0</v>
      </c>
      <c r="Z46" s="24">
        <f t="shared" si="81"/>
        <v>0</v>
      </c>
      <c r="AA46" s="25">
        <f t="shared" si="82"/>
        <v>0</v>
      </c>
      <c r="AB46" s="23">
        <f t="shared" si="83"/>
        <v>0</v>
      </c>
      <c r="AC46" s="24">
        <f t="shared" si="84"/>
        <v>0</v>
      </c>
      <c r="AD46" s="25">
        <f t="shared" si="85"/>
        <v>0</v>
      </c>
      <c r="AE46" s="23">
        <f t="shared" si="86"/>
        <v>0</v>
      </c>
      <c r="AF46" s="24">
        <f t="shared" si="87"/>
        <v>0</v>
      </c>
      <c r="AG46" s="25">
        <f t="shared" si="88"/>
        <v>0</v>
      </c>
      <c r="AH46" s="31"/>
    </row>
    <row r="47" spans="1:34" ht="18" customHeight="1" thickTop="1" thickBot="1" x14ac:dyDescent="0.3">
      <c r="A47" s="27">
        <v>30</v>
      </c>
      <c r="B47" s="28">
        <f t="shared" si="90"/>
        <v>0</v>
      </c>
      <c r="C47" s="60">
        <f t="shared" si="59"/>
        <v>0</v>
      </c>
      <c r="D47" s="23">
        <f t="shared" si="60"/>
        <v>0</v>
      </c>
      <c r="E47" s="24">
        <f t="shared" si="61"/>
        <v>0</v>
      </c>
      <c r="F47" s="25">
        <f t="shared" si="89"/>
        <v>0</v>
      </c>
      <c r="G47" s="23">
        <f t="shared" si="62"/>
        <v>0</v>
      </c>
      <c r="H47" s="24">
        <f t="shared" si="63"/>
        <v>0</v>
      </c>
      <c r="I47" s="25">
        <f t="shared" si="64"/>
        <v>0</v>
      </c>
      <c r="J47" s="23">
        <f t="shared" si="65"/>
        <v>0</v>
      </c>
      <c r="K47" s="24">
        <f t="shared" si="66"/>
        <v>0</v>
      </c>
      <c r="L47" s="25">
        <f t="shared" si="67"/>
        <v>0</v>
      </c>
      <c r="M47" s="23">
        <f t="shared" si="68"/>
        <v>0</v>
      </c>
      <c r="N47" s="24">
        <f t="shared" si="69"/>
        <v>0</v>
      </c>
      <c r="O47" s="25">
        <f t="shared" si="70"/>
        <v>0</v>
      </c>
      <c r="P47" s="23">
        <f t="shared" si="71"/>
        <v>0</v>
      </c>
      <c r="Q47" s="24">
        <f t="shared" si="72"/>
        <v>0</v>
      </c>
      <c r="R47" s="25">
        <f t="shared" si="73"/>
        <v>0</v>
      </c>
      <c r="S47" s="23">
        <f t="shared" si="74"/>
        <v>0</v>
      </c>
      <c r="T47" s="24">
        <f t="shared" si="75"/>
        <v>0</v>
      </c>
      <c r="U47" s="25">
        <f t="shared" si="76"/>
        <v>0</v>
      </c>
      <c r="V47" s="23">
        <f t="shared" si="77"/>
        <v>0</v>
      </c>
      <c r="W47" s="24">
        <f t="shared" si="78"/>
        <v>0</v>
      </c>
      <c r="X47" s="25">
        <f t="shared" si="79"/>
        <v>0</v>
      </c>
      <c r="Y47" s="23">
        <f t="shared" si="80"/>
        <v>0</v>
      </c>
      <c r="Z47" s="24">
        <f t="shared" si="81"/>
        <v>0</v>
      </c>
      <c r="AA47" s="25">
        <f t="shared" si="82"/>
        <v>0</v>
      </c>
      <c r="AB47" s="23">
        <f t="shared" si="83"/>
        <v>0</v>
      </c>
      <c r="AC47" s="24">
        <f t="shared" si="84"/>
        <v>0</v>
      </c>
      <c r="AD47" s="25">
        <f t="shared" si="85"/>
        <v>0</v>
      </c>
      <c r="AE47" s="23">
        <f t="shared" si="86"/>
        <v>0</v>
      </c>
      <c r="AF47" s="24">
        <f t="shared" si="87"/>
        <v>0</v>
      </c>
      <c r="AG47" s="25">
        <f t="shared" si="88"/>
        <v>0</v>
      </c>
      <c r="AH47" s="33"/>
    </row>
    <row r="48" spans="1:34" ht="18" customHeight="1" thickTop="1" thickBot="1" x14ac:dyDescent="0.3">
      <c r="A48" s="23">
        <v>31</v>
      </c>
      <c r="B48" s="28">
        <f t="shared" si="90"/>
        <v>0</v>
      </c>
      <c r="C48" s="60">
        <f t="shared" si="59"/>
        <v>0</v>
      </c>
      <c r="D48" s="23">
        <f t="shared" si="60"/>
        <v>0</v>
      </c>
      <c r="E48" s="24">
        <f t="shared" si="61"/>
        <v>0</v>
      </c>
      <c r="F48" s="25">
        <f t="shared" si="89"/>
        <v>0</v>
      </c>
      <c r="G48" s="23">
        <f t="shared" si="62"/>
        <v>0</v>
      </c>
      <c r="H48" s="24">
        <f t="shared" si="63"/>
        <v>0</v>
      </c>
      <c r="I48" s="25">
        <f t="shared" si="64"/>
        <v>0</v>
      </c>
      <c r="J48" s="23">
        <f t="shared" si="65"/>
        <v>0</v>
      </c>
      <c r="K48" s="24">
        <f t="shared" si="66"/>
        <v>0</v>
      </c>
      <c r="L48" s="25">
        <f t="shared" si="67"/>
        <v>0</v>
      </c>
      <c r="M48" s="23">
        <f t="shared" si="68"/>
        <v>0</v>
      </c>
      <c r="N48" s="24">
        <f t="shared" si="69"/>
        <v>0</v>
      </c>
      <c r="O48" s="25">
        <f t="shared" si="70"/>
        <v>0</v>
      </c>
      <c r="P48" s="23">
        <f t="shared" si="71"/>
        <v>0</v>
      </c>
      <c r="Q48" s="24">
        <f t="shared" si="72"/>
        <v>0</v>
      </c>
      <c r="R48" s="25">
        <f t="shared" si="73"/>
        <v>0</v>
      </c>
      <c r="S48" s="23">
        <f t="shared" si="74"/>
        <v>0</v>
      </c>
      <c r="T48" s="24">
        <f t="shared" si="75"/>
        <v>0</v>
      </c>
      <c r="U48" s="25">
        <f t="shared" si="76"/>
        <v>0</v>
      </c>
      <c r="V48" s="23">
        <f t="shared" si="77"/>
        <v>0</v>
      </c>
      <c r="W48" s="24">
        <f t="shared" si="78"/>
        <v>0</v>
      </c>
      <c r="X48" s="25">
        <f t="shared" si="79"/>
        <v>0</v>
      </c>
      <c r="Y48" s="23">
        <f t="shared" si="80"/>
        <v>0</v>
      </c>
      <c r="Z48" s="24">
        <f t="shared" si="81"/>
        <v>0</v>
      </c>
      <c r="AA48" s="25">
        <f t="shared" si="82"/>
        <v>0</v>
      </c>
      <c r="AB48" s="23">
        <f t="shared" si="83"/>
        <v>0</v>
      </c>
      <c r="AC48" s="24">
        <f t="shared" si="84"/>
        <v>0</v>
      </c>
      <c r="AD48" s="25">
        <f t="shared" si="85"/>
        <v>0</v>
      </c>
      <c r="AE48" s="23">
        <f t="shared" si="86"/>
        <v>0</v>
      </c>
      <c r="AF48" s="24">
        <f t="shared" si="87"/>
        <v>0</v>
      </c>
      <c r="AG48" s="25">
        <f t="shared" si="88"/>
        <v>0</v>
      </c>
      <c r="AH48" s="29"/>
    </row>
    <row r="49" spans="1:34" ht="18" customHeight="1" thickTop="1" thickBot="1" x14ac:dyDescent="0.3">
      <c r="A49" s="27">
        <v>32</v>
      </c>
      <c r="B49" s="28">
        <f t="shared" si="90"/>
        <v>0</v>
      </c>
      <c r="C49" s="60">
        <f t="shared" si="59"/>
        <v>0</v>
      </c>
      <c r="D49" s="23">
        <f t="shared" si="60"/>
        <v>0</v>
      </c>
      <c r="E49" s="24">
        <f t="shared" si="61"/>
        <v>0</v>
      </c>
      <c r="F49" s="25">
        <f t="shared" si="89"/>
        <v>0</v>
      </c>
      <c r="G49" s="23">
        <f t="shared" si="62"/>
        <v>0</v>
      </c>
      <c r="H49" s="24">
        <f t="shared" si="63"/>
        <v>0</v>
      </c>
      <c r="I49" s="25">
        <f t="shared" si="64"/>
        <v>0</v>
      </c>
      <c r="J49" s="23">
        <f t="shared" si="65"/>
        <v>0</v>
      </c>
      <c r="K49" s="24">
        <f t="shared" si="66"/>
        <v>0</v>
      </c>
      <c r="L49" s="25">
        <f t="shared" si="67"/>
        <v>0</v>
      </c>
      <c r="M49" s="23">
        <f t="shared" si="68"/>
        <v>0</v>
      </c>
      <c r="N49" s="24">
        <f t="shared" si="69"/>
        <v>0</v>
      </c>
      <c r="O49" s="25">
        <f t="shared" si="70"/>
        <v>0</v>
      </c>
      <c r="P49" s="23">
        <f t="shared" si="71"/>
        <v>0</v>
      </c>
      <c r="Q49" s="24">
        <f t="shared" si="72"/>
        <v>0</v>
      </c>
      <c r="R49" s="25">
        <f t="shared" si="73"/>
        <v>0</v>
      </c>
      <c r="S49" s="23">
        <f t="shared" si="74"/>
        <v>0</v>
      </c>
      <c r="T49" s="24">
        <f t="shared" si="75"/>
        <v>0</v>
      </c>
      <c r="U49" s="25">
        <f t="shared" si="76"/>
        <v>0</v>
      </c>
      <c r="V49" s="23">
        <f t="shared" si="77"/>
        <v>0</v>
      </c>
      <c r="W49" s="24">
        <f t="shared" si="78"/>
        <v>0</v>
      </c>
      <c r="X49" s="25">
        <f t="shared" si="79"/>
        <v>0</v>
      </c>
      <c r="Y49" s="23">
        <f t="shared" si="80"/>
        <v>0</v>
      </c>
      <c r="Z49" s="24">
        <f t="shared" si="81"/>
        <v>0</v>
      </c>
      <c r="AA49" s="25">
        <f t="shared" si="82"/>
        <v>0</v>
      </c>
      <c r="AB49" s="23">
        <f t="shared" si="83"/>
        <v>0</v>
      </c>
      <c r="AC49" s="24">
        <f t="shared" si="84"/>
        <v>0</v>
      </c>
      <c r="AD49" s="25">
        <f t="shared" si="85"/>
        <v>0</v>
      </c>
      <c r="AE49" s="23">
        <f t="shared" si="86"/>
        <v>0</v>
      </c>
      <c r="AF49" s="24">
        <f t="shared" si="87"/>
        <v>0</v>
      </c>
      <c r="AG49" s="25">
        <f t="shared" si="88"/>
        <v>0</v>
      </c>
      <c r="AH49" s="31"/>
    </row>
    <row r="50" spans="1:34" ht="18" customHeight="1" thickTop="1" thickBot="1" x14ac:dyDescent="0.3">
      <c r="A50" s="23">
        <v>33</v>
      </c>
      <c r="B50" s="28">
        <f t="shared" si="90"/>
        <v>0</v>
      </c>
      <c r="C50" s="60">
        <f t="shared" si="59"/>
        <v>0</v>
      </c>
      <c r="D50" s="23">
        <f t="shared" si="60"/>
        <v>0</v>
      </c>
      <c r="E50" s="24">
        <f t="shared" si="61"/>
        <v>0</v>
      </c>
      <c r="F50" s="25">
        <f t="shared" si="89"/>
        <v>0</v>
      </c>
      <c r="G50" s="23">
        <f t="shared" si="62"/>
        <v>0</v>
      </c>
      <c r="H50" s="24">
        <f t="shared" si="63"/>
        <v>0</v>
      </c>
      <c r="I50" s="25">
        <f t="shared" si="64"/>
        <v>0</v>
      </c>
      <c r="J50" s="23">
        <f t="shared" si="65"/>
        <v>0</v>
      </c>
      <c r="K50" s="24">
        <f t="shared" si="66"/>
        <v>0</v>
      </c>
      <c r="L50" s="25">
        <f t="shared" si="67"/>
        <v>0</v>
      </c>
      <c r="M50" s="23">
        <f t="shared" si="68"/>
        <v>0</v>
      </c>
      <c r="N50" s="24">
        <f t="shared" si="69"/>
        <v>0</v>
      </c>
      <c r="O50" s="25">
        <f t="shared" si="70"/>
        <v>0</v>
      </c>
      <c r="P50" s="23">
        <f t="shared" si="71"/>
        <v>0</v>
      </c>
      <c r="Q50" s="24">
        <f t="shared" si="72"/>
        <v>0</v>
      </c>
      <c r="R50" s="25">
        <f t="shared" si="73"/>
        <v>0</v>
      </c>
      <c r="S50" s="23">
        <f t="shared" si="74"/>
        <v>0</v>
      </c>
      <c r="T50" s="24">
        <f t="shared" si="75"/>
        <v>0</v>
      </c>
      <c r="U50" s="25">
        <f t="shared" si="76"/>
        <v>0</v>
      </c>
      <c r="V50" s="23">
        <f t="shared" si="77"/>
        <v>0</v>
      </c>
      <c r="W50" s="24">
        <f t="shared" si="78"/>
        <v>0</v>
      </c>
      <c r="X50" s="25">
        <f t="shared" si="79"/>
        <v>0</v>
      </c>
      <c r="Y50" s="23">
        <f t="shared" si="80"/>
        <v>0</v>
      </c>
      <c r="Z50" s="24">
        <f t="shared" si="81"/>
        <v>0</v>
      </c>
      <c r="AA50" s="25">
        <f t="shared" si="82"/>
        <v>0</v>
      </c>
      <c r="AB50" s="23">
        <f t="shared" si="83"/>
        <v>0</v>
      </c>
      <c r="AC50" s="24">
        <f t="shared" si="84"/>
        <v>0</v>
      </c>
      <c r="AD50" s="25">
        <f t="shared" si="85"/>
        <v>0</v>
      </c>
      <c r="AE50" s="23">
        <f t="shared" si="86"/>
        <v>0</v>
      </c>
      <c r="AF50" s="24">
        <f t="shared" si="87"/>
        <v>0</v>
      </c>
      <c r="AG50" s="25">
        <f t="shared" si="88"/>
        <v>0</v>
      </c>
      <c r="AH50" s="33"/>
    </row>
    <row r="51" spans="1:34" ht="18" customHeight="1" thickTop="1" thickBot="1" x14ac:dyDescent="0.3">
      <c r="A51" s="27">
        <v>34</v>
      </c>
      <c r="B51" s="28">
        <f t="shared" si="90"/>
        <v>0</v>
      </c>
      <c r="C51" s="60">
        <f t="shared" si="59"/>
        <v>0</v>
      </c>
      <c r="D51" s="23">
        <f t="shared" si="60"/>
        <v>0</v>
      </c>
      <c r="E51" s="24">
        <f t="shared" si="61"/>
        <v>0</v>
      </c>
      <c r="F51" s="25">
        <f t="shared" si="89"/>
        <v>0</v>
      </c>
      <c r="G51" s="23">
        <f t="shared" si="62"/>
        <v>0</v>
      </c>
      <c r="H51" s="24">
        <f t="shared" si="63"/>
        <v>0</v>
      </c>
      <c r="I51" s="25">
        <f t="shared" si="64"/>
        <v>0</v>
      </c>
      <c r="J51" s="23">
        <f t="shared" si="65"/>
        <v>0</v>
      </c>
      <c r="K51" s="24">
        <f t="shared" si="66"/>
        <v>0</v>
      </c>
      <c r="L51" s="25">
        <f t="shared" si="67"/>
        <v>0</v>
      </c>
      <c r="M51" s="23">
        <f t="shared" si="68"/>
        <v>0</v>
      </c>
      <c r="N51" s="24">
        <f t="shared" si="69"/>
        <v>0</v>
      </c>
      <c r="O51" s="25">
        <f t="shared" si="70"/>
        <v>0</v>
      </c>
      <c r="P51" s="23">
        <f t="shared" si="71"/>
        <v>0</v>
      </c>
      <c r="Q51" s="24">
        <f t="shared" si="72"/>
        <v>0</v>
      </c>
      <c r="R51" s="25">
        <f t="shared" si="73"/>
        <v>0</v>
      </c>
      <c r="S51" s="23">
        <f t="shared" si="74"/>
        <v>0</v>
      </c>
      <c r="T51" s="24">
        <f t="shared" si="75"/>
        <v>0</v>
      </c>
      <c r="U51" s="25">
        <f t="shared" si="76"/>
        <v>0</v>
      </c>
      <c r="V51" s="23">
        <f t="shared" si="77"/>
        <v>0</v>
      </c>
      <c r="W51" s="24">
        <f t="shared" si="78"/>
        <v>0</v>
      </c>
      <c r="X51" s="25">
        <f t="shared" si="79"/>
        <v>0</v>
      </c>
      <c r="Y51" s="23">
        <f t="shared" si="80"/>
        <v>0</v>
      </c>
      <c r="Z51" s="24">
        <f t="shared" si="81"/>
        <v>0</v>
      </c>
      <c r="AA51" s="25">
        <f t="shared" si="82"/>
        <v>0</v>
      </c>
      <c r="AB51" s="23">
        <f t="shared" si="83"/>
        <v>0</v>
      </c>
      <c r="AC51" s="24">
        <f t="shared" si="84"/>
        <v>0</v>
      </c>
      <c r="AD51" s="25">
        <f t="shared" si="85"/>
        <v>0</v>
      </c>
      <c r="AE51" s="23">
        <f t="shared" si="86"/>
        <v>0</v>
      </c>
      <c r="AF51" s="24">
        <f t="shared" si="87"/>
        <v>0</v>
      </c>
      <c r="AG51" s="25">
        <f t="shared" si="88"/>
        <v>0</v>
      </c>
      <c r="AH51" s="29"/>
    </row>
    <row r="52" spans="1:34" ht="18" customHeight="1" thickTop="1" thickBot="1" x14ac:dyDescent="0.3">
      <c r="A52" s="23">
        <v>35</v>
      </c>
      <c r="B52" s="28">
        <f t="shared" si="90"/>
        <v>0</v>
      </c>
      <c r="C52" s="60">
        <f t="shared" si="59"/>
        <v>0</v>
      </c>
      <c r="D52" s="23">
        <f t="shared" si="60"/>
        <v>0</v>
      </c>
      <c r="E52" s="24">
        <f t="shared" si="61"/>
        <v>0</v>
      </c>
      <c r="F52" s="25">
        <f t="shared" si="89"/>
        <v>0</v>
      </c>
      <c r="G52" s="23">
        <f t="shared" si="62"/>
        <v>0</v>
      </c>
      <c r="H52" s="24">
        <f t="shared" si="63"/>
        <v>0</v>
      </c>
      <c r="I52" s="25">
        <f t="shared" si="64"/>
        <v>0</v>
      </c>
      <c r="J52" s="23">
        <f t="shared" si="65"/>
        <v>0</v>
      </c>
      <c r="K52" s="24">
        <f t="shared" si="66"/>
        <v>0</v>
      </c>
      <c r="L52" s="25">
        <f t="shared" si="67"/>
        <v>0</v>
      </c>
      <c r="M52" s="23">
        <f t="shared" si="68"/>
        <v>0</v>
      </c>
      <c r="N52" s="24">
        <f t="shared" si="69"/>
        <v>0</v>
      </c>
      <c r="O52" s="25">
        <f t="shared" si="70"/>
        <v>0</v>
      </c>
      <c r="P52" s="23">
        <f t="shared" si="71"/>
        <v>0</v>
      </c>
      <c r="Q52" s="24">
        <f t="shared" si="72"/>
        <v>0</v>
      </c>
      <c r="R52" s="25">
        <f t="shared" si="73"/>
        <v>0</v>
      </c>
      <c r="S52" s="23">
        <f t="shared" si="74"/>
        <v>0</v>
      </c>
      <c r="T52" s="24">
        <f t="shared" si="75"/>
        <v>0</v>
      </c>
      <c r="U52" s="25">
        <f t="shared" si="76"/>
        <v>0</v>
      </c>
      <c r="V52" s="23">
        <f t="shared" si="77"/>
        <v>0</v>
      </c>
      <c r="W52" s="24">
        <f t="shared" si="78"/>
        <v>0</v>
      </c>
      <c r="X52" s="25">
        <f t="shared" si="79"/>
        <v>0</v>
      </c>
      <c r="Y52" s="23">
        <f t="shared" si="80"/>
        <v>0</v>
      </c>
      <c r="Z52" s="24">
        <f t="shared" si="81"/>
        <v>0</v>
      </c>
      <c r="AA52" s="25">
        <f t="shared" si="82"/>
        <v>0</v>
      </c>
      <c r="AB52" s="23">
        <f t="shared" si="83"/>
        <v>0</v>
      </c>
      <c r="AC52" s="24">
        <f t="shared" si="84"/>
        <v>0</v>
      </c>
      <c r="AD52" s="25">
        <f t="shared" si="85"/>
        <v>0</v>
      </c>
      <c r="AE52" s="23">
        <f t="shared" si="86"/>
        <v>0</v>
      </c>
      <c r="AF52" s="24">
        <f t="shared" si="87"/>
        <v>0</v>
      </c>
      <c r="AG52" s="25">
        <f t="shared" si="88"/>
        <v>0</v>
      </c>
      <c r="AH52" s="31"/>
    </row>
    <row r="53" spans="1:34" ht="18" customHeight="1" thickTop="1" thickBot="1" x14ac:dyDescent="0.3">
      <c r="A53" s="27">
        <v>36</v>
      </c>
      <c r="B53" s="28">
        <f t="shared" si="90"/>
        <v>0</v>
      </c>
      <c r="C53" s="60">
        <f t="shared" si="59"/>
        <v>0</v>
      </c>
      <c r="D53" s="23">
        <f t="shared" si="60"/>
        <v>0</v>
      </c>
      <c r="E53" s="24">
        <f t="shared" si="61"/>
        <v>0</v>
      </c>
      <c r="F53" s="25">
        <f t="shared" si="89"/>
        <v>0</v>
      </c>
      <c r="G53" s="23">
        <f t="shared" si="62"/>
        <v>0</v>
      </c>
      <c r="H53" s="24">
        <f t="shared" si="63"/>
        <v>0</v>
      </c>
      <c r="I53" s="25">
        <f t="shared" si="64"/>
        <v>0</v>
      </c>
      <c r="J53" s="23">
        <f t="shared" si="65"/>
        <v>0</v>
      </c>
      <c r="K53" s="24">
        <f t="shared" si="66"/>
        <v>0</v>
      </c>
      <c r="L53" s="25">
        <f t="shared" si="67"/>
        <v>0</v>
      </c>
      <c r="M53" s="23">
        <f t="shared" si="68"/>
        <v>0</v>
      </c>
      <c r="N53" s="24">
        <f t="shared" si="69"/>
        <v>0</v>
      </c>
      <c r="O53" s="25">
        <f t="shared" si="70"/>
        <v>0</v>
      </c>
      <c r="P53" s="23">
        <f t="shared" si="71"/>
        <v>0</v>
      </c>
      <c r="Q53" s="24">
        <f t="shared" si="72"/>
        <v>0</v>
      </c>
      <c r="R53" s="25">
        <f t="shared" si="73"/>
        <v>0</v>
      </c>
      <c r="S53" s="23">
        <f t="shared" si="74"/>
        <v>0</v>
      </c>
      <c r="T53" s="24">
        <f t="shared" si="75"/>
        <v>0</v>
      </c>
      <c r="U53" s="25">
        <f t="shared" si="76"/>
        <v>0</v>
      </c>
      <c r="V53" s="23">
        <f t="shared" si="77"/>
        <v>0</v>
      </c>
      <c r="W53" s="24">
        <f t="shared" si="78"/>
        <v>0</v>
      </c>
      <c r="X53" s="25">
        <f t="shared" si="79"/>
        <v>0</v>
      </c>
      <c r="Y53" s="23">
        <f t="shared" si="80"/>
        <v>0</v>
      </c>
      <c r="Z53" s="24">
        <f t="shared" si="81"/>
        <v>0</v>
      </c>
      <c r="AA53" s="25">
        <f t="shared" si="82"/>
        <v>0</v>
      </c>
      <c r="AB53" s="23">
        <f t="shared" si="83"/>
        <v>0</v>
      </c>
      <c r="AC53" s="24">
        <f t="shared" si="84"/>
        <v>0</v>
      </c>
      <c r="AD53" s="25">
        <f t="shared" si="85"/>
        <v>0</v>
      </c>
      <c r="AE53" s="23">
        <f t="shared" si="86"/>
        <v>0</v>
      </c>
      <c r="AF53" s="24">
        <f t="shared" si="87"/>
        <v>0</v>
      </c>
      <c r="AG53" s="25">
        <f t="shared" si="88"/>
        <v>0</v>
      </c>
      <c r="AH53" s="29"/>
    </row>
    <row r="54" spans="1:34" ht="18" customHeight="1" thickTop="1" thickBot="1" x14ac:dyDescent="0.3">
      <c r="A54" s="23">
        <v>37</v>
      </c>
      <c r="B54" s="28">
        <f t="shared" si="90"/>
        <v>0</v>
      </c>
      <c r="C54" s="60">
        <f t="shared" si="59"/>
        <v>0</v>
      </c>
      <c r="D54" s="23">
        <f t="shared" si="60"/>
        <v>0</v>
      </c>
      <c r="E54" s="24">
        <f t="shared" si="61"/>
        <v>0</v>
      </c>
      <c r="F54" s="25">
        <f t="shared" si="89"/>
        <v>0</v>
      </c>
      <c r="G54" s="23">
        <f t="shared" si="62"/>
        <v>0</v>
      </c>
      <c r="H54" s="24">
        <f t="shared" si="63"/>
        <v>0</v>
      </c>
      <c r="I54" s="25">
        <f t="shared" si="64"/>
        <v>0</v>
      </c>
      <c r="J54" s="23">
        <f t="shared" si="65"/>
        <v>0</v>
      </c>
      <c r="K54" s="24">
        <f t="shared" si="66"/>
        <v>0</v>
      </c>
      <c r="L54" s="25">
        <f t="shared" si="67"/>
        <v>0</v>
      </c>
      <c r="M54" s="23">
        <f t="shared" si="68"/>
        <v>0</v>
      </c>
      <c r="N54" s="24">
        <f t="shared" si="69"/>
        <v>0</v>
      </c>
      <c r="O54" s="25">
        <f t="shared" si="70"/>
        <v>0</v>
      </c>
      <c r="P54" s="23">
        <f t="shared" si="71"/>
        <v>0</v>
      </c>
      <c r="Q54" s="24">
        <f t="shared" si="72"/>
        <v>0</v>
      </c>
      <c r="R54" s="25">
        <f t="shared" si="73"/>
        <v>0</v>
      </c>
      <c r="S54" s="23">
        <f t="shared" si="74"/>
        <v>0</v>
      </c>
      <c r="T54" s="24">
        <f t="shared" si="75"/>
        <v>0</v>
      </c>
      <c r="U54" s="25">
        <f t="shared" si="76"/>
        <v>0</v>
      </c>
      <c r="V54" s="23">
        <f t="shared" si="77"/>
        <v>0</v>
      </c>
      <c r="W54" s="24">
        <f t="shared" si="78"/>
        <v>0</v>
      </c>
      <c r="X54" s="25">
        <f t="shared" si="79"/>
        <v>0</v>
      </c>
      <c r="Y54" s="23">
        <f t="shared" si="80"/>
        <v>0</v>
      </c>
      <c r="Z54" s="24">
        <f t="shared" si="81"/>
        <v>0</v>
      </c>
      <c r="AA54" s="25">
        <f t="shared" si="82"/>
        <v>0</v>
      </c>
      <c r="AB54" s="23">
        <f t="shared" si="83"/>
        <v>0</v>
      </c>
      <c r="AC54" s="24">
        <f t="shared" si="84"/>
        <v>0</v>
      </c>
      <c r="AD54" s="25">
        <f t="shared" si="85"/>
        <v>0</v>
      </c>
      <c r="AE54" s="23">
        <f t="shared" si="86"/>
        <v>0</v>
      </c>
      <c r="AF54" s="24">
        <f t="shared" si="87"/>
        <v>0</v>
      </c>
      <c r="AG54" s="25">
        <f t="shared" si="88"/>
        <v>0</v>
      </c>
      <c r="AH54" s="31"/>
    </row>
    <row r="55" spans="1:34" ht="18" customHeight="1" thickTop="1" thickBot="1" x14ac:dyDescent="0.3">
      <c r="A55" s="27">
        <v>38</v>
      </c>
      <c r="B55" s="28">
        <f t="shared" si="90"/>
        <v>0</v>
      </c>
      <c r="C55" s="60">
        <f t="shared" si="59"/>
        <v>0</v>
      </c>
      <c r="D55" s="23">
        <f t="shared" si="60"/>
        <v>0</v>
      </c>
      <c r="E55" s="24">
        <f t="shared" si="61"/>
        <v>0</v>
      </c>
      <c r="F55" s="25">
        <f t="shared" si="89"/>
        <v>0</v>
      </c>
      <c r="G55" s="23">
        <f t="shared" si="62"/>
        <v>0</v>
      </c>
      <c r="H55" s="24">
        <f t="shared" si="63"/>
        <v>0</v>
      </c>
      <c r="I55" s="25">
        <f t="shared" si="64"/>
        <v>0</v>
      </c>
      <c r="J55" s="23">
        <f t="shared" si="65"/>
        <v>0</v>
      </c>
      <c r="K55" s="24">
        <f t="shared" si="66"/>
        <v>0</v>
      </c>
      <c r="L55" s="25">
        <f t="shared" si="67"/>
        <v>0</v>
      </c>
      <c r="M55" s="23">
        <f t="shared" si="68"/>
        <v>0</v>
      </c>
      <c r="N55" s="24">
        <f t="shared" si="69"/>
        <v>0</v>
      </c>
      <c r="O55" s="25">
        <f t="shared" si="70"/>
        <v>0</v>
      </c>
      <c r="P55" s="23">
        <f t="shared" si="71"/>
        <v>0</v>
      </c>
      <c r="Q55" s="24">
        <f t="shared" si="72"/>
        <v>0</v>
      </c>
      <c r="R55" s="25">
        <f t="shared" si="73"/>
        <v>0</v>
      </c>
      <c r="S55" s="23">
        <f t="shared" si="74"/>
        <v>0</v>
      </c>
      <c r="T55" s="24">
        <f t="shared" si="75"/>
        <v>0</v>
      </c>
      <c r="U55" s="25">
        <f t="shared" si="76"/>
        <v>0</v>
      </c>
      <c r="V55" s="23">
        <f t="shared" si="77"/>
        <v>0</v>
      </c>
      <c r="W55" s="24">
        <f t="shared" si="78"/>
        <v>0</v>
      </c>
      <c r="X55" s="25">
        <f t="shared" si="79"/>
        <v>0</v>
      </c>
      <c r="Y55" s="23">
        <f t="shared" si="80"/>
        <v>0</v>
      </c>
      <c r="Z55" s="24">
        <f t="shared" si="81"/>
        <v>0</v>
      </c>
      <c r="AA55" s="25">
        <f t="shared" si="82"/>
        <v>0</v>
      </c>
      <c r="AB55" s="23">
        <f t="shared" si="83"/>
        <v>0</v>
      </c>
      <c r="AC55" s="24">
        <f t="shared" si="84"/>
        <v>0</v>
      </c>
      <c r="AD55" s="25">
        <f t="shared" si="85"/>
        <v>0</v>
      </c>
      <c r="AE55" s="23">
        <f t="shared" si="86"/>
        <v>0</v>
      </c>
      <c r="AF55" s="24">
        <f t="shared" si="87"/>
        <v>0</v>
      </c>
      <c r="AG55" s="25">
        <f t="shared" si="88"/>
        <v>0</v>
      </c>
      <c r="AH55" s="31"/>
    </row>
    <row r="56" spans="1:34" ht="18" customHeight="1" thickTop="1" thickBot="1" x14ac:dyDescent="0.3">
      <c r="A56" s="23">
        <v>39</v>
      </c>
      <c r="B56" s="28">
        <f t="shared" si="90"/>
        <v>0</v>
      </c>
      <c r="C56" s="60">
        <f t="shared" si="59"/>
        <v>0</v>
      </c>
      <c r="D56" s="23">
        <f t="shared" si="60"/>
        <v>0</v>
      </c>
      <c r="E56" s="24">
        <f t="shared" si="61"/>
        <v>0</v>
      </c>
      <c r="F56" s="25">
        <f t="shared" si="89"/>
        <v>0</v>
      </c>
      <c r="G56" s="23">
        <f t="shared" si="62"/>
        <v>0</v>
      </c>
      <c r="H56" s="24">
        <f t="shared" si="63"/>
        <v>0</v>
      </c>
      <c r="I56" s="25">
        <f t="shared" si="64"/>
        <v>0</v>
      </c>
      <c r="J56" s="23">
        <f t="shared" si="65"/>
        <v>0</v>
      </c>
      <c r="K56" s="24">
        <f t="shared" si="66"/>
        <v>0</v>
      </c>
      <c r="L56" s="25">
        <f t="shared" si="67"/>
        <v>0</v>
      </c>
      <c r="M56" s="23">
        <f t="shared" si="68"/>
        <v>0</v>
      </c>
      <c r="N56" s="24">
        <f t="shared" si="69"/>
        <v>0</v>
      </c>
      <c r="O56" s="25">
        <f t="shared" si="70"/>
        <v>0</v>
      </c>
      <c r="P56" s="23">
        <f t="shared" si="71"/>
        <v>0</v>
      </c>
      <c r="Q56" s="24">
        <f t="shared" si="72"/>
        <v>0</v>
      </c>
      <c r="R56" s="25">
        <f t="shared" si="73"/>
        <v>0</v>
      </c>
      <c r="S56" s="23">
        <f t="shared" si="74"/>
        <v>0</v>
      </c>
      <c r="T56" s="24">
        <f t="shared" si="75"/>
        <v>0</v>
      </c>
      <c r="U56" s="25">
        <f t="shared" si="76"/>
        <v>0</v>
      </c>
      <c r="V56" s="23">
        <f t="shared" si="77"/>
        <v>0</v>
      </c>
      <c r="W56" s="24">
        <f t="shared" si="78"/>
        <v>0</v>
      </c>
      <c r="X56" s="25">
        <f t="shared" si="79"/>
        <v>0</v>
      </c>
      <c r="Y56" s="23">
        <f t="shared" si="80"/>
        <v>0</v>
      </c>
      <c r="Z56" s="24">
        <f t="shared" si="81"/>
        <v>0</v>
      </c>
      <c r="AA56" s="25">
        <f t="shared" si="82"/>
        <v>0</v>
      </c>
      <c r="AB56" s="23">
        <f t="shared" si="83"/>
        <v>0</v>
      </c>
      <c r="AC56" s="24">
        <f t="shared" si="84"/>
        <v>0</v>
      </c>
      <c r="AD56" s="25">
        <f t="shared" si="85"/>
        <v>0</v>
      </c>
      <c r="AE56" s="23">
        <f t="shared" si="86"/>
        <v>0</v>
      </c>
      <c r="AF56" s="24">
        <f t="shared" si="87"/>
        <v>0</v>
      </c>
      <c r="AG56" s="25">
        <f t="shared" si="88"/>
        <v>0</v>
      </c>
      <c r="AH56" s="31"/>
    </row>
    <row r="57" spans="1:34" ht="18" customHeight="1" thickTop="1" thickBot="1" x14ac:dyDescent="0.3">
      <c r="A57" s="27">
        <v>40</v>
      </c>
      <c r="B57" s="28">
        <f t="shared" si="90"/>
        <v>0</v>
      </c>
      <c r="C57" s="60">
        <f t="shared" si="59"/>
        <v>0</v>
      </c>
      <c r="D57" s="23">
        <f t="shared" si="60"/>
        <v>0</v>
      </c>
      <c r="E57" s="24">
        <f t="shared" si="61"/>
        <v>0</v>
      </c>
      <c r="F57" s="25">
        <f t="shared" si="89"/>
        <v>0</v>
      </c>
      <c r="G57" s="23">
        <f t="shared" si="62"/>
        <v>0</v>
      </c>
      <c r="H57" s="24">
        <f t="shared" si="63"/>
        <v>0</v>
      </c>
      <c r="I57" s="25">
        <f t="shared" si="64"/>
        <v>0</v>
      </c>
      <c r="J57" s="23">
        <f t="shared" si="65"/>
        <v>0</v>
      </c>
      <c r="K57" s="24">
        <f t="shared" si="66"/>
        <v>0</v>
      </c>
      <c r="L57" s="25">
        <f t="shared" si="67"/>
        <v>0</v>
      </c>
      <c r="M57" s="23">
        <f t="shared" si="68"/>
        <v>0</v>
      </c>
      <c r="N57" s="24">
        <f t="shared" si="69"/>
        <v>0</v>
      </c>
      <c r="O57" s="25">
        <f t="shared" si="70"/>
        <v>0</v>
      </c>
      <c r="P57" s="23">
        <f t="shared" si="71"/>
        <v>0</v>
      </c>
      <c r="Q57" s="24">
        <f t="shared" si="72"/>
        <v>0</v>
      </c>
      <c r="R57" s="25">
        <f t="shared" si="73"/>
        <v>0</v>
      </c>
      <c r="S57" s="23">
        <f t="shared" si="74"/>
        <v>0</v>
      </c>
      <c r="T57" s="24">
        <f t="shared" si="75"/>
        <v>0</v>
      </c>
      <c r="U57" s="25">
        <f t="shared" si="76"/>
        <v>0</v>
      </c>
      <c r="V57" s="23">
        <f t="shared" si="77"/>
        <v>0</v>
      </c>
      <c r="W57" s="24">
        <f t="shared" si="78"/>
        <v>0</v>
      </c>
      <c r="X57" s="25">
        <f t="shared" si="79"/>
        <v>0</v>
      </c>
      <c r="Y57" s="23">
        <f t="shared" si="80"/>
        <v>0</v>
      </c>
      <c r="Z57" s="24">
        <f t="shared" si="81"/>
        <v>0</v>
      </c>
      <c r="AA57" s="25">
        <f t="shared" si="82"/>
        <v>0</v>
      </c>
      <c r="AB57" s="23">
        <f t="shared" si="83"/>
        <v>0</v>
      </c>
      <c r="AC57" s="24">
        <f t="shared" si="84"/>
        <v>0</v>
      </c>
      <c r="AD57" s="25">
        <f t="shared" si="85"/>
        <v>0</v>
      </c>
      <c r="AE57" s="23">
        <f t="shared" si="86"/>
        <v>0</v>
      </c>
      <c r="AF57" s="24">
        <f t="shared" si="87"/>
        <v>0</v>
      </c>
      <c r="AG57" s="25">
        <f t="shared" si="88"/>
        <v>0</v>
      </c>
      <c r="AH57" s="34"/>
    </row>
    <row r="58" spans="1:34" ht="7.95" customHeight="1" thickTop="1" x14ac:dyDescent="0.25">
      <c r="A58" s="212" t="s">
        <v>2</v>
      </c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</row>
    <row r="59" spans="1:34" x14ac:dyDescent="0.25">
      <c r="A59" s="213"/>
      <c r="B59" s="213"/>
      <c r="C59" s="213" t="s">
        <v>18</v>
      </c>
      <c r="D59" s="213"/>
      <c r="E59" s="213"/>
      <c r="F59" s="214" t="s">
        <v>19</v>
      </c>
      <c r="G59" s="214"/>
      <c r="H59" s="214"/>
      <c r="I59" s="214"/>
      <c r="J59" s="35"/>
      <c r="K59" s="214" t="s">
        <v>20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35"/>
      <c r="AD59" s="35"/>
      <c r="AE59" s="214" t="s">
        <v>55</v>
      </c>
      <c r="AF59" s="214"/>
      <c r="AG59" s="214"/>
    </row>
    <row r="60" spans="1:34" ht="13.95" customHeight="1" x14ac:dyDescent="0.25">
      <c r="A60" s="214" t="s">
        <v>21</v>
      </c>
      <c r="B60" s="214"/>
      <c r="C60" s="213">
        <f>'الفترة الاولى'!$CA$10</f>
        <v>0</v>
      </c>
      <c r="D60" s="213"/>
      <c r="E60" s="213"/>
      <c r="F60" s="214"/>
      <c r="G60" s="214"/>
      <c r="H60" s="214"/>
      <c r="I60" s="214"/>
      <c r="J60" s="35"/>
      <c r="K60" s="220" t="s">
        <v>52</v>
      </c>
      <c r="L60" s="215"/>
      <c r="M60" s="215"/>
      <c r="N60" s="222" t="str">
        <f>'الفترة الاولى'!$CA$16</f>
        <v>أ. فهيم عبدالمجيد بوازويتة</v>
      </c>
      <c r="O60" s="222"/>
      <c r="P60" s="222"/>
      <c r="Q60" s="222"/>
      <c r="R60" s="222"/>
      <c r="S60" s="222"/>
      <c r="T60" s="222"/>
      <c r="U60" s="215" t="s">
        <v>53</v>
      </c>
      <c r="V60" s="215"/>
      <c r="W60" s="215"/>
      <c r="X60" s="215" t="str">
        <f>'الفترة الاولى'!$C$6</f>
        <v>سهول العلم للتعليم الخاص</v>
      </c>
      <c r="Y60" s="215"/>
      <c r="Z60" s="215"/>
      <c r="AA60" s="215"/>
      <c r="AB60" s="216"/>
      <c r="AC60" s="36"/>
      <c r="AD60" s="36"/>
      <c r="AE60" s="214" t="s">
        <v>2</v>
      </c>
      <c r="AF60" s="214"/>
      <c r="AG60" s="214"/>
    </row>
    <row r="61" spans="1:34" ht="15.6" customHeight="1" x14ac:dyDescent="0.25">
      <c r="A61" s="214" t="s">
        <v>22</v>
      </c>
      <c r="B61" s="214"/>
      <c r="C61" s="213">
        <f>'الفترة الاولى'!$CA$11</f>
        <v>0</v>
      </c>
      <c r="D61" s="213"/>
      <c r="E61" s="213"/>
      <c r="F61" s="214"/>
      <c r="G61" s="214"/>
      <c r="H61" s="214"/>
      <c r="I61" s="214"/>
      <c r="J61" s="35"/>
      <c r="K61" s="217" t="s">
        <v>54</v>
      </c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9"/>
      <c r="AC61" s="37"/>
      <c r="AD61" s="37"/>
      <c r="AE61" s="214"/>
      <c r="AF61" s="214"/>
      <c r="AG61" s="214"/>
    </row>
    <row r="62" spans="1:34" ht="13.95" customHeight="1" x14ac:dyDescent="0.25">
      <c r="A62" s="214" t="s">
        <v>23</v>
      </c>
      <c r="B62" s="214"/>
      <c r="C62" s="213">
        <f>'الفترة الاولى'!$CA$12</f>
        <v>0</v>
      </c>
      <c r="D62" s="213"/>
      <c r="E62" s="213"/>
      <c r="F62" s="214"/>
      <c r="G62" s="214"/>
      <c r="H62" s="214"/>
      <c r="I62" s="214"/>
      <c r="K62" s="220" t="s">
        <v>44</v>
      </c>
      <c r="L62" s="215"/>
      <c r="M62" s="221">
        <f ca="1">TODAY()</f>
        <v>46181</v>
      </c>
      <c r="N62" s="215"/>
      <c r="O62" s="215"/>
      <c r="P62" s="215"/>
      <c r="Q62" s="215"/>
      <c r="R62" s="215"/>
      <c r="S62" s="215"/>
      <c r="T62" s="215" t="s">
        <v>19</v>
      </c>
      <c r="U62" s="215"/>
      <c r="V62" s="215"/>
      <c r="W62" s="215"/>
      <c r="X62" s="215"/>
      <c r="Y62" s="215"/>
      <c r="Z62" s="215"/>
      <c r="AA62" s="215"/>
      <c r="AB62" s="38"/>
      <c r="AC62" s="36"/>
      <c r="AD62" s="36"/>
      <c r="AE62" s="214"/>
      <c r="AF62" s="214"/>
      <c r="AG62" s="214"/>
    </row>
    <row r="63" spans="1:34" ht="14.4" thickBot="1" x14ac:dyDescent="0.3">
      <c r="A63" s="214" t="s">
        <v>24</v>
      </c>
      <c r="B63" s="214"/>
      <c r="C63" s="213">
        <f>'الفترة الاولى'!$CA$13</f>
        <v>0</v>
      </c>
      <c r="D63" s="213"/>
      <c r="E63" s="213"/>
      <c r="F63" s="214"/>
      <c r="G63" s="214"/>
      <c r="H63" s="214"/>
      <c r="I63" s="214"/>
      <c r="K63" s="39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1"/>
      <c r="AC63" s="36"/>
      <c r="AD63" s="36"/>
      <c r="AE63" s="214"/>
      <c r="AF63" s="214"/>
      <c r="AG63" s="214"/>
    </row>
    <row r="64" spans="1:34" ht="6.75" customHeight="1" thickBot="1" x14ac:dyDescent="0.3">
      <c r="A64" s="209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0"/>
      <c r="AB64" s="210"/>
      <c r="AC64" s="210"/>
      <c r="AD64" s="210"/>
      <c r="AE64" s="210"/>
      <c r="AF64" s="210"/>
      <c r="AG64" s="210"/>
      <c r="AH64" s="211"/>
    </row>
    <row r="65" spans="1:34" ht="18" customHeight="1" thickBot="1" x14ac:dyDescent="0.3">
      <c r="A65" s="23">
        <v>41</v>
      </c>
      <c r="B65" s="24">
        <f>IFERROR(VLOOKUP(A65,الاسماء,2,0),"")</f>
        <v>0</v>
      </c>
      <c r="C65" s="59">
        <f t="shared" ref="C65:C84" si="91">IFERROR(VLOOKUP(A65,الاسماء,3,0),"")</f>
        <v>0</v>
      </c>
      <c r="D65" s="23">
        <f t="shared" ref="D65:D84" si="92">IFERROR(VLOOKUP($C65,درجات,5,0),0)</f>
        <v>0</v>
      </c>
      <c r="E65" s="24">
        <f t="shared" ref="E65:E84" si="93">IFERROR(VLOOKUP($C65,درجات,43,0),0)</f>
        <v>0</v>
      </c>
      <c r="F65" s="25">
        <f>SUM(D65:E65)</f>
        <v>0</v>
      </c>
      <c r="G65" s="23">
        <f t="shared" ref="G65:G84" si="94">IFERROR(VLOOKUP($C65,درجات,8,0),0)</f>
        <v>0</v>
      </c>
      <c r="H65" s="24">
        <f t="shared" ref="H65:H84" si="95">IFERROR(VLOOKUP($C65,درجات,46,0),0)</f>
        <v>0</v>
      </c>
      <c r="I65" s="25">
        <f t="shared" ref="I65:I84" si="96">SUM(G65:H65)</f>
        <v>0</v>
      </c>
      <c r="J65" s="23">
        <f t="shared" ref="J65:J84" si="97">IFERROR(VLOOKUP($C65,درجات,11,0),0)</f>
        <v>0</v>
      </c>
      <c r="K65" s="24">
        <f t="shared" ref="K65:K84" si="98">IFERROR(VLOOKUP($C65,درجات,49,0),0)</f>
        <v>0</v>
      </c>
      <c r="L65" s="25">
        <f t="shared" ref="L65:L84" si="99">SUM(J65:K65)</f>
        <v>0</v>
      </c>
      <c r="M65" s="23">
        <f t="shared" ref="M65:M84" si="100">IFERROR(VLOOKUP($C65,درجات,14,0),0)</f>
        <v>0</v>
      </c>
      <c r="N65" s="24">
        <f t="shared" ref="N65:N84" si="101">IFERROR(VLOOKUP($C65,درجات,52,0),0)</f>
        <v>0</v>
      </c>
      <c r="O65" s="25">
        <f t="shared" ref="O65:O84" si="102">SUM(M65:N65)</f>
        <v>0</v>
      </c>
      <c r="P65" s="23">
        <f t="shared" ref="P65:P84" si="103">IFERROR(VLOOKUP($C65,درجات,17,0),0)</f>
        <v>0</v>
      </c>
      <c r="Q65" s="24">
        <f t="shared" ref="Q65:Q84" si="104">IFERROR(VLOOKUP($C65,درجات,55,0),0)</f>
        <v>0</v>
      </c>
      <c r="R65" s="25">
        <f t="shared" ref="R65:R84" si="105">SUM(P65:Q65)</f>
        <v>0</v>
      </c>
      <c r="S65" s="23">
        <f t="shared" ref="S65:S84" si="106">IFERROR(VLOOKUP($C65,درجات,20,0),0)</f>
        <v>0</v>
      </c>
      <c r="T65" s="24">
        <f t="shared" ref="T65:T84" si="107">IFERROR(VLOOKUP($C65,درجات,58,0),0)</f>
        <v>0</v>
      </c>
      <c r="U65" s="25">
        <f t="shared" ref="U65:U84" si="108">SUM(S65:T65)</f>
        <v>0</v>
      </c>
      <c r="V65" s="23">
        <f t="shared" ref="V65:V84" si="109">IFERROR(VLOOKUP($C65,درجات,23,0),0)</f>
        <v>0</v>
      </c>
      <c r="W65" s="24">
        <f t="shared" ref="W65:W84" si="110">IFERROR(VLOOKUP($C65,درجات,61,0),0)</f>
        <v>0</v>
      </c>
      <c r="X65" s="25">
        <f t="shared" ref="X65:X84" si="111">SUM(V65:W65)</f>
        <v>0</v>
      </c>
      <c r="Y65" s="23">
        <f t="shared" ref="Y65:Y84" si="112">IFERROR(VLOOKUP($C65,درجات,26,0),0)</f>
        <v>0</v>
      </c>
      <c r="Z65" s="24">
        <f t="shared" ref="Z65:Z84" si="113">IFERROR(VLOOKUP($C65,درجات,64,0),0)</f>
        <v>0</v>
      </c>
      <c r="AA65" s="25">
        <f t="shared" ref="AA65:AA84" si="114">SUM(Y65:Z65)</f>
        <v>0</v>
      </c>
      <c r="AB65" s="23">
        <f t="shared" ref="AB65:AB84" si="115">IFERROR(VLOOKUP($C65,درجات,29,0),0)</f>
        <v>0</v>
      </c>
      <c r="AC65" s="24">
        <f t="shared" ref="AC65:AC84" si="116">IFERROR(VLOOKUP($C65,درجات,67,0),0)</f>
        <v>0</v>
      </c>
      <c r="AD65" s="25">
        <f t="shared" ref="AD65:AD84" si="117">SUM(AB65:AC65)</f>
        <v>0</v>
      </c>
      <c r="AE65" s="23">
        <f t="shared" ref="AE65:AE84" si="118">IFERROR(VLOOKUP($C65,درجات,32,0),0)</f>
        <v>0</v>
      </c>
      <c r="AF65" s="24">
        <f t="shared" ref="AF65:AF84" si="119">IFERROR(VLOOKUP($C65,درجات,70,0),0)</f>
        <v>0</v>
      </c>
      <c r="AG65" s="25">
        <f t="shared" ref="AG65:AG84" si="120">SUM(AE65:AF65)</f>
        <v>0</v>
      </c>
      <c r="AH65" s="26"/>
    </row>
    <row r="66" spans="1:34" ht="18" customHeight="1" thickTop="1" thickBot="1" x14ac:dyDescent="0.3">
      <c r="A66" s="27">
        <v>42</v>
      </c>
      <c r="B66" s="28">
        <f>IFERROR(VLOOKUP(A66,الاسماء,2,0),0)</f>
        <v>0</v>
      </c>
      <c r="C66" s="60">
        <f t="shared" si="91"/>
        <v>0</v>
      </c>
      <c r="D66" s="23">
        <f t="shared" si="92"/>
        <v>0</v>
      </c>
      <c r="E66" s="24">
        <f t="shared" si="93"/>
        <v>0</v>
      </c>
      <c r="F66" s="25">
        <f t="shared" ref="F66:F84" si="121">SUM(D66:E66)</f>
        <v>0</v>
      </c>
      <c r="G66" s="23">
        <f t="shared" si="94"/>
        <v>0</v>
      </c>
      <c r="H66" s="24">
        <f t="shared" si="95"/>
        <v>0</v>
      </c>
      <c r="I66" s="25">
        <f t="shared" si="96"/>
        <v>0</v>
      </c>
      <c r="J66" s="23">
        <f t="shared" si="97"/>
        <v>0</v>
      </c>
      <c r="K66" s="24">
        <f t="shared" si="98"/>
        <v>0</v>
      </c>
      <c r="L66" s="25">
        <f t="shared" si="99"/>
        <v>0</v>
      </c>
      <c r="M66" s="23">
        <f t="shared" si="100"/>
        <v>0</v>
      </c>
      <c r="N66" s="24">
        <f t="shared" si="101"/>
        <v>0</v>
      </c>
      <c r="O66" s="25">
        <f t="shared" si="102"/>
        <v>0</v>
      </c>
      <c r="P66" s="23">
        <f t="shared" si="103"/>
        <v>0</v>
      </c>
      <c r="Q66" s="24">
        <f t="shared" si="104"/>
        <v>0</v>
      </c>
      <c r="R66" s="25">
        <f t="shared" si="105"/>
        <v>0</v>
      </c>
      <c r="S66" s="23">
        <f t="shared" si="106"/>
        <v>0</v>
      </c>
      <c r="T66" s="24">
        <f t="shared" si="107"/>
        <v>0</v>
      </c>
      <c r="U66" s="25">
        <f t="shared" si="108"/>
        <v>0</v>
      </c>
      <c r="V66" s="23">
        <f t="shared" si="109"/>
        <v>0</v>
      </c>
      <c r="W66" s="24">
        <f t="shared" si="110"/>
        <v>0</v>
      </c>
      <c r="X66" s="25">
        <f t="shared" si="111"/>
        <v>0</v>
      </c>
      <c r="Y66" s="23">
        <f t="shared" si="112"/>
        <v>0</v>
      </c>
      <c r="Z66" s="24">
        <f t="shared" si="113"/>
        <v>0</v>
      </c>
      <c r="AA66" s="25">
        <f t="shared" si="114"/>
        <v>0</v>
      </c>
      <c r="AB66" s="23">
        <f t="shared" si="115"/>
        <v>0</v>
      </c>
      <c r="AC66" s="24">
        <f t="shared" si="116"/>
        <v>0</v>
      </c>
      <c r="AD66" s="25">
        <f t="shared" si="117"/>
        <v>0</v>
      </c>
      <c r="AE66" s="23">
        <f t="shared" si="118"/>
        <v>0</v>
      </c>
      <c r="AF66" s="24">
        <f t="shared" si="119"/>
        <v>0</v>
      </c>
      <c r="AG66" s="25">
        <f t="shared" si="120"/>
        <v>0</v>
      </c>
      <c r="AH66" s="29"/>
    </row>
    <row r="67" spans="1:34" ht="18" customHeight="1" thickTop="1" thickBot="1" x14ac:dyDescent="0.3">
      <c r="A67" s="23">
        <v>43</v>
      </c>
      <c r="B67" s="28">
        <f t="shared" ref="B67:B84" si="122">IFERROR(VLOOKUP(A67,الاسماء,2,0),"")</f>
        <v>0</v>
      </c>
      <c r="C67" s="60">
        <f t="shared" si="91"/>
        <v>0</v>
      </c>
      <c r="D67" s="23">
        <f t="shared" si="92"/>
        <v>0</v>
      </c>
      <c r="E67" s="24">
        <f t="shared" si="93"/>
        <v>0</v>
      </c>
      <c r="F67" s="25">
        <f t="shared" si="121"/>
        <v>0</v>
      </c>
      <c r="G67" s="23">
        <f t="shared" si="94"/>
        <v>0</v>
      </c>
      <c r="H67" s="24">
        <f t="shared" si="95"/>
        <v>0</v>
      </c>
      <c r="I67" s="25">
        <f t="shared" si="96"/>
        <v>0</v>
      </c>
      <c r="J67" s="23">
        <f t="shared" si="97"/>
        <v>0</v>
      </c>
      <c r="K67" s="24">
        <f t="shared" si="98"/>
        <v>0</v>
      </c>
      <c r="L67" s="25">
        <f t="shared" si="99"/>
        <v>0</v>
      </c>
      <c r="M67" s="23">
        <f t="shared" si="100"/>
        <v>0</v>
      </c>
      <c r="N67" s="24">
        <f t="shared" si="101"/>
        <v>0</v>
      </c>
      <c r="O67" s="25">
        <f t="shared" si="102"/>
        <v>0</v>
      </c>
      <c r="P67" s="23">
        <f t="shared" si="103"/>
        <v>0</v>
      </c>
      <c r="Q67" s="24">
        <f t="shared" si="104"/>
        <v>0</v>
      </c>
      <c r="R67" s="25">
        <f t="shared" si="105"/>
        <v>0</v>
      </c>
      <c r="S67" s="23">
        <f t="shared" si="106"/>
        <v>0</v>
      </c>
      <c r="T67" s="24">
        <f t="shared" si="107"/>
        <v>0</v>
      </c>
      <c r="U67" s="25">
        <f t="shared" si="108"/>
        <v>0</v>
      </c>
      <c r="V67" s="23">
        <f t="shared" si="109"/>
        <v>0</v>
      </c>
      <c r="W67" s="24">
        <f t="shared" si="110"/>
        <v>0</v>
      </c>
      <c r="X67" s="25">
        <f t="shared" si="111"/>
        <v>0</v>
      </c>
      <c r="Y67" s="23">
        <f t="shared" si="112"/>
        <v>0</v>
      </c>
      <c r="Z67" s="24">
        <f t="shared" si="113"/>
        <v>0</v>
      </c>
      <c r="AA67" s="25">
        <f t="shared" si="114"/>
        <v>0</v>
      </c>
      <c r="AB67" s="23">
        <f t="shared" si="115"/>
        <v>0</v>
      </c>
      <c r="AC67" s="24">
        <f t="shared" si="116"/>
        <v>0</v>
      </c>
      <c r="AD67" s="25">
        <f t="shared" si="117"/>
        <v>0</v>
      </c>
      <c r="AE67" s="23">
        <f t="shared" si="118"/>
        <v>0</v>
      </c>
      <c r="AF67" s="24">
        <f t="shared" si="119"/>
        <v>0</v>
      </c>
      <c r="AG67" s="25">
        <f t="shared" si="120"/>
        <v>0</v>
      </c>
      <c r="AH67" s="30"/>
    </row>
    <row r="68" spans="1:34" ht="18" customHeight="1" thickTop="1" thickBot="1" x14ac:dyDescent="0.3">
      <c r="A68" s="27">
        <v>44</v>
      </c>
      <c r="B68" s="28">
        <f t="shared" si="122"/>
        <v>0</v>
      </c>
      <c r="C68" s="60">
        <f t="shared" si="91"/>
        <v>0</v>
      </c>
      <c r="D68" s="23">
        <f t="shared" si="92"/>
        <v>0</v>
      </c>
      <c r="E68" s="24">
        <f t="shared" si="93"/>
        <v>0</v>
      </c>
      <c r="F68" s="25">
        <f t="shared" si="121"/>
        <v>0</v>
      </c>
      <c r="G68" s="23">
        <f t="shared" si="94"/>
        <v>0</v>
      </c>
      <c r="H68" s="24">
        <f t="shared" si="95"/>
        <v>0</v>
      </c>
      <c r="I68" s="25">
        <f t="shared" si="96"/>
        <v>0</v>
      </c>
      <c r="J68" s="23">
        <f t="shared" si="97"/>
        <v>0</v>
      </c>
      <c r="K68" s="24">
        <f t="shared" si="98"/>
        <v>0</v>
      </c>
      <c r="L68" s="25">
        <f t="shared" si="99"/>
        <v>0</v>
      </c>
      <c r="M68" s="23">
        <f t="shared" si="100"/>
        <v>0</v>
      </c>
      <c r="N68" s="24">
        <f t="shared" si="101"/>
        <v>0</v>
      </c>
      <c r="O68" s="25">
        <f t="shared" si="102"/>
        <v>0</v>
      </c>
      <c r="P68" s="23">
        <f t="shared" si="103"/>
        <v>0</v>
      </c>
      <c r="Q68" s="24">
        <f t="shared" si="104"/>
        <v>0</v>
      </c>
      <c r="R68" s="25">
        <f t="shared" si="105"/>
        <v>0</v>
      </c>
      <c r="S68" s="23">
        <f t="shared" si="106"/>
        <v>0</v>
      </c>
      <c r="T68" s="24">
        <f t="shared" si="107"/>
        <v>0</v>
      </c>
      <c r="U68" s="25">
        <f t="shared" si="108"/>
        <v>0</v>
      </c>
      <c r="V68" s="23">
        <f t="shared" si="109"/>
        <v>0</v>
      </c>
      <c r="W68" s="24">
        <f t="shared" si="110"/>
        <v>0</v>
      </c>
      <c r="X68" s="25">
        <f t="shared" si="111"/>
        <v>0</v>
      </c>
      <c r="Y68" s="23">
        <f t="shared" si="112"/>
        <v>0</v>
      </c>
      <c r="Z68" s="24">
        <f t="shared" si="113"/>
        <v>0</v>
      </c>
      <c r="AA68" s="25">
        <f t="shared" si="114"/>
        <v>0</v>
      </c>
      <c r="AB68" s="23">
        <f t="shared" si="115"/>
        <v>0</v>
      </c>
      <c r="AC68" s="24">
        <f t="shared" si="116"/>
        <v>0</v>
      </c>
      <c r="AD68" s="25">
        <f t="shared" si="117"/>
        <v>0</v>
      </c>
      <c r="AE68" s="23">
        <f t="shared" si="118"/>
        <v>0</v>
      </c>
      <c r="AF68" s="24">
        <f t="shared" si="119"/>
        <v>0</v>
      </c>
      <c r="AG68" s="25">
        <f t="shared" si="120"/>
        <v>0</v>
      </c>
      <c r="AH68" s="30"/>
    </row>
    <row r="69" spans="1:34" ht="18" customHeight="1" thickTop="1" thickBot="1" x14ac:dyDescent="0.3">
      <c r="A69" s="23">
        <v>45</v>
      </c>
      <c r="B69" s="28">
        <f t="shared" si="122"/>
        <v>0</v>
      </c>
      <c r="C69" s="60">
        <f t="shared" si="91"/>
        <v>0</v>
      </c>
      <c r="D69" s="23">
        <f t="shared" si="92"/>
        <v>0</v>
      </c>
      <c r="E69" s="24">
        <f t="shared" si="93"/>
        <v>0</v>
      </c>
      <c r="F69" s="25">
        <f t="shared" si="121"/>
        <v>0</v>
      </c>
      <c r="G69" s="23">
        <f t="shared" si="94"/>
        <v>0</v>
      </c>
      <c r="H69" s="24">
        <f t="shared" si="95"/>
        <v>0</v>
      </c>
      <c r="I69" s="25">
        <f t="shared" si="96"/>
        <v>0</v>
      </c>
      <c r="J69" s="23">
        <f t="shared" si="97"/>
        <v>0</v>
      </c>
      <c r="K69" s="24">
        <f t="shared" si="98"/>
        <v>0</v>
      </c>
      <c r="L69" s="25">
        <f t="shared" si="99"/>
        <v>0</v>
      </c>
      <c r="M69" s="23">
        <f t="shared" si="100"/>
        <v>0</v>
      </c>
      <c r="N69" s="24">
        <f t="shared" si="101"/>
        <v>0</v>
      </c>
      <c r="O69" s="25">
        <f t="shared" si="102"/>
        <v>0</v>
      </c>
      <c r="P69" s="23">
        <f t="shared" si="103"/>
        <v>0</v>
      </c>
      <c r="Q69" s="24">
        <f t="shared" si="104"/>
        <v>0</v>
      </c>
      <c r="R69" s="25">
        <f t="shared" si="105"/>
        <v>0</v>
      </c>
      <c r="S69" s="23">
        <f t="shared" si="106"/>
        <v>0</v>
      </c>
      <c r="T69" s="24">
        <f t="shared" si="107"/>
        <v>0</v>
      </c>
      <c r="U69" s="25">
        <f t="shared" si="108"/>
        <v>0</v>
      </c>
      <c r="V69" s="23">
        <f t="shared" si="109"/>
        <v>0</v>
      </c>
      <c r="W69" s="24">
        <f t="shared" si="110"/>
        <v>0</v>
      </c>
      <c r="X69" s="25">
        <f t="shared" si="111"/>
        <v>0</v>
      </c>
      <c r="Y69" s="23">
        <f t="shared" si="112"/>
        <v>0</v>
      </c>
      <c r="Z69" s="24">
        <f t="shared" si="113"/>
        <v>0</v>
      </c>
      <c r="AA69" s="25">
        <f t="shared" si="114"/>
        <v>0</v>
      </c>
      <c r="AB69" s="23">
        <f t="shared" si="115"/>
        <v>0</v>
      </c>
      <c r="AC69" s="24">
        <f t="shared" si="116"/>
        <v>0</v>
      </c>
      <c r="AD69" s="25">
        <f t="shared" si="117"/>
        <v>0</v>
      </c>
      <c r="AE69" s="23">
        <f t="shared" si="118"/>
        <v>0</v>
      </c>
      <c r="AF69" s="24">
        <f t="shared" si="119"/>
        <v>0</v>
      </c>
      <c r="AG69" s="25">
        <f t="shared" si="120"/>
        <v>0</v>
      </c>
      <c r="AH69" s="30"/>
    </row>
    <row r="70" spans="1:34" ht="18" customHeight="1" thickTop="1" thickBot="1" x14ac:dyDescent="0.3">
      <c r="A70" s="27">
        <v>46</v>
      </c>
      <c r="B70" s="28">
        <f t="shared" si="122"/>
        <v>0</v>
      </c>
      <c r="C70" s="60">
        <f t="shared" si="91"/>
        <v>0</v>
      </c>
      <c r="D70" s="23">
        <f t="shared" si="92"/>
        <v>0</v>
      </c>
      <c r="E70" s="24">
        <f t="shared" si="93"/>
        <v>0</v>
      </c>
      <c r="F70" s="25">
        <f t="shared" si="121"/>
        <v>0</v>
      </c>
      <c r="G70" s="23">
        <f t="shared" si="94"/>
        <v>0</v>
      </c>
      <c r="H70" s="24">
        <f t="shared" si="95"/>
        <v>0</v>
      </c>
      <c r="I70" s="25">
        <f t="shared" si="96"/>
        <v>0</v>
      </c>
      <c r="J70" s="23">
        <f t="shared" si="97"/>
        <v>0</v>
      </c>
      <c r="K70" s="24">
        <f t="shared" si="98"/>
        <v>0</v>
      </c>
      <c r="L70" s="25">
        <f t="shared" si="99"/>
        <v>0</v>
      </c>
      <c r="M70" s="23">
        <f t="shared" si="100"/>
        <v>0</v>
      </c>
      <c r="N70" s="24">
        <f t="shared" si="101"/>
        <v>0</v>
      </c>
      <c r="O70" s="25">
        <f t="shared" si="102"/>
        <v>0</v>
      </c>
      <c r="P70" s="23">
        <f t="shared" si="103"/>
        <v>0</v>
      </c>
      <c r="Q70" s="24">
        <f t="shared" si="104"/>
        <v>0</v>
      </c>
      <c r="R70" s="25">
        <f t="shared" si="105"/>
        <v>0</v>
      </c>
      <c r="S70" s="23">
        <f t="shared" si="106"/>
        <v>0</v>
      </c>
      <c r="T70" s="24">
        <f t="shared" si="107"/>
        <v>0</v>
      </c>
      <c r="U70" s="25">
        <f t="shared" si="108"/>
        <v>0</v>
      </c>
      <c r="V70" s="23">
        <f t="shared" si="109"/>
        <v>0</v>
      </c>
      <c r="W70" s="24">
        <f t="shared" si="110"/>
        <v>0</v>
      </c>
      <c r="X70" s="25">
        <f t="shared" si="111"/>
        <v>0</v>
      </c>
      <c r="Y70" s="23">
        <f t="shared" si="112"/>
        <v>0</v>
      </c>
      <c r="Z70" s="24">
        <f t="shared" si="113"/>
        <v>0</v>
      </c>
      <c r="AA70" s="25">
        <f t="shared" si="114"/>
        <v>0</v>
      </c>
      <c r="AB70" s="23">
        <f t="shared" si="115"/>
        <v>0</v>
      </c>
      <c r="AC70" s="24">
        <f t="shared" si="116"/>
        <v>0</v>
      </c>
      <c r="AD70" s="25">
        <f t="shared" si="117"/>
        <v>0</v>
      </c>
      <c r="AE70" s="23">
        <f t="shared" si="118"/>
        <v>0</v>
      </c>
      <c r="AF70" s="24">
        <f t="shared" si="119"/>
        <v>0</v>
      </c>
      <c r="AG70" s="25">
        <f t="shared" si="120"/>
        <v>0</v>
      </c>
      <c r="AH70" s="31"/>
    </row>
    <row r="71" spans="1:34" ht="18" customHeight="1" thickTop="1" thickBot="1" x14ac:dyDescent="0.3">
      <c r="A71" s="23">
        <v>47</v>
      </c>
      <c r="B71" s="28">
        <f t="shared" si="122"/>
        <v>0</v>
      </c>
      <c r="C71" s="60">
        <f t="shared" si="91"/>
        <v>0</v>
      </c>
      <c r="D71" s="23">
        <f t="shared" si="92"/>
        <v>0</v>
      </c>
      <c r="E71" s="24">
        <f t="shared" si="93"/>
        <v>0</v>
      </c>
      <c r="F71" s="25">
        <f t="shared" si="121"/>
        <v>0</v>
      </c>
      <c r="G71" s="23">
        <f t="shared" si="94"/>
        <v>0</v>
      </c>
      <c r="H71" s="24">
        <f t="shared" si="95"/>
        <v>0</v>
      </c>
      <c r="I71" s="25">
        <f t="shared" si="96"/>
        <v>0</v>
      </c>
      <c r="J71" s="23">
        <f t="shared" si="97"/>
        <v>0</v>
      </c>
      <c r="K71" s="24">
        <f t="shared" si="98"/>
        <v>0</v>
      </c>
      <c r="L71" s="25">
        <f t="shared" si="99"/>
        <v>0</v>
      </c>
      <c r="M71" s="23">
        <f t="shared" si="100"/>
        <v>0</v>
      </c>
      <c r="N71" s="24">
        <f t="shared" si="101"/>
        <v>0</v>
      </c>
      <c r="O71" s="25">
        <f t="shared" si="102"/>
        <v>0</v>
      </c>
      <c r="P71" s="23">
        <f t="shared" si="103"/>
        <v>0</v>
      </c>
      <c r="Q71" s="24">
        <f t="shared" si="104"/>
        <v>0</v>
      </c>
      <c r="R71" s="25">
        <f t="shared" si="105"/>
        <v>0</v>
      </c>
      <c r="S71" s="23">
        <f t="shared" si="106"/>
        <v>0</v>
      </c>
      <c r="T71" s="24">
        <f t="shared" si="107"/>
        <v>0</v>
      </c>
      <c r="U71" s="25">
        <f t="shared" si="108"/>
        <v>0</v>
      </c>
      <c r="V71" s="23">
        <f t="shared" si="109"/>
        <v>0</v>
      </c>
      <c r="W71" s="24">
        <f t="shared" si="110"/>
        <v>0</v>
      </c>
      <c r="X71" s="25">
        <f t="shared" si="111"/>
        <v>0</v>
      </c>
      <c r="Y71" s="23">
        <f t="shared" si="112"/>
        <v>0</v>
      </c>
      <c r="Z71" s="24">
        <f t="shared" si="113"/>
        <v>0</v>
      </c>
      <c r="AA71" s="25">
        <f t="shared" si="114"/>
        <v>0</v>
      </c>
      <c r="AB71" s="23">
        <f t="shared" si="115"/>
        <v>0</v>
      </c>
      <c r="AC71" s="24">
        <f t="shared" si="116"/>
        <v>0</v>
      </c>
      <c r="AD71" s="25">
        <f t="shared" si="117"/>
        <v>0</v>
      </c>
      <c r="AE71" s="23">
        <f t="shared" si="118"/>
        <v>0</v>
      </c>
      <c r="AF71" s="24">
        <f t="shared" si="119"/>
        <v>0</v>
      </c>
      <c r="AG71" s="25">
        <f t="shared" si="120"/>
        <v>0</v>
      </c>
      <c r="AH71" s="32"/>
    </row>
    <row r="72" spans="1:34" ht="18" customHeight="1" thickTop="1" thickBot="1" x14ac:dyDescent="0.3">
      <c r="A72" s="27">
        <v>48</v>
      </c>
      <c r="B72" s="28">
        <f t="shared" si="122"/>
        <v>0</v>
      </c>
      <c r="C72" s="60">
        <f t="shared" si="91"/>
        <v>0</v>
      </c>
      <c r="D72" s="23">
        <f t="shared" si="92"/>
        <v>0</v>
      </c>
      <c r="E72" s="24">
        <f t="shared" si="93"/>
        <v>0</v>
      </c>
      <c r="F72" s="25">
        <f t="shared" si="121"/>
        <v>0</v>
      </c>
      <c r="G72" s="23">
        <f t="shared" si="94"/>
        <v>0</v>
      </c>
      <c r="H72" s="24">
        <f t="shared" si="95"/>
        <v>0</v>
      </c>
      <c r="I72" s="25">
        <f t="shared" si="96"/>
        <v>0</v>
      </c>
      <c r="J72" s="23">
        <f t="shared" si="97"/>
        <v>0</v>
      </c>
      <c r="K72" s="24">
        <f t="shared" si="98"/>
        <v>0</v>
      </c>
      <c r="L72" s="25">
        <f t="shared" si="99"/>
        <v>0</v>
      </c>
      <c r="M72" s="23">
        <f t="shared" si="100"/>
        <v>0</v>
      </c>
      <c r="N72" s="24">
        <f t="shared" si="101"/>
        <v>0</v>
      </c>
      <c r="O72" s="25">
        <f t="shared" si="102"/>
        <v>0</v>
      </c>
      <c r="P72" s="23">
        <f t="shared" si="103"/>
        <v>0</v>
      </c>
      <c r="Q72" s="24">
        <f t="shared" si="104"/>
        <v>0</v>
      </c>
      <c r="R72" s="25">
        <f t="shared" si="105"/>
        <v>0</v>
      </c>
      <c r="S72" s="23">
        <f t="shared" si="106"/>
        <v>0</v>
      </c>
      <c r="T72" s="24">
        <f t="shared" si="107"/>
        <v>0</v>
      </c>
      <c r="U72" s="25">
        <f t="shared" si="108"/>
        <v>0</v>
      </c>
      <c r="V72" s="23">
        <f t="shared" si="109"/>
        <v>0</v>
      </c>
      <c r="W72" s="24">
        <f t="shared" si="110"/>
        <v>0</v>
      </c>
      <c r="X72" s="25">
        <f t="shared" si="111"/>
        <v>0</v>
      </c>
      <c r="Y72" s="23">
        <f t="shared" si="112"/>
        <v>0</v>
      </c>
      <c r="Z72" s="24">
        <f t="shared" si="113"/>
        <v>0</v>
      </c>
      <c r="AA72" s="25">
        <f t="shared" si="114"/>
        <v>0</v>
      </c>
      <c r="AB72" s="23">
        <f t="shared" si="115"/>
        <v>0</v>
      </c>
      <c r="AC72" s="24">
        <f t="shared" si="116"/>
        <v>0</v>
      </c>
      <c r="AD72" s="25">
        <f t="shared" si="117"/>
        <v>0</v>
      </c>
      <c r="AE72" s="23">
        <f t="shared" si="118"/>
        <v>0</v>
      </c>
      <c r="AF72" s="24">
        <f t="shared" si="119"/>
        <v>0</v>
      </c>
      <c r="AG72" s="25">
        <f t="shared" si="120"/>
        <v>0</v>
      </c>
      <c r="AH72" s="29"/>
    </row>
    <row r="73" spans="1:34" ht="18" customHeight="1" thickTop="1" thickBot="1" x14ac:dyDescent="0.3">
      <c r="A73" s="23">
        <v>49</v>
      </c>
      <c r="B73" s="28">
        <f t="shared" si="122"/>
        <v>0</v>
      </c>
      <c r="C73" s="60">
        <f t="shared" si="91"/>
        <v>0</v>
      </c>
      <c r="D73" s="23">
        <f t="shared" si="92"/>
        <v>0</v>
      </c>
      <c r="E73" s="24">
        <f t="shared" si="93"/>
        <v>0</v>
      </c>
      <c r="F73" s="25">
        <f t="shared" si="121"/>
        <v>0</v>
      </c>
      <c r="G73" s="23">
        <f t="shared" si="94"/>
        <v>0</v>
      </c>
      <c r="H73" s="24">
        <f t="shared" si="95"/>
        <v>0</v>
      </c>
      <c r="I73" s="25">
        <f t="shared" si="96"/>
        <v>0</v>
      </c>
      <c r="J73" s="23">
        <f t="shared" si="97"/>
        <v>0</v>
      </c>
      <c r="K73" s="24">
        <f t="shared" si="98"/>
        <v>0</v>
      </c>
      <c r="L73" s="25">
        <f t="shared" si="99"/>
        <v>0</v>
      </c>
      <c r="M73" s="23">
        <f t="shared" si="100"/>
        <v>0</v>
      </c>
      <c r="N73" s="24">
        <f t="shared" si="101"/>
        <v>0</v>
      </c>
      <c r="O73" s="25">
        <f t="shared" si="102"/>
        <v>0</v>
      </c>
      <c r="P73" s="23">
        <f t="shared" si="103"/>
        <v>0</v>
      </c>
      <c r="Q73" s="24">
        <f t="shared" si="104"/>
        <v>0</v>
      </c>
      <c r="R73" s="25">
        <f t="shared" si="105"/>
        <v>0</v>
      </c>
      <c r="S73" s="23">
        <f t="shared" si="106"/>
        <v>0</v>
      </c>
      <c r="T73" s="24">
        <f t="shared" si="107"/>
        <v>0</v>
      </c>
      <c r="U73" s="25">
        <f t="shared" si="108"/>
        <v>0</v>
      </c>
      <c r="V73" s="23">
        <f t="shared" si="109"/>
        <v>0</v>
      </c>
      <c r="W73" s="24">
        <f t="shared" si="110"/>
        <v>0</v>
      </c>
      <c r="X73" s="25">
        <f t="shared" si="111"/>
        <v>0</v>
      </c>
      <c r="Y73" s="23">
        <f t="shared" si="112"/>
        <v>0</v>
      </c>
      <c r="Z73" s="24">
        <f t="shared" si="113"/>
        <v>0</v>
      </c>
      <c r="AA73" s="25">
        <f t="shared" si="114"/>
        <v>0</v>
      </c>
      <c r="AB73" s="23">
        <f t="shared" si="115"/>
        <v>0</v>
      </c>
      <c r="AC73" s="24">
        <f t="shared" si="116"/>
        <v>0</v>
      </c>
      <c r="AD73" s="25">
        <f t="shared" si="117"/>
        <v>0</v>
      </c>
      <c r="AE73" s="23">
        <f t="shared" si="118"/>
        <v>0</v>
      </c>
      <c r="AF73" s="24">
        <f t="shared" si="119"/>
        <v>0</v>
      </c>
      <c r="AG73" s="25">
        <f t="shared" si="120"/>
        <v>0</v>
      </c>
      <c r="AH73" s="31"/>
    </row>
    <row r="74" spans="1:34" ht="18" customHeight="1" thickTop="1" thickBot="1" x14ac:dyDescent="0.3">
      <c r="A74" s="27">
        <v>50</v>
      </c>
      <c r="B74" s="28">
        <f t="shared" si="122"/>
        <v>0</v>
      </c>
      <c r="C74" s="60">
        <f t="shared" si="91"/>
        <v>0</v>
      </c>
      <c r="D74" s="23">
        <f t="shared" si="92"/>
        <v>0</v>
      </c>
      <c r="E74" s="24">
        <f t="shared" si="93"/>
        <v>0</v>
      </c>
      <c r="F74" s="25">
        <f t="shared" si="121"/>
        <v>0</v>
      </c>
      <c r="G74" s="23">
        <f t="shared" si="94"/>
        <v>0</v>
      </c>
      <c r="H74" s="24">
        <f t="shared" si="95"/>
        <v>0</v>
      </c>
      <c r="I74" s="25">
        <f t="shared" si="96"/>
        <v>0</v>
      </c>
      <c r="J74" s="23">
        <f t="shared" si="97"/>
        <v>0</v>
      </c>
      <c r="K74" s="24">
        <f t="shared" si="98"/>
        <v>0</v>
      </c>
      <c r="L74" s="25">
        <f t="shared" si="99"/>
        <v>0</v>
      </c>
      <c r="M74" s="23">
        <f t="shared" si="100"/>
        <v>0</v>
      </c>
      <c r="N74" s="24">
        <f t="shared" si="101"/>
        <v>0</v>
      </c>
      <c r="O74" s="25">
        <f t="shared" si="102"/>
        <v>0</v>
      </c>
      <c r="P74" s="23">
        <f t="shared" si="103"/>
        <v>0</v>
      </c>
      <c r="Q74" s="24">
        <f t="shared" si="104"/>
        <v>0</v>
      </c>
      <c r="R74" s="25">
        <f t="shared" si="105"/>
        <v>0</v>
      </c>
      <c r="S74" s="23">
        <f t="shared" si="106"/>
        <v>0</v>
      </c>
      <c r="T74" s="24">
        <f t="shared" si="107"/>
        <v>0</v>
      </c>
      <c r="U74" s="25">
        <f t="shared" si="108"/>
        <v>0</v>
      </c>
      <c r="V74" s="23">
        <f t="shared" si="109"/>
        <v>0</v>
      </c>
      <c r="W74" s="24">
        <f t="shared" si="110"/>
        <v>0</v>
      </c>
      <c r="X74" s="25">
        <f t="shared" si="111"/>
        <v>0</v>
      </c>
      <c r="Y74" s="23">
        <f t="shared" si="112"/>
        <v>0</v>
      </c>
      <c r="Z74" s="24">
        <f t="shared" si="113"/>
        <v>0</v>
      </c>
      <c r="AA74" s="25">
        <f t="shared" si="114"/>
        <v>0</v>
      </c>
      <c r="AB74" s="23">
        <f t="shared" si="115"/>
        <v>0</v>
      </c>
      <c r="AC74" s="24">
        <f t="shared" si="116"/>
        <v>0</v>
      </c>
      <c r="AD74" s="25">
        <f t="shared" si="117"/>
        <v>0</v>
      </c>
      <c r="AE74" s="23">
        <f t="shared" si="118"/>
        <v>0</v>
      </c>
      <c r="AF74" s="24">
        <f t="shared" si="119"/>
        <v>0</v>
      </c>
      <c r="AG74" s="25">
        <f t="shared" si="120"/>
        <v>0</v>
      </c>
      <c r="AH74" s="33"/>
    </row>
    <row r="75" spans="1:34" ht="18" customHeight="1" thickTop="1" thickBot="1" x14ac:dyDescent="0.3">
      <c r="A75" s="23">
        <v>51</v>
      </c>
      <c r="B75" s="28">
        <f t="shared" si="122"/>
        <v>0</v>
      </c>
      <c r="C75" s="60">
        <f t="shared" si="91"/>
        <v>0</v>
      </c>
      <c r="D75" s="23">
        <f t="shared" si="92"/>
        <v>0</v>
      </c>
      <c r="E75" s="24">
        <f t="shared" si="93"/>
        <v>0</v>
      </c>
      <c r="F75" s="25">
        <f t="shared" si="121"/>
        <v>0</v>
      </c>
      <c r="G75" s="23">
        <f t="shared" si="94"/>
        <v>0</v>
      </c>
      <c r="H75" s="24">
        <f t="shared" si="95"/>
        <v>0</v>
      </c>
      <c r="I75" s="25">
        <f t="shared" si="96"/>
        <v>0</v>
      </c>
      <c r="J75" s="23">
        <f t="shared" si="97"/>
        <v>0</v>
      </c>
      <c r="K75" s="24">
        <f t="shared" si="98"/>
        <v>0</v>
      </c>
      <c r="L75" s="25">
        <f t="shared" si="99"/>
        <v>0</v>
      </c>
      <c r="M75" s="23">
        <f t="shared" si="100"/>
        <v>0</v>
      </c>
      <c r="N75" s="24">
        <f t="shared" si="101"/>
        <v>0</v>
      </c>
      <c r="O75" s="25">
        <f t="shared" si="102"/>
        <v>0</v>
      </c>
      <c r="P75" s="23">
        <f t="shared" si="103"/>
        <v>0</v>
      </c>
      <c r="Q75" s="24">
        <f t="shared" si="104"/>
        <v>0</v>
      </c>
      <c r="R75" s="25">
        <f t="shared" si="105"/>
        <v>0</v>
      </c>
      <c r="S75" s="23">
        <f t="shared" si="106"/>
        <v>0</v>
      </c>
      <c r="T75" s="24">
        <f t="shared" si="107"/>
        <v>0</v>
      </c>
      <c r="U75" s="25">
        <f t="shared" si="108"/>
        <v>0</v>
      </c>
      <c r="V75" s="23">
        <f t="shared" si="109"/>
        <v>0</v>
      </c>
      <c r="W75" s="24">
        <f t="shared" si="110"/>
        <v>0</v>
      </c>
      <c r="X75" s="25">
        <f t="shared" si="111"/>
        <v>0</v>
      </c>
      <c r="Y75" s="23">
        <f t="shared" si="112"/>
        <v>0</v>
      </c>
      <c r="Z75" s="24">
        <f t="shared" si="113"/>
        <v>0</v>
      </c>
      <c r="AA75" s="25">
        <f t="shared" si="114"/>
        <v>0</v>
      </c>
      <c r="AB75" s="23">
        <f t="shared" si="115"/>
        <v>0</v>
      </c>
      <c r="AC75" s="24">
        <f t="shared" si="116"/>
        <v>0</v>
      </c>
      <c r="AD75" s="25">
        <f t="shared" si="117"/>
        <v>0</v>
      </c>
      <c r="AE75" s="23">
        <f t="shared" si="118"/>
        <v>0</v>
      </c>
      <c r="AF75" s="24">
        <f t="shared" si="119"/>
        <v>0</v>
      </c>
      <c r="AG75" s="25">
        <f t="shared" si="120"/>
        <v>0</v>
      </c>
      <c r="AH75" s="29"/>
    </row>
    <row r="76" spans="1:34" ht="18" customHeight="1" thickTop="1" thickBot="1" x14ac:dyDescent="0.3">
      <c r="A76" s="27">
        <v>52</v>
      </c>
      <c r="B76" s="28">
        <f t="shared" si="122"/>
        <v>0</v>
      </c>
      <c r="C76" s="60">
        <f t="shared" si="91"/>
        <v>0</v>
      </c>
      <c r="D76" s="23">
        <f t="shared" si="92"/>
        <v>0</v>
      </c>
      <c r="E76" s="24">
        <f t="shared" si="93"/>
        <v>0</v>
      </c>
      <c r="F76" s="25">
        <f t="shared" si="121"/>
        <v>0</v>
      </c>
      <c r="G76" s="23">
        <f t="shared" si="94"/>
        <v>0</v>
      </c>
      <c r="H76" s="24">
        <f t="shared" si="95"/>
        <v>0</v>
      </c>
      <c r="I76" s="25">
        <f t="shared" si="96"/>
        <v>0</v>
      </c>
      <c r="J76" s="23">
        <f t="shared" si="97"/>
        <v>0</v>
      </c>
      <c r="K76" s="24">
        <f t="shared" si="98"/>
        <v>0</v>
      </c>
      <c r="L76" s="25">
        <f t="shared" si="99"/>
        <v>0</v>
      </c>
      <c r="M76" s="23">
        <f t="shared" si="100"/>
        <v>0</v>
      </c>
      <c r="N76" s="24">
        <f t="shared" si="101"/>
        <v>0</v>
      </c>
      <c r="O76" s="25">
        <f t="shared" si="102"/>
        <v>0</v>
      </c>
      <c r="P76" s="23">
        <f t="shared" si="103"/>
        <v>0</v>
      </c>
      <c r="Q76" s="24">
        <f t="shared" si="104"/>
        <v>0</v>
      </c>
      <c r="R76" s="25">
        <f t="shared" si="105"/>
        <v>0</v>
      </c>
      <c r="S76" s="23">
        <f t="shared" si="106"/>
        <v>0</v>
      </c>
      <c r="T76" s="24">
        <f t="shared" si="107"/>
        <v>0</v>
      </c>
      <c r="U76" s="25">
        <f t="shared" si="108"/>
        <v>0</v>
      </c>
      <c r="V76" s="23">
        <f t="shared" si="109"/>
        <v>0</v>
      </c>
      <c r="W76" s="24">
        <f t="shared" si="110"/>
        <v>0</v>
      </c>
      <c r="X76" s="25">
        <f t="shared" si="111"/>
        <v>0</v>
      </c>
      <c r="Y76" s="23">
        <f t="shared" si="112"/>
        <v>0</v>
      </c>
      <c r="Z76" s="24">
        <f t="shared" si="113"/>
        <v>0</v>
      </c>
      <c r="AA76" s="25">
        <f t="shared" si="114"/>
        <v>0</v>
      </c>
      <c r="AB76" s="23">
        <f t="shared" si="115"/>
        <v>0</v>
      </c>
      <c r="AC76" s="24">
        <f t="shared" si="116"/>
        <v>0</v>
      </c>
      <c r="AD76" s="25">
        <f t="shared" si="117"/>
        <v>0</v>
      </c>
      <c r="AE76" s="23">
        <f t="shared" si="118"/>
        <v>0</v>
      </c>
      <c r="AF76" s="24">
        <f t="shared" si="119"/>
        <v>0</v>
      </c>
      <c r="AG76" s="25">
        <f t="shared" si="120"/>
        <v>0</v>
      </c>
      <c r="AH76" s="31"/>
    </row>
    <row r="77" spans="1:34" ht="18" customHeight="1" thickTop="1" thickBot="1" x14ac:dyDescent="0.3">
      <c r="A77" s="23">
        <v>53</v>
      </c>
      <c r="B77" s="28">
        <f t="shared" si="122"/>
        <v>0</v>
      </c>
      <c r="C77" s="60">
        <f t="shared" si="91"/>
        <v>0</v>
      </c>
      <c r="D77" s="23">
        <f t="shared" si="92"/>
        <v>0</v>
      </c>
      <c r="E77" s="24">
        <f t="shared" si="93"/>
        <v>0</v>
      </c>
      <c r="F77" s="25">
        <f t="shared" si="121"/>
        <v>0</v>
      </c>
      <c r="G77" s="23">
        <f t="shared" si="94"/>
        <v>0</v>
      </c>
      <c r="H77" s="24">
        <f t="shared" si="95"/>
        <v>0</v>
      </c>
      <c r="I77" s="25">
        <f t="shared" si="96"/>
        <v>0</v>
      </c>
      <c r="J77" s="23">
        <f t="shared" si="97"/>
        <v>0</v>
      </c>
      <c r="K77" s="24">
        <f t="shared" si="98"/>
        <v>0</v>
      </c>
      <c r="L77" s="25">
        <f t="shared" si="99"/>
        <v>0</v>
      </c>
      <c r="M77" s="23">
        <f t="shared" si="100"/>
        <v>0</v>
      </c>
      <c r="N77" s="24">
        <f t="shared" si="101"/>
        <v>0</v>
      </c>
      <c r="O77" s="25">
        <f t="shared" si="102"/>
        <v>0</v>
      </c>
      <c r="P77" s="23">
        <f t="shared" si="103"/>
        <v>0</v>
      </c>
      <c r="Q77" s="24">
        <f t="shared" si="104"/>
        <v>0</v>
      </c>
      <c r="R77" s="25">
        <f t="shared" si="105"/>
        <v>0</v>
      </c>
      <c r="S77" s="23">
        <f t="shared" si="106"/>
        <v>0</v>
      </c>
      <c r="T77" s="24">
        <f t="shared" si="107"/>
        <v>0</v>
      </c>
      <c r="U77" s="25">
        <f t="shared" si="108"/>
        <v>0</v>
      </c>
      <c r="V77" s="23">
        <f t="shared" si="109"/>
        <v>0</v>
      </c>
      <c r="W77" s="24">
        <f t="shared" si="110"/>
        <v>0</v>
      </c>
      <c r="X77" s="25">
        <f t="shared" si="111"/>
        <v>0</v>
      </c>
      <c r="Y77" s="23">
        <f t="shared" si="112"/>
        <v>0</v>
      </c>
      <c r="Z77" s="24">
        <f t="shared" si="113"/>
        <v>0</v>
      </c>
      <c r="AA77" s="25">
        <f t="shared" si="114"/>
        <v>0</v>
      </c>
      <c r="AB77" s="23">
        <f t="shared" si="115"/>
        <v>0</v>
      </c>
      <c r="AC77" s="24">
        <f t="shared" si="116"/>
        <v>0</v>
      </c>
      <c r="AD77" s="25">
        <f t="shared" si="117"/>
        <v>0</v>
      </c>
      <c r="AE77" s="23">
        <f t="shared" si="118"/>
        <v>0</v>
      </c>
      <c r="AF77" s="24">
        <f t="shared" si="119"/>
        <v>0</v>
      </c>
      <c r="AG77" s="25">
        <f t="shared" si="120"/>
        <v>0</v>
      </c>
      <c r="AH77" s="33"/>
    </row>
    <row r="78" spans="1:34" ht="18" customHeight="1" thickTop="1" thickBot="1" x14ac:dyDescent="0.3">
      <c r="A78" s="27">
        <v>54</v>
      </c>
      <c r="B78" s="28">
        <f t="shared" si="122"/>
        <v>0</v>
      </c>
      <c r="C78" s="60">
        <f t="shared" si="91"/>
        <v>0</v>
      </c>
      <c r="D78" s="23">
        <f t="shared" si="92"/>
        <v>0</v>
      </c>
      <c r="E78" s="24">
        <f t="shared" si="93"/>
        <v>0</v>
      </c>
      <c r="F78" s="25">
        <f t="shared" si="121"/>
        <v>0</v>
      </c>
      <c r="G78" s="23">
        <f t="shared" si="94"/>
        <v>0</v>
      </c>
      <c r="H78" s="24">
        <f t="shared" si="95"/>
        <v>0</v>
      </c>
      <c r="I78" s="25">
        <f t="shared" si="96"/>
        <v>0</v>
      </c>
      <c r="J78" s="23">
        <f t="shared" si="97"/>
        <v>0</v>
      </c>
      <c r="K78" s="24">
        <f t="shared" si="98"/>
        <v>0</v>
      </c>
      <c r="L78" s="25">
        <f t="shared" si="99"/>
        <v>0</v>
      </c>
      <c r="M78" s="23">
        <f t="shared" si="100"/>
        <v>0</v>
      </c>
      <c r="N78" s="24">
        <f t="shared" si="101"/>
        <v>0</v>
      </c>
      <c r="O78" s="25">
        <f t="shared" si="102"/>
        <v>0</v>
      </c>
      <c r="P78" s="23">
        <f t="shared" si="103"/>
        <v>0</v>
      </c>
      <c r="Q78" s="24">
        <f t="shared" si="104"/>
        <v>0</v>
      </c>
      <c r="R78" s="25">
        <f t="shared" si="105"/>
        <v>0</v>
      </c>
      <c r="S78" s="23">
        <f t="shared" si="106"/>
        <v>0</v>
      </c>
      <c r="T78" s="24">
        <f t="shared" si="107"/>
        <v>0</v>
      </c>
      <c r="U78" s="25">
        <f t="shared" si="108"/>
        <v>0</v>
      </c>
      <c r="V78" s="23">
        <f t="shared" si="109"/>
        <v>0</v>
      </c>
      <c r="W78" s="24">
        <f t="shared" si="110"/>
        <v>0</v>
      </c>
      <c r="X78" s="25">
        <f t="shared" si="111"/>
        <v>0</v>
      </c>
      <c r="Y78" s="23">
        <f t="shared" si="112"/>
        <v>0</v>
      </c>
      <c r="Z78" s="24">
        <f t="shared" si="113"/>
        <v>0</v>
      </c>
      <c r="AA78" s="25">
        <f t="shared" si="114"/>
        <v>0</v>
      </c>
      <c r="AB78" s="23">
        <f t="shared" si="115"/>
        <v>0</v>
      </c>
      <c r="AC78" s="24">
        <f t="shared" si="116"/>
        <v>0</v>
      </c>
      <c r="AD78" s="25">
        <f t="shared" si="117"/>
        <v>0</v>
      </c>
      <c r="AE78" s="23">
        <f t="shared" si="118"/>
        <v>0</v>
      </c>
      <c r="AF78" s="24">
        <f t="shared" si="119"/>
        <v>0</v>
      </c>
      <c r="AG78" s="25">
        <f t="shared" si="120"/>
        <v>0</v>
      </c>
      <c r="AH78" s="29"/>
    </row>
    <row r="79" spans="1:34" ht="18" customHeight="1" thickTop="1" thickBot="1" x14ac:dyDescent="0.3">
      <c r="A79" s="23">
        <v>55</v>
      </c>
      <c r="B79" s="28">
        <f t="shared" si="122"/>
        <v>0</v>
      </c>
      <c r="C79" s="60">
        <f t="shared" si="91"/>
        <v>0</v>
      </c>
      <c r="D79" s="23">
        <f t="shared" si="92"/>
        <v>0</v>
      </c>
      <c r="E79" s="24">
        <f t="shared" si="93"/>
        <v>0</v>
      </c>
      <c r="F79" s="25">
        <f t="shared" si="121"/>
        <v>0</v>
      </c>
      <c r="G79" s="23">
        <f t="shared" si="94"/>
        <v>0</v>
      </c>
      <c r="H79" s="24">
        <f t="shared" si="95"/>
        <v>0</v>
      </c>
      <c r="I79" s="25">
        <f t="shared" si="96"/>
        <v>0</v>
      </c>
      <c r="J79" s="23">
        <f t="shared" si="97"/>
        <v>0</v>
      </c>
      <c r="K79" s="24">
        <f t="shared" si="98"/>
        <v>0</v>
      </c>
      <c r="L79" s="25">
        <f t="shared" si="99"/>
        <v>0</v>
      </c>
      <c r="M79" s="23">
        <f t="shared" si="100"/>
        <v>0</v>
      </c>
      <c r="N79" s="24">
        <f t="shared" si="101"/>
        <v>0</v>
      </c>
      <c r="O79" s="25">
        <f t="shared" si="102"/>
        <v>0</v>
      </c>
      <c r="P79" s="23">
        <f t="shared" si="103"/>
        <v>0</v>
      </c>
      <c r="Q79" s="24">
        <f t="shared" si="104"/>
        <v>0</v>
      </c>
      <c r="R79" s="25">
        <f t="shared" si="105"/>
        <v>0</v>
      </c>
      <c r="S79" s="23">
        <f t="shared" si="106"/>
        <v>0</v>
      </c>
      <c r="T79" s="24">
        <f t="shared" si="107"/>
        <v>0</v>
      </c>
      <c r="U79" s="25">
        <f t="shared" si="108"/>
        <v>0</v>
      </c>
      <c r="V79" s="23">
        <f t="shared" si="109"/>
        <v>0</v>
      </c>
      <c r="W79" s="24">
        <f t="shared" si="110"/>
        <v>0</v>
      </c>
      <c r="X79" s="25">
        <f t="shared" si="111"/>
        <v>0</v>
      </c>
      <c r="Y79" s="23">
        <f t="shared" si="112"/>
        <v>0</v>
      </c>
      <c r="Z79" s="24">
        <f t="shared" si="113"/>
        <v>0</v>
      </c>
      <c r="AA79" s="25">
        <f t="shared" si="114"/>
        <v>0</v>
      </c>
      <c r="AB79" s="23">
        <f t="shared" si="115"/>
        <v>0</v>
      </c>
      <c r="AC79" s="24">
        <f t="shared" si="116"/>
        <v>0</v>
      </c>
      <c r="AD79" s="25">
        <f t="shared" si="117"/>
        <v>0</v>
      </c>
      <c r="AE79" s="23">
        <f t="shared" si="118"/>
        <v>0</v>
      </c>
      <c r="AF79" s="24">
        <f t="shared" si="119"/>
        <v>0</v>
      </c>
      <c r="AG79" s="25">
        <f t="shared" si="120"/>
        <v>0</v>
      </c>
      <c r="AH79" s="31"/>
    </row>
    <row r="80" spans="1:34" ht="18" customHeight="1" thickTop="1" thickBot="1" x14ac:dyDescent="0.3">
      <c r="A80" s="27">
        <v>56</v>
      </c>
      <c r="B80" s="28">
        <f t="shared" si="122"/>
        <v>0</v>
      </c>
      <c r="C80" s="60">
        <f t="shared" si="91"/>
        <v>0</v>
      </c>
      <c r="D80" s="23">
        <f t="shared" si="92"/>
        <v>0</v>
      </c>
      <c r="E80" s="24">
        <f t="shared" si="93"/>
        <v>0</v>
      </c>
      <c r="F80" s="25">
        <f t="shared" si="121"/>
        <v>0</v>
      </c>
      <c r="G80" s="23">
        <f t="shared" si="94"/>
        <v>0</v>
      </c>
      <c r="H80" s="24">
        <f t="shared" si="95"/>
        <v>0</v>
      </c>
      <c r="I80" s="25">
        <f t="shared" si="96"/>
        <v>0</v>
      </c>
      <c r="J80" s="23">
        <f t="shared" si="97"/>
        <v>0</v>
      </c>
      <c r="K80" s="24">
        <f t="shared" si="98"/>
        <v>0</v>
      </c>
      <c r="L80" s="25">
        <f t="shared" si="99"/>
        <v>0</v>
      </c>
      <c r="M80" s="23">
        <f t="shared" si="100"/>
        <v>0</v>
      </c>
      <c r="N80" s="24">
        <f t="shared" si="101"/>
        <v>0</v>
      </c>
      <c r="O80" s="25">
        <f t="shared" si="102"/>
        <v>0</v>
      </c>
      <c r="P80" s="23">
        <f t="shared" si="103"/>
        <v>0</v>
      </c>
      <c r="Q80" s="24">
        <f t="shared" si="104"/>
        <v>0</v>
      </c>
      <c r="R80" s="25">
        <f t="shared" si="105"/>
        <v>0</v>
      </c>
      <c r="S80" s="23">
        <f t="shared" si="106"/>
        <v>0</v>
      </c>
      <c r="T80" s="24">
        <f t="shared" si="107"/>
        <v>0</v>
      </c>
      <c r="U80" s="25">
        <f t="shared" si="108"/>
        <v>0</v>
      </c>
      <c r="V80" s="23">
        <f t="shared" si="109"/>
        <v>0</v>
      </c>
      <c r="W80" s="24">
        <f t="shared" si="110"/>
        <v>0</v>
      </c>
      <c r="X80" s="25">
        <f t="shared" si="111"/>
        <v>0</v>
      </c>
      <c r="Y80" s="23">
        <f t="shared" si="112"/>
        <v>0</v>
      </c>
      <c r="Z80" s="24">
        <f t="shared" si="113"/>
        <v>0</v>
      </c>
      <c r="AA80" s="25">
        <f t="shared" si="114"/>
        <v>0</v>
      </c>
      <c r="AB80" s="23">
        <f t="shared" si="115"/>
        <v>0</v>
      </c>
      <c r="AC80" s="24">
        <f t="shared" si="116"/>
        <v>0</v>
      </c>
      <c r="AD80" s="25">
        <f t="shared" si="117"/>
        <v>0</v>
      </c>
      <c r="AE80" s="23">
        <f t="shared" si="118"/>
        <v>0</v>
      </c>
      <c r="AF80" s="24">
        <f t="shared" si="119"/>
        <v>0</v>
      </c>
      <c r="AG80" s="25">
        <f t="shared" si="120"/>
        <v>0</v>
      </c>
      <c r="AH80" s="29"/>
    </row>
    <row r="81" spans="1:34" ht="18" customHeight="1" thickTop="1" thickBot="1" x14ac:dyDescent="0.3">
      <c r="A81" s="23">
        <v>57</v>
      </c>
      <c r="B81" s="28">
        <f t="shared" si="122"/>
        <v>0</v>
      </c>
      <c r="C81" s="60">
        <f t="shared" si="91"/>
        <v>0</v>
      </c>
      <c r="D81" s="23">
        <f t="shared" si="92"/>
        <v>0</v>
      </c>
      <c r="E81" s="24">
        <f t="shared" si="93"/>
        <v>0</v>
      </c>
      <c r="F81" s="25">
        <f t="shared" si="121"/>
        <v>0</v>
      </c>
      <c r="G81" s="23">
        <f t="shared" si="94"/>
        <v>0</v>
      </c>
      <c r="H81" s="24">
        <f t="shared" si="95"/>
        <v>0</v>
      </c>
      <c r="I81" s="25">
        <f t="shared" si="96"/>
        <v>0</v>
      </c>
      <c r="J81" s="23">
        <f t="shared" si="97"/>
        <v>0</v>
      </c>
      <c r="K81" s="24">
        <f t="shared" si="98"/>
        <v>0</v>
      </c>
      <c r="L81" s="25">
        <f t="shared" si="99"/>
        <v>0</v>
      </c>
      <c r="M81" s="23">
        <f t="shared" si="100"/>
        <v>0</v>
      </c>
      <c r="N81" s="24">
        <f t="shared" si="101"/>
        <v>0</v>
      </c>
      <c r="O81" s="25">
        <f t="shared" si="102"/>
        <v>0</v>
      </c>
      <c r="P81" s="23">
        <f t="shared" si="103"/>
        <v>0</v>
      </c>
      <c r="Q81" s="24">
        <f t="shared" si="104"/>
        <v>0</v>
      </c>
      <c r="R81" s="25">
        <f t="shared" si="105"/>
        <v>0</v>
      </c>
      <c r="S81" s="23">
        <f t="shared" si="106"/>
        <v>0</v>
      </c>
      <c r="T81" s="24">
        <f t="shared" si="107"/>
        <v>0</v>
      </c>
      <c r="U81" s="25">
        <f t="shared" si="108"/>
        <v>0</v>
      </c>
      <c r="V81" s="23">
        <f t="shared" si="109"/>
        <v>0</v>
      </c>
      <c r="W81" s="24">
        <f t="shared" si="110"/>
        <v>0</v>
      </c>
      <c r="X81" s="25">
        <f t="shared" si="111"/>
        <v>0</v>
      </c>
      <c r="Y81" s="23">
        <f t="shared" si="112"/>
        <v>0</v>
      </c>
      <c r="Z81" s="24">
        <f t="shared" si="113"/>
        <v>0</v>
      </c>
      <c r="AA81" s="25">
        <f t="shared" si="114"/>
        <v>0</v>
      </c>
      <c r="AB81" s="23">
        <f t="shared" si="115"/>
        <v>0</v>
      </c>
      <c r="AC81" s="24">
        <f t="shared" si="116"/>
        <v>0</v>
      </c>
      <c r="AD81" s="25">
        <f t="shared" si="117"/>
        <v>0</v>
      </c>
      <c r="AE81" s="23">
        <f t="shared" si="118"/>
        <v>0</v>
      </c>
      <c r="AF81" s="24">
        <f t="shared" si="119"/>
        <v>0</v>
      </c>
      <c r="AG81" s="25">
        <f t="shared" si="120"/>
        <v>0</v>
      </c>
      <c r="AH81" s="31"/>
    </row>
    <row r="82" spans="1:34" ht="18" customHeight="1" thickTop="1" thickBot="1" x14ac:dyDescent="0.3">
      <c r="A82" s="27">
        <v>58</v>
      </c>
      <c r="B82" s="28">
        <f t="shared" si="122"/>
        <v>0</v>
      </c>
      <c r="C82" s="60">
        <f t="shared" si="91"/>
        <v>0</v>
      </c>
      <c r="D82" s="23">
        <f t="shared" si="92"/>
        <v>0</v>
      </c>
      <c r="E82" s="24">
        <f t="shared" si="93"/>
        <v>0</v>
      </c>
      <c r="F82" s="25">
        <f t="shared" si="121"/>
        <v>0</v>
      </c>
      <c r="G82" s="23">
        <f t="shared" si="94"/>
        <v>0</v>
      </c>
      <c r="H82" s="24">
        <f t="shared" si="95"/>
        <v>0</v>
      </c>
      <c r="I82" s="25">
        <f t="shared" si="96"/>
        <v>0</v>
      </c>
      <c r="J82" s="23">
        <f t="shared" si="97"/>
        <v>0</v>
      </c>
      <c r="K82" s="24">
        <f t="shared" si="98"/>
        <v>0</v>
      </c>
      <c r="L82" s="25">
        <f t="shared" si="99"/>
        <v>0</v>
      </c>
      <c r="M82" s="23">
        <f t="shared" si="100"/>
        <v>0</v>
      </c>
      <c r="N82" s="24">
        <f t="shared" si="101"/>
        <v>0</v>
      </c>
      <c r="O82" s="25">
        <f t="shared" si="102"/>
        <v>0</v>
      </c>
      <c r="P82" s="23">
        <f t="shared" si="103"/>
        <v>0</v>
      </c>
      <c r="Q82" s="24">
        <f t="shared" si="104"/>
        <v>0</v>
      </c>
      <c r="R82" s="25">
        <f t="shared" si="105"/>
        <v>0</v>
      </c>
      <c r="S82" s="23">
        <f t="shared" si="106"/>
        <v>0</v>
      </c>
      <c r="T82" s="24">
        <f t="shared" si="107"/>
        <v>0</v>
      </c>
      <c r="U82" s="25">
        <f t="shared" si="108"/>
        <v>0</v>
      </c>
      <c r="V82" s="23">
        <f t="shared" si="109"/>
        <v>0</v>
      </c>
      <c r="W82" s="24">
        <f t="shared" si="110"/>
        <v>0</v>
      </c>
      <c r="X82" s="25">
        <f t="shared" si="111"/>
        <v>0</v>
      </c>
      <c r="Y82" s="23">
        <f t="shared" si="112"/>
        <v>0</v>
      </c>
      <c r="Z82" s="24">
        <f t="shared" si="113"/>
        <v>0</v>
      </c>
      <c r="AA82" s="25">
        <f t="shared" si="114"/>
        <v>0</v>
      </c>
      <c r="AB82" s="23">
        <f t="shared" si="115"/>
        <v>0</v>
      </c>
      <c r="AC82" s="24">
        <f t="shared" si="116"/>
        <v>0</v>
      </c>
      <c r="AD82" s="25">
        <f t="shared" si="117"/>
        <v>0</v>
      </c>
      <c r="AE82" s="23">
        <f t="shared" si="118"/>
        <v>0</v>
      </c>
      <c r="AF82" s="24">
        <f t="shared" si="119"/>
        <v>0</v>
      </c>
      <c r="AG82" s="25">
        <f t="shared" si="120"/>
        <v>0</v>
      </c>
      <c r="AH82" s="31"/>
    </row>
    <row r="83" spans="1:34" ht="18" customHeight="1" thickTop="1" thickBot="1" x14ac:dyDescent="0.3">
      <c r="A83" s="23">
        <v>59</v>
      </c>
      <c r="B83" s="28">
        <f t="shared" si="122"/>
        <v>0</v>
      </c>
      <c r="C83" s="60">
        <f t="shared" si="91"/>
        <v>0</v>
      </c>
      <c r="D83" s="23">
        <f t="shared" si="92"/>
        <v>0</v>
      </c>
      <c r="E83" s="24">
        <f t="shared" si="93"/>
        <v>0</v>
      </c>
      <c r="F83" s="25">
        <f t="shared" si="121"/>
        <v>0</v>
      </c>
      <c r="G83" s="23">
        <f t="shared" si="94"/>
        <v>0</v>
      </c>
      <c r="H83" s="24">
        <f t="shared" si="95"/>
        <v>0</v>
      </c>
      <c r="I83" s="25">
        <f t="shared" si="96"/>
        <v>0</v>
      </c>
      <c r="J83" s="23">
        <f t="shared" si="97"/>
        <v>0</v>
      </c>
      <c r="K83" s="24">
        <f t="shared" si="98"/>
        <v>0</v>
      </c>
      <c r="L83" s="25">
        <f t="shared" si="99"/>
        <v>0</v>
      </c>
      <c r="M83" s="23">
        <f t="shared" si="100"/>
        <v>0</v>
      </c>
      <c r="N83" s="24">
        <f t="shared" si="101"/>
        <v>0</v>
      </c>
      <c r="O83" s="25">
        <f t="shared" si="102"/>
        <v>0</v>
      </c>
      <c r="P83" s="23">
        <f t="shared" si="103"/>
        <v>0</v>
      </c>
      <c r="Q83" s="24">
        <f t="shared" si="104"/>
        <v>0</v>
      </c>
      <c r="R83" s="25">
        <f t="shared" si="105"/>
        <v>0</v>
      </c>
      <c r="S83" s="23">
        <f t="shared" si="106"/>
        <v>0</v>
      </c>
      <c r="T83" s="24">
        <f t="shared" si="107"/>
        <v>0</v>
      </c>
      <c r="U83" s="25">
        <f t="shared" si="108"/>
        <v>0</v>
      </c>
      <c r="V83" s="23">
        <f t="shared" si="109"/>
        <v>0</v>
      </c>
      <c r="W83" s="24">
        <f t="shared" si="110"/>
        <v>0</v>
      </c>
      <c r="X83" s="25">
        <f t="shared" si="111"/>
        <v>0</v>
      </c>
      <c r="Y83" s="23">
        <f t="shared" si="112"/>
        <v>0</v>
      </c>
      <c r="Z83" s="24">
        <f t="shared" si="113"/>
        <v>0</v>
      </c>
      <c r="AA83" s="25">
        <f t="shared" si="114"/>
        <v>0</v>
      </c>
      <c r="AB83" s="23">
        <f t="shared" si="115"/>
        <v>0</v>
      </c>
      <c r="AC83" s="24">
        <f t="shared" si="116"/>
        <v>0</v>
      </c>
      <c r="AD83" s="25">
        <f t="shared" si="117"/>
        <v>0</v>
      </c>
      <c r="AE83" s="23">
        <f t="shared" si="118"/>
        <v>0</v>
      </c>
      <c r="AF83" s="24">
        <f t="shared" si="119"/>
        <v>0</v>
      </c>
      <c r="AG83" s="25">
        <f t="shared" si="120"/>
        <v>0</v>
      </c>
      <c r="AH83" s="31"/>
    </row>
    <row r="84" spans="1:34" ht="18" customHeight="1" thickTop="1" thickBot="1" x14ac:dyDescent="0.3">
      <c r="A84" s="27">
        <v>60</v>
      </c>
      <c r="B84" s="28">
        <f t="shared" si="122"/>
        <v>0</v>
      </c>
      <c r="C84" s="60">
        <f t="shared" si="91"/>
        <v>0</v>
      </c>
      <c r="D84" s="23">
        <f t="shared" si="92"/>
        <v>0</v>
      </c>
      <c r="E84" s="24">
        <f t="shared" si="93"/>
        <v>0</v>
      </c>
      <c r="F84" s="25">
        <f t="shared" si="121"/>
        <v>0</v>
      </c>
      <c r="G84" s="23">
        <f t="shared" si="94"/>
        <v>0</v>
      </c>
      <c r="H84" s="24">
        <f t="shared" si="95"/>
        <v>0</v>
      </c>
      <c r="I84" s="25">
        <f t="shared" si="96"/>
        <v>0</v>
      </c>
      <c r="J84" s="23">
        <f t="shared" si="97"/>
        <v>0</v>
      </c>
      <c r="K84" s="24">
        <f t="shared" si="98"/>
        <v>0</v>
      </c>
      <c r="L84" s="25">
        <f t="shared" si="99"/>
        <v>0</v>
      </c>
      <c r="M84" s="23">
        <f t="shared" si="100"/>
        <v>0</v>
      </c>
      <c r="N84" s="24">
        <f t="shared" si="101"/>
        <v>0</v>
      </c>
      <c r="O84" s="25">
        <f t="shared" si="102"/>
        <v>0</v>
      </c>
      <c r="P84" s="23">
        <f t="shared" si="103"/>
        <v>0</v>
      </c>
      <c r="Q84" s="24">
        <f t="shared" si="104"/>
        <v>0</v>
      </c>
      <c r="R84" s="25">
        <f t="shared" si="105"/>
        <v>0</v>
      </c>
      <c r="S84" s="23">
        <f t="shared" si="106"/>
        <v>0</v>
      </c>
      <c r="T84" s="24">
        <f t="shared" si="107"/>
        <v>0</v>
      </c>
      <c r="U84" s="25">
        <f t="shared" si="108"/>
        <v>0</v>
      </c>
      <c r="V84" s="23">
        <f t="shared" si="109"/>
        <v>0</v>
      </c>
      <c r="W84" s="24">
        <f t="shared" si="110"/>
        <v>0</v>
      </c>
      <c r="X84" s="25">
        <f t="shared" si="111"/>
        <v>0</v>
      </c>
      <c r="Y84" s="23">
        <f t="shared" si="112"/>
        <v>0</v>
      </c>
      <c r="Z84" s="24">
        <f t="shared" si="113"/>
        <v>0</v>
      </c>
      <c r="AA84" s="25">
        <f t="shared" si="114"/>
        <v>0</v>
      </c>
      <c r="AB84" s="23">
        <f t="shared" si="115"/>
        <v>0</v>
      </c>
      <c r="AC84" s="24">
        <f t="shared" si="116"/>
        <v>0</v>
      </c>
      <c r="AD84" s="25">
        <f t="shared" si="117"/>
        <v>0</v>
      </c>
      <c r="AE84" s="23">
        <f t="shared" si="118"/>
        <v>0</v>
      </c>
      <c r="AF84" s="24">
        <f t="shared" si="119"/>
        <v>0</v>
      </c>
      <c r="AG84" s="25">
        <f t="shared" si="120"/>
        <v>0</v>
      </c>
      <c r="AH84" s="34"/>
    </row>
    <row r="85" spans="1:34" ht="7.95" customHeight="1" thickTop="1" x14ac:dyDescent="0.25">
      <c r="A85" s="212" t="s">
        <v>2</v>
      </c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</row>
    <row r="86" spans="1:34" x14ac:dyDescent="0.25">
      <c r="A86" s="213"/>
      <c r="B86" s="213"/>
      <c r="C86" s="213" t="s">
        <v>18</v>
      </c>
      <c r="D86" s="213"/>
      <c r="E86" s="213"/>
      <c r="F86" s="214" t="s">
        <v>19</v>
      </c>
      <c r="G86" s="214"/>
      <c r="H86" s="214"/>
      <c r="I86" s="214"/>
      <c r="J86" s="35"/>
      <c r="K86" s="214" t="s">
        <v>20</v>
      </c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35"/>
      <c r="AD86" s="35"/>
      <c r="AE86" s="214" t="s">
        <v>55</v>
      </c>
      <c r="AF86" s="214"/>
      <c r="AG86" s="214"/>
    </row>
    <row r="87" spans="1:34" ht="13.95" customHeight="1" x14ac:dyDescent="0.25">
      <c r="A87" s="214" t="s">
        <v>21</v>
      </c>
      <c r="B87" s="214"/>
      <c r="C87" s="213">
        <f>'الفترة الاولى'!$CA$10</f>
        <v>0</v>
      </c>
      <c r="D87" s="213"/>
      <c r="E87" s="213"/>
      <c r="F87" s="214"/>
      <c r="G87" s="214"/>
      <c r="H87" s="214"/>
      <c r="I87" s="214"/>
      <c r="J87" s="35"/>
      <c r="K87" s="220" t="s">
        <v>52</v>
      </c>
      <c r="L87" s="215"/>
      <c r="M87" s="215"/>
      <c r="N87" s="222" t="str">
        <f>'الفترة الاولى'!$CA$16</f>
        <v>أ. فهيم عبدالمجيد بوازويتة</v>
      </c>
      <c r="O87" s="222"/>
      <c r="P87" s="222"/>
      <c r="Q87" s="222"/>
      <c r="R87" s="222"/>
      <c r="S87" s="222"/>
      <c r="T87" s="222"/>
      <c r="U87" s="215" t="s">
        <v>53</v>
      </c>
      <c r="V87" s="215"/>
      <c r="W87" s="215"/>
      <c r="X87" s="215" t="str">
        <f>'الفترة الاولى'!$C$6</f>
        <v>سهول العلم للتعليم الخاص</v>
      </c>
      <c r="Y87" s="215"/>
      <c r="Z87" s="215"/>
      <c r="AA87" s="215"/>
      <c r="AB87" s="216"/>
      <c r="AC87" s="36"/>
      <c r="AD87" s="36"/>
      <c r="AE87" s="214" t="s">
        <v>2</v>
      </c>
      <c r="AF87" s="214"/>
      <c r="AG87" s="214"/>
    </row>
    <row r="88" spans="1:34" ht="15.6" customHeight="1" x14ac:dyDescent="0.25">
      <c r="A88" s="214" t="s">
        <v>22</v>
      </c>
      <c r="B88" s="214"/>
      <c r="C88" s="213">
        <f>'الفترة الاولى'!$CA$11</f>
        <v>0</v>
      </c>
      <c r="D88" s="213"/>
      <c r="E88" s="213"/>
      <c r="F88" s="214"/>
      <c r="G88" s="214"/>
      <c r="H88" s="214"/>
      <c r="I88" s="214"/>
      <c r="J88" s="35"/>
      <c r="K88" s="217" t="s">
        <v>54</v>
      </c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9"/>
      <c r="AC88" s="37"/>
      <c r="AD88" s="37"/>
      <c r="AE88" s="214"/>
      <c r="AF88" s="214"/>
      <c r="AG88" s="214"/>
    </row>
    <row r="89" spans="1:34" ht="13.95" customHeight="1" x14ac:dyDescent="0.25">
      <c r="A89" s="214" t="s">
        <v>23</v>
      </c>
      <c r="B89" s="214"/>
      <c r="C89" s="213">
        <f>'الفترة الاولى'!$CA$12</f>
        <v>0</v>
      </c>
      <c r="D89" s="213"/>
      <c r="E89" s="213"/>
      <c r="F89" s="214"/>
      <c r="G89" s="214"/>
      <c r="H89" s="214"/>
      <c r="I89" s="214"/>
      <c r="K89" s="220" t="s">
        <v>44</v>
      </c>
      <c r="L89" s="215"/>
      <c r="M89" s="221">
        <f ca="1">TODAY()</f>
        <v>46181</v>
      </c>
      <c r="N89" s="215"/>
      <c r="O89" s="215"/>
      <c r="P89" s="215"/>
      <c r="Q89" s="215"/>
      <c r="R89" s="215"/>
      <c r="S89" s="215"/>
      <c r="T89" s="215" t="s">
        <v>19</v>
      </c>
      <c r="U89" s="215"/>
      <c r="V89" s="215"/>
      <c r="W89" s="215"/>
      <c r="X89" s="215"/>
      <c r="Y89" s="215"/>
      <c r="Z89" s="215"/>
      <c r="AA89" s="215"/>
      <c r="AB89" s="38"/>
      <c r="AC89" s="36"/>
      <c r="AD89" s="36"/>
      <c r="AE89" s="214"/>
      <c r="AF89" s="214"/>
      <c r="AG89" s="214"/>
    </row>
    <row r="90" spans="1:34" ht="14.4" thickBot="1" x14ac:dyDescent="0.3">
      <c r="A90" s="214" t="s">
        <v>24</v>
      </c>
      <c r="B90" s="214"/>
      <c r="C90" s="213">
        <f>'الفترة الاولى'!$CA$13</f>
        <v>0</v>
      </c>
      <c r="D90" s="213"/>
      <c r="E90" s="213"/>
      <c r="F90" s="214"/>
      <c r="G90" s="214"/>
      <c r="H90" s="214"/>
      <c r="I90" s="214"/>
      <c r="K90" s="39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1"/>
      <c r="AC90" s="36"/>
      <c r="AD90" s="36"/>
      <c r="AE90" s="214"/>
      <c r="AF90" s="214"/>
      <c r="AG90" s="214"/>
    </row>
    <row r="91" spans="1:34" ht="6.75" customHeight="1" thickBot="1" x14ac:dyDescent="0.3">
      <c r="A91" s="209"/>
      <c r="B91" s="210"/>
      <c r="C91" s="210"/>
      <c r="D91" s="210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10"/>
      <c r="AF91" s="210"/>
      <c r="AG91" s="210"/>
      <c r="AH91" s="211"/>
    </row>
    <row r="92" spans="1:34" ht="18" customHeight="1" thickBot="1" x14ac:dyDescent="0.3">
      <c r="A92" s="23">
        <v>61</v>
      </c>
      <c r="B92" s="24">
        <f>IFERROR(VLOOKUP(A92,الاسماء,2,0),"")</f>
        <v>0</v>
      </c>
      <c r="C92" s="59">
        <f t="shared" ref="C92:C111" si="123">IFERROR(VLOOKUP(A92,الاسماء,3,0),"")</f>
        <v>0</v>
      </c>
      <c r="D92" s="23">
        <f t="shared" ref="D92:D111" si="124">IFERROR(VLOOKUP($C92,درجات,5,0),0)</f>
        <v>0</v>
      </c>
      <c r="E92" s="24">
        <f t="shared" ref="E92:E111" si="125">IFERROR(VLOOKUP($C92,درجات,43,0),0)</f>
        <v>0</v>
      </c>
      <c r="F92" s="25">
        <f>SUM(D92:E92)</f>
        <v>0</v>
      </c>
      <c r="G92" s="23">
        <f t="shared" ref="G92:G111" si="126">IFERROR(VLOOKUP($C92,درجات,8,0),0)</f>
        <v>0</v>
      </c>
      <c r="H92" s="24">
        <f t="shared" ref="H92:H111" si="127">IFERROR(VLOOKUP($C92,درجات,46,0),0)</f>
        <v>0</v>
      </c>
      <c r="I92" s="25">
        <f t="shared" ref="I92:I111" si="128">SUM(G92:H92)</f>
        <v>0</v>
      </c>
      <c r="J92" s="23">
        <f t="shared" ref="J92:J111" si="129">IFERROR(VLOOKUP($C92,درجات,11,0),0)</f>
        <v>0</v>
      </c>
      <c r="K92" s="24">
        <f t="shared" ref="K92:K111" si="130">IFERROR(VLOOKUP($C92,درجات,49,0),0)</f>
        <v>0</v>
      </c>
      <c r="L92" s="25">
        <f t="shared" ref="L92:L111" si="131">SUM(J92:K92)</f>
        <v>0</v>
      </c>
      <c r="M92" s="23">
        <f t="shared" ref="M92:M111" si="132">IFERROR(VLOOKUP($C92,درجات,14,0),0)</f>
        <v>0</v>
      </c>
      <c r="N92" s="24">
        <f t="shared" ref="N92:N111" si="133">IFERROR(VLOOKUP($C92,درجات,52,0),0)</f>
        <v>0</v>
      </c>
      <c r="O92" s="25">
        <f t="shared" ref="O92:O111" si="134">SUM(M92:N92)</f>
        <v>0</v>
      </c>
      <c r="P92" s="23">
        <f t="shared" ref="P92:P111" si="135">IFERROR(VLOOKUP($C92,درجات,17,0),0)</f>
        <v>0</v>
      </c>
      <c r="Q92" s="24">
        <f t="shared" ref="Q92:Q111" si="136">IFERROR(VLOOKUP($C92,درجات,55,0),0)</f>
        <v>0</v>
      </c>
      <c r="R92" s="25">
        <f t="shared" ref="R92:R111" si="137">SUM(P92:Q92)</f>
        <v>0</v>
      </c>
      <c r="S92" s="23">
        <f t="shared" ref="S92:S111" si="138">IFERROR(VLOOKUP($C92,درجات,20,0),0)</f>
        <v>0</v>
      </c>
      <c r="T92" s="24">
        <f t="shared" ref="T92:T111" si="139">IFERROR(VLOOKUP($C92,درجات,58,0),0)</f>
        <v>0</v>
      </c>
      <c r="U92" s="25">
        <f t="shared" ref="U92:U111" si="140">SUM(S92:T92)</f>
        <v>0</v>
      </c>
      <c r="V92" s="23">
        <f t="shared" ref="V92:V111" si="141">IFERROR(VLOOKUP($C92,درجات,23,0),0)</f>
        <v>0</v>
      </c>
      <c r="W92" s="24">
        <f t="shared" ref="W92:W111" si="142">IFERROR(VLOOKUP($C92,درجات,61,0),0)</f>
        <v>0</v>
      </c>
      <c r="X92" s="25">
        <f t="shared" ref="X92:X111" si="143">SUM(V92:W92)</f>
        <v>0</v>
      </c>
      <c r="Y92" s="23">
        <f t="shared" ref="Y92:Y111" si="144">IFERROR(VLOOKUP($C92,درجات,26,0),0)</f>
        <v>0</v>
      </c>
      <c r="Z92" s="24">
        <f t="shared" ref="Z92:Z111" si="145">IFERROR(VLOOKUP($C92,درجات,64,0),0)</f>
        <v>0</v>
      </c>
      <c r="AA92" s="25">
        <f t="shared" ref="AA92:AA111" si="146">SUM(Y92:Z92)</f>
        <v>0</v>
      </c>
      <c r="AB92" s="23">
        <f t="shared" ref="AB92:AB111" si="147">IFERROR(VLOOKUP($C92,درجات,29,0),0)</f>
        <v>0</v>
      </c>
      <c r="AC92" s="24">
        <f t="shared" ref="AC92:AC111" si="148">IFERROR(VLOOKUP($C92,درجات,67,0),0)</f>
        <v>0</v>
      </c>
      <c r="AD92" s="25">
        <f t="shared" ref="AD92:AD111" si="149">SUM(AB92:AC92)</f>
        <v>0</v>
      </c>
      <c r="AE92" s="23">
        <f t="shared" ref="AE92:AE111" si="150">IFERROR(VLOOKUP($C92,درجات,32,0),0)</f>
        <v>0</v>
      </c>
      <c r="AF92" s="24">
        <f t="shared" ref="AF92:AF111" si="151">IFERROR(VLOOKUP($C92,درجات,70,0),0)</f>
        <v>0</v>
      </c>
      <c r="AG92" s="25">
        <f t="shared" ref="AG92:AG111" si="152">SUM(AE92:AF92)</f>
        <v>0</v>
      </c>
      <c r="AH92" s="26"/>
    </row>
    <row r="93" spans="1:34" ht="18" customHeight="1" thickTop="1" thickBot="1" x14ac:dyDescent="0.3">
      <c r="A93" s="27">
        <v>62</v>
      </c>
      <c r="B93" s="28">
        <f>IFERROR(VLOOKUP(A93,الاسماء,2,0),0)</f>
        <v>0</v>
      </c>
      <c r="C93" s="60">
        <f t="shared" si="123"/>
        <v>0</v>
      </c>
      <c r="D93" s="23">
        <f t="shared" si="124"/>
        <v>0</v>
      </c>
      <c r="E93" s="24">
        <f t="shared" si="125"/>
        <v>0</v>
      </c>
      <c r="F93" s="25">
        <f t="shared" ref="F93:F111" si="153">SUM(D93:E93)</f>
        <v>0</v>
      </c>
      <c r="G93" s="23">
        <f t="shared" si="126"/>
        <v>0</v>
      </c>
      <c r="H93" s="24">
        <f t="shared" si="127"/>
        <v>0</v>
      </c>
      <c r="I93" s="25">
        <f t="shared" si="128"/>
        <v>0</v>
      </c>
      <c r="J93" s="23">
        <f t="shared" si="129"/>
        <v>0</v>
      </c>
      <c r="K93" s="24">
        <f t="shared" si="130"/>
        <v>0</v>
      </c>
      <c r="L93" s="25">
        <f t="shared" si="131"/>
        <v>0</v>
      </c>
      <c r="M93" s="23">
        <f t="shared" si="132"/>
        <v>0</v>
      </c>
      <c r="N93" s="24">
        <f t="shared" si="133"/>
        <v>0</v>
      </c>
      <c r="O93" s="25">
        <f t="shared" si="134"/>
        <v>0</v>
      </c>
      <c r="P93" s="23">
        <f t="shared" si="135"/>
        <v>0</v>
      </c>
      <c r="Q93" s="24">
        <f t="shared" si="136"/>
        <v>0</v>
      </c>
      <c r="R93" s="25">
        <f t="shared" si="137"/>
        <v>0</v>
      </c>
      <c r="S93" s="23">
        <f t="shared" si="138"/>
        <v>0</v>
      </c>
      <c r="T93" s="24">
        <f t="shared" si="139"/>
        <v>0</v>
      </c>
      <c r="U93" s="25">
        <f t="shared" si="140"/>
        <v>0</v>
      </c>
      <c r="V93" s="23">
        <f t="shared" si="141"/>
        <v>0</v>
      </c>
      <c r="W93" s="24">
        <f t="shared" si="142"/>
        <v>0</v>
      </c>
      <c r="X93" s="25">
        <f t="shared" si="143"/>
        <v>0</v>
      </c>
      <c r="Y93" s="23">
        <f t="shared" si="144"/>
        <v>0</v>
      </c>
      <c r="Z93" s="24">
        <f t="shared" si="145"/>
        <v>0</v>
      </c>
      <c r="AA93" s="25">
        <f t="shared" si="146"/>
        <v>0</v>
      </c>
      <c r="AB93" s="23">
        <f t="shared" si="147"/>
        <v>0</v>
      </c>
      <c r="AC93" s="24">
        <f t="shared" si="148"/>
        <v>0</v>
      </c>
      <c r="AD93" s="25">
        <f t="shared" si="149"/>
        <v>0</v>
      </c>
      <c r="AE93" s="23">
        <f t="shared" si="150"/>
        <v>0</v>
      </c>
      <c r="AF93" s="24">
        <f t="shared" si="151"/>
        <v>0</v>
      </c>
      <c r="AG93" s="25">
        <f t="shared" si="152"/>
        <v>0</v>
      </c>
      <c r="AH93" s="29"/>
    </row>
    <row r="94" spans="1:34" ht="18" customHeight="1" thickTop="1" thickBot="1" x14ac:dyDescent="0.3">
      <c r="A94" s="23">
        <v>63</v>
      </c>
      <c r="B94" s="28">
        <f t="shared" ref="B94:B111" si="154">IFERROR(VLOOKUP(A94,الاسماء,2,0),"")</f>
        <v>0</v>
      </c>
      <c r="C94" s="60">
        <f t="shared" si="123"/>
        <v>0</v>
      </c>
      <c r="D94" s="23">
        <f t="shared" si="124"/>
        <v>0</v>
      </c>
      <c r="E94" s="24">
        <f t="shared" si="125"/>
        <v>0</v>
      </c>
      <c r="F94" s="25">
        <f t="shared" si="153"/>
        <v>0</v>
      </c>
      <c r="G94" s="23">
        <f t="shared" si="126"/>
        <v>0</v>
      </c>
      <c r="H94" s="24">
        <f t="shared" si="127"/>
        <v>0</v>
      </c>
      <c r="I94" s="25">
        <f t="shared" si="128"/>
        <v>0</v>
      </c>
      <c r="J94" s="23">
        <f t="shared" si="129"/>
        <v>0</v>
      </c>
      <c r="K94" s="24">
        <f t="shared" si="130"/>
        <v>0</v>
      </c>
      <c r="L94" s="25">
        <f t="shared" si="131"/>
        <v>0</v>
      </c>
      <c r="M94" s="23">
        <f t="shared" si="132"/>
        <v>0</v>
      </c>
      <c r="N94" s="24">
        <f t="shared" si="133"/>
        <v>0</v>
      </c>
      <c r="O94" s="25">
        <f t="shared" si="134"/>
        <v>0</v>
      </c>
      <c r="P94" s="23">
        <f t="shared" si="135"/>
        <v>0</v>
      </c>
      <c r="Q94" s="24">
        <f t="shared" si="136"/>
        <v>0</v>
      </c>
      <c r="R94" s="25">
        <f t="shared" si="137"/>
        <v>0</v>
      </c>
      <c r="S94" s="23">
        <f t="shared" si="138"/>
        <v>0</v>
      </c>
      <c r="T94" s="24">
        <f t="shared" si="139"/>
        <v>0</v>
      </c>
      <c r="U94" s="25">
        <f t="shared" si="140"/>
        <v>0</v>
      </c>
      <c r="V94" s="23">
        <f t="shared" si="141"/>
        <v>0</v>
      </c>
      <c r="W94" s="24">
        <f t="shared" si="142"/>
        <v>0</v>
      </c>
      <c r="X94" s="25">
        <f t="shared" si="143"/>
        <v>0</v>
      </c>
      <c r="Y94" s="23">
        <f t="shared" si="144"/>
        <v>0</v>
      </c>
      <c r="Z94" s="24">
        <f t="shared" si="145"/>
        <v>0</v>
      </c>
      <c r="AA94" s="25">
        <f t="shared" si="146"/>
        <v>0</v>
      </c>
      <c r="AB94" s="23">
        <f t="shared" si="147"/>
        <v>0</v>
      </c>
      <c r="AC94" s="24">
        <f t="shared" si="148"/>
        <v>0</v>
      </c>
      <c r="AD94" s="25">
        <f t="shared" si="149"/>
        <v>0</v>
      </c>
      <c r="AE94" s="23">
        <f t="shared" si="150"/>
        <v>0</v>
      </c>
      <c r="AF94" s="24">
        <f t="shared" si="151"/>
        <v>0</v>
      </c>
      <c r="AG94" s="25">
        <f t="shared" si="152"/>
        <v>0</v>
      </c>
      <c r="AH94" s="30"/>
    </row>
    <row r="95" spans="1:34" ht="18" customHeight="1" thickTop="1" thickBot="1" x14ac:dyDescent="0.3">
      <c r="A95" s="27">
        <v>64</v>
      </c>
      <c r="B95" s="28">
        <f t="shared" si="154"/>
        <v>0</v>
      </c>
      <c r="C95" s="60">
        <f t="shared" si="123"/>
        <v>0</v>
      </c>
      <c r="D95" s="23">
        <f t="shared" si="124"/>
        <v>0</v>
      </c>
      <c r="E95" s="24">
        <f t="shared" si="125"/>
        <v>0</v>
      </c>
      <c r="F95" s="25">
        <f t="shared" si="153"/>
        <v>0</v>
      </c>
      <c r="G95" s="23">
        <f t="shared" si="126"/>
        <v>0</v>
      </c>
      <c r="H95" s="24">
        <f t="shared" si="127"/>
        <v>0</v>
      </c>
      <c r="I95" s="25">
        <f t="shared" si="128"/>
        <v>0</v>
      </c>
      <c r="J95" s="23">
        <f t="shared" si="129"/>
        <v>0</v>
      </c>
      <c r="K95" s="24">
        <f t="shared" si="130"/>
        <v>0</v>
      </c>
      <c r="L95" s="25">
        <f t="shared" si="131"/>
        <v>0</v>
      </c>
      <c r="M95" s="23">
        <f t="shared" si="132"/>
        <v>0</v>
      </c>
      <c r="N95" s="24">
        <f t="shared" si="133"/>
        <v>0</v>
      </c>
      <c r="O95" s="25">
        <f t="shared" si="134"/>
        <v>0</v>
      </c>
      <c r="P95" s="23">
        <f t="shared" si="135"/>
        <v>0</v>
      </c>
      <c r="Q95" s="24">
        <f t="shared" si="136"/>
        <v>0</v>
      </c>
      <c r="R95" s="25">
        <f t="shared" si="137"/>
        <v>0</v>
      </c>
      <c r="S95" s="23">
        <f t="shared" si="138"/>
        <v>0</v>
      </c>
      <c r="T95" s="24">
        <f t="shared" si="139"/>
        <v>0</v>
      </c>
      <c r="U95" s="25">
        <f t="shared" si="140"/>
        <v>0</v>
      </c>
      <c r="V95" s="23">
        <f t="shared" si="141"/>
        <v>0</v>
      </c>
      <c r="W95" s="24">
        <f t="shared" si="142"/>
        <v>0</v>
      </c>
      <c r="X95" s="25">
        <f t="shared" si="143"/>
        <v>0</v>
      </c>
      <c r="Y95" s="23">
        <f t="shared" si="144"/>
        <v>0</v>
      </c>
      <c r="Z95" s="24">
        <f t="shared" si="145"/>
        <v>0</v>
      </c>
      <c r="AA95" s="25">
        <f t="shared" si="146"/>
        <v>0</v>
      </c>
      <c r="AB95" s="23">
        <f t="shared" si="147"/>
        <v>0</v>
      </c>
      <c r="AC95" s="24">
        <f t="shared" si="148"/>
        <v>0</v>
      </c>
      <c r="AD95" s="25">
        <f t="shared" si="149"/>
        <v>0</v>
      </c>
      <c r="AE95" s="23">
        <f t="shared" si="150"/>
        <v>0</v>
      </c>
      <c r="AF95" s="24">
        <f t="shared" si="151"/>
        <v>0</v>
      </c>
      <c r="AG95" s="25">
        <f t="shared" si="152"/>
        <v>0</v>
      </c>
      <c r="AH95" s="30"/>
    </row>
    <row r="96" spans="1:34" ht="18" customHeight="1" thickTop="1" thickBot="1" x14ac:dyDescent="0.3">
      <c r="A96" s="23">
        <v>65</v>
      </c>
      <c r="B96" s="28">
        <f t="shared" si="154"/>
        <v>0</v>
      </c>
      <c r="C96" s="60">
        <f t="shared" si="123"/>
        <v>0</v>
      </c>
      <c r="D96" s="23">
        <f t="shared" si="124"/>
        <v>0</v>
      </c>
      <c r="E96" s="24">
        <f t="shared" si="125"/>
        <v>0</v>
      </c>
      <c r="F96" s="25">
        <f t="shared" si="153"/>
        <v>0</v>
      </c>
      <c r="G96" s="23">
        <f t="shared" si="126"/>
        <v>0</v>
      </c>
      <c r="H96" s="24">
        <f t="shared" si="127"/>
        <v>0</v>
      </c>
      <c r="I96" s="25">
        <f t="shared" si="128"/>
        <v>0</v>
      </c>
      <c r="J96" s="23">
        <f t="shared" si="129"/>
        <v>0</v>
      </c>
      <c r="K96" s="24">
        <f t="shared" si="130"/>
        <v>0</v>
      </c>
      <c r="L96" s="25">
        <f t="shared" si="131"/>
        <v>0</v>
      </c>
      <c r="M96" s="23">
        <f t="shared" si="132"/>
        <v>0</v>
      </c>
      <c r="N96" s="24">
        <f t="shared" si="133"/>
        <v>0</v>
      </c>
      <c r="O96" s="25">
        <f t="shared" si="134"/>
        <v>0</v>
      </c>
      <c r="P96" s="23">
        <f t="shared" si="135"/>
        <v>0</v>
      </c>
      <c r="Q96" s="24">
        <f t="shared" si="136"/>
        <v>0</v>
      </c>
      <c r="R96" s="25">
        <f t="shared" si="137"/>
        <v>0</v>
      </c>
      <c r="S96" s="23">
        <f t="shared" si="138"/>
        <v>0</v>
      </c>
      <c r="T96" s="24">
        <f t="shared" si="139"/>
        <v>0</v>
      </c>
      <c r="U96" s="25">
        <f t="shared" si="140"/>
        <v>0</v>
      </c>
      <c r="V96" s="23">
        <f t="shared" si="141"/>
        <v>0</v>
      </c>
      <c r="W96" s="24">
        <f t="shared" si="142"/>
        <v>0</v>
      </c>
      <c r="X96" s="25">
        <f t="shared" si="143"/>
        <v>0</v>
      </c>
      <c r="Y96" s="23">
        <f t="shared" si="144"/>
        <v>0</v>
      </c>
      <c r="Z96" s="24">
        <f t="shared" si="145"/>
        <v>0</v>
      </c>
      <c r="AA96" s="25">
        <f t="shared" si="146"/>
        <v>0</v>
      </c>
      <c r="AB96" s="23">
        <f t="shared" si="147"/>
        <v>0</v>
      </c>
      <c r="AC96" s="24">
        <f t="shared" si="148"/>
        <v>0</v>
      </c>
      <c r="AD96" s="25">
        <f t="shared" si="149"/>
        <v>0</v>
      </c>
      <c r="AE96" s="23">
        <f t="shared" si="150"/>
        <v>0</v>
      </c>
      <c r="AF96" s="24">
        <f t="shared" si="151"/>
        <v>0</v>
      </c>
      <c r="AG96" s="25">
        <f t="shared" si="152"/>
        <v>0</v>
      </c>
      <c r="AH96" s="30"/>
    </row>
    <row r="97" spans="1:34" ht="18" customHeight="1" thickTop="1" thickBot="1" x14ac:dyDescent="0.3">
      <c r="A97" s="27">
        <v>66</v>
      </c>
      <c r="B97" s="28">
        <f t="shared" si="154"/>
        <v>0</v>
      </c>
      <c r="C97" s="60">
        <f t="shared" si="123"/>
        <v>0</v>
      </c>
      <c r="D97" s="23">
        <f t="shared" si="124"/>
        <v>0</v>
      </c>
      <c r="E97" s="24">
        <f t="shared" si="125"/>
        <v>0</v>
      </c>
      <c r="F97" s="25">
        <f t="shared" si="153"/>
        <v>0</v>
      </c>
      <c r="G97" s="23">
        <f t="shared" si="126"/>
        <v>0</v>
      </c>
      <c r="H97" s="24">
        <f t="shared" si="127"/>
        <v>0</v>
      </c>
      <c r="I97" s="25">
        <f t="shared" si="128"/>
        <v>0</v>
      </c>
      <c r="J97" s="23">
        <f t="shared" si="129"/>
        <v>0</v>
      </c>
      <c r="K97" s="24">
        <f t="shared" si="130"/>
        <v>0</v>
      </c>
      <c r="L97" s="25">
        <f t="shared" si="131"/>
        <v>0</v>
      </c>
      <c r="M97" s="23">
        <f t="shared" si="132"/>
        <v>0</v>
      </c>
      <c r="N97" s="24">
        <f t="shared" si="133"/>
        <v>0</v>
      </c>
      <c r="O97" s="25">
        <f t="shared" si="134"/>
        <v>0</v>
      </c>
      <c r="P97" s="23">
        <f t="shared" si="135"/>
        <v>0</v>
      </c>
      <c r="Q97" s="24">
        <f t="shared" si="136"/>
        <v>0</v>
      </c>
      <c r="R97" s="25">
        <f t="shared" si="137"/>
        <v>0</v>
      </c>
      <c r="S97" s="23">
        <f t="shared" si="138"/>
        <v>0</v>
      </c>
      <c r="T97" s="24">
        <f t="shared" si="139"/>
        <v>0</v>
      </c>
      <c r="U97" s="25">
        <f t="shared" si="140"/>
        <v>0</v>
      </c>
      <c r="V97" s="23">
        <f t="shared" si="141"/>
        <v>0</v>
      </c>
      <c r="W97" s="24">
        <f t="shared" si="142"/>
        <v>0</v>
      </c>
      <c r="X97" s="25">
        <f t="shared" si="143"/>
        <v>0</v>
      </c>
      <c r="Y97" s="23">
        <f t="shared" si="144"/>
        <v>0</v>
      </c>
      <c r="Z97" s="24">
        <f t="shared" si="145"/>
        <v>0</v>
      </c>
      <c r="AA97" s="25">
        <f t="shared" si="146"/>
        <v>0</v>
      </c>
      <c r="AB97" s="23">
        <f t="shared" si="147"/>
        <v>0</v>
      </c>
      <c r="AC97" s="24">
        <f t="shared" si="148"/>
        <v>0</v>
      </c>
      <c r="AD97" s="25">
        <f t="shared" si="149"/>
        <v>0</v>
      </c>
      <c r="AE97" s="23">
        <f t="shared" si="150"/>
        <v>0</v>
      </c>
      <c r="AF97" s="24">
        <f t="shared" si="151"/>
        <v>0</v>
      </c>
      <c r="AG97" s="25">
        <f t="shared" si="152"/>
        <v>0</v>
      </c>
      <c r="AH97" s="31"/>
    </row>
    <row r="98" spans="1:34" ht="18" customHeight="1" thickTop="1" thickBot="1" x14ac:dyDescent="0.3">
      <c r="A98" s="23">
        <v>67</v>
      </c>
      <c r="B98" s="28">
        <f t="shared" si="154"/>
        <v>0</v>
      </c>
      <c r="C98" s="60">
        <f t="shared" si="123"/>
        <v>0</v>
      </c>
      <c r="D98" s="23">
        <f t="shared" si="124"/>
        <v>0</v>
      </c>
      <c r="E98" s="24">
        <f t="shared" si="125"/>
        <v>0</v>
      </c>
      <c r="F98" s="25">
        <f t="shared" si="153"/>
        <v>0</v>
      </c>
      <c r="G98" s="23">
        <f t="shared" si="126"/>
        <v>0</v>
      </c>
      <c r="H98" s="24">
        <f t="shared" si="127"/>
        <v>0</v>
      </c>
      <c r="I98" s="25">
        <f t="shared" si="128"/>
        <v>0</v>
      </c>
      <c r="J98" s="23">
        <f t="shared" si="129"/>
        <v>0</v>
      </c>
      <c r="K98" s="24">
        <f t="shared" si="130"/>
        <v>0</v>
      </c>
      <c r="L98" s="25">
        <f t="shared" si="131"/>
        <v>0</v>
      </c>
      <c r="M98" s="23">
        <f t="shared" si="132"/>
        <v>0</v>
      </c>
      <c r="N98" s="24">
        <f t="shared" si="133"/>
        <v>0</v>
      </c>
      <c r="O98" s="25">
        <f t="shared" si="134"/>
        <v>0</v>
      </c>
      <c r="P98" s="23">
        <f t="shared" si="135"/>
        <v>0</v>
      </c>
      <c r="Q98" s="24">
        <f t="shared" si="136"/>
        <v>0</v>
      </c>
      <c r="R98" s="25">
        <f t="shared" si="137"/>
        <v>0</v>
      </c>
      <c r="S98" s="23">
        <f t="shared" si="138"/>
        <v>0</v>
      </c>
      <c r="T98" s="24">
        <f t="shared" si="139"/>
        <v>0</v>
      </c>
      <c r="U98" s="25">
        <f t="shared" si="140"/>
        <v>0</v>
      </c>
      <c r="V98" s="23">
        <f t="shared" si="141"/>
        <v>0</v>
      </c>
      <c r="W98" s="24">
        <f t="shared" si="142"/>
        <v>0</v>
      </c>
      <c r="X98" s="25">
        <f t="shared" si="143"/>
        <v>0</v>
      </c>
      <c r="Y98" s="23">
        <f t="shared" si="144"/>
        <v>0</v>
      </c>
      <c r="Z98" s="24">
        <f t="shared" si="145"/>
        <v>0</v>
      </c>
      <c r="AA98" s="25">
        <f t="shared" si="146"/>
        <v>0</v>
      </c>
      <c r="AB98" s="23">
        <f t="shared" si="147"/>
        <v>0</v>
      </c>
      <c r="AC98" s="24">
        <f t="shared" si="148"/>
        <v>0</v>
      </c>
      <c r="AD98" s="25">
        <f t="shared" si="149"/>
        <v>0</v>
      </c>
      <c r="AE98" s="23">
        <f t="shared" si="150"/>
        <v>0</v>
      </c>
      <c r="AF98" s="24">
        <f t="shared" si="151"/>
        <v>0</v>
      </c>
      <c r="AG98" s="25">
        <f t="shared" si="152"/>
        <v>0</v>
      </c>
      <c r="AH98" s="32"/>
    </row>
    <row r="99" spans="1:34" ht="18" customHeight="1" thickTop="1" thickBot="1" x14ac:dyDescent="0.3">
      <c r="A99" s="27">
        <v>68</v>
      </c>
      <c r="B99" s="28">
        <f t="shared" si="154"/>
        <v>0</v>
      </c>
      <c r="C99" s="60">
        <f t="shared" si="123"/>
        <v>0</v>
      </c>
      <c r="D99" s="23">
        <f t="shared" si="124"/>
        <v>0</v>
      </c>
      <c r="E99" s="24">
        <f t="shared" si="125"/>
        <v>0</v>
      </c>
      <c r="F99" s="25">
        <f t="shared" si="153"/>
        <v>0</v>
      </c>
      <c r="G99" s="23">
        <f t="shared" si="126"/>
        <v>0</v>
      </c>
      <c r="H99" s="24">
        <f t="shared" si="127"/>
        <v>0</v>
      </c>
      <c r="I99" s="25">
        <f t="shared" si="128"/>
        <v>0</v>
      </c>
      <c r="J99" s="23">
        <f t="shared" si="129"/>
        <v>0</v>
      </c>
      <c r="K99" s="24">
        <f t="shared" si="130"/>
        <v>0</v>
      </c>
      <c r="L99" s="25">
        <f t="shared" si="131"/>
        <v>0</v>
      </c>
      <c r="M99" s="23">
        <f t="shared" si="132"/>
        <v>0</v>
      </c>
      <c r="N99" s="24">
        <f t="shared" si="133"/>
        <v>0</v>
      </c>
      <c r="O99" s="25">
        <f t="shared" si="134"/>
        <v>0</v>
      </c>
      <c r="P99" s="23">
        <f t="shared" si="135"/>
        <v>0</v>
      </c>
      <c r="Q99" s="24">
        <f t="shared" si="136"/>
        <v>0</v>
      </c>
      <c r="R99" s="25">
        <f t="shared" si="137"/>
        <v>0</v>
      </c>
      <c r="S99" s="23">
        <f t="shared" si="138"/>
        <v>0</v>
      </c>
      <c r="T99" s="24">
        <f t="shared" si="139"/>
        <v>0</v>
      </c>
      <c r="U99" s="25">
        <f t="shared" si="140"/>
        <v>0</v>
      </c>
      <c r="V99" s="23">
        <f t="shared" si="141"/>
        <v>0</v>
      </c>
      <c r="W99" s="24">
        <f t="shared" si="142"/>
        <v>0</v>
      </c>
      <c r="X99" s="25">
        <f t="shared" si="143"/>
        <v>0</v>
      </c>
      <c r="Y99" s="23">
        <f t="shared" si="144"/>
        <v>0</v>
      </c>
      <c r="Z99" s="24">
        <f t="shared" si="145"/>
        <v>0</v>
      </c>
      <c r="AA99" s="25">
        <f t="shared" si="146"/>
        <v>0</v>
      </c>
      <c r="AB99" s="23">
        <f t="shared" si="147"/>
        <v>0</v>
      </c>
      <c r="AC99" s="24">
        <f t="shared" si="148"/>
        <v>0</v>
      </c>
      <c r="AD99" s="25">
        <f t="shared" si="149"/>
        <v>0</v>
      </c>
      <c r="AE99" s="23">
        <f t="shared" si="150"/>
        <v>0</v>
      </c>
      <c r="AF99" s="24">
        <f t="shared" si="151"/>
        <v>0</v>
      </c>
      <c r="AG99" s="25">
        <f t="shared" si="152"/>
        <v>0</v>
      </c>
      <c r="AH99" s="29"/>
    </row>
    <row r="100" spans="1:34" ht="18" customHeight="1" thickTop="1" thickBot="1" x14ac:dyDescent="0.3">
      <c r="A100" s="23">
        <v>69</v>
      </c>
      <c r="B100" s="28">
        <f t="shared" si="154"/>
        <v>0</v>
      </c>
      <c r="C100" s="60">
        <f t="shared" si="123"/>
        <v>0</v>
      </c>
      <c r="D100" s="23">
        <f t="shared" si="124"/>
        <v>0</v>
      </c>
      <c r="E100" s="24">
        <f t="shared" si="125"/>
        <v>0</v>
      </c>
      <c r="F100" s="25">
        <f t="shared" si="153"/>
        <v>0</v>
      </c>
      <c r="G100" s="23">
        <f t="shared" si="126"/>
        <v>0</v>
      </c>
      <c r="H100" s="24">
        <f t="shared" si="127"/>
        <v>0</v>
      </c>
      <c r="I100" s="25">
        <f t="shared" si="128"/>
        <v>0</v>
      </c>
      <c r="J100" s="23">
        <f t="shared" si="129"/>
        <v>0</v>
      </c>
      <c r="K100" s="24">
        <f t="shared" si="130"/>
        <v>0</v>
      </c>
      <c r="L100" s="25">
        <f t="shared" si="131"/>
        <v>0</v>
      </c>
      <c r="M100" s="23">
        <f t="shared" si="132"/>
        <v>0</v>
      </c>
      <c r="N100" s="24">
        <f t="shared" si="133"/>
        <v>0</v>
      </c>
      <c r="O100" s="25">
        <f t="shared" si="134"/>
        <v>0</v>
      </c>
      <c r="P100" s="23">
        <f t="shared" si="135"/>
        <v>0</v>
      </c>
      <c r="Q100" s="24">
        <f t="shared" si="136"/>
        <v>0</v>
      </c>
      <c r="R100" s="25">
        <f t="shared" si="137"/>
        <v>0</v>
      </c>
      <c r="S100" s="23">
        <f t="shared" si="138"/>
        <v>0</v>
      </c>
      <c r="T100" s="24">
        <f t="shared" si="139"/>
        <v>0</v>
      </c>
      <c r="U100" s="25">
        <f t="shared" si="140"/>
        <v>0</v>
      </c>
      <c r="V100" s="23">
        <f t="shared" si="141"/>
        <v>0</v>
      </c>
      <c r="W100" s="24">
        <f t="shared" si="142"/>
        <v>0</v>
      </c>
      <c r="X100" s="25">
        <f t="shared" si="143"/>
        <v>0</v>
      </c>
      <c r="Y100" s="23">
        <f t="shared" si="144"/>
        <v>0</v>
      </c>
      <c r="Z100" s="24">
        <f t="shared" si="145"/>
        <v>0</v>
      </c>
      <c r="AA100" s="25">
        <f t="shared" si="146"/>
        <v>0</v>
      </c>
      <c r="AB100" s="23">
        <f t="shared" si="147"/>
        <v>0</v>
      </c>
      <c r="AC100" s="24">
        <f t="shared" si="148"/>
        <v>0</v>
      </c>
      <c r="AD100" s="25">
        <f t="shared" si="149"/>
        <v>0</v>
      </c>
      <c r="AE100" s="23">
        <f t="shared" si="150"/>
        <v>0</v>
      </c>
      <c r="AF100" s="24">
        <f t="shared" si="151"/>
        <v>0</v>
      </c>
      <c r="AG100" s="25">
        <f t="shared" si="152"/>
        <v>0</v>
      </c>
      <c r="AH100" s="31"/>
    </row>
    <row r="101" spans="1:34" ht="18" customHeight="1" thickTop="1" thickBot="1" x14ac:dyDescent="0.3">
      <c r="A101" s="27">
        <v>70</v>
      </c>
      <c r="B101" s="28">
        <f t="shared" si="154"/>
        <v>0</v>
      </c>
      <c r="C101" s="60">
        <f t="shared" si="123"/>
        <v>0</v>
      </c>
      <c r="D101" s="23">
        <f t="shared" si="124"/>
        <v>0</v>
      </c>
      <c r="E101" s="24">
        <f t="shared" si="125"/>
        <v>0</v>
      </c>
      <c r="F101" s="25">
        <f t="shared" si="153"/>
        <v>0</v>
      </c>
      <c r="G101" s="23">
        <f t="shared" si="126"/>
        <v>0</v>
      </c>
      <c r="H101" s="24">
        <f t="shared" si="127"/>
        <v>0</v>
      </c>
      <c r="I101" s="25">
        <f t="shared" si="128"/>
        <v>0</v>
      </c>
      <c r="J101" s="23">
        <f t="shared" si="129"/>
        <v>0</v>
      </c>
      <c r="K101" s="24">
        <f t="shared" si="130"/>
        <v>0</v>
      </c>
      <c r="L101" s="25">
        <f t="shared" si="131"/>
        <v>0</v>
      </c>
      <c r="M101" s="23">
        <f t="shared" si="132"/>
        <v>0</v>
      </c>
      <c r="N101" s="24">
        <f t="shared" si="133"/>
        <v>0</v>
      </c>
      <c r="O101" s="25">
        <f t="shared" si="134"/>
        <v>0</v>
      </c>
      <c r="P101" s="23">
        <f t="shared" si="135"/>
        <v>0</v>
      </c>
      <c r="Q101" s="24">
        <f t="shared" si="136"/>
        <v>0</v>
      </c>
      <c r="R101" s="25">
        <f t="shared" si="137"/>
        <v>0</v>
      </c>
      <c r="S101" s="23">
        <f t="shared" si="138"/>
        <v>0</v>
      </c>
      <c r="T101" s="24">
        <f t="shared" si="139"/>
        <v>0</v>
      </c>
      <c r="U101" s="25">
        <f t="shared" si="140"/>
        <v>0</v>
      </c>
      <c r="V101" s="23">
        <f t="shared" si="141"/>
        <v>0</v>
      </c>
      <c r="W101" s="24">
        <f t="shared" si="142"/>
        <v>0</v>
      </c>
      <c r="X101" s="25">
        <f t="shared" si="143"/>
        <v>0</v>
      </c>
      <c r="Y101" s="23">
        <f t="shared" si="144"/>
        <v>0</v>
      </c>
      <c r="Z101" s="24">
        <f t="shared" si="145"/>
        <v>0</v>
      </c>
      <c r="AA101" s="25">
        <f t="shared" si="146"/>
        <v>0</v>
      </c>
      <c r="AB101" s="23">
        <f t="shared" si="147"/>
        <v>0</v>
      </c>
      <c r="AC101" s="24">
        <f t="shared" si="148"/>
        <v>0</v>
      </c>
      <c r="AD101" s="25">
        <f t="shared" si="149"/>
        <v>0</v>
      </c>
      <c r="AE101" s="23">
        <f t="shared" si="150"/>
        <v>0</v>
      </c>
      <c r="AF101" s="24">
        <f t="shared" si="151"/>
        <v>0</v>
      </c>
      <c r="AG101" s="25">
        <f t="shared" si="152"/>
        <v>0</v>
      </c>
      <c r="AH101" s="33"/>
    </row>
    <row r="102" spans="1:34" ht="18" customHeight="1" thickTop="1" thickBot="1" x14ac:dyDescent="0.3">
      <c r="A102" s="23">
        <v>71</v>
      </c>
      <c r="B102" s="28">
        <f t="shared" si="154"/>
        <v>0</v>
      </c>
      <c r="C102" s="60">
        <f t="shared" si="123"/>
        <v>0</v>
      </c>
      <c r="D102" s="23">
        <f t="shared" si="124"/>
        <v>0</v>
      </c>
      <c r="E102" s="24">
        <f t="shared" si="125"/>
        <v>0</v>
      </c>
      <c r="F102" s="25">
        <f t="shared" si="153"/>
        <v>0</v>
      </c>
      <c r="G102" s="23">
        <f t="shared" si="126"/>
        <v>0</v>
      </c>
      <c r="H102" s="24">
        <f t="shared" si="127"/>
        <v>0</v>
      </c>
      <c r="I102" s="25">
        <f t="shared" si="128"/>
        <v>0</v>
      </c>
      <c r="J102" s="23">
        <f t="shared" si="129"/>
        <v>0</v>
      </c>
      <c r="K102" s="24">
        <f t="shared" si="130"/>
        <v>0</v>
      </c>
      <c r="L102" s="25">
        <f t="shared" si="131"/>
        <v>0</v>
      </c>
      <c r="M102" s="23">
        <f t="shared" si="132"/>
        <v>0</v>
      </c>
      <c r="N102" s="24">
        <f t="shared" si="133"/>
        <v>0</v>
      </c>
      <c r="O102" s="25">
        <f t="shared" si="134"/>
        <v>0</v>
      </c>
      <c r="P102" s="23">
        <f t="shared" si="135"/>
        <v>0</v>
      </c>
      <c r="Q102" s="24">
        <f t="shared" si="136"/>
        <v>0</v>
      </c>
      <c r="R102" s="25">
        <f t="shared" si="137"/>
        <v>0</v>
      </c>
      <c r="S102" s="23">
        <f t="shared" si="138"/>
        <v>0</v>
      </c>
      <c r="T102" s="24">
        <f t="shared" si="139"/>
        <v>0</v>
      </c>
      <c r="U102" s="25">
        <f t="shared" si="140"/>
        <v>0</v>
      </c>
      <c r="V102" s="23">
        <f t="shared" si="141"/>
        <v>0</v>
      </c>
      <c r="W102" s="24">
        <f t="shared" si="142"/>
        <v>0</v>
      </c>
      <c r="X102" s="25">
        <f t="shared" si="143"/>
        <v>0</v>
      </c>
      <c r="Y102" s="23">
        <f t="shared" si="144"/>
        <v>0</v>
      </c>
      <c r="Z102" s="24">
        <f t="shared" si="145"/>
        <v>0</v>
      </c>
      <c r="AA102" s="25">
        <f t="shared" si="146"/>
        <v>0</v>
      </c>
      <c r="AB102" s="23">
        <f t="shared" si="147"/>
        <v>0</v>
      </c>
      <c r="AC102" s="24">
        <f t="shared" si="148"/>
        <v>0</v>
      </c>
      <c r="AD102" s="25">
        <f t="shared" si="149"/>
        <v>0</v>
      </c>
      <c r="AE102" s="23">
        <f t="shared" si="150"/>
        <v>0</v>
      </c>
      <c r="AF102" s="24">
        <f t="shared" si="151"/>
        <v>0</v>
      </c>
      <c r="AG102" s="25">
        <f t="shared" si="152"/>
        <v>0</v>
      </c>
      <c r="AH102" s="29"/>
    </row>
    <row r="103" spans="1:34" ht="18" customHeight="1" thickTop="1" thickBot="1" x14ac:dyDescent="0.3">
      <c r="A103" s="27">
        <v>72</v>
      </c>
      <c r="B103" s="28">
        <f t="shared" si="154"/>
        <v>0</v>
      </c>
      <c r="C103" s="60">
        <f t="shared" si="123"/>
        <v>0</v>
      </c>
      <c r="D103" s="23">
        <f t="shared" si="124"/>
        <v>0</v>
      </c>
      <c r="E103" s="24">
        <f t="shared" si="125"/>
        <v>0</v>
      </c>
      <c r="F103" s="25">
        <f t="shared" si="153"/>
        <v>0</v>
      </c>
      <c r="G103" s="23">
        <f t="shared" si="126"/>
        <v>0</v>
      </c>
      <c r="H103" s="24">
        <f t="shared" si="127"/>
        <v>0</v>
      </c>
      <c r="I103" s="25">
        <f t="shared" si="128"/>
        <v>0</v>
      </c>
      <c r="J103" s="23">
        <f t="shared" si="129"/>
        <v>0</v>
      </c>
      <c r="K103" s="24">
        <f t="shared" si="130"/>
        <v>0</v>
      </c>
      <c r="L103" s="25">
        <f t="shared" si="131"/>
        <v>0</v>
      </c>
      <c r="M103" s="23">
        <f t="shared" si="132"/>
        <v>0</v>
      </c>
      <c r="N103" s="24">
        <f t="shared" si="133"/>
        <v>0</v>
      </c>
      <c r="O103" s="25">
        <f t="shared" si="134"/>
        <v>0</v>
      </c>
      <c r="P103" s="23">
        <f t="shared" si="135"/>
        <v>0</v>
      </c>
      <c r="Q103" s="24">
        <f t="shared" si="136"/>
        <v>0</v>
      </c>
      <c r="R103" s="25">
        <f t="shared" si="137"/>
        <v>0</v>
      </c>
      <c r="S103" s="23">
        <f t="shared" si="138"/>
        <v>0</v>
      </c>
      <c r="T103" s="24">
        <f t="shared" si="139"/>
        <v>0</v>
      </c>
      <c r="U103" s="25">
        <f t="shared" si="140"/>
        <v>0</v>
      </c>
      <c r="V103" s="23">
        <f t="shared" si="141"/>
        <v>0</v>
      </c>
      <c r="W103" s="24">
        <f t="shared" si="142"/>
        <v>0</v>
      </c>
      <c r="X103" s="25">
        <f t="shared" si="143"/>
        <v>0</v>
      </c>
      <c r="Y103" s="23">
        <f t="shared" si="144"/>
        <v>0</v>
      </c>
      <c r="Z103" s="24">
        <f t="shared" si="145"/>
        <v>0</v>
      </c>
      <c r="AA103" s="25">
        <f t="shared" si="146"/>
        <v>0</v>
      </c>
      <c r="AB103" s="23">
        <f t="shared" si="147"/>
        <v>0</v>
      </c>
      <c r="AC103" s="24">
        <f t="shared" si="148"/>
        <v>0</v>
      </c>
      <c r="AD103" s="25">
        <f t="shared" si="149"/>
        <v>0</v>
      </c>
      <c r="AE103" s="23">
        <f t="shared" si="150"/>
        <v>0</v>
      </c>
      <c r="AF103" s="24">
        <f t="shared" si="151"/>
        <v>0</v>
      </c>
      <c r="AG103" s="25">
        <f t="shared" si="152"/>
        <v>0</v>
      </c>
      <c r="AH103" s="31"/>
    </row>
    <row r="104" spans="1:34" ht="18" customHeight="1" thickTop="1" thickBot="1" x14ac:dyDescent="0.3">
      <c r="A104" s="23">
        <v>73</v>
      </c>
      <c r="B104" s="28">
        <f t="shared" si="154"/>
        <v>0</v>
      </c>
      <c r="C104" s="60">
        <f t="shared" si="123"/>
        <v>0</v>
      </c>
      <c r="D104" s="23">
        <f t="shared" si="124"/>
        <v>0</v>
      </c>
      <c r="E104" s="24">
        <f t="shared" si="125"/>
        <v>0</v>
      </c>
      <c r="F104" s="25">
        <f t="shared" si="153"/>
        <v>0</v>
      </c>
      <c r="G104" s="23">
        <f t="shared" si="126"/>
        <v>0</v>
      </c>
      <c r="H104" s="24">
        <f t="shared" si="127"/>
        <v>0</v>
      </c>
      <c r="I104" s="25">
        <f t="shared" si="128"/>
        <v>0</v>
      </c>
      <c r="J104" s="23">
        <f t="shared" si="129"/>
        <v>0</v>
      </c>
      <c r="K104" s="24">
        <f t="shared" si="130"/>
        <v>0</v>
      </c>
      <c r="L104" s="25">
        <f t="shared" si="131"/>
        <v>0</v>
      </c>
      <c r="M104" s="23">
        <f t="shared" si="132"/>
        <v>0</v>
      </c>
      <c r="N104" s="24">
        <f t="shared" si="133"/>
        <v>0</v>
      </c>
      <c r="O104" s="25">
        <f t="shared" si="134"/>
        <v>0</v>
      </c>
      <c r="P104" s="23">
        <f t="shared" si="135"/>
        <v>0</v>
      </c>
      <c r="Q104" s="24">
        <f t="shared" si="136"/>
        <v>0</v>
      </c>
      <c r="R104" s="25">
        <f t="shared" si="137"/>
        <v>0</v>
      </c>
      <c r="S104" s="23">
        <f t="shared" si="138"/>
        <v>0</v>
      </c>
      <c r="T104" s="24">
        <f t="shared" si="139"/>
        <v>0</v>
      </c>
      <c r="U104" s="25">
        <f t="shared" si="140"/>
        <v>0</v>
      </c>
      <c r="V104" s="23">
        <f t="shared" si="141"/>
        <v>0</v>
      </c>
      <c r="W104" s="24">
        <f t="shared" si="142"/>
        <v>0</v>
      </c>
      <c r="X104" s="25">
        <f t="shared" si="143"/>
        <v>0</v>
      </c>
      <c r="Y104" s="23">
        <f t="shared" si="144"/>
        <v>0</v>
      </c>
      <c r="Z104" s="24">
        <f t="shared" si="145"/>
        <v>0</v>
      </c>
      <c r="AA104" s="25">
        <f t="shared" si="146"/>
        <v>0</v>
      </c>
      <c r="AB104" s="23">
        <f t="shared" si="147"/>
        <v>0</v>
      </c>
      <c r="AC104" s="24">
        <f t="shared" si="148"/>
        <v>0</v>
      </c>
      <c r="AD104" s="25">
        <f t="shared" si="149"/>
        <v>0</v>
      </c>
      <c r="AE104" s="23">
        <f t="shared" si="150"/>
        <v>0</v>
      </c>
      <c r="AF104" s="24">
        <f t="shared" si="151"/>
        <v>0</v>
      </c>
      <c r="AG104" s="25">
        <f t="shared" si="152"/>
        <v>0</v>
      </c>
      <c r="AH104" s="33"/>
    </row>
    <row r="105" spans="1:34" ht="18" customHeight="1" thickTop="1" thickBot="1" x14ac:dyDescent="0.3">
      <c r="A105" s="27">
        <v>74</v>
      </c>
      <c r="B105" s="28">
        <f t="shared" si="154"/>
        <v>0</v>
      </c>
      <c r="C105" s="60">
        <f t="shared" si="123"/>
        <v>0</v>
      </c>
      <c r="D105" s="23">
        <f t="shared" si="124"/>
        <v>0</v>
      </c>
      <c r="E105" s="24">
        <f t="shared" si="125"/>
        <v>0</v>
      </c>
      <c r="F105" s="25">
        <f t="shared" si="153"/>
        <v>0</v>
      </c>
      <c r="G105" s="23">
        <f t="shared" si="126"/>
        <v>0</v>
      </c>
      <c r="H105" s="24">
        <f t="shared" si="127"/>
        <v>0</v>
      </c>
      <c r="I105" s="25">
        <f t="shared" si="128"/>
        <v>0</v>
      </c>
      <c r="J105" s="23">
        <f t="shared" si="129"/>
        <v>0</v>
      </c>
      <c r="K105" s="24">
        <f t="shared" si="130"/>
        <v>0</v>
      </c>
      <c r="L105" s="25">
        <f t="shared" si="131"/>
        <v>0</v>
      </c>
      <c r="M105" s="23">
        <f t="shared" si="132"/>
        <v>0</v>
      </c>
      <c r="N105" s="24">
        <f t="shared" si="133"/>
        <v>0</v>
      </c>
      <c r="O105" s="25">
        <f t="shared" si="134"/>
        <v>0</v>
      </c>
      <c r="P105" s="23">
        <f t="shared" si="135"/>
        <v>0</v>
      </c>
      <c r="Q105" s="24">
        <f t="shared" si="136"/>
        <v>0</v>
      </c>
      <c r="R105" s="25">
        <f t="shared" si="137"/>
        <v>0</v>
      </c>
      <c r="S105" s="23">
        <f t="shared" si="138"/>
        <v>0</v>
      </c>
      <c r="T105" s="24">
        <f t="shared" si="139"/>
        <v>0</v>
      </c>
      <c r="U105" s="25">
        <f t="shared" si="140"/>
        <v>0</v>
      </c>
      <c r="V105" s="23">
        <f t="shared" si="141"/>
        <v>0</v>
      </c>
      <c r="W105" s="24">
        <f t="shared" si="142"/>
        <v>0</v>
      </c>
      <c r="X105" s="25">
        <f t="shared" si="143"/>
        <v>0</v>
      </c>
      <c r="Y105" s="23">
        <f t="shared" si="144"/>
        <v>0</v>
      </c>
      <c r="Z105" s="24">
        <f t="shared" si="145"/>
        <v>0</v>
      </c>
      <c r="AA105" s="25">
        <f t="shared" si="146"/>
        <v>0</v>
      </c>
      <c r="AB105" s="23">
        <f t="shared" si="147"/>
        <v>0</v>
      </c>
      <c r="AC105" s="24">
        <f t="shared" si="148"/>
        <v>0</v>
      </c>
      <c r="AD105" s="25">
        <f t="shared" si="149"/>
        <v>0</v>
      </c>
      <c r="AE105" s="23">
        <f t="shared" si="150"/>
        <v>0</v>
      </c>
      <c r="AF105" s="24">
        <f t="shared" si="151"/>
        <v>0</v>
      </c>
      <c r="AG105" s="25">
        <f t="shared" si="152"/>
        <v>0</v>
      </c>
      <c r="AH105" s="29"/>
    </row>
    <row r="106" spans="1:34" ht="18" customHeight="1" thickTop="1" thickBot="1" x14ac:dyDescent="0.3">
      <c r="A106" s="23">
        <v>75</v>
      </c>
      <c r="B106" s="28">
        <f t="shared" si="154"/>
        <v>0</v>
      </c>
      <c r="C106" s="60">
        <f t="shared" si="123"/>
        <v>0</v>
      </c>
      <c r="D106" s="23">
        <f t="shared" si="124"/>
        <v>0</v>
      </c>
      <c r="E106" s="24">
        <f t="shared" si="125"/>
        <v>0</v>
      </c>
      <c r="F106" s="25">
        <f t="shared" si="153"/>
        <v>0</v>
      </c>
      <c r="G106" s="23">
        <f t="shared" si="126"/>
        <v>0</v>
      </c>
      <c r="H106" s="24">
        <f t="shared" si="127"/>
        <v>0</v>
      </c>
      <c r="I106" s="25">
        <f t="shared" si="128"/>
        <v>0</v>
      </c>
      <c r="J106" s="23">
        <f t="shared" si="129"/>
        <v>0</v>
      </c>
      <c r="K106" s="24">
        <f t="shared" si="130"/>
        <v>0</v>
      </c>
      <c r="L106" s="25">
        <f t="shared" si="131"/>
        <v>0</v>
      </c>
      <c r="M106" s="23">
        <f t="shared" si="132"/>
        <v>0</v>
      </c>
      <c r="N106" s="24">
        <f t="shared" si="133"/>
        <v>0</v>
      </c>
      <c r="O106" s="25">
        <f t="shared" si="134"/>
        <v>0</v>
      </c>
      <c r="P106" s="23">
        <f t="shared" si="135"/>
        <v>0</v>
      </c>
      <c r="Q106" s="24">
        <f t="shared" si="136"/>
        <v>0</v>
      </c>
      <c r="R106" s="25">
        <f t="shared" si="137"/>
        <v>0</v>
      </c>
      <c r="S106" s="23">
        <f t="shared" si="138"/>
        <v>0</v>
      </c>
      <c r="T106" s="24">
        <f t="shared" si="139"/>
        <v>0</v>
      </c>
      <c r="U106" s="25">
        <f t="shared" si="140"/>
        <v>0</v>
      </c>
      <c r="V106" s="23">
        <f t="shared" si="141"/>
        <v>0</v>
      </c>
      <c r="W106" s="24">
        <f t="shared" si="142"/>
        <v>0</v>
      </c>
      <c r="X106" s="25">
        <f t="shared" si="143"/>
        <v>0</v>
      </c>
      <c r="Y106" s="23">
        <f t="shared" si="144"/>
        <v>0</v>
      </c>
      <c r="Z106" s="24">
        <f t="shared" si="145"/>
        <v>0</v>
      </c>
      <c r="AA106" s="25">
        <f t="shared" si="146"/>
        <v>0</v>
      </c>
      <c r="AB106" s="23">
        <f t="shared" si="147"/>
        <v>0</v>
      </c>
      <c r="AC106" s="24">
        <f t="shared" si="148"/>
        <v>0</v>
      </c>
      <c r="AD106" s="25">
        <f t="shared" si="149"/>
        <v>0</v>
      </c>
      <c r="AE106" s="23">
        <f t="shared" si="150"/>
        <v>0</v>
      </c>
      <c r="AF106" s="24">
        <f t="shared" si="151"/>
        <v>0</v>
      </c>
      <c r="AG106" s="25">
        <f t="shared" si="152"/>
        <v>0</v>
      </c>
      <c r="AH106" s="31"/>
    </row>
    <row r="107" spans="1:34" ht="18" customHeight="1" thickTop="1" thickBot="1" x14ac:dyDescent="0.3">
      <c r="A107" s="27">
        <v>76</v>
      </c>
      <c r="B107" s="28">
        <f t="shared" si="154"/>
        <v>0</v>
      </c>
      <c r="C107" s="60">
        <f t="shared" si="123"/>
        <v>0</v>
      </c>
      <c r="D107" s="23">
        <f t="shared" si="124"/>
        <v>0</v>
      </c>
      <c r="E107" s="24">
        <f t="shared" si="125"/>
        <v>0</v>
      </c>
      <c r="F107" s="25">
        <f t="shared" si="153"/>
        <v>0</v>
      </c>
      <c r="G107" s="23">
        <f t="shared" si="126"/>
        <v>0</v>
      </c>
      <c r="H107" s="24">
        <f t="shared" si="127"/>
        <v>0</v>
      </c>
      <c r="I107" s="25">
        <f t="shared" si="128"/>
        <v>0</v>
      </c>
      <c r="J107" s="23">
        <f t="shared" si="129"/>
        <v>0</v>
      </c>
      <c r="K107" s="24">
        <f t="shared" si="130"/>
        <v>0</v>
      </c>
      <c r="L107" s="25">
        <f t="shared" si="131"/>
        <v>0</v>
      </c>
      <c r="M107" s="23">
        <f t="shared" si="132"/>
        <v>0</v>
      </c>
      <c r="N107" s="24">
        <f t="shared" si="133"/>
        <v>0</v>
      </c>
      <c r="O107" s="25">
        <f t="shared" si="134"/>
        <v>0</v>
      </c>
      <c r="P107" s="23">
        <f t="shared" si="135"/>
        <v>0</v>
      </c>
      <c r="Q107" s="24">
        <f t="shared" si="136"/>
        <v>0</v>
      </c>
      <c r="R107" s="25">
        <f t="shared" si="137"/>
        <v>0</v>
      </c>
      <c r="S107" s="23">
        <f t="shared" si="138"/>
        <v>0</v>
      </c>
      <c r="T107" s="24">
        <f t="shared" si="139"/>
        <v>0</v>
      </c>
      <c r="U107" s="25">
        <f t="shared" si="140"/>
        <v>0</v>
      </c>
      <c r="V107" s="23">
        <f t="shared" si="141"/>
        <v>0</v>
      </c>
      <c r="W107" s="24">
        <f t="shared" si="142"/>
        <v>0</v>
      </c>
      <c r="X107" s="25">
        <f t="shared" si="143"/>
        <v>0</v>
      </c>
      <c r="Y107" s="23">
        <f t="shared" si="144"/>
        <v>0</v>
      </c>
      <c r="Z107" s="24">
        <f t="shared" si="145"/>
        <v>0</v>
      </c>
      <c r="AA107" s="25">
        <f t="shared" si="146"/>
        <v>0</v>
      </c>
      <c r="AB107" s="23">
        <f t="shared" si="147"/>
        <v>0</v>
      </c>
      <c r="AC107" s="24">
        <f t="shared" si="148"/>
        <v>0</v>
      </c>
      <c r="AD107" s="25">
        <f t="shared" si="149"/>
        <v>0</v>
      </c>
      <c r="AE107" s="23">
        <f t="shared" si="150"/>
        <v>0</v>
      </c>
      <c r="AF107" s="24">
        <f t="shared" si="151"/>
        <v>0</v>
      </c>
      <c r="AG107" s="25">
        <f t="shared" si="152"/>
        <v>0</v>
      </c>
      <c r="AH107" s="29"/>
    </row>
    <row r="108" spans="1:34" ht="18" customHeight="1" thickTop="1" thickBot="1" x14ac:dyDescent="0.3">
      <c r="A108" s="23">
        <v>77</v>
      </c>
      <c r="B108" s="28">
        <f t="shared" si="154"/>
        <v>0</v>
      </c>
      <c r="C108" s="60">
        <f t="shared" si="123"/>
        <v>0</v>
      </c>
      <c r="D108" s="23">
        <f t="shared" si="124"/>
        <v>0</v>
      </c>
      <c r="E108" s="24">
        <f t="shared" si="125"/>
        <v>0</v>
      </c>
      <c r="F108" s="25">
        <f t="shared" si="153"/>
        <v>0</v>
      </c>
      <c r="G108" s="23">
        <f t="shared" si="126"/>
        <v>0</v>
      </c>
      <c r="H108" s="24">
        <f t="shared" si="127"/>
        <v>0</v>
      </c>
      <c r="I108" s="25">
        <f t="shared" si="128"/>
        <v>0</v>
      </c>
      <c r="J108" s="23">
        <f t="shared" si="129"/>
        <v>0</v>
      </c>
      <c r="K108" s="24">
        <f t="shared" si="130"/>
        <v>0</v>
      </c>
      <c r="L108" s="25">
        <f t="shared" si="131"/>
        <v>0</v>
      </c>
      <c r="M108" s="23">
        <f t="shared" si="132"/>
        <v>0</v>
      </c>
      <c r="N108" s="24">
        <f t="shared" si="133"/>
        <v>0</v>
      </c>
      <c r="O108" s="25">
        <f t="shared" si="134"/>
        <v>0</v>
      </c>
      <c r="P108" s="23">
        <f t="shared" si="135"/>
        <v>0</v>
      </c>
      <c r="Q108" s="24">
        <f t="shared" si="136"/>
        <v>0</v>
      </c>
      <c r="R108" s="25">
        <f t="shared" si="137"/>
        <v>0</v>
      </c>
      <c r="S108" s="23">
        <f t="shared" si="138"/>
        <v>0</v>
      </c>
      <c r="T108" s="24">
        <f t="shared" si="139"/>
        <v>0</v>
      </c>
      <c r="U108" s="25">
        <f t="shared" si="140"/>
        <v>0</v>
      </c>
      <c r="V108" s="23">
        <f t="shared" si="141"/>
        <v>0</v>
      </c>
      <c r="W108" s="24">
        <f t="shared" si="142"/>
        <v>0</v>
      </c>
      <c r="X108" s="25">
        <f t="shared" si="143"/>
        <v>0</v>
      </c>
      <c r="Y108" s="23">
        <f t="shared" si="144"/>
        <v>0</v>
      </c>
      <c r="Z108" s="24">
        <f t="shared" si="145"/>
        <v>0</v>
      </c>
      <c r="AA108" s="25">
        <f t="shared" si="146"/>
        <v>0</v>
      </c>
      <c r="AB108" s="23">
        <f t="shared" si="147"/>
        <v>0</v>
      </c>
      <c r="AC108" s="24">
        <f t="shared" si="148"/>
        <v>0</v>
      </c>
      <c r="AD108" s="25">
        <f t="shared" si="149"/>
        <v>0</v>
      </c>
      <c r="AE108" s="23">
        <f t="shared" si="150"/>
        <v>0</v>
      </c>
      <c r="AF108" s="24">
        <f t="shared" si="151"/>
        <v>0</v>
      </c>
      <c r="AG108" s="25">
        <f t="shared" si="152"/>
        <v>0</v>
      </c>
      <c r="AH108" s="31"/>
    </row>
    <row r="109" spans="1:34" ht="18" customHeight="1" thickTop="1" thickBot="1" x14ac:dyDescent="0.3">
      <c r="A109" s="27">
        <v>78</v>
      </c>
      <c r="B109" s="28">
        <f t="shared" si="154"/>
        <v>0</v>
      </c>
      <c r="C109" s="60">
        <f t="shared" si="123"/>
        <v>0</v>
      </c>
      <c r="D109" s="23">
        <f t="shared" si="124"/>
        <v>0</v>
      </c>
      <c r="E109" s="24">
        <f t="shared" si="125"/>
        <v>0</v>
      </c>
      <c r="F109" s="25">
        <f t="shared" si="153"/>
        <v>0</v>
      </c>
      <c r="G109" s="23">
        <f t="shared" si="126"/>
        <v>0</v>
      </c>
      <c r="H109" s="24">
        <f t="shared" si="127"/>
        <v>0</v>
      </c>
      <c r="I109" s="25">
        <f t="shared" si="128"/>
        <v>0</v>
      </c>
      <c r="J109" s="23">
        <f t="shared" si="129"/>
        <v>0</v>
      </c>
      <c r="K109" s="24">
        <f t="shared" si="130"/>
        <v>0</v>
      </c>
      <c r="L109" s="25">
        <f t="shared" si="131"/>
        <v>0</v>
      </c>
      <c r="M109" s="23">
        <f t="shared" si="132"/>
        <v>0</v>
      </c>
      <c r="N109" s="24">
        <f t="shared" si="133"/>
        <v>0</v>
      </c>
      <c r="O109" s="25">
        <f t="shared" si="134"/>
        <v>0</v>
      </c>
      <c r="P109" s="23">
        <f t="shared" si="135"/>
        <v>0</v>
      </c>
      <c r="Q109" s="24">
        <f t="shared" si="136"/>
        <v>0</v>
      </c>
      <c r="R109" s="25">
        <f t="shared" si="137"/>
        <v>0</v>
      </c>
      <c r="S109" s="23">
        <f t="shared" si="138"/>
        <v>0</v>
      </c>
      <c r="T109" s="24">
        <f t="shared" si="139"/>
        <v>0</v>
      </c>
      <c r="U109" s="25">
        <f t="shared" si="140"/>
        <v>0</v>
      </c>
      <c r="V109" s="23">
        <f t="shared" si="141"/>
        <v>0</v>
      </c>
      <c r="W109" s="24">
        <f t="shared" si="142"/>
        <v>0</v>
      </c>
      <c r="X109" s="25">
        <f t="shared" si="143"/>
        <v>0</v>
      </c>
      <c r="Y109" s="23">
        <f t="shared" si="144"/>
        <v>0</v>
      </c>
      <c r="Z109" s="24">
        <f t="shared" si="145"/>
        <v>0</v>
      </c>
      <c r="AA109" s="25">
        <f t="shared" si="146"/>
        <v>0</v>
      </c>
      <c r="AB109" s="23">
        <f t="shared" si="147"/>
        <v>0</v>
      </c>
      <c r="AC109" s="24">
        <f t="shared" si="148"/>
        <v>0</v>
      </c>
      <c r="AD109" s="25">
        <f t="shared" si="149"/>
        <v>0</v>
      </c>
      <c r="AE109" s="23">
        <f t="shared" si="150"/>
        <v>0</v>
      </c>
      <c r="AF109" s="24">
        <f t="shared" si="151"/>
        <v>0</v>
      </c>
      <c r="AG109" s="25">
        <f t="shared" si="152"/>
        <v>0</v>
      </c>
      <c r="AH109" s="31"/>
    </row>
    <row r="110" spans="1:34" ht="18" customHeight="1" thickTop="1" thickBot="1" x14ac:dyDescent="0.3">
      <c r="A110" s="23">
        <v>79</v>
      </c>
      <c r="B110" s="28">
        <f t="shared" si="154"/>
        <v>0</v>
      </c>
      <c r="C110" s="60">
        <f t="shared" si="123"/>
        <v>0</v>
      </c>
      <c r="D110" s="23">
        <f t="shared" si="124"/>
        <v>0</v>
      </c>
      <c r="E110" s="24">
        <f t="shared" si="125"/>
        <v>0</v>
      </c>
      <c r="F110" s="25">
        <f t="shared" si="153"/>
        <v>0</v>
      </c>
      <c r="G110" s="23">
        <f t="shared" si="126"/>
        <v>0</v>
      </c>
      <c r="H110" s="24">
        <f t="shared" si="127"/>
        <v>0</v>
      </c>
      <c r="I110" s="25">
        <f t="shared" si="128"/>
        <v>0</v>
      </c>
      <c r="J110" s="23">
        <f t="shared" si="129"/>
        <v>0</v>
      </c>
      <c r="K110" s="24">
        <f t="shared" si="130"/>
        <v>0</v>
      </c>
      <c r="L110" s="25">
        <f t="shared" si="131"/>
        <v>0</v>
      </c>
      <c r="M110" s="23">
        <f t="shared" si="132"/>
        <v>0</v>
      </c>
      <c r="N110" s="24">
        <f t="shared" si="133"/>
        <v>0</v>
      </c>
      <c r="O110" s="25">
        <f t="shared" si="134"/>
        <v>0</v>
      </c>
      <c r="P110" s="23">
        <f t="shared" si="135"/>
        <v>0</v>
      </c>
      <c r="Q110" s="24">
        <f t="shared" si="136"/>
        <v>0</v>
      </c>
      <c r="R110" s="25">
        <f t="shared" si="137"/>
        <v>0</v>
      </c>
      <c r="S110" s="23">
        <f t="shared" si="138"/>
        <v>0</v>
      </c>
      <c r="T110" s="24">
        <f t="shared" si="139"/>
        <v>0</v>
      </c>
      <c r="U110" s="25">
        <f t="shared" si="140"/>
        <v>0</v>
      </c>
      <c r="V110" s="23">
        <f t="shared" si="141"/>
        <v>0</v>
      </c>
      <c r="W110" s="24">
        <f t="shared" si="142"/>
        <v>0</v>
      </c>
      <c r="X110" s="25">
        <f t="shared" si="143"/>
        <v>0</v>
      </c>
      <c r="Y110" s="23">
        <f t="shared" si="144"/>
        <v>0</v>
      </c>
      <c r="Z110" s="24">
        <f t="shared" si="145"/>
        <v>0</v>
      </c>
      <c r="AA110" s="25">
        <f t="shared" si="146"/>
        <v>0</v>
      </c>
      <c r="AB110" s="23">
        <f t="shared" si="147"/>
        <v>0</v>
      </c>
      <c r="AC110" s="24">
        <f t="shared" si="148"/>
        <v>0</v>
      </c>
      <c r="AD110" s="25">
        <f t="shared" si="149"/>
        <v>0</v>
      </c>
      <c r="AE110" s="23">
        <f t="shared" si="150"/>
        <v>0</v>
      </c>
      <c r="AF110" s="24">
        <f t="shared" si="151"/>
        <v>0</v>
      </c>
      <c r="AG110" s="25">
        <f t="shared" si="152"/>
        <v>0</v>
      </c>
      <c r="AH110" s="31"/>
    </row>
    <row r="111" spans="1:34" ht="18" customHeight="1" thickTop="1" thickBot="1" x14ac:dyDescent="0.3">
      <c r="A111" s="27">
        <v>80</v>
      </c>
      <c r="B111" s="28">
        <f t="shared" si="154"/>
        <v>0</v>
      </c>
      <c r="C111" s="60">
        <f t="shared" si="123"/>
        <v>0</v>
      </c>
      <c r="D111" s="23">
        <f t="shared" si="124"/>
        <v>0</v>
      </c>
      <c r="E111" s="24">
        <f t="shared" si="125"/>
        <v>0</v>
      </c>
      <c r="F111" s="25">
        <f t="shared" si="153"/>
        <v>0</v>
      </c>
      <c r="G111" s="23">
        <f t="shared" si="126"/>
        <v>0</v>
      </c>
      <c r="H111" s="24">
        <f t="shared" si="127"/>
        <v>0</v>
      </c>
      <c r="I111" s="25">
        <f t="shared" si="128"/>
        <v>0</v>
      </c>
      <c r="J111" s="23">
        <f t="shared" si="129"/>
        <v>0</v>
      </c>
      <c r="K111" s="24">
        <f t="shared" si="130"/>
        <v>0</v>
      </c>
      <c r="L111" s="25">
        <f t="shared" si="131"/>
        <v>0</v>
      </c>
      <c r="M111" s="23">
        <f t="shared" si="132"/>
        <v>0</v>
      </c>
      <c r="N111" s="24">
        <f t="shared" si="133"/>
        <v>0</v>
      </c>
      <c r="O111" s="25">
        <f t="shared" si="134"/>
        <v>0</v>
      </c>
      <c r="P111" s="23">
        <f t="shared" si="135"/>
        <v>0</v>
      </c>
      <c r="Q111" s="24">
        <f t="shared" si="136"/>
        <v>0</v>
      </c>
      <c r="R111" s="25">
        <f t="shared" si="137"/>
        <v>0</v>
      </c>
      <c r="S111" s="23">
        <f t="shared" si="138"/>
        <v>0</v>
      </c>
      <c r="T111" s="24">
        <f t="shared" si="139"/>
        <v>0</v>
      </c>
      <c r="U111" s="25">
        <f t="shared" si="140"/>
        <v>0</v>
      </c>
      <c r="V111" s="23">
        <f t="shared" si="141"/>
        <v>0</v>
      </c>
      <c r="W111" s="24">
        <f t="shared" si="142"/>
        <v>0</v>
      </c>
      <c r="X111" s="25">
        <f t="shared" si="143"/>
        <v>0</v>
      </c>
      <c r="Y111" s="23">
        <f t="shared" si="144"/>
        <v>0</v>
      </c>
      <c r="Z111" s="24">
        <f t="shared" si="145"/>
        <v>0</v>
      </c>
      <c r="AA111" s="25">
        <f t="shared" si="146"/>
        <v>0</v>
      </c>
      <c r="AB111" s="23">
        <f t="shared" si="147"/>
        <v>0</v>
      </c>
      <c r="AC111" s="24">
        <f t="shared" si="148"/>
        <v>0</v>
      </c>
      <c r="AD111" s="25">
        <f t="shared" si="149"/>
        <v>0</v>
      </c>
      <c r="AE111" s="23">
        <f t="shared" si="150"/>
        <v>0</v>
      </c>
      <c r="AF111" s="24">
        <f t="shared" si="151"/>
        <v>0</v>
      </c>
      <c r="AG111" s="25">
        <f t="shared" si="152"/>
        <v>0</v>
      </c>
      <c r="AH111" s="34"/>
    </row>
    <row r="112" spans="1:34" ht="7.95" customHeight="1" thickTop="1" x14ac:dyDescent="0.25">
      <c r="A112" s="212" t="s">
        <v>2</v>
      </c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</row>
    <row r="113" spans="1:34" x14ac:dyDescent="0.25">
      <c r="A113" s="213"/>
      <c r="B113" s="213"/>
      <c r="C113" s="213" t="s">
        <v>18</v>
      </c>
      <c r="D113" s="213"/>
      <c r="E113" s="213"/>
      <c r="F113" s="214" t="s">
        <v>19</v>
      </c>
      <c r="G113" s="214"/>
      <c r="H113" s="214"/>
      <c r="I113" s="214"/>
      <c r="J113" s="35"/>
      <c r="K113" s="214" t="s">
        <v>20</v>
      </c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35"/>
      <c r="AD113" s="35"/>
      <c r="AE113" s="214" t="s">
        <v>55</v>
      </c>
      <c r="AF113" s="214"/>
      <c r="AG113" s="214"/>
    </row>
    <row r="114" spans="1:34" ht="13.95" customHeight="1" x14ac:dyDescent="0.25">
      <c r="A114" s="214" t="s">
        <v>21</v>
      </c>
      <c r="B114" s="214"/>
      <c r="C114" s="213">
        <f>'الفترة الاولى'!$CA$10</f>
        <v>0</v>
      </c>
      <c r="D114" s="213"/>
      <c r="E114" s="213"/>
      <c r="F114" s="214"/>
      <c r="G114" s="214"/>
      <c r="H114" s="214"/>
      <c r="I114" s="214"/>
      <c r="J114" s="35"/>
      <c r="K114" s="220" t="s">
        <v>52</v>
      </c>
      <c r="L114" s="215"/>
      <c r="M114" s="215"/>
      <c r="N114" s="222" t="str">
        <f>'الفترة الاولى'!$CA$16</f>
        <v>أ. فهيم عبدالمجيد بوازويتة</v>
      </c>
      <c r="O114" s="222"/>
      <c r="P114" s="222"/>
      <c r="Q114" s="222"/>
      <c r="R114" s="222"/>
      <c r="S114" s="222"/>
      <c r="T114" s="222"/>
      <c r="U114" s="215" t="s">
        <v>53</v>
      </c>
      <c r="V114" s="215"/>
      <c r="W114" s="215"/>
      <c r="X114" s="215" t="str">
        <f>'الفترة الاولى'!$C$6</f>
        <v>سهول العلم للتعليم الخاص</v>
      </c>
      <c r="Y114" s="215"/>
      <c r="Z114" s="215"/>
      <c r="AA114" s="215"/>
      <c r="AB114" s="216"/>
      <c r="AC114" s="36"/>
      <c r="AD114" s="36"/>
      <c r="AE114" s="214" t="s">
        <v>2</v>
      </c>
      <c r="AF114" s="214"/>
      <c r="AG114" s="214"/>
    </row>
    <row r="115" spans="1:34" ht="15.6" customHeight="1" x14ac:dyDescent="0.25">
      <c r="A115" s="214" t="s">
        <v>22</v>
      </c>
      <c r="B115" s="214"/>
      <c r="C115" s="213">
        <f>'الفترة الاولى'!$CA$11</f>
        <v>0</v>
      </c>
      <c r="D115" s="213"/>
      <c r="E115" s="213"/>
      <c r="F115" s="214"/>
      <c r="G115" s="214"/>
      <c r="H115" s="214"/>
      <c r="I115" s="214"/>
      <c r="J115" s="35"/>
      <c r="K115" s="217" t="s">
        <v>54</v>
      </c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9"/>
      <c r="AC115" s="37"/>
      <c r="AD115" s="37"/>
      <c r="AE115" s="214"/>
      <c r="AF115" s="214"/>
      <c r="AG115" s="214"/>
    </row>
    <row r="116" spans="1:34" ht="13.95" customHeight="1" x14ac:dyDescent="0.25">
      <c r="A116" s="214" t="s">
        <v>23</v>
      </c>
      <c r="B116" s="214"/>
      <c r="C116" s="213">
        <f>'الفترة الاولى'!$CA$12</f>
        <v>0</v>
      </c>
      <c r="D116" s="213"/>
      <c r="E116" s="213"/>
      <c r="F116" s="214"/>
      <c r="G116" s="214"/>
      <c r="H116" s="214"/>
      <c r="I116" s="214"/>
      <c r="K116" s="220" t="s">
        <v>44</v>
      </c>
      <c r="L116" s="215"/>
      <c r="M116" s="221">
        <f ca="1">TODAY()</f>
        <v>46181</v>
      </c>
      <c r="N116" s="215"/>
      <c r="O116" s="215"/>
      <c r="P116" s="215"/>
      <c r="Q116" s="215"/>
      <c r="R116" s="215"/>
      <c r="S116" s="215"/>
      <c r="T116" s="215" t="s">
        <v>19</v>
      </c>
      <c r="U116" s="215"/>
      <c r="V116" s="215"/>
      <c r="W116" s="215"/>
      <c r="X116" s="215"/>
      <c r="Y116" s="215"/>
      <c r="Z116" s="215"/>
      <c r="AA116" s="215"/>
      <c r="AB116" s="38"/>
      <c r="AC116" s="36"/>
      <c r="AD116" s="36"/>
      <c r="AE116" s="214"/>
      <c r="AF116" s="214"/>
      <c r="AG116" s="214"/>
    </row>
    <row r="117" spans="1:34" ht="14.4" thickBot="1" x14ac:dyDescent="0.3">
      <c r="A117" s="214" t="s">
        <v>24</v>
      </c>
      <c r="B117" s="214"/>
      <c r="C117" s="213">
        <f>'الفترة الاولى'!$CA$13</f>
        <v>0</v>
      </c>
      <c r="D117" s="213"/>
      <c r="E117" s="213"/>
      <c r="F117" s="214"/>
      <c r="G117" s="214"/>
      <c r="H117" s="214"/>
      <c r="I117" s="214"/>
      <c r="K117" s="39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1"/>
      <c r="AC117" s="36"/>
      <c r="AD117" s="36"/>
      <c r="AE117" s="214"/>
      <c r="AF117" s="214"/>
      <c r="AG117" s="214"/>
    </row>
    <row r="118" spans="1:34" ht="6.75" customHeight="1" thickBot="1" x14ac:dyDescent="0.3">
      <c r="A118" s="209"/>
      <c r="B118" s="210"/>
      <c r="C118" s="210"/>
      <c r="D118" s="210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1"/>
    </row>
    <row r="119" spans="1:34" ht="18" customHeight="1" thickBot="1" x14ac:dyDescent="0.3">
      <c r="A119" s="23">
        <v>81</v>
      </c>
      <c r="B119" s="24">
        <f>IFERROR(VLOOKUP(A119,الاسماء,2,0),"")</f>
        <v>0</v>
      </c>
      <c r="C119" s="59">
        <f t="shared" ref="C119:C138" si="155">IFERROR(VLOOKUP(A119,الاسماء,3,0),"")</f>
        <v>0</v>
      </c>
      <c r="D119" s="23">
        <f t="shared" ref="D119:D138" si="156">IFERROR(VLOOKUP($C119,درجات,5,0),0)</f>
        <v>0</v>
      </c>
      <c r="E119" s="24">
        <f t="shared" ref="E119:E138" si="157">IFERROR(VLOOKUP($C119,درجات,43,0),0)</f>
        <v>0</v>
      </c>
      <c r="F119" s="25">
        <f>SUM(D119:E119)</f>
        <v>0</v>
      </c>
      <c r="G119" s="23">
        <f t="shared" ref="G119:G138" si="158">IFERROR(VLOOKUP($C119,درجات,8,0),0)</f>
        <v>0</v>
      </c>
      <c r="H119" s="24">
        <f t="shared" ref="H119:H138" si="159">IFERROR(VLOOKUP($C119,درجات,46,0),0)</f>
        <v>0</v>
      </c>
      <c r="I119" s="25">
        <f t="shared" ref="I119:I138" si="160">SUM(G119:H119)</f>
        <v>0</v>
      </c>
      <c r="J119" s="23">
        <f t="shared" ref="J119:J138" si="161">IFERROR(VLOOKUP($C119,درجات,11,0),0)</f>
        <v>0</v>
      </c>
      <c r="K119" s="24">
        <f t="shared" ref="K119:K138" si="162">IFERROR(VLOOKUP($C119,درجات,49,0),0)</f>
        <v>0</v>
      </c>
      <c r="L119" s="25">
        <f t="shared" ref="L119:L138" si="163">SUM(J119:K119)</f>
        <v>0</v>
      </c>
      <c r="M119" s="23">
        <f t="shared" ref="M119:M138" si="164">IFERROR(VLOOKUP($C119,درجات,14,0),0)</f>
        <v>0</v>
      </c>
      <c r="N119" s="24">
        <f t="shared" ref="N119:N138" si="165">IFERROR(VLOOKUP($C119,درجات,52,0),0)</f>
        <v>0</v>
      </c>
      <c r="O119" s="25">
        <f t="shared" ref="O119:O138" si="166">SUM(M119:N119)</f>
        <v>0</v>
      </c>
      <c r="P119" s="23">
        <f t="shared" ref="P119:P138" si="167">IFERROR(VLOOKUP($C119,درجات,17,0),0)</f>
        <v>0</v>
      </c>
      <c r="Q119" s="24">
        <f t="shared" ref="Q119:Q138" si="168">IFERROR(VLOOKUP($C119,درجات,55,0),0)</f>
        <v>0</v>
      </c>
      <c r="R119" s="25">
        <f t="shared" ref="R119:R138" si="169">SUM(P119:Q119)</f>
        <v>0</v>
      </c>
      <c r="S119" s="23">
        <f t="shared" ref="S119:S138" si="170">IFERROR(VLOOKUP($C119,درجات,20,0),0)</f>
        <v>0</v>
      </c>
      <c r="T119" s="24">
        <f t="shared" ref="T119:T138" si="171">IFERROR(VLOOKUP($C119,درجات,58,0),0)</f>
        <v>0</v>
      </c>
      <c r="U119" s="25">
        <f t="shared" ref="U119:U138" si="172">SUM(S119:T119)</f>
        <v>0</v>
      </c>
      <c r="V119" s="23">
        <f t="shared" ref="V119:V138" si="173">IFERROR(VLOOKUP($C119,درجات,23,0),0)</f>
        <v>0</v>
      </c>
      <c r="W119" s="24">
        <f t="shared" ref="W119:W138" si="174">IFERROR(VLOOKUP($C119,درجات,61,0),0)</f>
        <v>0</v>
      </c>
      <c r="X119" s="25">
        <f t="shared" ref="X119:X138" si="175">SUM(V119:W119)</f>
        <v>0</v>
      </c>
      <c r="Y119" s="23">
        <f t="shared" ref="Y119:Y138" si="176">IFERROR(VLOOKUP($C119,درجات,26,0),0)</f>
        <v>0</v>
      </c>
      <c r="Z119" s="24">
        <f t="shared" ref="Z119:Z138" si="177">IFERROR(VLOOKUP($C119,درجات,64,0),0)</f>
        <v>0</v>
      </c>
      <c r="AA119" s="25">
        <f t="shared" ref="AA119:AA138" si="178">SUM(Y119:Z119)</f>
        <v>0</v>
      </c>
      <c r="AB119" s="23">
        <f t="shared" ref="AB119:AB138" si="179">IFERROR(VLOOKUP($C119,درجات,29,0),0)</f>
        <v>0</v>
      </c>
      <c r="AC119" s="24">
        <f t="shared" ref="AC119:AC138" si="180">IFERROR(VLOOKUP($C119,درجات,67,0),0)</f>
        <v>0</v>
      </c>
      <c r="AD119" s="25">
        <f t="shared" ref="AD119:AD138" si="181">SUM(AB119:AC119)</f>
        <v>0</v>
      </c>
      <c r="AE119" s="23">
        <f t="shared" ref="AE119:AE138" si="182">IFERROR(VLOOKUP($C119,درجات,32,0),0)</f>
        <v>0</v>
      </c>
      <c r="AF119" s="24">
        <f t="shared" ref="AF119:AF138" si="183">IFERROR(VLOOKUP($C119,درجات,70,0),0)</f>
        <v>0</v>
      </c>
      <c r="AG119" s="25">
        <f t="shared" ref="AG119:AG138" si="184">SUM(AE119:AF119)</f>
        <v>0</v>
      </c>
      <c r="AH119" s="26"/>
    </row>
    <row r="120" spans="1:34" ht="18" customHeight="1" thickTop="1" thickBot="1" x14ac:dyDescent="0.3">
      <c r="A120" s="27">
        <v>82</v>
      </c>
      <c r="B120" s="28">
        <f>IFERROR(VLOOKUP(A120,الاسماء,2,0),0)</f>
        <v>0</v>
      </c>
      <c r="C120" s="60">
        <f t="shared" si="155"/>
        <v>0</v>
      </c>
      <c r="D120" s="23">
        <f t="shared" si="156"/>
        <v>0</v>
      </c>
      <c r="E120" s="24">
        <f t="shared" si="157"/>
        <v>0</v>
      </c>
      <c r="F120" s="25">
        <f t="shared" ref="F120:F138" si="185">SUM(D120:E120)</f>
        <v>0</v>
      </c>
      <c r="G120" s="23">
        <f t="shared" si="158"/>
        <v>0</v>
      </c>
      <c r="H120" s="24">
        <f t="shared" si="159"/>
        <v>0</v>
      </c>
      <c r="I120" s="25">
        <f t="shared" si="160"/>
        <v>0</v>
      </c>
      <c r="J120" s="23">
        <f t="shared" si="161"/>
        <v>0</v>
      </c>
      <c r="K120" s="24">
        <f t="shared" si="162"/>
        <v>0</v>
      </c>
      <c r="L120" s="25">
        <f t="shared" si="163"/>
        <v>0</v>
      </c>
      <c r="M120" s="23">
        <f t="shared" si="164"/>
        <v>0</v>
      </c>
      <c r="N120" s="24">
        <f t="shared" si="165"/>
        <v>0</v>
      </c>
      <c r="O120" s="25">
        <f t="shared" si="166"/>
        <v>0</v>
      </c>
      <c r="P120" s="23">
        <f t="shared" si="167"/>
        <v>0</v>
      </c>
      <c r="Q120" s="24">
        <f t="shared" si="168"/>
        <v>0</v>
      </c>
      <c r="R120" s="25">
        <f t="shared" si="169"/>
        <v>0</v>
      </c>
      <c r="S120" s="23">
        <f t="shared" si="170"/>
        <v>0</v>
      </c>
      <c r="T120" s="24">
        <f t="shared" si="171"/>
        <v>0</v>
      </c>
      <c r="U120" s="25">
        <f t="shared" si="172"/>
        <v>0</v>
      </c>
      <c r="V120" s="23">
        <f t="shared" si="173"/>
        <v>0</v>
      </c>
      <c r="W120" s="24">
        <f t="shared" si="174"/>
        <v>0</v>
      </c>
      <c r="X120" s="25">
        <f t="shared" si="175"/>
        <v>0</v>
      </c>
      <c r="Y120" s="23">
        <f t="shared" si="176"/>
        <v>0</v>
      </c>
      <c r="Z120" s="24">
        <f t="shared" si="177"/>
        <v>0</v>
      </c>
      <c r="AA120" s="25">
        <f t="shared" si="178"/>
        <v>0</v>
      </c>
      <c r="AB120" s="23">
        <f t="shared" si="179"/>
        <v>0</v>
      </c>
      <c r="AC120" s="24">
        <f t="shared" si="180"/>
        <v>0</v>
      </c>
      <c r="AD120" s="25">
        <f t="shared" si="181"/>
        <v>0</v>
      </c>
      <c r="AE120" s="23">
        <f t="shared" si="182"/>
        <v>0</v>
      </c>
      <c r="AF120" s="24">
        <f t="shared" si="183"/>
        <v>0</v>
      </c>
      <c r="AG120" s="25">
        <f t="shared" si="184"/>
        <v>0</v>
      </c>
      <c r="AH120" s="29"/>
    </row>
    <row r="121" spans="1:34" ht="18" customHeight="1" thickTop="1" thickBot="1" x14ac:dyDescent="0.3">
      <c r="A121" s="23">
        <v>83</v>
      </c>
      <c r="B121" s="28">
        <f t="shared" ref="B121:B138" si="186">IFERROR(VLOOKUP(A121,الاسماء,2,0),"")</f>
        <v>0</v>
      </c>
      <c r="C121" s="60">
        <f t="shared" si="155"/>
        <v>0</v>
      </c>
      <c r="D121" s="23">
        <f t="shared" si="156"/>
        <v>0</v>
      </c>
      <c r="E121" s="24">
        <f t="shared" si="157"/>
        <v>0</v>
      </c>
      <c r="F121" s="25">
        <f t="shared" si="185"/>
        <v>0</v>
      </c>
      <c r="G121" s="23">
        <f t="shared" si="158"/>
        <v>0</v>
      </c>
      <c r="H121" s="24">
        <f t="shared" si="159"/>
        <v>0</v>
      </c>
      <c r="I121" s="25">
        <f t="shared" si="160"/>
        <v>0</v>
      </c>
      <c r="J121" s="23">
        <f t="shared" si="161"/>
        <v>0</v>
      </c>
      <c r="K121" s="24">
        <f t="shared" si="162"/>
        <v>0</v>
      </c>
      <c r="L121" s="25">
        <f t="shared" si="163"/>
        <v>0</v>
      </c>
      <c r="M121" s="23">
        <f t="shared" si="164"/>
        <v>0</v>
      </c>
      <c r="N121" s="24">
        <f t="shared" si="165"/>
        <v>0</v>
      </c>
      <c r="O121" s="25">
        <f t="shared" si="166"/>
        <v>0</v>
      </c>
      <c r="P121" s="23">
        <f t="shared" si="167"/>
        <v>0</v>
      </c>
      <c r="Q121" s="24">
        <f t="shared" si="168"/>
        <v>0</v>
      </c>
      <c r="R121" s="25">
        <f t="shared" si="169"/>
        <v>0</v>
      </c>
      <c r="S121" s="23">
        <f t="shared" si="170"/>
        <v>0</v>
      </c>
      <c r="T121" s="24">
        <f t="shared" si="171"/>
        <v>0</v>
      </c>
      <c r="U121" s="25">
        <f t="shared" si="172"/>
        <v>0</v>
      </c>
      <c r="V121" s="23">
        <f t="shared" si="173"/>
        <v>0</v>
      </c>
      <c r="W121" s="24">
        <f t="shared" si="174"/>
        <v>0</v>
      </c>
      <c r="X121" s="25">
        <f t="shared" si="175"/>
        <v>0</v>
      </c>
      <c r="Y121" s="23">
        <f t="shared" si="176"/>
        <v>0</v>
      </c>
      <c r="Z121" s="24">
        <f t="shared" si="177"/>
        <v>0</v>
      </c>
      <c r="AA121" s="25">
        <f t="shared" si="178"/>
        <v>0</v>
      </c>
      <c r="AB121" s="23">
        <f t="shared" si="179"/>
        <v>0</v>
      </c>
      <c r="AC121" s="24">
        <f t="shared" si="180"/>
        <v>0</v>
      </c>
      <c r="AD121" s="25">
        <f t="shared" si="181"/>
        <v>0</v>
      </c>
      <c r="AE121" s="23">
        <f t="shared" si="182"/>
        <v>0</v>
      </c>
      <c r="AF121" s="24">
        <f t="shared" si="183"/>
        <v>0</v>
      </c>
      <c r="AG121" s="25">
        <f t="shared" si="184"/>
        <v>0</v>
      </c>
      <c r="AH121" s="30"/>
    </row>
    <row r="122" spans="1:34" ht="18" customHeight="1" thickTop="1" thickBot="1" x14ac:dyDescent="0.3">
      <c r="A122" s="27">
        <v>84</v>
      </c>
      <c r="B122" s="28">
        <f t="shared" si="186"/>
        <v>0</v>
      </c>
      <c r="C122" s="60">
        <f t="shared" si="155"/>
        <v>0</v>
      </c>
      <c r="D122" s="23">
        <f t="shared" si="156"/>
        <v>0</v>
      </c>
      <c r="E122" s="24">
        <f t="shared" si="157"/>
        <v>0</v>
      </c>
      <c r="F122" s="25">
        <f t="shared" si="185"/>
        <v>0</v>
      </c>
      <c r="G122" s="23">
        <f t="shared" si="158"/>
        <v>0</v>
      </c>
      <c r="H122" s="24">
        <f t="shared" si="159"/>
        <v>0</v>
      </c>
      <c r="I122" s="25">
        <f t="shared" si="160"/>
        <v>0</v>
      </c>
      <c r="J122" s="23">
        <f t="shared" si="161"/>
        <v>0</v>
      </c>
      <c r="K122" s="24">
        <f t="shared" si="162"/>
        <v>0</v>
      </c>
      <c r="L122" s="25">
        <f t="shared" si="163"/>
        <v>0</v>
      </c>
      <c r="M122" s="23">
        <f t="shared" si="164"/>
        <v>0</v>
      </c>
      <c r="N122" s="24">
        <f t="shared" si="165"/>
        <v>0</v>
      </c>
      <c r="O122" s="25">
        <f t="shared" si="166"/>
        <v>0</v>
      </c>
      <c r="P122" s="23">
        <f t="shared" si="167"/>
        <v>0</v>
      </c>
      <c r="Q122" s="24">
        <f t="shared" si="168"/>
        <v>0</v>
      </c>
      <c r="R122" s="25">
        <f t="shared" si="169"/>
        <v>0</v>
      </c>
      <c r="S122" s="23">
        <f t="shared" si="170"/>
        <v>0</v>
      </c>
      <c r="T122" s="24">
        <f t="shared" si="171"/>
        <v>0</v>
      </c>
      <c r="U122" s="25">
        <f t="shared" si="172"/>
        <v>0</v>
      </c>
      <c r="V122" s="23">
        <f t="shared" si="173"/>
        <v>0</v>
      </c>
      <c r="W122" s="24">
        <f t="shared" si="174"/>
        <v>0</v>
      </c>
      <c r="X122" s="25">
        <f t="shared" si="175"/>
        <v>0</v>
      </c>
      <c r="Y122" s="23">
        <f t="shared" si="176"/>
        <v>0</v>
      </c>
      <c r="Z122" s="24">
        <f t="shared" si="177"/>
        <v>0</v>
      </c>
      <c r="AA122" s="25">
        <f t="shared" si="178"/>
        <v>0</v>
      </c>
      <c r="AB122" s="23">
        <f t="shared" si="179"/>
        <v>0</v>
      </c>
      <c r="AC122" s="24">
        <f t="shared" si="180"/>
        <v>0</v>
      </c>
      <c r="AD122" s="25">
        <f t="shared" si="181"/>
        <v>0</v>
      </c>
      <c r="AE122" s="23">
        <f t="shared" si="182"/>
        <v>0</v>
      </c>
      <c r="AF122" s="24">
        <f t="shared" si="183"/>
        <v>0</v>
      </c>
      <c r="AG122" s="25">
        <f t="shared" si="184"/>
        <v>0</v>
      </c>
      <c r="AH122" s="30"/>
    </row>
    <row r="123" spans="1:34" ht="18" customHeight="1" thickTop="1" thickBot="1" x14ac:dyDescent="0.3">
      <c r="A123" s="23">
        <v>85</v>
      </c>
      <c r="B123" s="28">
        <f t="shared" si="186"/>
        <v>0</v>
      </c>
      <c r="C123" s="60">
        <f t="shared" si="155"/>
        <v>0</v>
      </c>
      <c r="D123" s="23">
        <f t="shared" si="156"/>
        <v>0</v>
      </c>
      <c r="E123" s="24">
        <f t="shared" si="157"/>
        <v>0</v>
      </c>
      <c r="F123" s="25">
        <f t="shared" si="185"/>
        <v>0</v>
      </c>
      <c r="G123" s="23">
        <f t="shared" si="158"/>
        <v>0</v>
      </c>
      <c r="H123" s="24">
        <f t="shared" si="159"/>
        <v>0</v>
      </c>
      <c r="I123" s="25">
        <f t="shared" si="160"/>
        <v>0</v>
      </c>
      <c r="J123" s="23">
        <f t="shared" si="161"/>
        <v>0</v>
      </c>
      <c r="K123" s="24">
        <f t="shared" si="162"/>
        <v>0</v>
      </c>
      <c r="L123" s="25">
        <f t="shared" si="163"/>
        <v>0</v>
      </c>
      <c r="M123" s="23">
        <f t="shared" si="164"/>
        <v>0</v>
      </c>
      <c r="N123" s="24">
        <f t="shared" si="165"/>
        <v>0</v>
      </c>
      <c r="O123" s="25">
        <f t="shared" si="166"/>
        <v>0</v>
      </c>
      <c r="P123" s="23">
        <f t="shared" si="167"/>
        <v>0</v>
      </c>
      <c r="Q123" s="24">
        <f t="shared" si="168"/>
        <v>0</v>
      </c>
      <c r="R123" s="25">
        <f t="shared" si="169"/>
        <v>0</v>
      </c>
      <c r="S123" s="23">
        <f t="shared" si="170"/>
        <v>0</v>
      </c>
      <c r="T123" s="24">
        <f t="shared" si="171"/>
        <v>0</v>
      </c>
      <c r="U123" s="25">
        <f t="shared" si="172"/>
        <v>0</v>
      </c>
      <c r="V123" s="23">
        <f t="shared" si="173"/>
        <v>0</v>
      </c>
      <c r="W123" s="24">
        <f t="shared" si="174"/>
        <v>0</v>
      </c>
      <c r="X123" s="25">
        <f t="shared" si="175"/>
        <v>0</v>
      </c>
      <c r="Y123" s="23">
        <f t="shared" si="176"/>
        <v>0</v>
      </c>
      <c r="Z123" s="24">
        <f t="shared" si="177"/>
        <v>0</v>
      </c>
      <c r="AA123" s="25">
        <f t="shared" si="178"/>
        <v>0</v>
      </c>
      <c r="AB123" s="23">
        <f t="shared" si="179"/>
        <v>0</v>
      </c>
      <c r="AC123" s="24">
        <f t="shared" si="180"/>
        <v>0</v>
      </c>
      <c r="AD123" s="25">
        <f t="shared" si="181"/>
        <v>0</v>
      </c>
      <c r="AE123" s="23">
        <f t="shared" si="182"/>
        <v>0</v>
      </c>
      <c r="AF123" s="24">
        <f t="shared" si="183"/>
        <v>0</v>
      </c>
      <c r="AG123" s="25">
        <f t="shared" si="184"/>
        <v>0</v>
      </c>
      <c r="AH123" s="30"/>
    </row>
    <row r="124" spans="1:34" ht="18" customHeight="1" thickTop="1" thickBot="1" x14ac:dyDescent="0.3">
      <c r="A124" s="27">
        <v>86</v>
      </c>
      <c r="B124" s="28">
        <f t="shared" si="186"/>
        <v>0</v>
      </c>
      <c r="C124" s="60">
        <f t="shared" si="155"/>
        <v>0</v>
      </c>
      <c r="D124" s="23">
        <f t="shared" si="156"/>
        <v>0</v>
      </c>
      <c r="E124" s="24">
        <f t="shared" si="157"/>
        <v>0</v>
      </c>
      <c r="F124" s="25">
        <f t="shared" si="185"/>
        <v>0</v>
      </c>
      <c r="G124" s="23">
        <f t="shared" si="158"/>
        <v>0</v>
      </c>
      <c r="H124" s="24">
        <f t="shared" si="159"/>
        <v>0</v>
      </c>
      <c r="I124" s="25">
        <f t="shared" si="160"/>
        <v>0</v>
      </c>
      <c r="J124" s="23">
        <f t="shared" si="161"/>
        <v>0</v>
      </c>
      <c r="K124" s="24">
        <f t="shared" si="162"/>
        <v>0</v>
      </c>
      <c r="L124" s="25">
        <f t="shared" si="163"/>
        <v>0</v>
      </c>
      <c r="M124" s="23">
        <f t="shared" si="164"/>
        <v>0</v>
      </c>
      <c r="N124" s="24">
        <f t="shared" si="165"/>
        <v>0</v>
      </c>
      <c r="O124" s="25">
        <f t="shared" si="166"/>
        <v>0</v>
      </c>
      <c r="P124" s="23">
        <f t="shared" si="167"/>
        <v>0</v>
      </c>
      <c r="Q124" s="24">
        <f t="shared" si="168"/>
        <v>0</v>
      </c>
      <c r="R124" s="25">
        <f t="shared" si="169"/>
        <v>0</v>
      </c>
      <c r="S124" s="23">
        <f t="shared" si="170"/>
        <v>0</v>
      </c>
      <c r="T124" s="24">
        <f t="shared" si="171"/>
        <v>0</v>
      </c>
      <c r="U124" s="25">
        <f t="shared" si="172"/>
        <v>0</v>
      </c>
      <c r="V124" s="23">
        <f t="shared" si="173"/>
        <v>0</v>
      </c>
      <c r="W124" s="24">
        <f t="shared" si="174"/>
        <v>0</v>
      </c>
      <c r="X124" s="25">
        <f t="shared" si="175"/>
        <v>0</v>
      </c>
      <c r="Y124" s="23">
        <f t="shared" si="176"/>
        <v>0</v>
      </c>
      <c r="Z124" s="24">
        <f t="shared" si="177"/>
        <v>0</v>
      </c>
      <c r="AA124" s="25">
        <f t="shared" si="178"/>
        <v>0</v>
      </c>
      <c r="AB124" s="23">
        <f t="shared" si="179"/>
        <v>0</v>
      </c>
      <c r="AC124" s="24">
        <f t="shared" si="180"/>
        <v>0</v>
      </c>
      <c r="AD124" s="25">
        <f t="shared" si="181"/>
        <v>0</v>
      </c>
      <c r="AE124" s="23">
        <f t="shared" si="182"/>
        <v>0</v>
      </c>
      <c r="AF124" s="24">
        <f t="shared" si="183"/>
        <v>0</v>
      </c>
      <c r="AG124" s="25">
        <f t="shared" si="184"/>
        <v>0</v>
      </c>
      <c r="AH124" s="31"/>
    </row>
    <row r="125" spans="1:34" ht="18" customHeight="1" thickTop="1" thickBot="1" x14ac:dyDescent="0.3">
      <c r="A125" s="23">
        <v>87</v>
      </c>
      <c r="B125" s="28">
        <f t="shared" si="186"/>
        <v>0</v>
      </c>
      <c r="C125" s="60">
        <f t="shared" si="155"/>
        <v>0</v>
      </c>
      <c r="D125" s="23">
        <f t="shared" si="156"/>
        <v>0</v>
      </c>
      <c r="E125" s="24">
        <f t="shared" si="157"/>
        <v>0</v>
      </c>
      <c r="F125" s="25">
        <f t="shared" si="185"/>
        <v>0</v>
      </c>
      <c r="G125" s="23">
        <f t="shared" si="158"/>
        <v>0</v>
      </c>
      <c r="H125" s="24">
        <f t="shared" si="159"/>
        <v>0</v>
      </c>
      <c r="I125" s="25">
        <f t="shared" si="160"/>
        <v>0</v>
      </c>
      <c r="J125" s="23">
        <f t="shared" si="161"/>
        <v>0</v>
      </c>
      <c r="K125" s="24">
        <f t="shared" si="162"/>
        <v>0</v>
      </c>
      <c r="L125" s="25">
        <f t="shared" si="163"/>
        <v>0</v>
      </c>
      <c r="M125" s="23">
        <f t="shared" si="164"/>
        <v>0</v>
      </c>
      <c r="N125" s="24">
        <f t="shared" si="165"/>
        <v>0</v>
      </c>
      <c r="O125" s="25">
        <f t="shared" si="166"/>
        <v>0</v>
      </c>
      <c r="P125" s="23">
        <f t="shared" si="167"/>
        <v>0</v>
      </c>
      <c r="Q125" s="24">
        <f t="shared" si="168"/>
        <v>0</v>
      </c>
      <c r="R125" s="25">
        <f t="shared" si="169"/>
        <v>0</v>
      </c>
      <c r="S125" s="23">
        <f t="shared" si="170"/>
        <v>0</v>
      </c>
      <c r="T125" s="24">
        <f t="shared" si="171"/>
        <v>0</v>
      </c>
      <c r="U125" s="25">
        <f t="shared" si="172"/>
        <v>0</v>
      </c>
      <c r="V125" s="23">
        <f t="shared" si="173"/>
        <v>0</v>
      </c>
      <c r="W125" s="24">
        <f t="shared" si="174"/>
        <v>0</v>
      </c>
      <c r="X125" s="25">
        <f t="shared" si="175"/>
        <v>0</v>
      </c>
      <c r="Y125" s="23">
        <f t="shared" si="176"/>
        <v>0</v>
      </c>
      <c r="Z125" s="24">
        <f t="shared" si="177"/>
        <v>0</v>
      </c>
      <c r="AA125" s="25">
        <f t="shared" si="178"/>
        <v>0</v>
      </c>
      <c r="AB125" s="23">
        <f t="shared" si="179"/>
        <v>0</v>
      </c>
      <c r="AC125" s="24">
        <f t="shared" si="180"/>
        <v>0</v>
      </c>
      <c r="AD125" s="25">
        <f t="shared" si="181"/>
        <v>0</v>
      </c>
      <c r="AE125" s="23">
        <f t="shared" si="182"/>
        <v>0</v>
      </c>
      <c r="AF125" s="24">
        <f t="shared" si="183"/>
        <v>0</v>
      </c>
      <c r="AG125" s="25">
        <f t="shared" si="184"/>
        <v>0</v>
      </c>
      <c r="AH125" s="32"/>
    </row>
    <row r="126" spans="1:34" ht="18" customHeight="1" thickTop="1" thickBot="1" x14ac:dyDescent="0.3">
      <c r="A126" s="27">
        <v>88</v>
      </c>
      <c r="B126" s="28">
        <f t="shared" si="186"/>
        <v>0</v>
      </c>
      <c r="C126" s="60">
        <f t="shared" si="155"/>
        <v>0</v>
      </c>
      <c r="D126" s="23">
        <f t="shared" si="156"/>
        <v>0</v>
      </c>
      <c r="E126" s="24">
        <f t="shared" si="157"/>
        <v>0</v>
      </c>
      <c r="F126" s="25">
        <f t="shared" si="185"/>
        <v>0</v>
      </c>
      <c r="G126" s="23">
        <f t="shared" si="158"/>
        <v>0</v>
      </c>
      <c r="H126" s="24">
        <f t="shared" si="159"/>
        <v>0</v>
      </c>
      <c r="I126" s="25">
        <f t="shared" si="160"/>
        <v>0</v>
      </c>
      <c r="J126" s="23">
        <f t="shared" si="161"/>
        <v>0</v>
      </c>
      <c r="K126" s="24">
        <f t="shared" si="162"/>
        <v>0</v>
      </c>
      <c r="L126" s="25">
        <f t="shared" si="163"/>
        <v>0</v>
      </c>
      <c r="M126" s="23">
        <f t="shared" si="164"/>
        <v>0</v>
      </c>
      <c r="N126" s="24">
        <f t="shared" si="165"/>
        <v>0</v>
      </c>
      <c r="O126" s="25">
        <f t="shared" si="166"/>
        <v>0</v>
      </c>
      <c r="P126" s="23">
        <f t="shared" si="167"/>
        <v>0</v>
      </c>
      <c r="Q126" s="24">
        <f t="shared" si="168"/>
        <v>0</v>
      </c>
      <c r="R126" s="25">
        <f t="shared" si="169"/>
        <v>0</v>
      </c>
      <c r="S126" s="23">
        <f t="shared" si="170"/>
        <v>0</v>
      </c>
      <c r="T126" s="24">
        <f t="shared" si="171"/>
        <v>0</v>
      </c>
      <c r="U126" s="25">
        <f t="shared" si="172"/>
        <v>0</v>
      </c>
      <c r="V126" s="23">
        <f t="shared" si="173"/>
        <v>0</v>
      </c>
      <c r="W126" s="24">
        <f t="shared" si="174"/>
        <v>0</v>
      </c>
      <c r="X126" s="25">
        <f t="shared" si="175"/>
        <v>0</v>
      </c>
      <c r="Y126" s="23">
        <f t="shared" si="176"/>
        <v>0</v>
      </c>
      <c r="Z126" s="24">
        <f t="shared" si="177"/>
        <v>0</v>
      </c>
      <c r="AA126" s="25">
        <f t="shared" si="178"/>
        <v>0</v>
      </c>
      <c r="AB126" s="23">
        <f t="shared" si="179"/>
        <v>0</v>
      </c>
      <c r="AC126" s="24">
        <f t="shared" si="180"/>
        <v>0</v>
      </c>
      <c r="AD126" s="25">
        <f t="shared" si="181"/>
        <v>0</v>
      </c>
      <c r="AE126" s="23">
        <f t="shared" si="182"/>
        <v>0</v>
      </c>
      <c r="AF126" s="24">
        <f t="shared" si="183"/>
        <v>0</v>
      </c>
      <c r="AG126" s="25">
        <f t="shared" si="184"/>
        <v>0</v>
      </c>
      <c r="AH126" s="29"/>
    </row>
    <row r="127" spans="1:34" ht="18" customHeight="1" thickTop="1" thickBot="1" x14ac:dyDescent="0.3">
      <c r="A127" s="23">
        <v>89</v>
      </c>
      <c r="B127" s="28">
        <f t="shared" si="186"/>
        <v>0</v>
      </c>
      <c r="C127" s="60">
        <f t="shared" si="155"/>
        <v>0</v>
      </c>
      <c r="D127" s="23">
        <f t="shared" si="156"/>
        <v>0</v>
      </c>
      <c r="E127" s="24">
        <f t="shared" si="157"/>
        <v>0</v>
      </c>
      <c r="F127" s="25">
        <f t="shared" si="185"/>
        <v>0</v>
      </c>
      <c r="G127" s="23">
        <f t="shared" si="158"/>
        <v>0</v>
      </c>
      <c r="H127" s="24">
        <f t="shared" si="159"/>
        <v>0</v>
      </c>
      <c r="I127" s="25">
        <f t="shared" si="160"/>
        <v>0</v>
      </c>
      <c r="J127" s="23">
        <f t="shared" si="161"/>
        <v>0</v>
      </c>
      <c r="K127" s="24">
        <f t="shared" si="162"/>
        <v>0</v>
      </c>
      <c r="L127" s="25">
        <f t="shared" si="163"/>
        <v>0</v>
      </c>
      <c r="M127" s="23">
        <f t="shared" si="164"/>
        <v>0</v>
      </c>
      <c r="N127" s="24">
        <f t="shared" si="165"/>
        <v>0</v>
      </c>
      <c r="O127" s="25">
        <f t="shared" si="166"/>
        <v>0</v>
      </c>
      <c r="P127" s="23">
        <f t="shared" si="167"/>
        <v>0</v>
      </c>
      <c r="Q127" s="24">
        <f t="shared" si="168"/>
        <v>0</v>
      </c>
      <c r="R127" s="25">
        <f t="shared" si="169"/>
        <v>0</v>
      </c>
      <c r="S127" s="23">
        <f t="shared" si="170"/>
        <v>0</v>
      </c>
      <c r="T127" s="24">
        <f t="shared" si="171"/>
        <v>0</v>
      </c>
      <c r="U127" s="25">
        <f t="shared" si="172"/>
        <v>0</v>
      </c>
      <c r="V127" s="23">
        <f t="shared" si="173"/>
        <v>0</v>
      </c>
      <c r="W127" s="24">
        <f t="shared" si="174"/>
        <v>0</v>
      </c>
      <c r="X127" s="25">
        <f t="shared" si="175"/>
        <v>0</v>
      </c>
      <c r="Y127" s="23">
        <f t="shared" si="176"/>
        <v>0</v>
      </c>
      <c r="Z127" s="24">
        <f t="shared" si="177"/>
        <v>0</v>
      </c>
      <c r="AA127" s="25">
        <f t="shared" si="178"/>
        <v>0</v>
      </c>
      <c r="AB127" s="23">
        <f t="shared" si="179"/>
        <v>0</v>
      </c>
      <c r="AC127" s="24">
        <f t="shared" si="180"/>
        <v>0</v>
      </c>
      <c r="AD127" s="25">
        <f t="shared" si="181"/>
        <v>0</v>
      </c>
      <c r="AE127" s="23">
        <f t="shared" si="182"/>
        <v>0</v>
      </c>
      <c r="AF127" s="24">
        <f t="shared" si="183"/>
        <v>0</v>
      </c>
      <c r="AG127" s="25">
        <f t="shared" si="184"/>
        <v>0</v>
      </c>
      <c r="AH127" s="31"/>
    </row>
    <row r="128" spans="1:34" ht="18" customHeight="1" thickTop="1" thickBot="1" x14ac:dyDescent="0.3">
      <c r="A128" s="27">
        <v>90</v>
      </c>
      <c r="B128" s="28">
        <f t="shared" si="186"/>
        <v>0</v>
      </c>
      <c r="C128" s="60">
        <f t="shared" si="155"/>
        <v>0</v>
      </c>
      <c r="D128" s="23">
        <f t="shared" si="156"/>
        <v>0</v>
      </c>
      <c r="E128" s="24">
        <f t="shared" si="157"/>
        <v>0</v>
      </c>
      <c r="F128" s="25">
        <f t="shared" si="185"/>
        <v>0</v>
      </c>
      <c r="G128" s="23">
        <f t="shared" si="158"/>
        <v>0</v>
      </c>
      <c r="H128" s="24">
        <f t="shared" si="159"/>
        <v>0</v>
      </c>
      <c r="I128" s="25">
        <f t="shared" si="160"/>
        <v>0</v>
      </c>
      <c r="J128" s="23">
        <f t="shared" si="161"/>
        <v>0</v>
      </c>
      <c r="K128" s="24">
        <f t="shared" si="162"/>
        <v>0</v>
      </c>
      <c r="L128" s="25">
        <f t="shared" si="163"/>
        <v>0</v>
      </c>
      <c r="M128" s="23">
        <f t="shared" si="164"/>
        <v>0</v>
      </c>
      <c r="N128" s="24">
        <f t="shared" si="165"/>
        <v>0</v>
      </c>
      <c r="O128" s="25">
        <f t="shared" si="166"/>
        <v>0</v>
      </c>
      <c r="P128" s="23">
        <f t="shared" si="167"/>
        <v>0</v>
      </c>
      <c r="Q128" s="24">
        <f t="shared" si="168"/>
        <v>0</v>
      </c>
      <c r="R128" s="25">
        <f t="shared" si="169"/>
        <v>0</v>
      </c>
      <c r="S128" s="23">
        <f t="shared" si="170"/>
        <v>0</v>
      </c>
      <c r="T128" s="24">
        <f t="shared" si="171"/>
        <v>0</v>
      </c>
      <c r="U128" s="25">
        <f t="shared" si="172"/>
        <v>0</v>
      </c>
      <c r="V128" s="23">
        <f t="shared" si="173"/>
        <v>0</v>
      </c>
      <c r="W128" s="24">
        <f t="shared" si="174"/>
        <v>0</v>
      </c>
      <c r="X128" s="25">
        <f t="shared" si="175"/>
        <v>0</v>
      </c>
      <c r="Y128" s="23">
        <f t="shared" si="176"/>
        <v>0</v>
      </c>
      <c r="Z128" s="24">
        <f t="shared" si="177"/>
        <v>0</v>
      </c>
      <c r="AA128" s="25">
        <f t="shared" si="178"/>
        <v>0</v>
      </c>
      <c r="AB128" s="23">
        <f t="shared" si="179"/>
        <v>0</v>
      </c>
      <c r="AC128" s="24">
        <f t="shared" si="180"/>
        <v>0</v>
      </c>
      <c r="AD128" s="25">
        <f t="shared" si="181"/>
        <v>0</v>
      </c>
      <c r="AE128" s="23">
        <f t="shared" si="182"/>
        <v>0</v>
      </c>
      <c r="AF128" s="24">
        <f t="shared" si="183"/>
        <v>0</v>
      </c>
      <c r="AG128" s="25">
        <f t="shared" si="184"/>
        <v>0</v>
      </c>
      <c r="AH128" s="33"/>
    </row>
    <row r="129" spans="1:34" ht="18" customHeight="1" thickTop="1" thickBot="1" x14ac:dyDescent="0.3">
      <c r="A129" s="23">
        <v>91</v>
      </c>
      <c r="B129" s="28">
        <f t="shared" si="186"/>
        <v>0</v>
      </c>
      <c r="C129" s="60">
        <f t="shared" si="155"/>
        <v>0</v>
      </c>
      <c r="D129" s="23">
        <f t="shared" si="156"/>
        <v>0</v>
      </c>
      <c r="E129" s="24">
        <f t="shared" si="157"/>
        <v>0</v>
      </c>
      <c r="F129" s="25">
        <f t="shared" si="185"/>
        <v>0</v>
      </c>
      <c r="G129" s="23">
        <f t="shared" si="158"/>
        <v>0</v>
      </c>
      <c r="H129" s="24">
        <f t="shared" si="159"/>
        <v>0</v>
      </c>
      <c r="I129" s="25">
        <f t="shared" si="160"/>
        <v>0</v>
      </c>
      <c r="J129" s="23">
        <f t="shared" si="161"/>
        <v>0</v>
      </c>
      <c r="K129" s="24">
        <f t="shared" si="162"/>
        <v>0</v>
      </c>
      <c r="L129" s="25">
        <f t="shared" si="163"/>
        <v>0</v>
      </c>
      <c r="M129" s="23">
        <f t="shared" si="164"/>
        <v>0</v>
      </c>
      <c r="N129" s="24">
        <f t="shared" si="165"/>
        <v>0</v>
      </c>
      <c r="O129" s="25">
        <f t="shared" si="166"/>
        <v>0</v>
      </c>
      <c r="P129" s="23">
        <f t="shared" si="167"/>
        <v>0</v>
      </c>
      <c r="Q129" s="24">
        <f t="shared" si="168"/>
        <v>0</v>
      </c>
      <c r="R129" s="25">
        <f t="shared" si="169"/>
        <v>0</v>
      </c>
      <c r="S129" s="23">
        <f t="shared" si="170"/>
        <v>0</v>
      </c>
      <c r="T129" s="24">
        <f t="shared" si="171"/>
        <v>0</v>
      </c>
      <c r="U129" s="25">
        <f t="shared" si="172"/>
        <v>0</v>
      </c>
      <c r="V129" s="23">
        <f t="shared" si="173"/>
        <v>0</v>
      </c>
      <c r="W129" s="24">
        <f t="shared" si="174"/>
        <v>0</v>
      </c>
      <c r="X129" s="25">
        <f t="shared" si="175"/>
        <v>0</v>
      </c>
      <c r="Y129" s="23">
        <f t="shared" si="176"/>
        <v>0</v>
      </c>
      <c r="Z129" s="24">
        <f t="shared" si="177"/>
        <v>0</v>
      </c>
      <c r="AA129" s="25">
        <f t="shared" si="178"/>
        <v>0</v>
      </c>
      <c r="AB129" s="23">
        <f t="shared" si="179"/>
        <v>0</v>
      </c>
      <c r="AC129" s="24">
        <f t="shared" si="180"/>
        <v>0</v>
      </c>
      <c r="AD129" s="25">
        <f t="shared" si="181"/>
        <v>0</v>
      </c>
      <c r="AE129" s="23">
        <f t="shared" si="182"/>
        <v>0</v>
      </c>
      <c r="AF129" s="24">
        <f t="shared" si="183"/>
        <v>0</v>
      </c>
      <c r="AG129" s="25">
        <f t="shared" si="184"/>
        <v>0</v>
      </c>
      <c r="AH129" s="29"/>
    </row>
    <row r="130" spans="1:34" ht="18" customHeight="1" thickTop="1" thickBot="1" x14ac:dyDescent="0.3">
      <c r="A130" s="27">
        <v>92</v>
      </c>
      <c r="B130" s="28">
        <f t="shared" si="186"/>
        <v>0</v>
      </c>
      <c r="C130" s="60">
        <f t="shared" si="155"/>
        <v>0</v>
      </c>
      <c r="D130" s="23">
        <f t="shared" si="156"/>
        <v>0</v>
      </c>
      <c r="E130" s="24">
        <f t="shared" si="157"/>
        <v>0</v>
      </c>
      <c r="F130" s="25">
        <f t="shared" si="185"/>
        <v>0</v>
      </c>
      <c r="G130" s="23">
        <f t="shared" si="158"/>
        <v>0</v>
      </c>
      <c r="H130" s="24">
        <f t="shared" si="159"/>
        <v>0</v>
      </c>
      <c r="I130" s="25">
        <f t="shared" si="160"/>
        <v>0</v>
      </c>
      <c r="J130" s="23">
        <f t="shared" si="161"/>
        <v>0</v>
      </c>
      <c r="K130" s="24">
        <f t="shared" si="162"/>
        <v>0</v>
      </c>
      <c r="L130" s="25">
        <f t="shared" si="163"/>
        <v>0</v>
      </c>
      <c r="M130" s="23">
        <f t="shared" si="164"/>
        <v>0</v>
      </c>
      <c r="N130" s="24">
        <f t="shared" si="165"/>
        <v>0</v>
      </c>
      <c r="O130" s="25">
        <f t="shared" si="166"/>
        <v>0</v>
      </c>
      <c r="P130" s="23">
        <f t="shared" si="167"/>
        <v>0</v>
      </c>
      <c r="Q130" s="24">
        <f t="shared" si="168"/>
        <v>0</v>
      </c>
      <c r="R130" s="25">
        <f t="shared" si="169"/>
        <v>0</v>
      </c>
      <c r="S130" s="23">
        <f t="shared" si="170"/>
        <v>0</v>
      </c>
      <c r="T130" s="24">
        <f t="shared" si="171"/>
        <v>0</v>
      </c>
      <c r="U130" s="25">
        <f t="shared" si="172"/>
        <v>0</v>
      </c>
      <c r="V130" s="23">
        <f t="shared" si="173"/>
        <v>0</v>
      </c>
      <c r="W130" s="24">
        <f t="shared" si="174"/>
        <v>0</v>
      </c>
      <c r="X130" s="25">
        <f t="shared" si="175"/>
        <v>0</v>
      </c>
      <c r="Y130" s="23">
        <f t="shared" si="176"/>
        <v>0</v>
      </c>
      <c r="Z130" s="24">
        <f t="shared" si="177"/>
        <v>0</v>
      </c>
      <c r="AA130" s="25">
        <f t="shared" si="178"/>
        <v>0</v>
      </c>
      <c r="AB130" s="23">
        <f t="shared" si="179"/>
        <v>0</v>
      </c>
      <c r="AC130" s="24">
        <f t="shared" si="180"/>
        <v>0</v>
      </c>
      <c r="AD130" s="25">
        <f t="shared" si="181"/>
        <v>0</v>
      </c>
      <c r="AE130" s="23">
        <f t="shared" si="182"/>
        <v>0</v>
      </c>
      <c r="AF130" s="24">
        <f t="shared" si="183"/>
        <v>0</v>
      </c>
      <c r="AG130" s="25">
        <f t="shared" si="184"/>
        <v>0</v>
      </c>
      <c r="AH130" s="31"/>
    </row>
    <row r="131" spans="1:34" ht="18" customHeight="1" thickTop="1" thickBot="1" x14ac:dyDescent="0.3">
      <c r="A131" s="23">
        <v>93</v>
      </c>
      <c r="B131" s="28">
        <f t="shared" si="186"/>
        <v>0</v>
      </c>
      <c r="C131" s="60">
        <f t="shared" si="155"/>
        <v>0</v>
      </c>
      <c r="D131" s="23">
        <f t="shared" si="156"/>
        <v>0</v>
      </c>
      <c r="E131" s="24">
        <f t="shared" si="157"/>
        <v>0</v>
      </c>
      <c r="F131" s="25">
        <f t="shared" si="185"/>
        <v>0</v>
      </c>
      <c r="G131" s="23">
        <f t="shared" si="158"/>
        <v>0</v>
      </c>
      <c r="H131" s="24">
        <f t="shared" si="159"/>
        <v>0</v>
      </c>
      <c r="I131" s="25">
        <f t="shared" si="160"/>
        <v>0</v>
      </c>
      <c r="J131" s="23">
        <f t="shared" si="161"/>
        <v>0</v>
      </c>
      <c r="K131" s="24">
        <f t="shared" si="162"/>
        <v>0</v>
      </c>
      <c r="L131" s="25">
        <f t="shared" si="163"/>
        <v>0</v>
      </c>
      <c r="M131" s="23">
        <f t="shared" si="164"/>
        <v>0</v>
      </c>
      <c r="N131" s="24">
        <f t="shared" si="165"/>
        <v>0</v>
      </c>
      <c r="O131" s="25">
        <f t="shared" si="166"/>
        <v>0</v>
      </c>
      <c r="P131" s="23">
        <f t="shared" si="167"/>
        <v>0</v>
      </c>
      <c r="Q131" s="24">
        <f t="shared" si="168"/>
        <v>0</v>
      </c>
      <c r="R131" s="25">
        <f t="shared" si="169"/>
        <v>0</v>
      </c>
      <c r="S131" s="23">
        <f t="shared" si="170"/>
        <v>0</v>
      </c>
      <c r="T131" s="24">
        <f t="shared" si="171"/>
        <v>0</v>
      </c>
      <c r="U131" s="25">
        <f t="shared" si="172"/>
        <v>0</v>
      </c>
      <c r="V131" s="23">
        <f t="shared" si="173"/>
        <v>0</v>
      </c>
      <c r="W131" s="24">
        <f t="shared" si="174"/>
        <v>0</v>
      </c>
      <c r="X131" s="25">
        <f t="shared" si="175"/>
        <v>0</v>
      </c>
      <c r="Y131" s="23">
        <f t="shared" si="176"/>
        <v>0</v>
      </c>
      <c r="Z131" s="24">
        <f t="shared" si="177"/>
        <v>0</v>
      </c>
      <c r="AA131" s="25">
        <f t="shared" si="178"/>
        <v>0</v>
      </c>
      <c r="AB131" s="23">
        <f t="shared" si="179"/>
        <v>0</v>
      </c>
      <c r="AC131" s="24">
        <f t="shared" si="180"/>
        <v>0</v>
      </c>
      <c r="AD131" s="25">
        <f t="shared" si="181"/>
        <v>0</v>
      </c>
      <c r="AE131" s="23">
        <f t="shared" si="182"/>
        <v>0</v>
      </c>
      <c r="AF131" s="24">
        <f t="shared" si="183"/>
        <v>0</v>
      </c>
      <c r="AG131" s="25">
        <f t="shared" si="184"/>
        <v>0</v>
      </c>
      <c r="AH131" s="33"/>
    </row>
    <row r="132" spans="1:34" ht="18" customHeight="1" thickTop="1" thickBot="1" x14ac:dyDescent="0.3">
      <c r="A132" s="27">
        <v>94</v>
      </c>
      <c r="B132" s="28">
        <f t="shared" si="186"/>
        <v>0</v>
      </c>
      <c r="C132" s="60">
        <f t="shared" si="155"/>
        <v>0</v>
      </c>
      <c r="D132" s="23">
        <f t="shared" si="156"/>
        <v>0</v>
      </c>
      <c r="E132" s="24">
        <f t="shared" si="157"/>
        <v>0</v>
      </c>
      <c r="F132" s="25">
        <f t="shared" si="185"/>
        <v>0</v>
      </c>
      <c r="G132" s="23">
        <f t="shared" si="158"/>
        <v>0</v>
      </c>
      <c r="H132" s="24">
        <f t="shared" si="159"/>
        <v>0</v>
      </c>
      <c r="I132" s="25">
        <f t="shared" si="160"/>
        <v>0</v>
      </c>
      <c r="J132" s="23">
        <f t="shared" si="161"/>
        <v>0</v>
      </c>
      <c r="K132" s="24">
        <f t="shared" si="162"/>
        <v>0</v>
      </c>
      <c r="L132" s="25">
        <f t="shared" si="163"/>
        <v>0</v>
      </c>
      <c r="M132" s="23">
        <f t="shared" si="164"/>
        <v>0</v>
      </c>
      <c r="N132" s="24">
        <f t="shared" si="165"/>
        <v>0</v>
      </c>
      <c r="O132" s="25">
        <f t="shared" si="166"/>
        <v>0</v>
      </c>
      <c r="P132" s="23">
        <f t="shared" si="167"/>
        <v>0</v>
      </c>
      <c r="Q132" s="24">
        <f t="shared" si="168"/>
        <v>0</v>
      </c>
      <c r="R132" s="25">
        <f t="shared" si="169"/>
        <v>0</v>
      </c>
      <c r="S132" s="23">
        <f t="shared" si="170"/>
        <v>0</v>
      </c>
      <c r="T132" s="24">
        <f t="shared" si="171"/>
        <v>0</v>
      </c>
      <c r="U132" s="25">
        <f t="shared" si="172"/>
        <v>0</v>
      </c>
      <c r="V132" s="23">
        <f t="shared" si="173"/>
        <v>0</v>
      </c>
      <c r="W132" s="24">
        <f t="shared" si="174"/>
        <v>0</v>
      </c>
      <c r="X132" s="25">
        <f t="shared" si="175"/>
        <v>0</v>
      </c>
      <c r="Y132" s="23">
        <f t="shared" si="176"/>
        <v>0</v>
      </c>
      <c r="Z132" s="24">
        <f t="shared" si="177"/>
        <v>0</v>
      </c>
      <c r="AA132" s="25">
        <f t="shared" si="178"/>
        <v>0</v>
      </c>
      <c r="AB132" s="23">
        <f t="shared" si="179"/>
        <v>0</v>
      </c>
      <c r="AC132" s="24">
        <f t="shared" si="180"/>
        <v>0</v>
      </c>
      <c r="AD132" s="25">
        <f t="shared" si="181"/>
        <v>0</v>
      </c>
      <c r="AE132" s="23">
        <f t="shared" si="182"/>
        <v>0</v>
      </c>
      <c r="AF132" s="24">
        <f t="shared" si="183"/>
        <v>0</v>
      </c>
      <c r="AG132" s="25">
        <f t="shared" si="184"/>
        <v>0</v>
      </c>
      <c r="AH132" s="29"/>
    </row>
    <row r="133" spans="1:34" ht="18" customHeight="1" thickTop="1" thickBot="1" x14ac:dyDescent="0.3">
      <c r="A133" s="23">
        <v>95</v>
      </c>
      <c r="B133" s="28">
        <f t="shared" si="186"/>
        <v>0</v>
      </c>
      <c r="C133" s="60">
        <f t="shared" si="155"/>
        <v>0</v>
      </c>
      <c r="D133" s="23">
        <f t="shared" si="156"/>
        <v>0</v>
      </c>
      <c r="E133" s="24">
        <f t="shared" si="157"/>
        <v>0</v>
      </c>
      <c r="F133" s="25">
        <f t="shared" si="185"/>
        <v>0</v>
      </c>
      <c r="G133" s="23">
        <f t="shared" si="158"/>
        <v>0</v>
      </c>
      <c r="H133" s="24">
        <f t="shared" si="159"/>
        <v>0</v>
      </c>
      <c r="I133" s="25">
        <f t="shared" si="160"/>
        <v>0</v>
      </c>
      <c r="J133" s="23">
        <f t="shared" si="161"/>
        <v>0</v>
      </c>
      <c r="K133" s="24">
        <f t="shared" si="162"/>
        <v>0</v>
      </c>
      <c r="L133" s="25">
        <f t="shared" si="163"/>
        <v>0</v>
      </c>
      <c r="M133" s="23">
        <f t="shared" si="164"/>
        <v>0</v>
      </c>
      <c r="N133" s="24">
        <f t="shared" si="165"/>
        <v>0</v>
      </c>
      <c r="O133" s="25">
        <f t="shared" si="166"/>
        <v>0</v>
      </c>
      <c r="P133" s="23">
        <f t="shared" si="167"/>
        <v>0</v>
      </c>
      <c r="Q133" s="24">
        <f t="shared" si="168"/>
        <v>0</v>
      </c>
      <c r="R133" s="25">
        <f t="shared" si="169"/>
        <v>0</v>
      </c>
      <c r="S133" s="23">
        <f t="shared" si="170"/>
        <v>0</v>
      </c>
      <c r="T133" s="24">
        <f t="shared" si="171"/>
        <v>0</v>
      </c>
      <c r="U133" s="25">
        <f t="shared" si="172"/>
        <v>0</v>
      </c>
      <c r="V133" s="23">
        <f t="shared" si="173"/>
        <v>0</v>
      </c>
      <c r="W133" s="24">
        <f t="shared" si="174"/>
        <v>0</v>
      </c>
      <c r="X133" s="25">
        <f t="shared" si="175"/>
        <v>0</v>
      </c>
      <c r="Y133" s="23">
        <f t="shared" si="176"/>
        <v>0</v>
      </c>
      <c r="Z133" s="24">
        <f t="shared" si="177"/>
        <v>0</v>
      </c>
      <c r="AA133" s="25">
        <f t="shared" si="178"/>
        <v>0</v>
      </c>
      <c r="AB133" s="23">
        <f t="shared" si="179"/>
        <v>0</v>
      </c>
      <c r="AC133" s="24">
        <f t="shared" si="180"/>
        <v>0</v>
      </c>
      <c r="AD133" s="25">
        <f t="shared" si="181"/>
        <v>0</v>
      </c>
      <c r="AE133" s="23">
        <f t="shared" si="182"/>
        <v>0</v>
      </c>
      <c r="AF133" s="24">
        <f t="shared" si="183"/>
        <v>0</v>
      </c>
      <c r="AG133" s="25">
        <f t="shared" si="184"/>
        <v>0</v>
      </c>
      <c r="AH133" s="31"/>
    </row>
    <row r="134" spans="1:34" ht="18" customHeight="1" thickTop="1" thickBot="1" x14ac:dyDescent="0.3">
      <c r="A134" s="27">
        <v>96</v>
      </c>
      <c r="B134" s="28">
        <f t="shared" si="186"/>
        <v>0</v>
      </c>
      <c r="C134" s="60">
        <f t="shared" si="155"/>
        <v>0</v>
      </c>
      <c r="D134" s="23">
        <f t="shared" si="156"/>
        <v>0</v>
      </c>
      <c r="E134" s="24">
        <f t="shared" si="157"/>
        <v>0</v>
      </c>
      <c r="F134" s="25">
        <f t="shared" si="185"/>
        <v>0</v>
      </c>
      <c r="G134" s="23">
        <f t="shared" si="158"/>
        <v>0</v>
      </c>
      <c r="H134" s="24">
        <f t="shared" si="159"/>
        <v>0</v>
      </c>
      <c r="I134" s="25">
        <f t="shared" si="160"/>
        <v>0</v>
      </c>
      <c r="J134" s="23">
        <f t="shared" si="161"/>
        <v>0</v>
      </c>
      <c r="K134" s="24">
        <f t="shared" si="162"/>
        <v>0</v>
      </c>
      <c r="L134" s="25">
        <f t="shared" si="163"/>
        <v>0</v>
      </c>
      <c r="M134" s="23">
        <f t="shared" si="164"/>
        <v>0</v>
      </c>
      <c r="N134" s="24">
        <f t="shared" si="165"/>
        <v>0</v>
      </c>
      <c r="O134" s="25">
        <f t="shared" si="166"/>
        <v>0</v>
      </c>
      <c r="P134" s="23">
        <f t="shared" si="167"/>
        <v>0</v>
      </c>
      <c r="Q134" s="24">
        <f t="shared" si="168"/>
        <v>0</v>
      </c>
      <c r="R134" s="25">
        <f t="shared" si="169"/>
        <v>0</v>
      </c>
      <c r="S134" s="23">
        <f t="shared" si="170"/>
        <v>0</v>
      </c>
      <c r="T134" s="24">
        <f t="shared" si="171"/>
        <v>0</v>
      </c>
      <c r="U134" s="25">
        <f t="shared" si="172"/>
        <v>0</v>
      </c>
      <c r="V134" s="23">
        <f t="shared" si="173"/>
        <v>0</v>
      </c>
      <c r="W134" s="24">
        <f t="shared" si="174"/>
        <v>0</v>
      </c>
      <c r="X134" s="25">
        <f t="shared" si="175"/>
        <v>0</v>
      </c>
      <c r="Y134" s="23">
        <f t="shared" si="176"/>
        <v>0</v>
      </c>
      <c r="Z134" s="24">
        <f t="shared" si="177"/>
        <v>0</v>
      </c>
      <c r="AA134" s="25">
        <f t="shared" si="178"/>
        <v>0</v>
      </c>
      <c r="AB134" s="23">
        <f t="shared" si="179"/>
        <v>0</v>
      </c>
      <c r="AC134" s="24">
        <f t="shared" si="180"/>
        <v>0</v>
      </c>
      <c r="AD134" s="25">
        <f t="shared" si="181"/>
        <v>0</v>
      </c>
      <c r="AE134" s="23">
        <f t="shared" si="182"/>
        <v>0</v>
      </c>
      <c r="AF134" s="24">
        <f t="shared" si="183"/>
        <v>0</v>
      </c>
      <c r="AG134" s="25">
        <f t="shared" si="184"/>
        <v>0</v>
      </c>
      <c r="AH134" s="29"/>
    </row>
    <row r="135" spans="1:34" ht="18" customHeight="1" thickTop="1" thickBot="1" x14ac:dyDescent="0.3">
      <c r="A135" s="23">
        <v>97</v>
      </c>
      <c r="B135" s="28">
        <f t="shared" si="186"/>
        <v>0</v>
      </c>
      <c r="C135" s="60">
        <f t="shared" si="155"/>
        <v>0</v>
      </c>
      <c r="D135" s="23">
        <f t="shared" si="156"/>
        <v>0</v>
      </c>
      <c r="E135" s="24">
        <f t="shared" si="157"/>
        <v>0</v>
      </c>
      <c r="F135" s="25">
        <f t="shared" si="185"/>
        <v>0</v>
      </c>
      <c r="G135" s="23">
        <f t="shared" si="158"/>
        <v>0</v>
      </c>
      <c r="H135" s="24">
        <f t="shared" si="159"/>
        <v>0</v>
      </c>
      <c r="I135" s="25">
        <f t="shared" si="160"/>
        <v>0</v>
      </c>
      <c r="J135" s="23">
        <f t="shared" si="161"/>
        <v>0</v>
      </c>
      <c r="K135" s="24">
        <f t="shared" si="162"/>
        <v>0</v>
      </c>
      <c r="L135" s="25">
        <f t="shared" si="163"/>
        <v>0</v>
      </c>
      <c r="M135" s="23">
        <f t="shared" si="164"/>
        <v>0</v>
      </c>
      <c r="N135" s="24">
        <f t="shared" si="165"/>
        <v>0</v>
      </c>
      <c r="O135" s="25">
        <f t="shared" si="166"/>
        <v>0</v>
      </c>
      <c r="P135" s="23">
        <f t="shared" si="167"/>
        <v>0</v>
      </c>
      <c r="Q135" s="24">
        <f t="shared" si="168"/>
        <v>0</v>
      </c>
      <c r="R135" s="25">
        <f t="shared" si="169"/>
        <v>0</v>
      </c>
      <c r="S135" s="23">
        <f t="shared" si="170"/>
        <v>0</v>
      </c>
      <c r="T135" s="24">
        <f t="shared" si="171"/>
        <v>0</v>
      </c>
      <c r="U135" s="25">
        <f t="shared" si="172"/>
        <v>0</v>
      </c>
      <c r="V135" s="23">
        <f t="shared" si="173"/>
        <v>0</v>
      </c>
      <c r="W135" s="24">
        <f t="shared" si="174"/>
        <v>0</v>
      </c>
      <c r="X135" s="25">
        <f t="shared" si="175"/>
        <v>0</v>
      </c>
      <c r="Y135" s="23">
        <f t="shared" si="176"/>
        <v>0</v>
      </c>
      <c r="Z135" s="24">
        <f t="shared" si="177"/>
        <v>0</v>
      </c>
      <c r="AA135" s="25">
        <f t="shared" si="178"/>
        <v>0</v>
      </c>
      <c r="AB135" s="23">
        <f t="shared" si="179"/>
        <v>0</v>
      </c>
      <c r="AC135" s="24">
        <f t="shared" si="180"/>
        <v>0</v>
      </c>
      <c r="AD135" s="25">
        <f t="shared" si="181"/>
        <v>0</v>
      </c>
      <c r="AE135" s="23">
        <f t="shared" si="182"/>
        <v>0</v>
      </c>
      <c r="AF135" s="24">
        <f t="shared" si="183"/>
        <v>0</v>
      </c>
      <c r="AG135" s="25">
        <f t="shared" si="184"/>
        <v>0</v>
      </c>
      <c r="AH135" s="31"/>
    </row>
    <row r="136" spans="1:34" ht="18" customHeight="1" thickTop="1" thickBot="1" x14ac:dyDescent="0.3">
      <c r="A136" s="27">
        <v>98</v>
      </c>
      <c r="B136" s="28">
        <f t="shared" si="186"/>
        <v>0</v>
      </c>
      <c r="C136" s="60">
        <f t="shared" si="155"/>
        <v>0</v>
      </c>
      <c r="D136" s="23">
        <f t="shared" si="156"/>
        <v>0</v>
      </c>
      <c r="E136" s="24">
        <f t="shared" si="157"/>
        <v>0</v>
      </c>
      <c r="F136" s="25">
        <f t="shared" si="185"/>
        <v>0</v>
      </c>
      <c r="G136" s="23">
        <f t="shared" si="158"/>
        <v>0</v>
      </c>
      <c r="H136" s="24">
        <f t="shared" si="159"/>
        <v>0</v>
      </c>
      <c r="I136" s="25">
        <f t="shared" si="160"/>
        <v>0</v>
      </c>
      <c r="J136" s="23">
        <f t="shared" si="161"/>
        <v>0</v>
      </c>
      <c r="K136" s="24">
        <f t="shared" si="162"/>
        <v>0</v>
      </c>
      <c r="L136" s="25">
        <f t="shared" si="163"/>
        <v>0</v>
      </c>
      <c r="M136" s="23">
        <f t="shared" si="164"/>
        <v>0</v>
      </c>
      <c r="N136" s="24">
        <f t="shared" si="165"/>
        <v>0</v>
      </c>
      <c r="O136" s="25">
        <f t="shared" si="166"/>
        <v>0</v>
      </c>
      <c r="P136" s="23">
        <f t="shared" si="167"/>
        <v>0</v>
      </c>
      <c r="Q136" s="24">
        <f t="shared" si="168"/>
        <v>0</v>
      </c>
      <c r="R136" s="25">
        <f t="shared" si="169"/>
        <v>0</v>
      </c>
      <c r="S136" s="23">
        <f t="shared" si="170"/>
        <v>0</v>
      </c>
      <c r="T136" s="24">
        <f t="shared" si="171"/>
        <v>0</v>
      </c>
      <c r="U136" s="25">
        <f t="shared" si="172"/>
        <v>0</v>
      </c>
      <c r="V136" s="23">
        <f t="shared" si="173"/>
        <v>0</v>
      </c>
      <c r="W136" s="24">
        <f t="shared" si="174"/>
        <v>0</v>
      </c>
      <c r="X136" s="25">
        <f t="shared" si="175"/>
        <v>0</v>
      </c>
      <c r="Y136" s="23">
        <f t="shared" si="176"/>
        <v>0</v>
      </c>
      <c r="Z136" s="24">
        <f t="shared" si="177"/>
        <v>0</v>
      </c>
      <c r="AA136" s="25">
        <f t="shared" si="178"/>
        <v>0</v>
      </c>
      <c r="AB136" s="23">
        <f t="shared" si="179"/>
        <v>0</v>
      </c>
      <c r="AC136" s="24">
        <f t="shared" si="180"/>
        <v>0</v>
      </c>
      <c r="AD136" s="25">
        <f t="shared" si="181"/>
        <v>0</v>
      </c>
      <c r="AE136" s="23">
        <f t="shared" si="182"/>
        <v>0</v>
      </c>
      <c r="AF136" s="24">
        <f t="shared" si="183"/>
        <v>0</v>
      </c>
      <c r="AG136" s="25">
        <f t="shared" si="184"/>
        <v>0</v>
      </c>
      <c r="AH136" s="31"/>
    </row>
    <row r="137" spans="1:34" ht="18" customHeight="1" thickTop="1" thickBot="1" x14ac:dyDescent="0.3">
      <c r="A137" s="23">
        <v>99</v>
      </c>
      <c r="B137" s="28">
        <f t="shared" si="186"/>
        <v>0</v>
      </c>
      <c r="C137" s="60">
        <f t="shared" si="155"/>
        <v>0</v>
      </c>
      <c r="D137" s="23">
        <f t="shared" si="156"/>
        <v>0</v>
      </c>
      <c r="E137" s="24">
        <f t="shared" si="157"/>
        <v>0</v>
      </c>
      <c r="F137" s="25">
        <f t="shared" si="185"/>
        <v>0</v>
      </c>
      <c r="G137" s="23">
        <f t="shared" si="158"/>
        <v>0</v>
      </c>
      <c r="H137" s="24">
        <f t="shared" si="159"/>
        <v>0</v>
      </c>
      <c r="I137" s="25">
        <f t="shared" si="160"/>
        <v>0</v>
      </c>
      <c r="J137" s="23">
        <f t="shared" si="161"/>
        <v>0</v>
      </c>
      <c r="K137" s="24">
        <f t="shared" si="162"/>
        <v>0</v>
      </c>
      <c r="L137" s="25">
        <f t="shared" si="163"/>
        <v>0</v>
      </c>
      <c r="M137" s="23">
        <f t="shared" si="164"/>
        <v>0</v>
      </c>
      <c r="N137" s="24">
        <f t="shared" si="165"/>
        <v>0</v>
      </c>
      <c r="O137" s="25">
        <f t="shared" si="166"/>
        <v>0</v>
      </c>
      <c r="P137" s="23">
        <f t="shared" si="167"/>
        <v>0</v>
      </c>
      <c r="Q137" s="24">
        <f t="shared" si="168"/>
        <v>0</v>
      </c>
      <c r="R137" s="25">
        <f t="shared" si="169"/>
        <v>0</v>
      </c>
      <c r="S137" s="23">
        <f t="shared" si="170"/>
        <v>0</v>
      </c>
      <c r="T137" s="24">
        <f t="shared" si="171"/>
        <v>0</v>
      </c>
      <c r="U137" s="25">
        <f t="shared" si="172"/>
        <v>0</v>
      </c>
      <c r="V137" s="23">
        <f t="shared" si="173"/>
        <v>0</v>
      </c>
      <c r="W137" s="24">
        <f t="shared" si="174"/>
        <v>0</v>
      </c>
      <c r="X137" s="25">
        <f t="shared" si="175"/>
        <v>0</v>
      </c>
      <c r="Y137" s="23">
        <f t="shared" si="176"/>
        <v>0</v>
      </c>
      <c r="Z137" s="24">
        <f t="shared" si="177"/>
        <v>0</v>
      </c>
      <c r="AA137" s="25">
        <f t="shared" si="178"/>
        <v>0</v>
      </c>
      <c r="AB137" s="23">
        <f t="shared" si="179"/>
        <v>0</v>
      </c>
      <c r="AC137" s="24">
        <f t="shared" si="180"/>
        <v>0</v>
      </c>
      <c r="AD137" s="25">
        <f t="shared" si="181"/>
        <v>0</v>
      </c>
      <c r="AE137" s="23">
        <f t="shared" si="182"/>
        <v>0</v>
      </c>
      <c r="AF137" s="24">
        <f t="shared" si="183"/>
        <v>0</v>
      </c>
      <c r="AG137" s="25">
        <f t="shared" si="184"/>
        <v>0</v>
      </c>
      <c r="AH137" s="31"/>
    </row>
    <row r="138" spans="1:34" ht="18" customHeight="1" thickTop="1" thickBot="1" x14ac:dyDescent="0.3">
      <c r="A138" s="27">
        <v>100</v>
      </c>
      <c r="B138" s="28">
        <f t="shared" si="186"/>
        <v>0</v>
      </c>
      <c r="C138" s="60">
        <f t="shared" si="155"/>
        <v>0</v>
      </c>
      <c r="D138" s="23">
        <f t="shared" si="156"/>
        <v>0</v>
      </c>
      <c r="E138" s="24">
        <f t="shared" si="157"/>
        <v>0</v>
      </c>
      <c r="F138" s="25">
        <f t="shared" si="185"/>
        <v>0</v>
      </c>
      <c r="G138" s="23">
        <f t="shared" si="158"/>
        <v>0</v>
      </c>
      <c r="H138" s="24">
        <f t="shared" si="159"/>
        <v>0</v>
      </c>
      <c r="I138" s="25">
        <f t="shared" si="160"/>
        <v>0</v>
      </c>
      <c r="J138" s="23">
        <f t="shared" si="161"/>
        <v>0</v>
      </c>
      <c r="K138" s="24">
        <f t="shared" si="162"/>
        <v>0</v>
      </c>
      <c r="L138" s="25">
        <f t="shared" si="163"/>
        <v>0</v>
      </c>
      <c r="M138" s="23">
        <f t="shared" si="164"/>
        <v>0</v>
      </c>
      <c r="N138" s="24">
        <f t="shared" si="165"/>
        <v>0</v>
      </c>
      <c r="O138" s="25">
        <f t="shared" si="166"/>
        <v>0</v>
      </c>
      <c r="P138" s="23">
        <f t="shared" si="167"/>
        <v>0</v>
      </c>
      <c r="Q138" s="24">
        <f t="shared" si="168"/>
        <v>0</v>
      </c>
      <c r="R138" s="25">
        <f t="shared" si="169"/>
        <v>0</v>
      </c>
      <c r="S138" s="23">
        <f t="shared" si="170"/>
        <v>0</v>
      </c>
      <c r="T138" s="24">
        <f t="shared" si="171"/>
        <v>0</v>
      </c>
      <c r="U138" s="25">
        <f t="shared" si="172"/>
        <v>0</v>
      </c>
      <c r="V138" s="23">
        <f t="shared" si="173"/>
        <v>0</v>
      </c>
      <c r="W138" s="24">
        <f t="shared" si="174"/>
        <v>0</v>
      </c>
      <c r="X138" s="25">
        <f t="shared" si="175"/>
        <v>0</v>
      </c>
      <c r="Y138" s="23">
        <f t="shared" si="176"/>
        <v>0</v>
      </c>
      <c r="Z138" s="24">
        <f t="shared" si="177"/>
        <v>0</v>
      </c>
      <c r="AA138" s="25">
        <f t="shared" si="178"/>
        <v>0</v>
      </c>
      <c r="AB138" s="23">
        <f t="shared" si="179"/>
        <v>0</v>
      </c>
      <c r="AC138" s="24">
        <f t="shared" si="180"/>
        <v>0</v>
      </c>
      <c r="AD138" s="25">
        <f t="shared" si="181"/>
        <v>0</v>
      </c>
      <c r="AE138" s="23">
        <f t="shared" si="182"/>
        <v>0</v>
      </c>
      <c r="AF138" s="24">
        <f t="shared" si="183"/>
        <v>0</v>
      </c>
      <c r="AG138" s="25">
        <f t="shared" si="184"/>
        <v>0</v>
      </c>
      <c r="AH138" s="34"/>
    </row>
    <row r="139" spans="1:34" ht="7.95" customHeight="1" thickTop="1" x14ac:dyDescent="0.25">
      <c r="A139" s="212" t="s">
        <v>2</v>
      </c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</row>
    <row r="140" spans="1:34" x14ac:dyDescent="0.25">
      <c r="A140" s="213"/>
      <c r="B140" s="213"/>
      <c r="C140" s="213" t="s">
        <v>18</v>
      </c>
      <c r="D140" s="213"/>
      <c r="E140" s="213"/>
      <c r="F140" s="214" t="s">
        <v>19</v>
      </c>
      <c r="G140" s="214"/>
      <c r="H140" s="214"/>
      <c r="I140" s="214"/>
      <c r="J140" s="35"/>
      <c r="K140" s="214" t="s">
        <v>20</v>
      </c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35"/>
      <c r="AD140" s="35"/>
      <c r="AE140" s="214" t="s">
        <v>55</v>
      </c>
      <c r="AF140" s="214"/>
      <c r="AG140" s="214"/>
    </row>
    <row r="141" spans="1:34" ht="13.95" customHeight="1" x14ac:dyDescent="0.25">
      <c r="A141" s="214" t="s">
        <v>21</v>
      </c>
      <c r="B141" s="214"/>
      <c r="C141" s="213">
        <f>'الفترة الاولى'!$CA$10</f>
        <v>0</v>
      </c>
      <c r="D141" s="213"/>
      <c r="E141" s="213"/>
      <c r="F141" s="214"/>
      <c r="G141" s="214"/>
      <c r="H141" s="214"/>
      <c r="I141" s="214"/>
      <c r="J141" s="35"/>
      <c r="K141" s="220" t="s">
        <v>52</v>
      </c>
      <c r="L141" s="215"/>
      <c r="M141" s="215"/>
      <c r="N141" s="222" t="str">
        <f>'الفترة الاولى'!$CA$16</f>
        <v>أ. فهيم عبدالمجيد بوازويتة</v>
      </c>
      <c r="O141" s="222"/>
      <c r="P141" s="222"/>
      <c r="Q141" s="222"/>
      <c r="R141" s="222"/>
      <c r="S141" s="222"/>
      <c r="T141" s="222"/>
      <c r="U141" s="215" t="s">
        <v>53</v>
      </c>
      <c r="V141" s="215"/>
      <c r="W141" s="215"/>
      <c r="X141" s="215" t="str">
        <f>'الفترة الاولى'!$C$6</f>
        <v>سهول العلم للتعليم الخاص</v>
      </c>
      <c r="Y141" s="215"/>
      <c r="Z141" s="215"/>
      <c r="AA141" s="215"/>
      <c r="AB141" s="216"/>
      <c r="AC141" s="36"/>
      <c r="AD141" s="36"/>
      <c r="AE141" s="214" t="s">
        <v>2</v>
      </c>
      <c r="AF141" s="214"/>
      <c r="AG141" s="214"/>
    </row>
    <row r="142" spans="1:34" ht="15.6" customHeight="1" x14ac:dyDescent="0.25">
      <c r="A142" s="214" t="s">
        <v>22</v>
      </c>
      <c r="B142" s="214"/>
      <c r="C142" s="213">
        <f>'الفترة الاولى'!$CA$11</f>
        <v>0</v>
      </c>
      <c r="D142" s="213"/>
      <c r="E142" s="213"/>
      <c r="F142" s="214"/>
      <c r="G142" s="214"/>
      <c r="H142" s="214"/>
      <c r="I142" s="214"/>
      <c r="J142" s="35"/>
      <c r="K142" s="217" t="s">
        <v>54</v>
      </c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9"/>
      <c r="AC142" s="37"/>
      <c r="AD142" s="37"/>
      <c r="AE142" s="214"/>
      <c r="AF142" s="214"/>
      <c r="AG142" s="214"/>
    </row>
    <row r="143" spans="1:34" ht="13.95" customHeight="1" x14ac:dyDescent="0.25">
      <c r="A143" s="214" t="s">
        <v>23</v>
      </c>
      <c r="B143" s="214"/>
      <c r="C143" s="213">
        <f>'الفترة الاولى'!$CA$12</f>
        <v>0</v>
      </c>
      <c r="D143" s="213"/>
      <c r="E143" s="213"/>
      <c r="F143" s="214"/>
      <c r="G143" s="214"/>
      <c r="H143" s="214"/>
      <c r="I143" s="214"/>
      <c r="K143" s="220" t="s">
        <v>44</v>
      </c>
      <c r="L143" s="215"/>
      <c r="M143" s="221">
        <f ca="1">TODAY()</f>
        <v>46181</v>
      </c>
      <c r="N143" s="215"/>
      <c r="O143" s="215"/>
      <c r="P143" s="215"/>
      <c r="Q143" s="215"/>
      <c r="R143" s="215"/>
      <c r="S143" s="215"/>
      <c r="T143" s="215" t="s">
        <v>19</v>
      </c>
      <c r="U143" s="215"/>
      <c r="V143" s="215"/>
      <c r="W143" s="215"/>
      <c r="X143" s="215"/>
      <c r="Y143" s="215"/>
      <c r="Z143" s="215"/>
      <c r="AA143" s="215"/>
      <c r="AB143" s="38"/>
      <c r="AC143" s="36"/>
      <c r="AD143" s="36"/>
      <c r="AE143" s="214"/>
      <c r="AF143" s="214"/>
      <c r="AG143" s="214"/>
    </row>
    <row r="144" spans="1:34" ht="14.4" thickBot="1" x14ac:dyDescent="0.3">
      <c r="A144" s="214" t="s">
        <v>24</v>
      </c>
      <c r="B144" s="214"/>
      <c r="C144" s="213">
        <f>'الفترة الاولى'!$CA$13</f>
        <v>0</v>
      </c>
      <c r="D144" s="213"/>
      <c r="E144" s="213"/>
      <c r="F144" s="214"/>
      <c r="G144" s="214"/>
      <c r="H144" s="214"/>
      <c r="I144" s="214"/>
      <c r="K144" s="39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1"/>
      <c r="AC144" s="36"/>
      <c r="AD144" s="36"/>
      <c r="AE144" s="214"/>
      <c r="AF144" s="214"/>
      <c r="AG144" s="214"/>
    </row>
    <row r="145" spans="1:34" ht="6.75" customHeight="1" thickBot="1" x14ac:dyDescent="0.3">
      <c r="A145" s="209"/>
      <c r="B145" s="210"/>
      <c r="C145" s="210"/>
      <c r="D145" s="210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  <c r="AH145" s="211"/>
    </row>
    <row r="146" spans="1:34" ht="18" customHeight="1" thickBot="1" x14ac:dyDescent="0.3">
      <c r="A146" s="23">
        <v>101</v>
      </c>
      <c r="B146" s="24">
        <f>IFERROR(VLOOKUP(A146,الاسماء,2,0),"")</f>
        <v>0</v>
      </c>
      <c r="C146" s="59">
        <f t="shared" ref="C146:C165" si="187">IFERROR(VLOOKUP(A146,الاسماء,3,0),"")</f>
        <v>0</v>
      </c>
      <c r="D146" s="23">
        <f t="shared" ref="D146:D165" si="188">IFERROR(VLOOKUP($C146,درجات,5,0),0)</f>
        <v>0</v>
      </c>
      <c r="E146" s="24">
        <f t="shared" ref="E146:E165" si="189">IFERROR(VLOOKUP($C146,درجات,43,0),0)</f>
        <v>0</v>
      </c>
      <c r="F146" s="25">
        <f>SUM(D146:E146)</f>
        <v>0</v>
      </c>
      <c r="G146" s="23">
        <f t="shared" ref="G146:G165" si="190">IFERROR(VLOOKUP($C146,درجات,8,0),0)</f>
        <v>0</v>
      </c>
      <c r="H146" s="24">
        <f t="shared" ref="H146:H165" si="191">IFERROR(VLOOKUP($C146,درجات,46,0),0)</f>
        <v>0</v>
      </c>
      <c r="I146" s="25">
        <f t="shared" ref="I146:I165" si="192">SUM(G146:H146)</f>
        <v>0</v>
      </c>
      <c r="J146" s="23">
        <f t="shared" ref="J146:J165" si="193">IFERROR(VLOOKUP($C146,درجات,11,0),0)</f>
        <v>0</v>
      </c>
      <c r="K146" s="24">
        <f t="shared" ref="K146:K165" si="194">IFERROR(VLOOKUP($C146,درجات,49,0),0)</f>
        <v>0</v>
      </c>
      <c r="L146" s="25">
        <f t="shared" ref="L146:L165" si="195">SUM(J146:K146)</f>
        <v>0</v>
      </c>
      <c r="M146" s="23">
        <f t="shared" ref="M146:M165" si="196">IFERROR(VLOOKUP($C146,درجات,14,0),0)</f>
        <v>0</v>
      </c>
      <c r="N146" s="24">
        <f t="shared" ref="N146:N165" si="197">IFERROR(VLOOKUP($C146,درجات,52,0),0)</f>
        <v>0</v>
      </c>
      <c r="O146" s="25">
        <f t="shared" ref="O146:O165" si="198">SUM(M146:N146)</f>
        <v>0</v>
      </c>
      <c r="P146" s="23">
        <f t="shared" ref="P146:P165" si="199">IFERROR(VLOOKUP($C146,درجات,17,0),0)</f>
        <v>0</v>
      </c>
      <c r="Q146" s="24">
        <f t="shared" ref="Q146:Q165" si="200">IFERROR(VLOOKUP($C146,درجات,55,0),0)</f>
        <v>0</v>
      </c>
      <c r="R146" s="25">
        <f t="shared" ref="R146:R165" si="201">SUM(P146:Q146)</f>
        <v>0</v>
      </c>
      <c r="S146" s="23">
        <f t="shared" ref="S146:S165" si="202">IFERROR(VLOOKUP($C146,درجات,20,0),0)</f>
        <v>0</v>
      </c>
      <c r="T146" s="24">
        <f t="shared" ref="T146:T165" si="203">IFERROR(VLOOKUP($C146,درجات,58,0),0)</f>
        <v>0</v>
      </c>
      <c r="U146" s="25">
        <f t="shared" ref="U146:U165" si="204">SUM(S146:T146)</f>
        <v>0</v>
      </c>
      <c r="V146" s="23">
        <f t="shared" ref="V146:V165" si="205">IFERROR(VLOOKUP($C146,درجات,23,0),0)</f>
        <v>0</v>
      </c>
      <c r="W146" s="24">
        <f t="shared" ref="W146:W165" si="206">IFERROR(VLOOKUP($C146,درجات,61,0),0)</f>
        <v>0</v>
      </c>
      <c r="X146" s="25">
        <f t="shared" ref="X146:X165" si="207">SUM(V146:W146)</f>
        <v>0</v>
      </c>
      <c r="Y146" s="23">
        <f t="shared" ref="Y146:Y165" si="208">IFERROR(VLOOKUP($C146,درجات,26,0),0)</f>
        <v>0</v>
      </c>
      <c r="Z146" s="24">
        <f t="shared" ref="Z146:Z165" si="209">IFERROR(VLOOKUP($C146,درجات,64,0),0)</f>
        <v>0</v>
      </c>
      <c r="AA146" s="25">
        <f t="shared" ref="AA146:AA165" si="210">SUM(Y146:Z146)</f>
        <v>0</v>
      </c>
      <c r="AB146" s="23">
        <f t="shared" ref="AB146:AB165" si="211">IFERROR(VLOOKUP($C146,درجات,29,0),0)</f>
        <v>0</v>
      </c>
      <c r="AC146" s="24">
        <f t="shared" ref="AC146:AC165" si="212">IFERROR(VLOOKUP($C146,درجات,67,0),0)</f>
        <v>0</v>
      </c>
      <c r="AD146" s="25">
        <f t="shared" ref="AD146:AD165" si="213">SUM(AB146:AC146)</f>
        <v>0</v>
      </c>
      <c r="AE146" s="23">
        <f t="shared" ref="AE146:AE165" si="214">IFERROR(VLOOKUP($C146,درجات,32,0),0)</f>
        <v>0</v>
      </c>
      <c r="AF146" s="24">
        <f t="shared" ref="AF146:AF165" si="215">IFERROR(VLOOKUP($C146,درجات,70,0),0)</f>
        <v>0</v>
      </c>
      <c r="AG146" s="25">
        <f t="shared" ref="AG146:AG165" si="216">SUM(AE146:AF146)</f>
        <v>0</v>
      </c>
      <c r="AH146" s="26"/>
    </row>
    <row r="147" spans="1:34" ht="18" customHeight="1" thickTop="1" thickBot="1" x14ac:dyDescent="0.3">
      <c r="A147" s="27">
        <v>102</v>
      </c>
      <c r="B147" s="28">
        <f>IFERROR(VLOOKUP(A147,الاسماء,2,0),0)</f>
        <v>0</v>
      </c>
      <c r="C147" s="60">
        <f t="shared" si="187"/>
        <v>0</v>
      </c>
      <c r="D147" s="23">
        <f t="shared" si="188"/>
        <v>0</v>
      </c>
      <c r="E147" s="24">
        <f t="shared" si="189"/>
        <v>0</v>
      </c>
      <c r="F147" s="25">
        <f t="shared" ref="F147:F165" si="217">SUM(D147:E147)</f>
        <v>0</v>
      </c>
      <c r="G147" s="23">
        <f t="shared" si="190"/>
        <v>0</v>
      </c>
      <c r="H147" s="24">
        <f t="shared" si="191"/>
        <v>0</v>
      </c>
      <c r="I147" s="25">
        <f t="shared" si="192"/>
        <v>0</v>
      </c>
      <c r="J147" s="23">
        <f t="shared" si="193"/>
        <v>0</v>
      </c>
      <c r="K147" s="24">
        <f t="shared" si="194"/>
        <v>0</v>
      </c>
      <c r="L147" s="25">
        <f t="shared" si="195"/>
        <v>0</v>
      </c>
      <c r="M147" s="23">
        <f t="shared" si="196"/>
        <v>0</v>
      </c>
      <c r="N147" s="24">
        <f t="shared" si="197"/>
        <v>0</v>
      </c>
      <c r="O147" s="25">
        <f t="shared" si="198"/>
        <v>0</v>
      </c>
      <c r="P147" s="23">
        <f t="shared" si="199"/>
        <v>0</v>
      </c>
      <c r="Q147" s="24">
        <f t="shared" si="200"/>
        <v>0</v>
      </c>
      <c r="R147" s="25">
        <f t="shared" si="201"/>
        <v>0</v>
      </c>
      <c r="S147" s="23">
        <f t="shared" si="202"/>
        <v>0</v>
      </c>
      <c r="T147" s="24">
        <f t="shared" si="203"/>
        <v>0</v>
      </c>
      <c r="U147" s="25">
        <f t="shared" si="204"/>
        <v>0</v>
      </c>
      <c r="V147" s="23">
        <f t="shared" si="205"/>
        <v>0</v>
      </c>
      <c r="W147" s="24">
        <f t="shared" si="206"/>
        <v>0</v>
      </c>
      <c r="X147" s="25">
        <f t="shared" si="207"/>
        <v>0</v>
      </c>
      <c r="Y147" s="23">
        <f t="shared" si="208"/>
        <v>0</v>
      </c>
      <c r="Z147" s="24">
        <f t="shared" si="209"/>
        <v>0</v>
      </c>
      <c r="AA147" s="25">
        <f t="shared" si="210"/>
        <v>0</v>
      </c>
      <c r="AB147" s="23">
        <f t="shared" si="211"/>
        <v>0</v>
      </c>
      <c r="AC147" s="24">
        <f t="shared" si="212"/>
        <v>0</v>
      </c>
      <c r="AD147" s="25">
        <f t="shared" si="213"/>
        <v>0</v>
      </c>
      <c r="AE147" s="23">
        <f t="shared" si="214"/>
        <v>0</v>
      </c>
      <c r="AF147" s="24">
        <f t="shared" si="215"/>
        <v>0</v>
      </c>
      <c r="AG147" s="25">
        <f t="shared" si="216"/>
        <v>0</v>
      </c>
      <c r="AH147" s="29"/>
    </row>
    <row r="148" spans="1:34" ht="18" customHeight="1" thickTop="1" thickBot="1" x14ac:dyDescent="0.3">
      <c r="A148" s="23">
        <v>103</v>
      </c>
      <c r="B148" s="28">
        <f t="shared" ref="B148:B165" si="218">IFERROR(VLOOKUP(A148,الاسماء,2,0),"")</f>
        <v>0</v>
      </c>
      <c r="C148" s="60">
        <f t="shared" si="187"/>
        <v>0</v>
      </c>
      <c r="D148" s="23">
        <f t="shared" si="188"/>
        <v>0</v>
      </c>
      <c r="E148" s="24">
        <f t="shared" si="189"/>
        <v>0</v>
      </c>
      <c r="F148" s="25">
        <f t="shared" si="217"/>
        <v>0</v>
      </c>
      <c r="G148" s="23">
        <f t="shared" si="190"/>
        <v>0</v>
      </c>
      <c r="H148" s="24">
        <f t="shared" si="191"/>
        <v>0</v>
      </c>
      <c r="I148" s="25">
        <f t="shared" si="192"/>
        <v>0</v>
      </c>
      <c r="J148" s="23">
        <f t="shared" si="193"/>
        <v>0</v>
      </c>
      <c r="K148" s="24">
        <f t="shared" si="194"/>
        <v>0</v>
      </c>
      <c r="L148" s="25">
        <f t="shared" si="195"/>
        <v>0</v>
      </c>
      <c r="M148" s="23">
        <f t="shared" si="196"/>
        <v>0</v>
      </c>
      <c r="N148" s="24">
        <f t="shared" si="197"/>
        <v>0</v>
      </c>
      <c r="O148" s="25">
        <f t="shared" si="198"/>
        <v>0</v>
      </c>
      <c r="P148" s="23">
        <f t="shared" si="199"/>
        <v>0</v>
      </c>
      <c r="Q148" s="24">
        <f t="shared" si="200"/>
        <v>0</v>
      </c>
      <c r="R148" s="25">
        <f t="shared" si="201"/>
        <v>0</v>
      </c>
      <c r="S148" s="23">
        <f t="shared" si="202"/>
        <v>0</v>
      </c>
      <c r="T148" s="24">
        <f t="shared" si="203"/>
        <v>0</v>
      </c>
      <c r="U148" s="25">
        <f t="shared" si="204"/>
        <v>0</v>
      </c>
      <c r="V148" s="23">
        <f t="shared" si="205"/>
        <v>0</v>
      </c>
      <c r="W148" s="24">
        <f t="shared" si="206"/>
        <v>0</v>
      </c>
      <c r="X148" s="25">
        <f t="shared" si="207"/>
        <v>0</v>
      </c>
      <c r="Y148" s="23">
        <f t="shared" si="208"/>
        <v>0</v>
      </c>
      <c r="Z148" s="24">
        <f t="shared" si="209"/>
        <v>0</v>
      </c>
      <c r="AA148" s="25">
        <f t="shared" si="210"/>
        <v>0</v>
      </c>
      <c r="AB148" s="23">
        <f t="shared" si="211"/>
        <v>0</v>
      </c>
      <c r="AC148" s="24">
        <f t="shared" si="212"/>
        <v>0</v>
      </c>
      <c r="AD148" s="25">
        <f t="shared" si="213"/>
        <v>0</v>
      </c>
      <c r="AE148" s="23">
        <f t="shared" si="214"/>
        <v>0</v>
      </c>
      <c r="AF148" s="24">
        <f t="shared" si="215"/>
        <v>0</v>
      </c>
      <c r="AG148" s="25">
        <f t="shared" si="216"/>
        <v>0</v>
      </c>
      <c r="AH148" s="30"/>
    </row>
    <row r="149" spans="1:34" ht="18" customHeight="1" thickTop="1" thickBot="1" x14ac:dyDescent="0.3">
      <c r="A149" s="27">
        <v>104</v>
      </c>
      <c r="B149" s="28">
        <f t="shared" si="218"/>
        <v>0</v>
      </c>
      <c r="C149" s="60">
        <f t="shared" si="187"/>
        <v>0</v>
      </c>
      <c r="D149" s="23">
        <f t="shared" si="188"/>
        <v>0</v>
      </c>
      <c r="E149" s="24">
        <f t="shared" si="189"/>
        <v>0</v>
      </c>
      <c r="F149" s="25">
        <f t="shared" si="217"/>
        <v>0</v>
      </c>
      <c r="G149" s="23">
        <f t="shared" si="190"/>
        <v>0</v>
      </c>
      <c r="H149" s="24">
        <f t="shared" si="191"/>
        <v>0</v>
      </c>
      <c r="I149" s="25">
        <f t="shared" si="192"/>
        <v>0</v>
      </c>
      <c r="J149" s="23">
        <f t="shared" si="193"/>
        <v>0</v>
      </c>
      <c r="K149" s="24">
        <f t="shared" si="194"/>
        <v>0</v>
      </c>
      <c r="L149" s="25">
        <f t="shared" si="195"/>
        <v>0</v>
      </c>
      <c r="M149" s="23">
        <f t="shared" si="196"/>
        <v>0</v>
      </c>
      <c r="N149" s="24">
        <f t="shared" si="197"/>
        <v>0</v>
      </c>
      <c r="O149" s="25">
        <f t="shared" si="198"/>
        <v>0</v>
      </c>
      <c r="P149" s="23">
        <f t="shared" si="199"/>
        <v>0</v>
      </c>
      <c r="Q149" s="24">
        <f t="shared" si="200"/>
        <v>0</v>
      </c>
      <c r="R149" s="25">
        <f t="shared" si="201"/>
        <v>0</v>
      </c>
      <c r="S149" s="23">
        <f t="shared" si="202"/>
        <v>0</v>
      </c>
      <c r="T149" s="24">
        <f t="shared" si="203"/>
        <v>0</v>
      </c>
      <c r="U149" s="25">
        <f t="shared" si="204"/>
        <v>0</v>
      </c>
      <c r="V149" s="23">
        <f t="shared" si="205"/>
        <v>0</v>
      </c>
      <c r="W149" s="24">
        <f t="shared" si="206"/>
        <v>0</v>
      </c>
      <c r="X149" s="25">
        <f t="shared" si="207"/>
        <v>0</v>
      </c>
      <c r="Y149" s="23">
        <f t="shared" si="208"/>
        <v>0</v>
      </c>
      <c r="Z149" s="24">
        <f t="shared" si="209"/>
        <v>0</v>
      </c>
      <c r="AA149" s="25">
        <f t="shared" si="210"/>
        <v>0</v>
      </c>
      <c r="AB149" s="23">
        <f t="shared" si="211"/>
        <v>0</v>
      </c>
      <c r="AC149" s="24">
        <f t="shared" si="212"/>
        <v>0</v>
      </c>
      <c r="AD149" s="25">
        <f t="shared" si="213"/>
        <v>0</v>
      </c>
      <c r="AE149" s="23">
        <f t="shared" si="214"/>
        <v>0</v>
      </c>
      <c r="AF149" s="24">
        <f t="shared" si="215"/>
        <v>0</v>
      </c>
      <c r="AG149" s="25">
        <f t="shared" si="216"/>
        <v>0</v>
      </c>
      <c r="AH149" s="30"/>
    </row>
    <row r="150" spans="1:34" ht="18" customHeight="1" thickTop="1" thickBot="1" x14ac:dyDescent="0.3">
      <c r="A150" s="23">
        <v>105</v>
      </c>
      <c r="B150" s="28">
        <f t="shared" si="218"/>
        <v>0</v>
      </c>
      <c r="C150" s="60">
        <f t="shared" si="187"/>
        <v>0</v>
      </c>
      <c r="D150" s="23">
        <f t="shared" si="188"/>
        <v>0</v>
      </c>
      <c r="E150" s="24">
        <f t="shared" si="189"/>
        <v>0</v>
      </c>
      <c r="F150" s="25">
        <f t="shared" si="217"/>
        <v>0</v>
      </c>
      <c r="G150" s="23">
        <f t="shared" si="190"/>
        <v>0</v>
      </c>
      <c r="H150" s="24">
        <f t="shared" si="191"/>
        <v>0</v>
      </c>
      <c r="I150" s="25">
        <f t="shared" si="192"/>
        <v>0</v>
      </c>
      <c r="J150" s="23">
        <f t="shared" si="193"/>
        <v>0</v>
      </c>
      <c r="K150" s="24">
        <f t="shared" si="194"/>
        <v>0</v>
      </c>
      <c r="L150" s="25">
        <f t="shared" si="195"/>
        <v>0</v>
      </c>
      <c r="M150" s="23">
        <f t="shared" si="196"/>
        <v>0</v>
      </c>
      <c r="N150" s="24">
        <f t="shared" si="197"/>
        <v>0</v>
      </c>
      <c r="O150" s="25">
        <f t="shared" si="198"/>
        <v>0</v>
      </c>
      <c r="P150" s="23">
        <f t="shared" si="199"/>
        <v>0</v>
      </c>
      <c r="Q150" s="24">
        <f t="shared" si="200"/>
        <v>0</v>
      </c>
      <c r="R150" s="25">
        <f t="shared" si="201"/>
        <v>0</v>
      </c>
      <c r="S150" s="23">
        <f t="shared" si="202"/>
        <v>0</v>
      </c>
      <c r="T150" s="24">
        <f t="shared" si="203"/>
        <v>0</v>
      </c>
      <c r="U150" s="25">
        <f t="shared" si="204"/>
        <v>0</v>
      </c>
      <c r="V150" s="23">
        <f t="shared" si="205"/>
        <v>0</v>
      </c>
      <c r="W150" s="24">
        <f t="shared" si="206"/>
        <v>0</v>
      </c>
      <c r="X150" s="25">
        <f t="shared" si="207"/>
        <v>0</v>
      </c>
      <c r="Y150" s="23">
        <f t="shared" si="208"/>
        <v>0</v>
      </c>
      <c r="Z150" s="24">
        <f t="shared" si="209"/>
        <v>0</v>
      </c>
      <c r="AA150" s="25">
        <f t="shared" si="210"/>
        <v>0</v>
      </c>
      <c r="AB150" s="23">
        <f t="shared" si="211"/>
        <v>0</v>
      </c>
      <c r="AC150" s="24">
        <f t="shared" si="212"/>
        <v>0</v>
      </c>
      <c r="AD150" s="25">
        <f t="shared" si="213"/>
        <v>0</v>
      </c>
      <c r="AE150" s="23">
        <f t="shared" si="214"/>
        <v>0</v>
      </c>
      <c r="AF150" s="24">
        <f t="shared" si="215"/>
        <v>0</v>
      </c>
      <c r="AG150" s="25">
        <f t="shared" si="216"/>
        <v>0</v>
      </c>
      <c r="AH150" s="30"/>
    </row>
    <row r="151" spans="1:34" ht="18" customHeight="1" thickTop="1" thickBot="1" x14ac:dyDescent="0.3">
      <c r="A151" s="27">
        <v>106</v>
      </c>
      <c r="B151" s="28">
        <f t="shared" si="218"/>
        <v>0</v>
      </c>
      <c r="C151" s="60">
        <f t="shared" si="187"/>
        <v>0</v>
      </c>
      <c r="D151" s="23">
        <f t="shared" si="188"/>
        <v>0</v>
      </c>
      <c r="E151" s="24">
        <f t="shared" si="189"/>
        <v>0</v>
      </c>
      <c r="F151" s="25">
        <f t="shared" si="217"/>
        <v>0</v>
      </c>
      <c r="G151" s="23">
        <f t="shared" si="190"/>
        <v>0</v>
      </c>
      <c r="H151" s="24">
        <f t="shared" si="191"/>
        <v>0</v>
      </c>
      <c r="I151" s="25">
        <f t="shared" si="192"/>
        <v>0</v>
      </c>
      <c r="J151" s="23">
        <f t="shared" si="193"/>
        <v>0</v>
      </c>
      <c r="K151" s="24">
        <f t="shared" si="194"/>
        <v>0</v>
      </c>
      <c r="L151" s="25">
        <f t="shared" si="195"/>
        <v>0</v>
      </c>
      <c r="M151" s="23">
        <f t="shared" si="196"/>
        <v>0</v>
      </c>
      <c r="N151" s="24">
        <f t="shared" si="197"/>
        <v>0</v>
      </c>
      <c r="O151" s="25">
        <f t="shared" si="198"/>
        <v>0</v>
      </c>
      <c r="P151" s="23">
        <f t="shared" si="199"/>
        <v>0</v>
      </c>
      <c r="Q151" s="24">
        <f t="shared" si="200"/>
        <v>0</v>
      </c>
      <c r="R151" s="25">
        <f t="shared" si="201"/>
        <v>0</v>
      </c>
      <c r="S151" s="23">
        <f t="shared" si="202"/>
        <v>0</v>
      </c>
      <c r="T151" s="24">
        <f t="shared" si="203"/>
        <v>0</v>
      </c>
      <c r="U151" s="25">
        <f t="shared" si="204"/>
        <v>0</v>
      </c>
      <c r="V151" s="23">
        <f t="shared" si="205"/>
        <v>0</v>
      </c>
      <c r="W151" s="24">
        <f t="shared" si="206"/>
        <v>0</v>
      </c>
      <c r="X151" s="25">
        <f t="shared" si="207"/>
        <v>0</v>
      </c>
      <c r="Y151" s="23">
        <f t="shared" si="208"/>
        <v>0</v>
      </c>
      <c r="Z151" s="24">
        <f t="shared" si="209"/>
        <v>0</v>
      </c>
      <c r="AA151" s="25">
        <f t="shared" si="210"/>
        <v>0</v>
      </c>
      <c r="AB151" s="23">
        <f t="shared" si="211"/>
        <v>0</v>
      </c>
      <c r="AC151" s="24">
        <f t="shared" si="212"/>
        <v>0</v>
      </c>
      <c r="AD151" s="25">
        <f t="shared" si="213"/>
        <v>0</v>
      </c>
      <c r="AE151" s="23">
        <f t="shared" si="214"/>
        <v>0</v>
      </c>
      <c r="AF151" s="24">
        <f t="shared" si="215"/>
        <v>0</v>
      </c>
      <c r="AG151" s="25">
        <f t="shared" si="216"/>
        <v>0</v>
      </c>
      <c r="AH151" s="31"/>
    </row>
    <row r="152" spans="1:34" ht="18" customHeight="1" thickTop="1" thickBot="1" x14ac:dyDescent="0.3">
      <c r="A152" s="23">
        <v>107</v>
      </c>
      <c r="B152" s="28">
        <f t="shared" si="218"/>
        <v>0</v>
      </c>
      <c r="C152" s="60">
        <f t="shared" si="187"/>
        <v>0</v>
      </c>
      <c r="D152" s="23">
        <f t="shared" si="188"/>
        <v>0</v>
      </c>
      <c r="E152" s="24">
        <f t="shared" si="189"/>
        <v>0</v>
      </c>
      <c r="F152" s="25">
        <f t="shared" si="217"/>
        <v>0</v>
      </c>
      <c r="G152" s="23">
        <f t="shared" si="190"/>
        <v>0</v>
      </c>
      <c r="H152" s="24">
        <f t="shared" si="191"/>
        <v>0</v>
      </c>
      <c r="I152" s="25">
        <f t="shared" si="192"/>
        <v>0</v>
      </c>
      <c r="J152" s="23">
        <f t="shared" si="193"/>
        <v>0</v>
      </c>
      <c r="K152" s="24">
        <f t="shared" si="194"/>
        <v>0</v>
      </c>
      <c r="L152" s="25">
        <f t="shared" si="195"/>
        <v>0</v>
      </c>
      <c r="M152" s="23">
        <f t="shared" si="196"/>
        <v>0</v>
      </c>
      <c r="N152" s="24">
        <f t="shared" si="197"/>
        <v>0</v>
      </c>
      <c r="O152" s="25">
        <f t="shared" si="198"/>
        <v>0</v>
      </c>
      <c r="P152" s="23">
        <f t="shared" si="199"/>
        <v>0</v>
      </c>
      <c r="Q152" s="24">
        <f t="shared" si="200"/>
        <v>0</v>
      </c>
      <c r="R152" s="25">
        <f t="shared" si="201"/>
        <v>0</v>
      </c>
      <c r="S152" s="23">
        <f t="shared" si="202"/>
        <v>0</v>
      </c>
      <c r="T152" s="24">
        <f t="shared" si="203"/>
        <v>0</v>
      </c>
      <c r="U152" s="25">
        <f t="shared" si="204"/>
        <v>0</v>
      </c>
      <c r="V152" s="23">
        <f t="shared" si="205"/>
        <v>0</v>
      </c>
      <c r="W152" s="24">
        <f t="shared" si="206"/>
        <v>0</v>
      </c>
      <c r="X152" s="25">
        <f t="shared" si="207"/>
        <v>0</v>
      </c>
      <c r="Y152" s="23">
        <f t="shared" si="208"/>
        <v>0</v>
      </c>
      <c r="Z152" s="24">
        <f t="shared" si="209"/>
        <v>0</v>
      </c>
      <c r="AA152" s="25">
        <f t="shared" si="210"/>
        <v>0</v>
      </c>
      <c r="AB152" s="23">
        <f t="shared" si="211"/>
        <v>0</v>
      </c>
      <c r="AC152" s="24">
        <f t="shared" si="212"/>
        <v>0</v>
      </c>
      <c r="AD152" s="25">
        <f t="shared" si="213"/>
        <v>0</v>
      </c>
      <c r="AE152" s="23">
        <f t="shared" si="214"/>
        <v>0</v>
      </c>
      <c r="AF152" s="24">
        <f t="shared" si="215"/>
        <v>0</v>
      </c>
      <c r="AG152" s="25">
        <f t="shared" si="216"/>
        <v>0</v>
      </c>
      <c r="AH152" s="32"/>
    </row>
    <row r="153" spans="1:34" ht="18" customHeight="1" thickTop="1" thickBot="1" x14ac:dyDescent="0.3">
      <c r="A153" s="27">
        <v>108</v>
      </c>
      <c r="B153" s="28">
        <f t="shared" si="218"/>
        <v>0</v>
      </c>
      <c r="C153" s="60">
        <f t="shared" si="187"/>
        <v>0</v>
      </c>
      <c r="D153" s="23">
        <f t="shared" si="188"/>
        <v>0</v>
      </c>
      <c r="E153" s="24">
        <f t="shared" si="189"/>
        <v>0</v>
      </c>
      <c r="F153" s="25">
        <f t="shared" si="217"/>
        <v>0</v>
      </c>
      <c r="G153" s="23">
        <f t="shared" si="190"/>
        <v>0</v>
      </c>
      <c r="H153" s="24">
        <f t="shared" si="191"/>
        <v>0</v>
      </c>
      <c r="I153" s="25">
        <f t="shared" si="192"/>
        <v>0</v>
      </c>
      <c r="J153" s="23">
        <f t="shared" si="193"/>
        <v>0</v>
      </c>
      <c r="K153" s="24">
        <f t="shared" si="194"/>
        <v>0</v>
      </c>
      <c r="L153" s="25">
        <f t="shared" si="195"/>
        <v>0</v>
      </c>
      <c r="M153" s="23">
        <f t="shared" si="196"/>
        <v>0</v>
      </c>
      <c r="N153" s="24">
        <f t="shared" si="197"/>
        <v>0</v>
      </c>
      <c r="O153" s="25">
        <f t="shared" si="198"/>
        <v>0</v>
      </c>
      <c r="P153" s="23">
        <f t="shared" si="199"/>
        <v>0</v>
      </c>
      <c r="Q153" s="24">
        <f t="shared" si="200"/>
        <v>0</v>
      </c>
      <c r="R153" s="25">
        <f t="shared" si="201"/>
        <v>0</v>
      </c>
      <c r="S153" s="23">
        <f t="shared" si="202"/>
        <v>0</v>
      </c>
      <c r="T153" s="24">
        <f t="shared" si="203"/>
        <v>0</v>
      </c>
      <c r="U153" s="25">
        <f t="shared" si="204"/>
        <v>0</v>
      </c>
      <c r="V153" s="23">
        <f t="shared" si="205"/>
        <v>0</v>
      </c>
      <c r="W153" s="24">
        <f t="shared" si="206"/>
        <v>0</v>
      </c>
      <c r="X153" s="25">
        <f t="shared" si="207"/>
        <v>0</v>
      </c>
      <c r="Y153" s="23">
        <f t="shared" si="208"/>
        <v>0</v>
      </c>
      <c r="Z153" s="24">
        <f t="shared" si="209"/>
        <v>0</v>
      </c>
      <c r="AA153" s="25">
        <f t="shared" si="210"/>
        <v>0</v>
      </c>
      <c r="AB153" s="23">
        <f t="shared" si="211"/>
        <v>0</v>
      </c>
      <c r="AC153" s="24">
        <f t="shared" si="212"/>
        <v>0</v>
      </c>
      <c r="AD153" s="25">
        <f t="shared" si="213"/>
        <v>0</v>
      </c>
      <c r="AE153" s="23">
        <f t="shared" si="214"/>
        <v>0</v>
      </c>
      <c r="AF153" s="24">
        <f t="shared" si="215"/>
        <v>0</v>
      </c>
      <c r="AG153" s="25">
        <f t="shared" si="216"/>
        <v>0</v>
      </c>
      <c r="AH153" s="29"/>
    </row>
    <row r="154" spans="1:34" ht="18" customHeight="1" thickTop="1" thickBot="1" x14ac:dyDescent="0.3">
      <c r="A154" s="23">
        <v>109</v>
      </c>
      <c r="B154" s="28">
        <f t="shared" si="218"/>
        <v>0</v>
      </c>
      <c r="C154" s="60">
        <f t="shared" si="187"/>
        <v>0</v>
      </c>
      <c r="D154" s="23">
        <f t="shared" si="188"/>
        <v>0</v>
      </c>
      <c r="E154" s="24">
        <f t="shared" si="189"/>
        <v>0</v>
      </c>
      <c r="F154" s="25">
        <f t="shared" si="217"/>
        <v>0</v>
      </c>
      <c r="G154" s="23">
        <f t="shared" si="190"/>
        <v>0</v>
      </c>
      <c r="H154" s="24">
        <f t="shared" si="191"/>
        <v>0</v>
      </c>
      <c r="I154" s="25">
        <f t="shared" si="192"/>
        <v>0</v>
      </c>
      <c r="J154" s="23">
        <f t="shared" si="193"/>
        <v>0</v>
      </c>
      <c r="K154" s="24">
        <f t="shared" si="194"/>
        <v>0</v>
      </c>
      <c r="L154" s="25">
        <f t="shared" si="195"/>
        <v>0</v>
      </c>
      <c r="M154" s="23">
        <f t="shared" si="196"/>
        <v>0</v>
      </c>
      <c r="N154" s="24">
        <f t="shared" si="197"/>
        <v>0</v>
      </c>
      <c r="O154" s="25">
        <f t="shared" si="198"/>
        <v>0</v>
      </c>
      <c r="P154" s="23">
        <f t="shared" si="199"/>
        <v>0</v>
      </c>
      <c r="Q154" s="24">
        <f t="shared" si="200"/>
        <v>0</v>
      </c>
      <c r="R154" s="25">
        <f t="shared" si="201"/>
        <v>0</v>
      </c>
      <c r="S154" s="23">
        <f t="shared" si="202"/>
        <v>0</v>
      </c>
      <c r="T154" s="24">
        <f t="shared" si="203"/>
        <v>0</v>
      </c>
      <c r="U154" s="25">
        <f t="shared" si="204"/>
        <v>0</v>
      </c>
      <c r="V154" s="23">
        <f t="shared" si="205"/>
        <v>0</v>
      </c>
      <c r="W154" s="24">
        <f t="shared" si="206"/>
        <v>0</v>
      </c>
      <c r="X154" s="25">
        <f t="shared" si="207"/>
        <v>0</v>
      </c>
      <c r="Y154" s="23">
        <f t="shared" si="208"/>
        <v>0</v>
      </c>
      <c r="Z154" s="24">
        <f t="shared" si="209"/>
        <v>0</v>
      </c>
      <c r="AA154" s="25">
        <f t="shared" si="210"/>
        <v>0</v>
      </c>
      <c r="AB154" s="23">
        <f t="shared" si="211"/>
        <v>0</v>
      </c>
      <c r="AC154" s="24">
        <f t="shared" si="212"/>
        <v>0</v>
      </c>
      <c r="AD154" s="25">
        <f t="shared" si="213"/>
        <v>0</v>
      </c>
      <c r="AE154" s="23">
        <f t="shared" si="214"/>
        <v>0</v>
      </c>
      <c r="AF154" s="24">
        <f t="shared" si="215"/>
        <v>0</v>
      </c>
      <c r="AG154" s="25">
        <f t="shared" si="216"/>
        <v>0</v>
      </c>
      <c r="AH154" s="31"/>
    </row>
    <row r="155" spans="1:34" ht="18" customHeight="1" thickTop="1" thickBot="1" x14ac:dyDescent="0.3">
      <c r="A155" s="27">
        <v>110</v>
      </c>
      <c r="B155" s="28">
        <f t="shared" si="218"/>
        <v>0</v>
      </c>
      <c r="C155" s="60">
        <f t="shared" si="187"/>
        <v>0</v>
      </c>
      <c r="D155" s="23">
        <f t="shared" si="188"/>
        <v>0</v>
      </c>
      <c r="E155" s="24">
        <f t="shared" si="189"/>
        <v>0</v>
      </c>
      <c r="F155" s="25">
        <f t="shared" si="217"/>
        <v>0</v>
      </c>
      <c r="G155" s="23">
        <f t="shared" si="190"/>
        <v>0</v>
      </c>
      <c r="H155" s="24">
        <f t="shared" si="191"/>
        <v>0</v>
      </c>
      <c r="I155" s="25">
        <f t="shared" si="192"/>
        <v>0</v>
      </c>
      <c r="J155" s="23">
        <f t="shared" si="193"/>
        <v>0</v>
      </c>
      <c r="K155" s="24">
        <f t="shared" si="194"/>
        <v>0</v>
      </c>
      <c r="L155" s="25">
        <f t="shared" si="195"/>
        <v>0</v>
      </c>
      <c r="M155" s="23">
        <f t="shared" si="196"/>
        <v>0</v>
      </c>
      <c r="N155" s="24">
        <f t="shared" si="197"/>
        <v>0</v>
      </c>
      <c r="O155" s="25">
        <f t="shared" si="198"/>
        <v>0</v>
      </c>
      <c r="P155" s="23">
        <f t="shared" si="199"/>
        <v>0</v>
      </c>
      <c r="Q155" s="24">
        <f t="shared" si="200"/>
        <v>0</v>
      </c>
      <c r="R155" s="25">
        <f t="shared" si="201"/>
        <v>0</v>
      </c>
      <c r="S155" s="23">
        <f t="shared" si="202"/>
        <v>0</v>
      </c>
      <c r="T155" s="24">
        <f t="shared" si="203"/>
        <v>0</v>
      </c>
      <c r="U155" s="25">
        <f t="shared" si="204"/>
        <v>0</v>
      </c>
      <c r="V155" s="23">
        <f t="shared" si="205"/>
        <v>0</v>
      </c>
      <c r="W155" s="24">
        <f t="shared" si="206"/>
        <v>0</v>
      </c>
      <c r="X155" s="25">
        <f t="shared" si="207"/>
        <v>0</v>
      </c>
      <c r="Y155" s="23">
        <f t="shared" si="208"/>
        <v>0</v>
      </c>
      <c r="Z155" s="24">
        <f t="shared" si="209"/>
        <v>0</v>
      </c>
      <c r="AA155" s="25">
        <f t="shared" si="210"/>
        <v>0</v>
      </c>
      <c r="AB155" s="23">
        <f t="shared" si="211"/>
        <v>0</v>
      </c>
      <c r="AC155" s="24">
        <f t="shared" si="212"/>
        <v>0</v>
      </c>
      <c r="AD155" s="25">
        <f t="shared" si="213"/>
        <v>0</v>
      </c>
      <c r="AE155" s="23">
        <f t="shared" si="214"/>
        <v>0</v>
      </c>
      <c r="AF155" s="24">
        <f t="shared" si="215"/>
        <v>0</v>
      </c>
      <c r="AG155" s="25">
        <f t="shared" si="216"/>
        <v>0</v>
      </c>
      <c r="AH155" s="33"/>
    </row>
    <row r="156" spans="1:34" ht="18" customHeight="1" thickTop="1" thickBot="1" x14ac:dyDescent="0.3">
      <c r="A156" s="23">
        <v>111</v>
      </c>
      <c r="B156" s="28">
        <f t="shared" si="218"/>
        <v>0</v>
      </c>
      <c r="C156" s="60">
        <f t="shared" si="187"/>
        <v>0</v>
      </c>
      <c r="D156" s="23">
        <f t="shared" si="188"/>
        <v>0</v>
      </c>
      <c r="E156" s="24">
        <f t="shared" si="189"/>
        <v>0</v>
      </c>
      <c r="F156" s="25">
        <f t="shared" si="217"/>
        <v>0</v>
      </c>
      <c r="G156" s="23">
        <f t="shared" si="190"/>
        <v>0</v>
      </c>
      <c r="H156" s="24">
        <f t="shared" si="191"/>
        <v>0</v>
      </c>
      <c r="I156" s="25">
        <f t="shared" si="192"/>
        <v>0</v>
      </c>
      <c r="J156" s="23">
        <f t="shared" si="193"/>
        <v>0</v>
      </c>
      <c r="K156" s="24">
        <f t="shared" si="194"/>
        <v>0</v>
      </c>
      <c r="L156" s="25">
        <f t="shared" si="195"/>
        <v>0</v>
      </c>
      <c r="M156" s="23">
        <f t="shared" si="196"/>
        <v>0</v>
      </c>
      <c r="N156" s="24">
        <f t="shared" si="197"/>
        <v>0</v>
      </c>
      <c r="O156" s="25">
        <f t="shared" si="198"/>
        <v>0</v>
      </c>
      <c r="P156" s="23">
        <f t="shared" si="199"/>
        <v>0</v>
      </c>
      <c r="Q156" s="24">
        <f t="shared" si="200"/>
        <v>0</v>
      </c>
      <c r="R156" s="25">
        <f t="shared" si="201"/>
        <v>0</v>
      </c>
      <c r="S156" s="23">
        <f t="shared" si="202"/>
        <v>0</v>
      </c>
      <c r="T156" s="24">
        <f t="shared" si="203"/>
        <v>0</v>
      </c>
      <c r="U156" s="25">
        <f t="shared" si="204"/>
        <v>0</v>
      </c>
      <c r="V156" s="23">
        <f t="shared" si="205"/>
        <v>0</v>
      </c>
      <c r="W156" s="24">
        <f t="shared" si="206"/>
        <v>0</v>
      </c>
      <c r="X156" s="25">
        <f t="shared" si="207"/>
        <v>0</v>
      </c>
      <c r="Y156" s="23">
        <f t="shared" si="208"/>
        <v>0</v>
      </c>
      <c r="Z156" s="24">
        <f t="shared" si="209"/>
        <v>0</v>
      </c>
      <c r="AA156" s="25">
        <f t="shared" si="210"/>
        <v>0</v>
      </c>
      <c r="AB156" s="23">
        <f t="shared" si="211"/>
        <v>0</v>
      </c>
      <c r="AC156" s="24">
        <f t="shared" si="212"/>
        <v>0</v>
      </c>
      <c r="AD156" s="25">
        <f t="shared" si="213"/>
        <v>0</v>
      </c>
      <c r="AE156" s="23">
        <f t="shared" si="214"/>
        <v>0</v>
      </c>
      <c r="AF156" s="24">
        <f t="shared" si="215"/>
        <v>0</v>
      </c>
      <c r="AG156" s="25">
        <f t="shared" si="216"/>
        <v>0</v>
      </c>
      <c r="AH156" s="29"/>
    </row>
    <row r="157" spans="1:34" ht="18" customHeight="1" thickTop="1" thickBot="1" x14ac:dyDescent="0.3">
      <c r="A157" s="27">
        <v>112</v>
      </c>
      <c r="B157" s="28">
        <f t="shared" si="218"/>
        <v>0</v>
      </c>
      <c r="C157" s="60">
        <f t="shared" si="187"/>
        <v>0</v>
      </c>
      <c r="D157" s="23">
        <f t="shared" si="188"/>
        <v>0</v>
      </c>
      <c r="E157" s="24">
        <f t="shared" si="189"/>
        <v>0</v>
      </c>
      <c r="F157" s="25">
        <f t="shared" si="217"/>
        <v>0</v>
      </c>
      <c r="G157" s="23">
        <f t="shared" si="190"/>
        <v>0</v>
      </c>
      <c r="H157" s="24">
        <f t="shared" si="191"/>
        <v>0</v>
      </c>
      <c r="I157" s="25">
        <f t="shared" si="192"/>
        <v>0</v>
      </c>
      <c r="J157" s="23">
        <f t="shared" si="193"/>
        <v>0</v>
      </c>
      <c r="K157" s="24">
        <f t="shared" si="194"/>
        <v>0</v>
      </c>
      <c r="L157" s="25">
        <f t="shared" si="195"/>
        <v>0</v>
      </c>
      <c r="M157" s="23">
        <f t="shared" si="196"/>
        <v>0</v>
      </c>
      <c r="N157" s="24">
        <f t="shared" si="197"/>
        <v>0</v>
      </c>
      <c r="O157" s="25">
        <f t="shared" si="198"/>
        <v>0</v>
      </c>
      <c r="P157" s="23">
        <f t="shared" si="199"/>
        <v>0</v>
      </c>
      <c r="Q157" s="24">
        <f t="shared" si="200"/>
        <v>0</v>
      </c>
      <c r="R157" s="25">
        <f t="shared" si="201"/>
        <v>0</v>
      </c>
      <c r="S157" s="23">
        <f t="shared" si="202"/>
        <v>0</v>
      </c>
      <c r="T157" s="24">
        <f t="shared" si="203"/>
        <v>0</v>
      </c>
      <c r="U157" s="25">
        <f t="shared" si="204"/>
        <v>0</v>
      </c>
      <c r="V157" s="23">
        <f t="shared" si="205"/>
        <v>0</v>
      </c>
      <c r="W157" s="24">
        <f t="shared" si="206"/>
        <v>0</v>
      </c>
      <c r="X157" s="25">
        <f t="shared" si="207"/>
        <v>0</v>
      </c>
      <c r="Y157" s="23">
        <f t="shared" si="208"/>
        <v>0</v>
      </c>
      <c r="Z157" s="24">
        <f t="shared" si="209"/>
        <v>0</v>
      </c>
      <c r="AA157" s="25">
        <f t="shared" si="210"/>
        <v>0</v>
      </c>
      <c r="AB157" s="23">
        <f t="shared" si="211"/>
        <v>0</v>
      </c>
      <c r="AC157" s="24">
        <f t="shared" si="212"/>
        <v>0</v>
      </c>
      <c r="AD157" s="25">
        <f t="shared" si="213"/>
        <v>0</v>
      </c>
      <c r="AE157" s="23">
        <f t="shared" si="214"/>
        <v>0</v>
      </c>
      <c r="AF157" s="24">
        <f t="shared" si="215"/>
        <v>0</v>
      </c>
      <c r="AG157" s="25">
        <f t="shared" si="216"/>
        <v>0</v>
      </c>
      <c r="AH157" s="31"/>
    </row>
    <row r="158" spans="1:34" ht="18" customHeight="1" thickTop="1" thickBot="1" x14ac:dyDescent="0.3">
      <c r="A158" s="23">
        <v>113</v>
      </c>
      <c r="B158" s="28">
        <f t="shared" si="218"/>
        <v>0</v>
      </c>
      <c r="C158" s="60">
        <f t="shared" si="187"/>
        <v>0</v>
      </c>
      <c r="D158" s="23">
        <f t="shared" si="188"/>
        <v>0</v>
      </c>
      <c r="E158" s="24">
        <f t="shared" si="189"/>
        <v>0</v>
      </c>
      <c r="F158" s="25">
        <f t="shared" si="217"/>
        <v>0</v>
      </c>
      <c r="G158" s="23">
        <f t="shared" si="190"/>
        <v>0</v>
      </c>
      <c r="H158" s="24">
        <f t="shared" si="191"/>
        <v>0</v>
      </c>
      <c r="I158" s="25">
        <f t="shared" si="192"/>
        <v>0</v>
      </c>
      <c r="J158" s="23">
        <f t="shared" si="193"/>
        <v>0</v>
      </c>
      <c r="K158" s="24">
        <f t="shared" si="194"/>
        <v>0</v>
      </c>
      <c r="L158" s="25">
        <f t="shared" si="195"/>
        <v>0</v>
      </c>
      <c r="M158" s="23">
        <f t="shared" si="196"/>
        <v>0</v>
      </c>
      <c r="N158" s="24">
        <f t="shared" si="197"/>
        <v>0</v>
      </c>
      <c r="O158" s="25">
        <f t="shared" si="198"/>
        <v>0</v>
      </c>
      <c r="P158" s="23">
        <f t="shared" si="199"/>
        <v>0</v>
      </c>
      <c r="Q158" s="24">
        <f t="shared" si="200"/>
        <v>0</v>
      </c>
      <c r="R158" s="25">
        <f t="shared" si="201"/>
        <v>0</v>
      </c>
      <c r="S158" s="23">
        <f t="shared" si="202"/>
        <v>0</v>
      </c>
      <c r="T158" s="24">
        <f t="shared" si="203"/>
        <v>0</v>
      </c>
      <c r="U158" s="25">
        <f t="shared" si="204"/>
        <v>0</v>
      </c>
      <c r="V158" s="23">
        <f t="shared" si="205"/>
        <v>0</v>
      </c>
      <c r="W158" s="24">
        <f t="shared" si="206"/>
        <v>0</v>
      </c>
      <c r="X158" s="25">
        <f t="shared" si="207"/>
        <v>0</v>
      </c>
      <c r="Y158" s="23">
        <f t="shared" si="208"/>
        <v>0</v>
      </c>
      <c r="Z158" s="24">
        <f t="shared" si="209"/>
        <v>0</v>
      </c>
      <c r="AA158" s="25">
        <f t="shared" si="210"/>
        <v>0</v>
      </c>
      <c r="AB158" s="23">
        <f t="shared" si="211"/>
        <v>0</v>
      </c>
      <c r="AC158" s="24">
        <f t="shared" si="212"/>
        <v>0</v>
      </c>
      <c r="AD158" s="25">
        <f t="shared" si="213"/>
        <v>0</v>
      </c>
      <c r="AE158" s="23">
        <f t="shared" si="214"/>
        <v>0</v>
      </c>
      <c r="AF158" s="24">
        <f t="shared" si="215"/>
        <v>0</v>
      </c>
      <c r="AG158" s="25">
        <f t="shared" si="216"/>
        <v>0</v>
      </c>
      <c r="AH158" s="33"/>
    </row>
    <row r="159" spans="1:34" ht="18" customHeight="1" thickTop="1" thickBot="1" x14ac:dyDescent="0.3">
      <c r="A159" s="27">
        <v>114</v>
      </c>
      <c r="B159" s="28">
        <f t="shared" si="218"/>
        <v>0</v>
      </c>
      <c r="C159" s="60">
        <f t="shared" si="187"/>
        <v>0</v>
      </c>
      <c r="D159" s="23">
        <f t="shared" si="188"/>
        <v>0</v>
      </c>
      <c r="E159" s="24">
        <f t="shared" si="189"/>
        <v>0</v>
      </c>
      <c r="F159" s="25">
        <f t="shared" si="217"/>
        <v>0</v>
      </c>
      <c r="G159" s="23">
        <f t="shared" si="190"/>
        <v>0</v>
      </c>
      <c r="H159" s="24">
        <f t="shared" si="191"/>
        <v>0</v>
      </c>
      <c r="I159" s="25">
        <f t="shared" si="192"/>
        <v>0</v>
      </c>
      <c r="J159" s="23">
        <f t="shared" si="193"/>
        <v>0</v>
      </c>
      <c r="K159" s="24">
        <f t="shared" si="194"/>
        <v>0</v>
      </c>
      <c r="L159" s="25">
        <f t="shared" si="195"/>
        <v>0</v>
      </c>
      <c r="M159" s="23">
        <f t="shared" si="196"/>
        <v>0</v>
      </c>
      <c r="N159" s="24">
        <f t="shared" si="197"/>
        <v>0</v>
      </c>
      <c r="O159" s="25">
        <f t="shared" si="198"/>
        <v>0</v>
      </c>
      <c r="P159" s="23">
        <f t="shared" si="199"/>
        <v>0</v>
      </c>
      <c r="Q159" s="24">
        <f t="shared" si="200"/>
        <v>0</v>
      </c>
      <c r="R159" s="25">
        <f t="shared" si="201"/>
        <v>0</v>
      </c>
      <c r="S159" s="23">
        <f t="shared" si="202"/>
        <v>0</v>
      </c>
      <c r="T159" s="24">
        <f t="shared" si="203"/>
        <v>0</v>
      </c>
      <c r="U159" s="25">
        <f t="shared" si="204"/>
        <v>0</v>
      </c>
      <c r="V159" s="23">
        <f t="shared" si="205"/>
        <v>0</v>
      </c>
      <c r="W159" s="24">
        <f t="shared" si="206"/>
        <v>0</v>
      </c>
      <c r="X159" s="25">
        <f t="shared" si="207"/>
        <v>0</v>
      </c>
      <c r="Y159" s="23">
        <f t="shared" si="208"/>
        <v>0</v>
      </c>
      <c r="Z159" s="24">
        <f t="shared" si="209"/>
        <v>0</v>
      </c>
      <c r="AA159" s="25">
        <f t="shared" si="210"/>
        <v>0</v>
      </c>
      <c r="AB159" s="23">
        <f t="shared" si="211"/>
        <v>0</v>
      </c>
      <c r="AC159" s="24">
        <f t="shared" si="212"/>
        <v>0</v>
      </c>
      <c r="AD159" s="25">
        <f t="shared" si="213"/>
        <v>0</v>
      </c>
      <c r="AE159" s="23">
        <f t="shared" si="214"/>
        <v>0</v>
      </c>
      <c r="AF159" s="24">
        <f t="shared" si="215"/>
        <v>0</v>
      </c>
      <c r="AG159" s="25">
        <f t="shared" si="216"/>
        <v>0</v>
      </c>
      <c r="AH159" s="29"/>
    </row>
    <row r="160" spans="1:34" ht="18" customHeight="1" thickTop="1" thickBot="1" x14ac:dyDescent="0.3">
      <c r="A160" s="23">
        <v>115</v>
      </c>
      <c r="B160" s="28">
        <f t="shared" si="218"/>
        <v>0</v>
      </c>
      <c r="C160" s="60">
        <f t="shared" si="187"/>
        <v>0</v>
      </c>
      <c r="D160" s="23">
        <f t="shared" si="188"/>
        <v>0</v>
      </c>
      <c r="E160" s="24">
        <f t="shared" si="189"/>
        <v>0</v>
      </c>
      <c r="F160" s="25">
        <f t="shared" si="217"/>
        <v>0</v>
      </c>
      <c r="G160" s="23">
        <f t="shared" si="190"/>
        <v>0</v>
      </c>
      <c r="H160" s="24">
        <f t="shared" si="191"/>
        <v>0</v>
      </c>
      <c r="I160" s="25">
        <f t="shared" si="192"/>
        <v>0</v>
      </c>
      <c r="J160" s="23">
        <f t="shared" si="193"/>
        <v>0</v>
      </c>
      <c r="K160" s="24">
        <f t="shared" si="194"/>
        <v>0</v>
      </c>
      <c r="L160" s="25">
        <f t="shared" si="195"/>
        <v>0</v>
      </c>
      <c r="M160" s="23">
        <f t="shared" si="196"/>
        <v>0</v>
      </c>
      <c r="N160" s="24">
        <f t="shared" si="197"/>
        <v>0</v>
      </c>
      <c r="O160" s="25">
        <f t="shared" si="198"/>
        <v>0</v>
      </c>
      <c r="P160" s="23">
        <f t="shared" si="199"/>
        <v>0</v>
      </c>
      <c r="Q160" s="24">
        <f t="shared" si="200"/>
        <v>0</v>
      </c>
      <c r="R160" s="25">
        <f t="shared" si="201"/>
        <v>0</v>
      </c>
      <c r="S160" s="23">
        <f t="shared" si="202"/>
        <v>0</v>
      </c>
      <c r="T160" s="24">
        <f t="shared" si="203"/>
        <v>0</v>
      </c>
      <c r="U160" s="25">
        <f t="shared" si="204"/>
        <v>0</v>
      </c>
      <c r="V160" s="23">
        <f t="shared" si="205"/>
        <v>0</v>
      </c>
      <c r="W160" s="24">
        <f t="shared" si="206"/>
        <v>0</v>
      </c>
      <c r="X160" s="25">
        <f t="shared" si="207"/>
        <v>0</v>
      </c>
      <c r="Y160" s="23">
        <f t="shared" si="208"/>
        <v>0</v>
      </c>
      <c r="Z160" s="24">
        <f t="shared" si="209"/>
        <v>0</v>
      </c>
      <c r="AA160" s="25">
        <f t="shared" si="210"/>
        <v>0</v>
      </c>
      <c r="AB160" s="23">
        <f t="shared" si="211"/>
        <v>0</v>
      </c>
      <c r="AC160" s="24">
        <f t="shared" si="212"/>
        <v>0</v>
      </c>
      <c r="AD160" s="25">
        <f t="shared" si="213"/>
        <v>0</v>
      </c>
      <c r="AE160" s="23">
        <f t="shared" si="214"/>
        <v>0</v>
      </c>
      <c r="AF160" s="24">
        <f t="shared" si="215"/>
        <v>0</v>
      </c>
      <c r="AG160" s="25">
        <f t="shared" si="216"/>
        <v>0</v>
      </c>
      <c r="AH160" s="31"/>
    </row>
    <row r="161" spans="1:34" ht="18" customHeight="1" thickTop="1" thickBot="1" x14ac:dyDescent="0.3">
      <c r="A161" s="27">
        <v>116</v>
      </c>
      <c r="B161" s="28">
        <f t="shared" si="218"/>
        <v>0</v>
      </c>
      <c r="C161" s="60">
        <f t="shared" si="187"/>
        <v>0</v>
      </c>
      <c r="D161" s="23">
        <f t="shared" si="188"/>
        <v>0</v>
      </c>
      <c r="E161" s="24">
        <f t="shared" si="189"/>
        <v>0</v>
      </c>
      <c r="F161" s="25">
        <f t="shared" si="217"/>
        <v>0</v>
      </c>
      <c r="G161" s="23">
        <f t="shared" si="190"/>
        <v>0</v>
      </c>
      <c r="H161" s="24">
        <f t="shared" si="191"/>
        <v>0</v>
      </c>
      <c r="I161" s="25">
        <f t="shared" si="192"/>
        <v>0</v>
      </c>
      <c r="J161" s="23">
        <f t="shared" si="193"/>
        <v>0</v>
      </c>
      <c r="K161" s="24">
        <f t="shared" si="194"/>
        <v>0</v>
      </c>
      <c r="L161" s="25">
        <f t="shared" si="195"/>
        <v>0</v>
      </c>
      <c r="M161" s="23">
        <f t="shared" si="196"/>
        <v>0</v>
      </c>
      <c r="N161" s="24">
        <f t="shared" si="197"/>
        <v>0</v>
      </c>
      <c r="O161" s="25">
        <f t="shared" si="198"/>
        <v>0</v>
      </c>
      <c r="P161" s="23">
        <f t="shared" si="199"/>
        <v>0</v>
      </c>
      <c r="Q161" s="24">
        <f t="shared" si="200"/>
        <v>0</v>
      </c>
      <c r="R161" s="25">
        <f t="shared" si="201"/>
        <v>0</v>
      </c>
      <c r="S161" s="23">
        <f t="shared" si="202"/>
        <v>0</v>
      </c>
      <c r="T161" s="24">
        <f t="shared" si="203"/>
        <v>0</v>
      </c>
      <c r="U161" s="25">
        <f t="shared" si="204"/>
        <v>0</v>
      </c>
      <c r="V161" s="23">
        <f t="shared" si="205"/>
        <v>0</v>
      </c>
      <c r="W161" s="24">
        <f t="shared" si="206"/>
        <v>0</v>
      </c>
      <c r="X161" s="25">
        <f t="shared" si="207"/>
        <v>0</v>
      </c>
      <c r="Y161" s="23">
        <f t="shared" si="208"/>
        <v>0</v>
      </c>
      <c r="Z161" s="24">
        <f t="shared" si="209"/>
        <v>0</v>
      </c>
      <c r="AA161" s="25">
        <f t="shared" si="210"/>
        <v>0</v>
      </c>
      <c r="AB161" s="23">
        <f t="shared" si="211"/>
        <v>0</v>
      </c>
      <c r="AC161" s="24">
        <f t="shared" si="212"/>
        <v>0</v>
      </c>
      <c r="AD161" s="25">
        <f t="shared" si="213"/>
        <v>0</v>
      </c>
      <c r="AE161" s="23">
        <f t="shared" si="214"/>
        <v>0</v>
      </c>
      <c r="AF161" s="24">
        <f t="shared" si="215"/>
        <v>0</v>
      </c>
      <c r="AG161" s="25">
        <f t="shared" si="216"/>
        <v>0</v>
      </c>
      <c r="AH161" s="29"/>
    </row>
    <row r="162" spans="1:34" ht="18" customHeight="1" thickTop="1" thickBot="1" x14ac:dyDescent="0.3">
      <c r="A162" s="23">
        <v>117</v>
      </c>
      <c r="B162" s="28">
        <f t="shared" si="218"/>
        <v>0</v>
      </c>
      <c r="C162" s="60">
        <f t="shared" si="187"/>
        <v>0</v>
      </c>
      <c r="D162" s="23">
        <f t="shared" si="188"/>
        <v>0</v>
      </c>
      <c r="E162" s="24">
        <f t="shared" si="189"/>
        <v>0</v>
      </c>
      <c r="F162" s="25">
        <f t="shared" si="217"/>
        <v>0</v>
      </c>
      <c r="G162" s="23">
        <f t="shared" si="190"/>
        <v>0</v>
      </c>
      <c r="H162" s="24">
        <f t="shared" si="191"/>
        <v>0</v>
      </c>
      <c r="I162" s="25">
        <f t="shared" si="192"/>
        <v>0</v>
      </c>
      <c r="J162" s="23">
        <f t="shared" si="193"/>
        <v>0</v>
      </c>
      <c r="K162" s="24">
        <f t="shared" si="194"/>
        <v>0</v>
      </c>
      <c r="L162" s="25">
        <f t="shared" si="195"/>
        <v>0</v>
      </c>
      <c r="M162" s="23">
        <f t="shared" si="196"/>
        <v>0</v>
      </c>
      <c r="N162" s="24">
        <f t="shared" si="197"/>
        <v>0</v>
      </c>
      <c r="O162" s="25">
        <f t="shared" si="198"/>
        <v>0</v>
      </c>
      <c r="P162" s="23">
        <f t="shared" si="199"/>
        <v>0</v>
      </c>
      <c r="Q162" s="24">
        <f t="shared" si="200"/>
        <v>0</v>
      </c>
      <c r="R162" s="25">
        <f t="shared" si="201"/>
        <v>0</v>
      </c>
      <c r="S162" s="23">
        <f t="shared" si="202"/>
        <v>0</v>
      </c>
      <c r="T162" s="24">
        <f t="shared" si="203"/>
        <v>0</v>
      </c>
      <c r="U162" s="25">
        <f t="shared" si="204"/>
        <v>0</v>
      </c>
      <c r="V162" s="23">
        <f t="shared" si="205"/>
        <v>0</v>
      </c>
      <c r="W162" s="24">
        <f t="shared" si="206"/>
        <v>0</v>
      </c>
      <c r="X162" s="25">
        <f t="shared" si="207"/>
        <v>0</v>
      </c>
      <c r="Y162" s="23">
        <f t="shared" si="208"/>
        <v>0</v>
      </c>
      <c r="Z162" s="24">
        <f t="shared" si="209"/>
        <v>0</v>
      </c>
      <c r="AA162" s="25">
        <f t="shared" si="210"/>
        <v>0</v>
      </c>
      <c r="AB162" s="23">
        <f t="shared" si="211"/>
        <v>0</v>
      </c>
      <c r="AC162" s="24">
        <f t="shared" si="212"/>
        <v>0</v>
      </c>
      <c r="AD162" s="25">
        <f t="shared" si="213"/>
        <v>0</v>
      </c>
      <c r="AE162" s="23">
        <f t="shared" si="214"/>
        <v>0</v>
      </c>
      <c r="AF162" s="24">
        <f t="shared" si="215"/>
        <v>0</v>
      </c>
      <c r="AG162" s="25">
        <f t="shared" si="216"/>
        <v>0</v>
      </c>
      <c r="AH162" s="31"/>
    </row>
    <row r="163" spans="1:34" ht="18" customHeight="1" thickTop="1" thickBot="1" x14ac:dyDescent="0.3">
      <c r="A163" s="27">
        <v>118</v>
      </c>
      <c r="B163" s="28">
        <f t="shared" si="218"/>
        <v>0</v>
      </c>
      <c r="C163" s="60">
        <f t="shared" si="187"/>
        <v>0</v>
      </c>
      <c r="D163" s="23">
        <f t="shared" si="188"/>
        <v>0</v>
      </c>
      <c r="E163" s="24">
        <f t="shared" si="189"/>
        <v>0</v>
      </c>
      <c r="F163" s="25">
        <f t="shared" si="217"/>
        <v>0</v>
      </c>
      <c r="G163" s="23">
        <f t="shared" si="190"/>
        <v>0</v>
      </c>
      <c r="H163" s="24">
        <f t="shared" si="191"/>
        <v>0</v>
      </c>
      <c r="I163" s="25">
        <f t="shared" si="192"/>
        <v>0</v>
      </c>
      <c r="J163" s="23">
        <f t="shared" si="193"/>
        <v>0</v>
      </c>
      <c r="K163" s="24">
        <f t="shared" si="194"/>
        <v>0</v>
      </c>
      <c r="L163" s="25">
        <f t="shared" si="195"/>
        <v>0</v>
      </c>
      <c r="M163" s="23">
        <f t="shared" si="196"/>
        <v>0</v>
      </c>
      <c r="N163" s="24">
        <f t="shared" si="197"/>
        <v>0</v>
      </c>
      <c r="O163" s="25">
        <f t="shared" si="198"/>
        <v>0</v>
      </c>
      <c r="P163" s="23">
        <f t="shared" si="199"/>
        <v>0</v>
      </c>
      <c r="Q163" s="24">
        <f t="shared" si="200"/>
        <v>0</v>
      </c>
      <c r="R163" s="25">
        <f t="shared" si="201"/>
        <v>0</v>
      </c>
      <c r="S163" s="23">
        <f t="shared" si="202"/>
        <v>0</v>
      </c>
      <c r="T163" s="24">
        <f t="shared" si="203"/>
        <v>0</v>
      </c>
      <c r="U163" s="25">
        <f t="shared" si="204"/>
        <v>0</v>
      </c>
      <c r="V163" s="23">
        <f t="shared" si="205"/>
        <v>0</v>
      </c>
      <c r="W163" s="24">
        <f t="shared" si="206"/>
        <v>0</v>
      </c>
      <c r="X163" s="25">
        <f t="shared" si="207"/>
        <v>0</v>
      </c>
      <c r="Y163" s="23">
        <f t="shared" si="208"/>
        <v>0</v>
      </c>
      <c r="Z163" s="24">
        <f t="shared" si="209"/>
        <v>0</v>
      </c>
      <c r="AA163" s="25">
        <f t="shared" si="210"/>
        <v>0</v>
      </c>
      <c r="AB163" s="23">
        <f t="shared" si="211"/>
        <v>0</v>
      </c>
      <c r="AC163" s="24">
        <f t="shared" si="212"/>
        <v>0</v>
      </c>
      <c r="AD163" s="25">
        <f t="shared" si="213"/>
        <v>0</v>
      </c>
      <c r="AE163" s="23">
        <f t="shared" si="214"/>
        <v>0</v>
      </c>
      <c r="AF163" s="24">
        <f t="shared" si="215"/>
        <v>0</v>
      </c>
      <c r="AG163" s="25">
        <f t="shared" si="216"/>
        <v>0</v>
      </c>
      <c r="AH163" s="31"/>
    </row>
    <row r="164" spans="1:34" ht="18" customHeight="1" thickTop="1" thickBot="1" x14ac:dyDescent="0.3">
      <c r="A164" s="23">
        <v>119</v>
      </c>
      <c r="B164" s="28">
        <f t="shared" si="218"/>
        <v>0</v>
      </c>
      <c r="C164" s="60">
        <f t="shared" si="187"/>
        <v>0</v>
      </c>
      <c r="D164" s="23">
        <f t="shared" si="188"/>
        <v>0</v>
      </c>
      <c r="E164" s="24">
        <f t="shared" si="189"/>
        <v>0</v>
      </c>
      <c r="F164" s="25">
        <f t="shared" si="217"/>
        <v>0</v>
      </c>
      <c r="G164" s="23">
        <f t="shared" si="190"/>
        <v>0</v>
      </c>
      <c r="H164" s="24">
        <f t="shared" si="191"/>
        <v>0</v>
      </c>
      <c r="I164" s="25">
        <f t="shared" si="192"/>
        <v>0</v>
      </c>
      <c r="J164" s="23">
        <f t="shared" si="193"/>
        <v>0</v>
      </c>
      <c r="K164" s="24">
        <f t="shared" si="194"/>
        <v>0</v>
      </c>
      <c r="L164" s="25">
        <f t="shared" si="195"/>
        <v>0</v>
      </c>
      <c r="M164" s="23">
        <f t="shared" si="196"/>
        <v>0</v>
      </c>
      <c r="N164" s="24">
        <f t="shared" si="197"/>
        <v>0</v>
      </c>
      <c r="O164" s="25">
        <f t="shared" si="198"/>
        <v>0</v>
      </c>
      <c r="P164" s="23">
        <f t="shared" si="199"/>
        <v>0</v>
      </c>
      <c r="Q164" s="24">
        <f t="shared" si="200"/>
        <v>0</v>
      </c>
      <c r="R164" s="25">
        <f t="shared" si="201"/>
        <v>0</v>
      </c>
      <c r="S164" s="23">
        <f t="shared" si="202"/>
        <v>0</v>
      </c>
      <c r="T164" s="24">
        <f t="shared" si="203"/>
        <v>0</v>
      </c>
      <c r="U164" s="25">
        <f t="shared" si="204"/>
        <v>0</v>
      </c>
      <c r="V164" s="23">
        <f t="shared" si="205"/>
        <v>0</v>
      </c>
      <c r="W164" s="24">
        <f t="shared" si="206"/>
        <v>0</v>
      </c>
      <c r="X164" s="25">
        <f t="shared" si="207"/>
        <v>0</v>
      </c>
      <c r="Y164" s="23">
        <f t="shared" si="208"/>
        <v>0</v>
      </c>
      <c r="Z164" s="24">
        <f t="shared" si="209"/>
        <v>0</v>
      </c>
      <c r="AA164" s="25">
        <f t="shared" si="210"/>
        <v>0</v>
      </c>
      <c r="AB164" s="23">
        <f t="shared" si="211"/>
        <v>0</v>
      </c>
      <c r="AC164" s="24">
        <f t="shared" si="212"/>
        <v>0</v>
      </c>
      <c r="AD164" s="25">
        <f t="shared" si="213"/>
        <v>0</v>
      </c>
      <c r="AE164" s="23">
        <f t="shared" si="214"/>
        <v>0</v>
      </c>
      <c r="AF164" s="24">
        <f t="shared" si="215"/>
        <v>0</v>
      </c>
      <c r="AG164" s="25">
        <f t="shared" si="216"/>
        <v>0</v>
      </c>
      <c r="AH164" s="31"/>
    </row>
    <row r="165" spans="1:34" ht="18" customHeight="1" thickTop="1" thickBot="1" x14ac:dyDescent="0.3">
      <c r="A165" s="27">
        <v>120</v>
      </c>
      <c r="B165" s="28">
        <f t="shared" si="218"/>
        <v>0</v>
      </c>
      <c r="C165" s="60">
        <f t="shared" si="187"/>
        <v>0</v>
      </c>
      <c r="D165" s="23">
        <f t="shared" si="188"/>
        <v>0</v>
      </c>
      <c r="E165" s="24">
        <f t="shared" si="189"/>
        <v>0</v>
      </c>
      <c r="F165" s="25">
        <f t="shared" si="217"/>
        <v>0</v>
      </c>
      <c r="G165" s="23">
        <f t="shared" si="190"/>
        <v>0</v>
      </c>
      <c r="H165" s="24">
        <f t="shared" si="191"/>
        <v>0</v>
      </c>
      <c r="I165" s="25">
        <f t="shared" si="192"/>
        <v>0</v>
      </c>
      <c r="J165" s="23">
        <f t="shared" si="193"/>
        <v>0</v>
      </c>
      <c r="K165" s="24">
        <f t="shared" si="194"/>
        <v>0</v>
      </c>
      <c r="L165" s="25">
        <f t="shared" si="195"/>
        <v>0</v>
      </c>
      <c r="M165" s="23">
        <f t="shared" si="196"/>
        <v>0</v>
      </c>
      <c r="N165" s="24">
        <f t="shared" si="197"/>
        <v>0</v>
      </c>
      <c r="O165" s="25">
        <f t="shared" si="198"/>
        <v>0</v>
      </c>
      <c r="P165" s="23">
        <f t="shared" si="199"/>
        <v>0</v>
      </c>
      <c r="Q165" s="24">
        <f t="shared" si="200"/>
        <v>0</v>
      </c>
      <c r="R165" s="25">
        <f t="shared" si="201"/>
        <v>0</v>
      </c>
      <c r="S165" s="23">
        <f t="shared" si="202"/>
        <v>0</v>
      </c>
      <c r="T165" s="24">
        <f t="shared" si="203"/>
        <v>0</v>
      </c>
      <c r="U165" s="25">
        <f t="shared" si="204"/>
        <v>0</v>
      </c>
      <c r="V165" s="23">
        <f t="shared" si="205"/>
        <v>0</v>
      </c>
      <c r="W165" s="24">
        <f t="shared" si="206"/>
        <v>0</v>
      </c>
      <c r="X165" s="25">
        <f t="shared" si="207"/>
        <v>0</v>
      </c>
      <c r="Y165" s="23">
        <f t="shared" si="208"/>
        <v>0</v>
      </c>
      <c r="Z165" s="24">
        <f t="shared" si="209"/>
        <v>0</v>
      </c>
      <c r="AA165" s="25">
        <f t="shared" si="210"/>
        <v>0</v>
      </c>
      <c r="AB165" s="23">
        <f t="shared" si="211"/>
        <v>0</v>
      </c>
      <c r="AC165" s="24">
        <f t="shared" si="212"/>
        <v>0</v>
      </c>
      <c r="AD165" s="25">
        <f t="shared" si="213"/>
        <v>0</v>
      </c>
      <c r="AE165" s="23">
        <f t="shared" si="214"/>
        <v>0</v>
      </c>
      <c r="AF165" s="24">
        <f t="shared" si="215"/>
        <v>0</v>
      </c>
      <c r="AG165" s="25">
        <f t="shared" si="216"/>
        <v>0</v>
      </c>
      <c r="AH165" s="34"/>
    </row>
    <row r="166" spans="1:34" ht="7.95" customHeight="1" thickTop="1" x14ac:dyDescent="0.25">
      <c r="A166" s="212" t="s">
        <v>2</v>
      </c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</row>
    <row r="167" spans="1:34" x14ac:dyDescent="0.25">
      <c r="A167" s="213"/>
      <c r="B167" s="213"/>
      <c r="C167" s="213" t="s">
        <v>18</v>
      </c>
      <c r="D167" s="213"/>
      <c r="E167" s="213"/>
      <c r="F167" s="214" t="s">
        <v>19</v>
      </c>
      <c r="G167" s="214"/>
      <c r="H167" s="214"/>
      <c r="I167" s="214"/>
      <c r="J167" s="35"/>
      <c r="K167" s="214" t="s">
        <v>20</v>
      </c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  <c r="AA167" s="214"/>
      <c r="AB167" s="214"/>
      <c r="AC167" s="35"/>
      <c r="AD167" s="35"/>
      <c r="AE167" s="214" t="s">
        <v>55</v>
      </c>
      <c r="AF167" s="214"/>
      <c r="AG167" s="214"/>
    </row>
    <row r="168" spans="1:34" ht="13.95" customHeight="1" x14ac:dyDescent="0.25">
      <c r="A168" s="214" t="s">
        <v>21</v>
      </c>
      <c r="B168" s="214"/>
      <c r="C168" s="213">
        <f>'الفترة الاولى'!$CA$10</f>
        <v>0</v>
      </c>
      <c r="D168" s="213"/>
      <c r="E168" s="213"/>
      <c r="F168" s="214"/>
      <c r="G168" s="214"/>
      <c r="H168" s="214"/>
      <c r="I168" s="214"/>
      <c r="J168" s="35"/>
      <c r="K168" s="220" t="s">
        <v>52</v>
      </c>
      <c r="L168" s="215"/>
      <c r="M168" s="215"/>
      <c r="N168" s="222" t="str">
        <f>'الفترة الاولى'!$CA$16</f>
        <v>أ. فهيم عبدالمجيد بوازويتة</v>
      </c>
      <c r="O168" s="222"/>
      <c r="P168" s="222"/>
      <c r="Q168" s="222"/>
      <c r="R168" s="222"/>
      <c r="S168" s="222"/>
      <c r="T168" s="222"/>
      <c r="U168" s="215" t="s">
        <v>53</v>
      </c>
      <c r="V168" s="215"/>
      <c r="W168" s="215"/>
      <c r="X168" s="215" t="str">
        <f>'الفترة الاولى'!$C$6</f>
        <v>سهول العلم للتعليم الخاص</v>
      </c>
      <c r="Y168" s="215"/>
      <c r="Z168" s="215"/>
      <c r="AA168" s="215"/>
      <c r="AB168" s="216"/>
      <c r="AC168" s="36"/>
      <c r="AD168" s="36"/>
      <c r="AE168" s="214" t="s">
        <v>2</v>
      </c>
      <c r="AF168" s="214"/>
      <c r="AG168" s="214"/>
    </row>
    <row r="169" spans="1:34" ht="15.6" customHeight="1" x14ac:dyDescent="0.25">
      <c r="A169" s="214" t="s">
        <v>22</v>
      </c>
      <c r="B169" s="214"/>
      <c r="C169" s="213">
        <f>'الفترة الاولى'!$CA$11</f>
        <v>0</v>
      </c>
      <c r="D169" s="213"/>
      <c r="E169" s="213"/>
      <c r="F169" s="214"/>
      <c r="G169" s="214"/>
      <c r="H169" s="214"/>
      <c r="I169" s="214"/>
      <c r="J169" s="35"/>
      <c r="K169" s="217" t="s">
        <v>54</v>
      </c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9"/>
      <c r="AC169" s="37"/>
      <c r="AD169" s="37"/>
      <c r="AE169" s="214"/>
      <c r="AF169" s="214"/>
      <c r="AG169" s="214"/>
    </row>
    <row r="170" spans="1:34" ht="13.95" customHeight="1" x14ac:dyDescent="0.25">
      <c r="A170" s="214" t="s">
        <v>23</v>
      </c>
      <c r="B170" s="214"/>
      <c r="C170" s="213">
        <f>'الفترة الاولى'!$CA$12</f>
        <v>0</v>
      </c>
      <c r="D170" s="213"/>
      <c r="E170" s="213"/>
      <c r="F170" s="214"/>
      <c r="G170" s="214"/>
      <c r="H170" s="214"/>
      <c r="I170" s="214"/>
      <c r="K170" s="220" t="s">
        <v>44</v>
      </c>
      <c r="L170" s="215"/>
      <c r="M170" s="221">
        <f ca="1">TODAY()</f>
        <v>46181</v>
      </c>
      <c r="N170" s="215"/>
      <c r="O170" s="215"/>
      <c r="P170" s="215"/>
      <c r="Q170" s="215"/>
      <c r="R170" s="215"/>
      <c r="S170" s="215"/>
      <c r="T170" s="215" t="s">
        <v>19</v>
      </c>
      <c r="U170" s="215"/>
      <c r="V170" s="215"/>
      <c r="W170" s="215"/>
      <c r="X170" s="215"/>
      <c r="Y170" s="215"/>
      <c r="Z170" s="215"/>
      <c r="AA170" s="215"/>
      <c r="AB170" s="38"/>
      <c r="AC170" s="36"/>
      <c r="AD170" s="36"/>
      <c r="AE170" s="214"/>
      <c r="AF170" s="214"/>
      <c r="AG170" s="214"/>
    </row>
    <row r="171" spans="1:34" ht="14.4" thickBot="1" x14ac:dyDescent="0.3">
      <c r="A171" s="214" t="s">
        <v>24</v>
      </c>
      <c r="B171" s="214"/>
      <c r="C171" s="213">
        <f>'الفترة الاولى'!$CA$13</f>
        <v>0</v>
      </c>
      <c r="D171" s="213"/>
      <c r="E171" s="213"/>
      <c r="F171" s="214"/>
      <c r="G171" s="214"/>
      <c r="H171" s="214"/>
      <c r="I171" s="214"/>
      <c r="K171" s="39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1"/>
      <c r="AC171" s="36"/>
      <c r="AD171" s="36"/>
      <c r="AE171" s="214"/>
      <c r="AF171" s="214"/>
      <c r="AG171" s="214"/>
    </row>
    <row r="172" spans="1:34" ht="6.75" customHeight="1" thickBot="1" x14ac:dyDescent="0.3">
      <c r="A172" s="209"/>
      <c r="B172" s="210"/>
      <c r="C172" s="210"/>
      <c r="D172" s="210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/>
      <c r="AE172" s="210"/>
      <c r="AF172" s="210"/>
      <c r="AG172" s="210"/>
      <c r="AH172" s="211"/>
    </row>
    <row r="173" spans="1:34" ht="18" customHeight="1" thickBot="1" x14ac:dyDescent="0.3">
      <c r="A173" s="23">
        <v>121</v>
      </c>
      <c r="B173" s="24">
        <f>IFERROR(VLOOKUP(A173,الاسماء,2,0),"")</f>
        <v>0</v>
      </c>
      <c r="C173" s="59">
        <f t="shared" ref="C173:C192" si="219">IFERROR(VLOOKUP(A173,الاسماء,3,0),"")</f>
        <v>0</v>
      </c>
      <c r="D173" s="23">
        <f t="shared" ref="D173:D192" si="220">IFERROR(VLOOKUP($C173,درجات,5,0),0)</f>
        <v>0</v>
      </c>
      <c r="E173" s="24">
        <f t="shared" ref="E173:E192" si="221">IFERROR(VLOOKUP($C173,درجات,43,0),0)</f>
        <v>0</v>
      </c>
      <c r="F173" s="25">
        <f>SUM(D173:E173)</f>
        <v>0</v>
      </c>
      <c r="G173" s="23">
        <f t="shared" ref="G173:G192" si="222">IFERROR(VLOOKUP($C173,درجات,8,0),0)</f>
        <v>0</v>
      </c>
      <c r="H173" s="24">
        <f t="shared" ref="H173:H192" si="223">IFERROR(VLOOKUP($C173,درجات,46,0),0)</f>
        <v>0</v>
      </c>
      <c r="I173" s="25">
        <f t="shared" ref="I173:I192" si="224">SUM(G173:H173)</f>
        <v>0</v>
      </c>
      <c r="J173" s="23">
        <f t="shared" ref="J173:J192" si="225">IFERROR(VLOOKUP($C173,درجات,11,0),0)</f>
        <v>0</v>
      </c>
      <c r="K173" s="24">
        <f t="shared" ref="K173:K192" si="226">IFERROR(VLOOKUP($C173,درجات,49,0),0)</f>
        <v>0</v>
      </c>
      <c r="L173" s="25">
        <f t="shared" ref="L173:L192" si="227">SUM(J173:K173)</f>
        <v>0</v>
      </c>
      <c r="M173" s="23">
        <f t="shared" ref="M173:M192" si="228">IFERROR(VLOOKUP($C173,درجات,14,0),0)</f>
        <v>0</v>
      </c>
      <c r="N173" s="24">
        <f t="shared" ref="N173:N192" si="229">IFERROR(VLOOKUP($C173,درجات,52,0),0)</f>
        <v>0</v>
      </c>
      <c r="O173" s="25">
        <f t="shared" ref="O173:O192" si="230">SUM(M173:N173)</f>
        <v>0</v>
      </c>
      <c r="P173" s="23">
        <f t="shared" ref="P173:P192" si="231">IFERROR(VLOOKUP($C173,درجات,17,0),0)</f>
        <v>0</v>
      </c>
      <c r="Q173" s="24">
        <f t="shared" ref="Q173:Q192" si="232">IFERROR(VLOOKUP($C173,درجات,55,0),0)</f>
        <v>0</v>
      </c>
      <c r="R173" s="25">
        <f t="shared" ref="R173:R192" si="233">SUM(P173:Q173)</f>
        <v>0</v>
      </c>
      <c r="S173" s="23">
        <f t="shared" ref="S173:S192" si="234">IFERROR(VLOOKUP($C173,درجات,20,0),0)</f>
        <v>0</v>
      </c>
      <c r="T173" s="24">
        <f t="shared" ref="T173:T192" si="235">IFERROR(VLOOKUP($C173,درجات,58,0),0)</f>
        <v>0</v>
      </c>
      <c r="U173" s="25">
        <f t="shared" ref="U173:U192" si="236">SUM(S173:T173)</f>
        <v>0</v>
      </c>
      <c r="V173" s="23">
        <f t="shared" ref="V173:V192" si="237">IFERROR(VLOOKUP($C173,درجات,23,0),0)</f>
        <v>0</v>
      </c>
      <c r="W173" s="24">
        <f t="shared" ref="W173:W192" si="238">IFERROR(VLOOKUP($C173,درجات,61,0),0)</f>
        <v>0</v>
      </c>
      <c r="X173" s="25">
        <f t="shared" ref="X173:X192" si="239">SUM(V173:W173)</f>
        <v>0</v>
      </c>
      <c r="Y173" s="23">
        <f t="shared" ref="Y173:Y192" si="240">IFERROR(VLOOKUP($C173,درجات,26,0),0)</f>
        <v>0</v>
      </c>
      <c r="Z173" s="24">
        <f t="shared" ref="Z173:Z192" si="241">IFERROR(VLOOKUP($C173,درجات,64,0),0)</f>
        <v>0</v>
      </c>
      <c r="AA173" s="25">
        <f t="shared" ref="AA173:AA192" si="242">SUM(Y173:Z173)</f>
        <v>0</v>
      </c>
      <c r="AB173" s="23">
        <f t="shared" ref="AB173:AB192" si="243">IFERROR(VLOOKUP($C173,درجات,29,0),0)</f>
        <v>0</v>
      </c>
      <c r="AC173" s="24">
        <f t="shared" ref="AC173:AC192" si="244">IFERROR(VLOOKUP($C173,درجات,67,0),0)</f>
        <v>0</v>
      </c>
      <c r="AD173" s="25">
        <f t="shared" ref="AD173:AD192" si="245">SUM(AB173:AC173)</f>
        <v>0</v>
      </c>
      <c r="AE173" s="23">
        <f t="shared" ref="AE173:AE192" si="246">IFERROR(VLOOKUP($C173,درجات,32,0),0)</f>
        <v>0</v>
      </c>
      <c r="AF173" s="24">
        <f t="shared" ref="AF173:AF192" si="247">IFERROR(VLOOKUP($C173,درجات,70,0),0)</f>
        <v>0</v>
      </c>
      <c r="AG173" s="25">
        <f t="shared" ref="AG173:AG192" si="248">SUM(AE173:AF173)</f>
        <v>0</v>
      </c>
      <c r="AH173" s="26"/>
    </row>
    <row r="174" spans="1:34" ht="18" customHeight="1" thickTop="1" thickBot="1" x14ac:dyDescent="0.3">
      <c r="A174" s="27">
        <v>122</v>
      </c>
      <c r="B174" s="28">
        <f>IFERROR(VLOOKUP(A174,الاسماء,2,0),0)</f>
        <v>0</v>
      </c>
      <c r="C174" s="60">
        <f t="shared" si="219"/>
        <v>0</v>
      </c>
      <c r="D174" s="23">
        <f t="shared" si="220"/>
        <v>0</v>
      </c>
      <c r="E174" s="24">
        <f t="shared" si="221"/>
        <v>0</v>
      </c>
      <c r="F174" s="25">
        <f t="shared" ref="F174:F192" si="249">SUM(D174:E174)</f>
        <v>0</v>
      </c>
      <c r="G174" s="23">
        <f t="shared" si="222"/>
        <v>0</v>
      </c>
      <c r="H174" s="24">
        <f t="shared" si="223"/>
        <v>0</v>
      </c>
      <c r="I174" s="25">
        <f t="shared" si="224"/>
        <v>0</v>
      </c>
      <c r="J174" s="23">
        <f t="shared" si="225"/>
        <v>0</v>
      </c>
      <c r="K174" s="24">
        <f t="shared" si="226"/>
        <v>0</v>
      </c>
      <c r="L174" s="25">
        <f t="shared" si="227"/>
        <v>0</v>
      </c>
      <c r="M174" s="23">
        <f t="shared" si="228"/>
        <v>0</v>
      </c>
      <c r="N174" s="24">
        <f t="shared" si="229"/>
        <v>0</v>
      </c>
      <c r="O174" s="25">
        <f t="shared" si="230"/>
        <v>0</v>
      </c>
      <c r="P174" s="23">
        <f t="shared" si="231"/>
        <v>0</v>
      </c>
      <c r="Q174" s="24">
        <f t="shared" si="232"/>
        <v>0</v>
      </c>
      <c r="R174" s="25">
        <f t="shared" si="233"/>
        <v>0</v>
      </c>
      <c r="S174" s="23">
        <f t="shared" si="234"/>
        <v>0</v>
      </c>
      <c r="T174" s="24">
        <f t="shared" si="235"/>
        <v>0</v>
      </c>
      <c r="U174" s="25">
        <f t="shared" si="236"/>
        <v>0</v>
      </c>
      <c r="V174" s="23">
        <f t="shared" si="237"/>
        <v>0</v>
      </c>
      <c r="W174" s="24">
        <f t="shared" si="238"/>
        <v>0</v>
      </c>
      <c r="X174" s="25">
        <f t="shared" si="239"/>
        <v>0</v>
      </c>
      <c r="Y174" s="23">
        <f t="shared" si="240"/>
        <v>0</v>
      </c>
      <c r="Z174" s="24">
        <f t="shared" si="241"/>
        <v>0</v>
      </c>
      <c r="AA174" s="25">
        <f t="shared" si="242"/>
        <v>0</v>
      </c>
      <c r="AB174" s="23">
        <f t="shared" si="243"/>
        <v>0</v>
      </c>
      <c r="AC174" s="24">
        <f t="shared" si="244"/>
        <v>0</v>
      </c>
      <c r="AD174" s="25">
        <f t="shared" si="245"/>
        <v>0</v>
      </c>
      <c r="AE174" s="23">
        <f t="shared" si="246"/>
        <v>0</v>
      </c>
      <c r="AF174" s="24">
        <f t="shared" si="247"/>
        <v>0</v>
      </c>
      <c r="AG174" s="25">
        <f t="shared" si="248"/>
        <v>0</v>
      </c>
      <c r="AH174" s="29"/>
    </row>
    <row r="175" spans="1:34" ht="18" customHeight="1" thickTop="1" thickBot="1" x14ac:dyDescent="0.3">
      <c r="A175" s="23">
        <v>123</v>
      </c>
      <c r="B175" s="28">
        <f t="shared" ref="B175:B192" si="250">IFERROR(VLOOKUP(A175,الاسماء,2,0),"")</f>
        <v>0</v>
      </c>
      <c r="C175" s="60">
        <f t="shared" si="219"/>
        <v>0</v>
      </c>
      <c r="D175" s="23">
        <f t="shared" si="220"/>
        <v>0</v>
      </c>
      <c r="E175" s="24">
        <f t="shared" si="221"/>
        <v>0</v>
      </c>
      <c r="F175" s="25">
        <f t="shared" si="249"/>
        <v>0</v>
      </c>
      <c r="G175" s="23">
        <f t="shared" si="222"/>
        <v>0</v>
      </c>
      <c r="H175" s="24">
        <f t="shared" si="223"/>
        <v>0</v>
      </c>
      <c r="I175" s="25">
        <f t="shared" si="224"/>
        <v>0</v>
      </c>
      <c r="J175" s="23">
        <f t="shared" si="225"/>
        <v>0</v>
      </c>
      <c r="K175" s="24">
        <f t="shared" si="226"/>
        <v>0</v>
      </c>
      <c r="L175" s="25">
        <f t="shared" si="227"/>
        <v>0</v>
      </c>
      <c r="M175" s="23">
        <f t="shared" si="228"/>
        <v>0</v>
      </c>
      <c r="N175" s="24">
        <f t="shared" si="229"/>
        <v>0</v>
      </c>
      <c r="O175" s="25">
        <f t="shared" si="230"/>
        <v>0</v>
      </c>
      <c r="P175" s="23">
        <f t="shared" si="231"/>
        <v>0</v>
      </c>
      <c r="Q175" s="24">
        <f t="shared" si="232"/>
        <v>0</v>
      </c>
      <c r="R175" s="25">
        <f t="shared" si="233"/>
        <v>0</v>
      </c>
      <c r="S175" s="23">
        <f t="shared" si="234"/>
        <v>0</v>
      </c>
      <c r="T175" s="24">
        <f t="shared" si="235"/>
        <v>0</v>
      </c>
      <c r="U175" s="25">
        <f t="shared" si="236"/>
        <v>0</v>
      </c>
      <c r="V175" s="23">
        <f t="shared" si="237"/>
        <v>0</v>
      </c>
      <c r="W175" s="24">
        <f t="shared" si="238"/>
        <v>0</v>
      </c>
      <c r="X175" s="25">
        <f t="shared" si="239"/>
        <v>0</v>
      </c>
      <c r="Y175" s="23">
        <f t="shared" si="240"/>
        <v>0</v>
      </c>
      <c r="Z175" s="24">
        <f t="shared" si="241"/>
        <v>0</v>
      </c>
      <c r="AA175" s="25">
        <f t="shared" si="242"/>
        <v>0</v>
      </c>
      <c r="AB175" s="23">
        <f t="shared" si="243"/>
        <v>0</v>
      </c>
      <c r="AC175" s="24">
        <f t="shared" si="244"/>
        <v>0</v>
      </c>
      <c r="AD175" s="25">
        <f t="shared" si="245"/>
        <v>0</v>
      </c>
      <c r="AE175" s="23">
        <f t="shared" si="246"/>
        <v>0</v>
      </c>
      <c r="AF175" s="24">
        <f t="shared" si="247"/>
        <v>0</v>
      </c>
      <c r="AG175" s="25">
        <f t="shared" si="248"/>
        <v>0</v>
      </c>
      <c r="AH175" s="30"/>
    </row>
    <row r="176" spans="1:34" ht="18" customHeight="1" thickTop="1" thickBot="1" x14ac:dyDescent="0.3">
      <c r="A176" s="27">
        <v>124</v>
      </c>
      <c r="B176" s="28">
        <f t="shared" si="250"/>
        <v>0</v>
      </c>
      <c r="C176" s="60">
        <f t="shared" si="219"/>
        <v>0</v>
      </c>
      <c r="D176" s="23">
        <f t="shared" si="220"/>
        <v>0</v>
      </c>
      <c r="E176" s="24">
        <f t="shared" si="221"/>
        <v>0</v>
      </c>
      <c r="F176" s="25">
        <f t="shared" si="249"/>
        <v>0</v>
      </c>
      <c r="G176" s="23">
        <f t="shared" si="222"/>
        <v>0</v>
      </c>
      <c r="H176" s="24">
        <f t="shared" si="223"/>
        <v>0</v>
      </c>
      <c r="I176" s="25">
        <f t="shared" si="224"/>
        <v>0</v>
      </c>
      <c r="J176" s="23">
        <f t="shared" si="225"/>
        <v>0</v>
      </c>
      <c r="K176" s="24">
        <f t="shared" si="226"/>
        <v>0</v>
      </c>
      <c r="L176" s="25">
        <f t="shared" si="227"/>
        <v>0</v>
      </c>
      <c r="M176" s="23">
        <f t="shared" si="228"/>
        <v>0</v>
      </c>
      <c r="N176" s="24">
        <f t="shared" si="229"/>
        <v>0</v>
      </c>
      <c r="O176" s="25">
        <f t="shared" si="230"/>
        <v>0</v>
      </c>
      <c r="P176" s="23">
        <f t="shared" si="231"/>
        <v>0</v>
      </c>
      <c r="Q176" s="24">
        <f t="shared" si="232"/>
        <v>0</v>
      </c>
      <c r="R176" s="25">
        <f t="shared" si="233"/>
        <v>0</v>
      </c>
      <c r="S176" s="23">
        <f t="shared" si="234"/>
        <v>0</v>
      </c>
      <c r="T176" s="24">
        <f t="shared" si="235"/>
        <v>0</v>
      </c>
      <c r="U176" s="25">
        <f t="shared" si="236"/>
        <v>0</v>
      </c>
      <c r="V176" s="23">
        <f t="shared" si="237"/>
        <v>0</v>
      </c>
      <c r="W176" s="24">
        <f t="shared" si="238"/>
        <v>0</v>
      </c>
      <c r="X176" s="25">
        <f t="shared" si="239"/>
        <v>0</v>
      </c>
      <c r="Y176" s="23">
        <f t="shared" si="240"/>
        <v>0</v>
      </c>
      <c r="Z176" s="24">
        <f t="shared" si="241"/>
        <v>0</v>
      </c>
      <c r="AA176" s="25">
        <f t="shared" si="242"/>
        <v>0</v>
      </c>
      <c r="AB176" s="23">
        <f t="shared" si="243"/>
        <v>0</v>
      </c>
      <c r="AC176" s="24">
        <f t="shared" si="244"/>
        <v>0</v>
      </c>
      <c r="AD176" s="25">
        <f t="shared" si="245"/>
        <v>0</v>
      </c>
      <c r="AE176" s="23">
        <f t="shared" si="246"/>
        <v>0</v>
      </c>
      <c r="AF176" s="24">
        <f t="shared" si="247"/>
        <v>0</v>
      </c>
      <c r="AG176" s="25">
        <f t="shared" si="248"/>
        <v>0</v>
      </c>
      <c r="AH176" s="30"/>
    </row>
    <row r="177" spans="1:34" ht="18" customHeight="1" thickTop="1" thickBot="1" x14ac:dyDescent="0.3">
      <c r="A177" s="23">
        <v>125</v>
      </c>
      <c r="B177" s="28">
        <f t="shared" si="250"/>
        <v>0</v>
      </c>
      <c r="C177" s="60">
        <f t="shared" si="219"/>
        <v>0</v>
      </c>
      <c r="D177" s="23">
        <f t="shared" si="220"/>
        <v>0</v>
      </c>
      <c r="E177" s="24">
        <f t="shared" si="221"/>
        <v>0</v>
      </c>
      <c r="F177" s="25">
        <f t="shared" si="249"/>
        <v>0</v>
      </c>
      <c r="G177" s="23">
        <f t="shared" si="222"/>
        <v>0</v>
      </c>
      <c r="H177" s="24">
        <f t="shared" si="223"/>
        <v>0</v>
      </c>
      <c r="I177" s="25">
        <f t="shared" si="224"/>
        <v>0</v>
      </c>
      <c r="J177" s="23">
        <f t="shared" si="225"/>
        <v>0</v>
      </c>
      <c r="K177" s="24">
        <f t="shared" si="226"/>
        <v>0</v>
      </c>
      <c r="L177" s="25">
        <f t="shared" si="227"/>
        <v>0</v>
      </c>
      <c r="M177" s="23">
        <f t="shared" si="228"/>
        <v>0</v>
      </c>
      <c r="N177" s="24">
        <f t="shared" si="229"/>
        <v>0</v>
      </c>
      <c r="O177" s="25">
        <f t="shared" si="230"/>
        <v>0</v>
      </c>
      <c r="P177" s="23">
        <f t="shared" si="231"/>
        <v>0</v>
      </c>
      <c r="Q177" s="24">
        <f t="shared" si="232"/>
        <v>0</v>
      </c>
      <c r="R177" s="25">
        <f t="shared" si="233"/>
        <v>0</v>
      </c>
      <c r="S177" s="23">
        <f t="shared" si="234"/>
        <v>0</v>
      </c>
      <c r="T177" s="24">
        <f t="shared" si="235"/>
        <v>0</v>
      </c>
      <c r="U177" s="25">
        <f t="shared" si="236"/>
        <v>0</v>
      </c>
      <c r="V177" s="23">
        <f t="shared" si="237"/>
        <v>0</v>
      </c>
      <c r="W177" s="24">
        <f t="shared" si="238"/>
        <v>0</v>
      </c>
      <c r="X177" s="25">
        <f t="shared" si="239"/>
        <v>0</v>
      </c>
      <c r="Y177" s="23">
        <f t="shared" si="240"/>
        <v>0</v>
      </c>
      <c r="Z177" s="24">
        <f t="shared" si="241"/>
        <v>0</v>
      </c>
      <c r="AA177" s="25">
        <f t="shared" si="242"/>
        <v>0</v>
      </c>
      <c r="AB177" s="23">
        <f t="shared" si="243"/>
        <v>0</v>
      </c>
      <c r="AC177" s="24">
        <f t="shared" si="244"/>
        <v>0</v>
      </c>
      <c r="AD177" s="25">
        <f t="shared" si="245"/>
        <v>0</v>
      </c>
      <c r="AE177" s="23">
        <f t="shared" si="246"/>
        <v>0</v>
      </c>
      <c r="AF177" s="24">
        <f t="shared" si="247"/>
        <v>0</v>
      </c>
      <c r="AG177" s="25">
        <f t="shared" si="248"/>
        <v>0</v>
      </c>
      <c r="AH177" s="30"/>
    </row>
    <row r="178" spans="1:34" ht="18" customHeight="1" thickTop="1" thickBot="1" x14ac:dyDescent="0.3">
      <c r="A178" s="27">
        <v>126</v>
      </c>
      <c r="B178" s="28">
        <f t="shared" si="250"/>
        <v>0</v>
      </c>
      <c r="C178" s="60">
        <f t="shared" si="219"/>
        <v>0</v>
      </c>
      <c r="D178" s="23">
        <f t="shared" si="220"/>
        <v>0</v>
      </c>
      <c r="E178" s="24">
        <f t="shared" si="221"/>
        <v>0</v>
      </c>
      <c r="F178" s="25">
        <f t="shared" si="249"/>
        <v>0</v>
      </c>
      <c r="G178" s="23">
        <f t="shared" si="222"/>
        <v>0</v>
      </c>
      <c r="H178" s="24">
        <f t="shared" si="223"/>
        <v>0</v>
      </c>
      <c r="I178" s="25">
        <f t="shared" si="224"/>
        <v>0</v>
      </c>
      <c r="J178" s="23">
        <f t="shared" si="225"/>
        <v>0</v>
      </c>
      <c r="K178" s="24">
        <f t="shared" si="226"/>
        <v>0</v>
      </c>
      <c r="L178" s="25">
        <f t="shared" si="227"/>
        <v>0</v>
      </c>
      <c r="M178" s="23">
        <f t="shared" si="228"/>
        <v>0</v>
      </c>
      <c r="N178" s="24">
        <f t="shared" si="229"/>
        <v>0</v>
      </c>
      <c r="O178" s="25">
        <f t="shared" si="230"/>
        <v>0</v>
      </c>
      <c r="P178" s="23">
        <f t="shared" si="231"/>
        <v>0</v>
      </c>
      <c r="Q178" s="24">
        <f t="shared" si="232"/>
        <v>0</v>
      </c>
      <c r="R178" s="25">
        <f t="shared" si="233"/>
        <v>0</v>
      </c>
      <c r="S178" s="23">
        <f t="shared" si="234"/>
        <v>0</v>
      </c>
      <c r="T178" s="24">
        <f t="shared" si="235"/>
        <v>0</v>
      </c>
      <c r="U178" s="25">
        <f t="shared" si="236"/>
        <v>0</v>
      </c>
      <c r="V178" s="23">
        <f t="shared" si="237"/>
        <v>0</v>
      </c>
      <c r="W178" s="24">
        <f t="shared" si="238"/>
        <v>0</v>
      </c>
      <c r="X178" s="25">
        <f t="shared" si="239"/>
        <v>0</v>
      </c>
      <c r="Y178" s="23">
        <f t="shared" si="240"/>
        <v>0</v>
      </c>
      <c r="Z178" s="24">
        <f t="shared" si="241"/>
        <v>0</v>
      </c>
      <c r="AA178" s="25">
        <f t="shared" si="242"/>
        <v>0</v>
      </c>
      <c r="AB178" s="23">
        <f t="shared" si="243"/>
        <v>0</v>
      </c>
      <c r="AC178" s="24">
        <f t="shared" si="244"/>
        <v>0</v>
      </c>
      <c r="AD178" s="25">
        <f t="shared" si="245"/>
        <v>0</v>
      </c>
      <c r="AE178" s="23">
        <f t="shared" si="246"/>
        <v>0</v>
      </c>
      <c r="AF178" s="24">
        <f t="shared" si="247"/>
        <v>0</v>
      </c>
      <c r="AG178" s="25">
        <f t="shared" si="248"/>
        <v>0</v>
      </c>
      <c r="AH178" s="31"/>
    </row>
    <row r="179" spans="1:34" ht="18" customHeight="1" thickTop="1" thickBot="1" x14ac:dyDescent="0.3">
      <c r="A179" s="23">
        <v>127</v>
      </c>
      <c r="B179" s="28">
        <f t="shared" si="250"/>
        <v>0</v>
      </c>
      <c r="C179" s="60">
        <f t="shared" si="219"/>
        <v>0</v>
      </c>
      <c r="D179" s="23">
        <f t="shared" si="220"/>
        <v>0</v>
      </c>
      <c r="E179" s="24">
        <f t="shared" si="221"/>
        <v>0</v>
      </c>
      <c r="F179" s="25">
        <f t="shared" si="249"/>
        <v>0</v>
      </c>
      <c r="G179" s="23">
        <f t="shared" si="222"/>
        <v>0</v>
      </c>
      <c r="H179" s="24">
        <f t="shared" si="223"/>
        <v>0</v>
      </c>
      <c r="I179" s="25">
        <f t="shared" si="224"/>
        <v>0</v>
      </c>
      <c r="J179" s="23">
        <f t="shared" si="225"/>
        <v>0</v>
      </c>
      <c r="K179" s="24">
        <f t="shared" si="226"/>
        <v>0</v>
      </c>
      <c r="L179" s="25">
        <f t="shared" si="227"/>
        <v>0</v>
      </c>
      <c r="M179" s="23">
        <f t="shared" si="228"/>
        <v>0</v>
      </c>
      <c r="N179" s="24">
        <f t="shared" si="229"/>
        <v>0</v>
      </c>
      <c r="O179" s="25">
        <f t="shared" si="230"/>
        <v>0</v>
      </c>
      <c r="P179" s="23">
        <f t="shared" si="231"/>
        <v>0</v>
      </c>
      <c r="Q179" s="24">
        <f t="shared" si="232"/>
        <v>0</v>
      </c>
      <c r="R179" s="25">
        <f t="shared" si="233"/>
        <v>0</v>
      </c>
      <c r="S179" s="23">
        <f t="shared" si="234"/>
        <v>0</v>
      </c>
      <c r="T179" s="24">
        <f t="shared" si="235"/>
        <v>0</v>
      </c>
      <c r="U179" s="25">
        <f t="shared" si="236"/>
        <v>0</v>
      </c>
      <c r="V179" s="23">
        <f t="shared" si="237"/>
        <v>0</v>
      </c>
      <c r="W179" s="24">
        <f t="shared" si="238"/>
        <v>0</v>
      </c>
      <c r="X179" s="25">
        <f t="shared" si="239"/>
        <v>0</v>
      </c>
      <c r="Y179" s="23">
        <f t="shared" si="240"/>
        <v>0</v>
      </c>
      <c r="Z179" s="24">
        <f t="shared" si="241"/>
        <v>0</v>
      </c>
      <c r="AA179" s="25">
        <f t="shared" si="242"/>
        <v>0</v>
      </c>
      <c r="AB179" s="23">
        <f t="shared" si="243"/>
        <v>0</v>
      </c>
      <c r="AC179" s="24">
        <f t="shared" si="244"/>
        <v>0</v>
      </c>
      <c r="AD179" s="25">
        <f t="shared" si="245"/>
        <v>0</v>
      </c>
      <c r="AE179" s="23">
        <f t="shared" si="246"/>
        <v>0</v>
      </c>
      <c r="AF179" s="24">
        <f t="shared" si="247"/>
        <v>0</v>
      </c>
      <c r="AG179" s="25">
        <f t="shared" si="248"/>
        <v>0</v>
      </c>
      <c r="AH179" s="32"/>
    </row>
    <row r="180" spans="1:34" ht="18" customHeight="1" thickTop="1" thickBot="1" x14ac:dyDescent="0.3">
      <c r="A180" s="27">
        <v>128</v>
      </c>
      <c r="B180" s="28">
        <f t="shared" si="250"/>
        <v>0</v>
      </c>
      <c r="C180" s="60">
        <f t="shared" si="219"/>
        <v>0</v>
      </c>
      <c r="D180" s="23">
        <f t="shared" si="220"/>
        <v>0</v>
      </c>
      <c r="E180" s="24">
        <f t="shared" si="221"/>
        <v>0</v>
      </c>
      <c r="F180" s="25">
        <f t="shared" si="249"/>
        <v>0</v>
      </c>
      <c r="G180" s="23">
        <f t="shared" si="222"/>
        <v>0</v>
      </c>
      <c r="H180" s="24">
        <f t="shared" si="223"/>
        <v>0</v>
      </c>
      <c r="I180" s="25">
        <f t="shared" si="224"/>
        <v>0</v>
      </c>
      <c r="J180" s="23">
        <f t="shared" si="225"/>
        <v>0</v>
      </c>
      <c r="K180" s="24">
        <f t="shared" si="226"/>
        <v>0</v>
      </c>
      <c r="L180" s="25">
        <f t="shared" si="227"/>
        <v>0</v>
      </c>
      <c r="M180" s="23">
        <f t="shared" si="228"/>
        <v>0</v>
      </c>
      <c r="N180" s="24">
        <f t="shared" si="229"/>
        <v>0</v>
      </c>
      <c r="O180" s="25">
        <f t="shared" si="230"/>
        <v>0</v>
      </c>
      <c r="P180" s="23">
        <f t="shared" si="231"/>
        <v>0</v>
      </c>
      <c r="Q180" s="24">
        <f t="shared" si="232"/>
        <v>0</v>
      </c>
      <c r="R180" s="25">
        <f t="shared" si="233"/>
        <v>0</v>
      </c>
      <c r="S180" s="23">
        <f t="shared" si="234"/>
        <v>0</v>
      </c>
      <c r="T180" s="24">
        <f t="shared" si="235"/>
        <v>0</v>
      </c>
      <c r="U180" s="25">
        <f t="shared" si="236"/>
        <v>0</v>
      </c>
      <c r="V180" s="23">
        <f t="shared" si="237"/>
        <v>0</v>
      </c>
      <c r="W180" s="24">
        <f t="shared" si="238"/>
        <v>0</v>
      </c>
      <c r="X180" s="25">
        <f t="shared" si="239"/>
        <v>0</v>
      </c>
      <c r="Y180" s="23">
        <f t="shared" si="240"/>
        <v>0</v>
      </c>
      <c r="Z180" s="24">
        <f t="shared" si="241"/>
        <v>0</v>
      </c>
      <c r="AA180" s="25">
        <f t="shared" si="242"/>
        <v>0</v>
      </c>
      <c r="AB180" s="23">
        <f t="shared" si="243"/>
        <v>0</v>
      </c>
      <c r="AC180" s="24">
        <f t="shared" si="244"/>
        <v>0</v>
      </c>
      <c r="AD180" s="25">
        <f t="shared" si="245"/>
        <v>0</v>
      </c>
      <c r="AE180" s="23">
        <f t="shared" si="246"/>
        <v>0</v>
      </c>
      <c r="AF180" s="24">
        <f t="shared" si="247"/>
        <v>0</v>
      </c>
      <c r="AG180" s="25">
        <f t="shared" si="248"/>
        <v>0</v>
      </c>
      <c r="AH180" s="29"/>
    </row>
    <row r="181" spans="1:34" ht="18" customHeight="1" thickTop="1" thickBot="1" x14ac:dyDescent="0.3">
      <c r="A181" s="23">
        <v>129</v>
      </c>
      <c r="B181" s="28">
        <f t="shared" si="250"/>
        <v>0</v>
      </c>
      <c r="C181" s="60">
        <f t="shared" si="219"/>
        <v>0</v>
      </c>
      <c r="D181" s="23">
        <f t="shared" si="220"/>
        <v>0</v>
      </c>
      <c r="E181" s="24">
        <f t="shared" si="221"/>
        <v>0</v>
      </c>
      <c r="F181" s="25">
        <f t="shared" si="249"/>
        <v>0</v>
      </c>
      <c r="G181" s="23">
        <f t="shared" si="222"/>
        <v>0</v>
      </c>
      <c r="H181" s="24">
        <f t="shared" si="223"/>
        <v>0</v>
      </c>
      <c r="I181" s="25">
        <f t="shared" si="224"/>
        <v>0</v>
      </c>
      <c r="J181" s="23">
        <f t="shared" si="225"/>
        <v>0</v>
      </c>
      <c r="K181" s="24">
        <f t="shared" si="226"/>
        <v>0</v>
      </c>
      <c r="L181" s="25">
        <f t="shared" si="227"/>
        <v>0</v>
      </c>
      <c r="M181" s="23">
        <f t="shared" si="228"/>
        <v>0</v>
      </c>
      <c r="N181" s="24">
        <f t="shared" si="229"/>
        <v>0</v>
      </c>
      <c r="O181" s="25">
        <f t="shared" si="230"/>
        <v>0</v>
      </c>
      <c r="P181" s="23">
        <f t="shared" si="231"/>
        <v>0</v>
      </c>
      <c r="Q181" s="24">
        <f t="shared" si="232"/>
        <v>0</v>
      </c>
      <c r="R181" s="25">
        <f t="shared" si="233"/>
        <v>0</v>
      </c>
      <c r="S181" s="23">
        <f t="shared" si="234"/>
        <v>0</v>
      </c>
      <c r="T181" s="24">
        <f t="shared" si="235"/>
        <v>0</v>
      </c>
      <c r="U181" s="25">
        <f t="shared" si="236"/>
        <v>0</v>
      </c>
      <c r="V181" s="23">
        <f t="shared" si="237"/>
        <v>0</v>
      </c>
      <c r="W181" s="24">
        <f t="shared" si="238"/>
        <v>0</v>
      </c>
      <c r="X181" s="25">
        <f t="shared" si="239"/>
        <v>0</v>
      </c>
      <c r="Y181" s="23">
        <f t="shared" si="240"/>
        <v>0</v>
      </c>
      <c r="Z181" s="24">
        <f t="shared" si="241"/>
        <v>0</v>
      </c>
      <c r="AA181" s="25">
        <f t="shared" si="242"/>
        <v>0</v>
      </c>
      <c r="AB181" s="23">
        <f t="shared" si="243"/>
        <v>0</v>
      </c>
      <c r="AC181" s="24">
        <f t="shared" si="244"/>
        <v>0</v>
      </c>
      <c r="AD181" s="25">
        <f t="shared" si="245"/>
        <v>0</v>
      </c>
      <c r="AE181" s="23">
        <f t="shared" si="246"/>
        <v>0</v>
      </c>
      <c r="AF181" s="24">
        <f t="shared" si="247"/>
        <v>0</v>
      </c>
      <c r="AG181" s="25">
        <f t="shared" si="248"/>
        <v>0</v>
      </c>
      <c r="AH181" s="31"/>
    </row>
    <row r="182" spans="1:34" ht="18" customHeight="1" thickTop="1" thickBot="1" x14ac:dyDescent="0.3">
      <c r="A182" s="27">
        <v>130</v>
      </c>
      <c r="B182" s="28">
        <f t="shared" si="250"/>
        <v>0</v>
      </c>
      <c r="C182" s="60">
        <f t="shared" si="219"/>
        <v>0</v>
      </c>
      <c r="D182" s="23">
        <f t="shared" si="220"/>
        <v>0</v>
      </c>
      <c r="E182" s="24">
        <f t="shared" si="221"/>
        <v>0</v>
      </c>
      <c r="F182" s="25">
        <f t="shared" si="249"/>
        <v>0</v>
      </c>
      <c r="G182" s="23">
        <f t="shared" si="222"/>
        <v>0</v>
      </c>
      <c r="H182" s="24">
        <f t="shared" si="223"/>
        <v>0</v>
      </c>
      <c r="I182" s="25">
        <f t="shared" si="224"/>
        <v>0</v>
      </c>
      <c r="J182" s="23">
        <f t="shared" si="225"/>
        <v>0</v>
      </c>
      <c r="K182" s="24">
        <f t="shared" si="226"/>
        <v>0</v>
      </c>
      <c r="L182" s="25">
        <f t="shared" si="227"/>
        <v>0</v>
      </c>
      <c r="M182" s="23">
        <f t="shared" si="228"/>
        <v>0</v>
      </c>
      <c r="N182" s="24">
        <f t="shared" si="229"/>
        <v>0</v>
      </c>
      <c r="O182" s="25">
        <f t="shared" si="230"/>
        <v>0</v>
      </c>
      <c r="P182" s="23">
        <f t="shared" si="231"/>
        <v>0</v>
      </c>
      <c r="Q182" s="24">
        <f t="shared" si="232"/>
        <v>0</v>
      </c>
      <c r="R182" s="25">
        <f t="shared" si="233"/>
        <v>0</v>
      </c>
      <c r="S182" s="23">
        <f t="shared" si="234"/>
        <v>0</v>
      </c>
      <c r="T182" s="24">
        <f t="shared" si="235"/>
        <v>0</v>
      </c>
      <c r="U182" s="25">
        <f t="shared" si="236"/>
        <v>0</v>
      </c>
      <c r="V182" s="23">
        <f t="shared" si="237"/>
        <v>0</v>
      </c>
      <c r="W182" s="24">
        <f t="shared" si="238"/>
        <v>0</v>
      </c>
      <c r="X182" s="25">
        <f t="shared" si="239"/>
        <v>0</v>
      </c>
      <c r="Y182" s="23">
        <f t="shared" si="240"/>
        <v>0</v>
      </c>
      <c r="Z182" s="24">
        <f t="shared" si="241"/>
        <v>0</v>
      </c>
      <c r="AA182" s="25">
        <f t="shared" si="242"/>
        <v>0</v>
      </c>
      <c r="AB182" s="23">
        <f t="shared" si="243"/>
        <v>0</v>
      </c>
      <c r="AC182" s="24">
        <f t="shared" si="244"/>
        <v>0</v>
      </c>
      <c r="AD182" s="25">
        <f t="shared" si="245"/>
        <v>0</v>
      </c>
      <c r="AE182" s="23">
        <f t="shared" si="246"/>
        <v>0</v>
      </c>
      <c r="AF182" s="24">
        <f t="shared" si="247"/>
        <v>0</v>
      </c>
      <c r="AG182" s="25">
        <f t="shared" si="248"/>
        <v>0</v>
      </c>
      <c r="AH182" s="33"/>
    </row>
    <row r="183" spans="1:34" ht="18" customHeight="1" thickTop="1" thickBot="1" x14ac:dyDescent="0.3">
      <c r="A183" s="23">
        <v>131</v>
      </c>
      <c r="B183" s="28">
        <f t="shared" si="250"/>
        <v>0</v>
      </c>
      <c r="C183" s="60">
        <f t="shared" si="219"/>
        <v>0</v>
      </c>
      <c r="D183" s="23">
        <f t="shared" si="220"/>
        <v>0</v>
      </c>
      <c r="E183" s="24">
        <f t="shared" si="221"/>
        <v>0</v>
      </c>
      <c r="F183" s="25">
        <f t="shared" si="249"/>
        <v>0</v>
      </c>
      <c r="G183" s="23">
        <f t="shared" si="222"/>
        <v>0</v>
      </c>
      <c r="H183" s="24">
        <f t="shared" si="223"/>
        <v>0</v>
      </c>
      <c r="I183" s="25">
        <f t="shared" si="224"/>
        <v>0</v>
      </c>
      <c r="J183" s="23">
        <f t="shared" si="225"/>
        <v>0</v>
      </c>
      <c r="K183" s="24">
        <f t="shared" si="226"/>
        <v>0</v>
      </c>
      <c r="L183" s="25">
        <f t="shared" si="227"/>
        <v>0</v>
      </c>
      <c r="M183" s="23">
        <f t="shared" si="228"/>
        <v>0</v>
      </c>
      <c r="N183" s="24">
        <f t="shared" si="229"/>
        <v>0</v>
      </c>
      <c r="O183" s="25">
        <f t="shared" si="230"/>
        <v>0</v>
      </c>
      <c r="P183" s="23">
        <f t="shared" si="231"/>
        <v>0</v>
      </c>
      <c r="Q183" s="24">
        <f t="shared" si="232"/>
        <v>0</v>
      </c>
      <c r="R183" s="25">
        <f t="shared" si="233"/>
        <v>0</v>
      </c>
      <c r="S183" s="23">
        <f t="shared" si="234"/>
        <v>0</v>
      </c>
      <c r="T183" s="24">
        <f t="shared" si="235"/>
        <v>0</v>
      </c>
      <c r="U183" s="25">
        <f t="shared" si="236"/>
        <v>0</v>
      </c>
      <c r="V183" s="23">
        <f t="shared" si="237"/>
        <v>0</v>
      </c>
      <c r="W183" s="24">
        <f t="shared" si="238"/>
        <v>0</v>
      </c>
      <c r="X183" s="25">
        <f t="shared" si="239"/>
        <v>0</v>
      </c>
      <c r="Y183" s="23">
        <f t="shared" si="240"/>
        <v>0</v>
      </c>
      <c r="Z183" s="24">
        <f t="shared" si="241"/>
        <v>0</v>
      </c>
      <c r="AA183" s="25">
        <f t="shared" si="242"/>
        <v>0</v>
      </c>
      <c r="AB183" s="23">
        <f t="shared" si="243"/>
        <v>0</v>
      </c>
      <c r="AC183" s="24">
        <f t="shared" si="244"/>
        <v>0</v>
      </c>
      <c r="AD183" s="25">
        <f t="shared" si="245"/>
        <v>0</v>
      </c>
      <c r="AE183" s="23">
        <f t="shared" si="246"/>
        <v>0</v>
      </c>
      <c r="AF183" s="24">
        <f t="shared" si="247"/>
        <v>0</v>
      </c>
      <c r="AG183" s="25">
        <f t="shared" si="248"/>
        <v>0</v>
      </c>
      <c r="AH183" s="29"/>
    </row>
    <row r="184" spans="1:34" ht="18" customHeight="1" thickTop="1" thickBot="1" x14ac:dyDescent="0.3">
      <c r="A184" s="27">
        <v>132</v>
      </c>
      <c r="B184" s="28">
        <f t="shared" si="250"/>
        <v>0</v>
      </c>
      <c r="C184" s="60">
        <f t="shared" si="219"/>
        <v>0</v>
      </c>
      <c r="D184" s="23">
        <f t="shared" si="220"/>
        <v>0</v>
      </c>
      <c r="E184" s="24">
        <f t="shared" si="221"/>
        <v>0</v>
      </c>
      <c r="F184" s="25">
        <f t="shared" si="249"/>
        <v>0</v>
      </c>
      <c r="G184" s="23">
        <f t="shared" si="222"/>
        <v>0</v>
      </c>
      <c r="H184" s="24">
        <f t="shared" si="223"/>
        <v>0</v>
      </c>
      <c r="I184" s="25">
        <f t="shared" si="224"/>
        <v>0</v>
      </c>
      <c r="J184" s="23">
        <f t="shared" si="225"/>
        <v>0</v>
      </c>
      <c r="K184" s="24">
        <f t="shared" si="226"/>
        <v>0</v>
      </c>
      <c r="L184" s="25">
        <f t="shared" si="227"/>
        <v>0</v>
      </c>
      <c r="M184" s="23">
        <f t="shared" si="228"/>
        <v>0</v>
      </c>
      <c r="N184" s="24">
        <f t="shared" si="229"/>
        <v>0</v>
      </c>
      <c r="O184" s="25">
        <f t="shared" si="230"/>
        <v>0</v>
      </c>
      <c r="P184" s="23">
        <f t="shared" si="231"/>
        <v>0</v>
      </c>
      <c r="Q184" s="24">
        <f t="shared" si="232"/>
        <v>0</v>
      </c>
      <c r="R184" s="25">
        <f t="shared" si="233"/>
        <v>0</v>
      </c>
      <c r="S184" s="23">
        <f t="shared" si="234"/>
        <v>0</v>
      </c>
      <c r="T184" s="24">
        <f t="shared" si="235"/>
        <v>0</v>
      </c>
      <c r="U184" s="25">
        <f t="shared" si="236"/>
        <v>0</v>
      </c>
      <c r="V184" s="23">
        <f t="shared" si="237"/>
        <v>0</v>
      </c>
      <c r="W184" s="24">
        <f t="shared" si="238"/>
        <v>0</v>
      </c>
      <c r="X184" s="25">
        <f t="shared" si="239"/>
        <v>0</v>
      </c>
      <c r="Y184" s="23">
        <f t="shared" si="240"/>
        <v>0</v>
      </c>
      <c r="Z184" s="24">
        <f t="shared" si="241"/>
        <v>0</v>
      </c>
      <c r="AA184" s="25">
        <f t="shared" si="242"/>
        <v>0</v>
      </c>
      <c r="AB184" s="23">
        <f t="shared" si="243"/>
        <v>0</v>
      </c>
      <c r="AC184" s="24">
        <f t="shared" si="244"/>
        <v>0</v>
      </c>
      <c r="AD184" s="25">
        <f t="shared" si="245"/>
        <v>0</v>
      </c>
      <c r="AE184" s="23">
        <f t="shared" si="246"/>
        <v>0</v>
      </c>
      <c r="AF184" s="24">
        <f t="shared" si="247"/>
        <v>0</v>
      </c>
      <c r="AG184" s="25">
        <f t="shared" si="248"/>
        <v>0</v>
      </c>
      <c r="AH184" s="31"/>
    </row>
    <row r="185" spans="1:34" ht="18" customHeight="1" thickTop="1" thickBot="1" x14ac:dyDescent="0.3">
      <c r="A185" s="23">
        <v>133</v>
      </c>
      <c r="B185" s="28">
        <f t="shared" si="250"/>
        <v>0</v>
      </c>
      <c r="C185" s="60">
        <f t="shared" si="219"/>
        <v>0</v>
      </c>
      <c r="D185" s="23">
        <f t="shared" si="220"/>
        <v>0</v>
      </c>
      <c r="E185" s="24">
        <f t="shared" si="221"/>
        <v>0</v>
      </c>
      <c r="F185" s="25">
        <f t="shared" si="249"/>
        <v>0</v>
      </c>
      <c r="G185" s="23">
        <f t="shared" si="222"/>
        <v>0</v>
      </c>
      <c r="H185" s="24">
        <f t="shared" si="223"/>
        <v>0</v>
      </c>
      <c r="I185" s="25">
        <f t="shared" si="224"/>
        <v>0</v>
      </c>
      <c r="J185" s="23">
        <f t="shared" si="225"/>
        <v>0</v>
      </c>
      <c r="K185" s="24">
        <f t="shared" si="226"/>
        <v>0</v>
      </c>
      <c r="L185" s="25">
        <f t="shared" si="227"/>
        <v>0</v>
      </c>
      <c r="M185" s="23">
        <f t="shared" si="228"/>
        <v>0</v>
      </c>
      <c r="N185" s="24">
        <f t="shared" si="229"/>
        <v>0</v>
      </c>
      <c r="O185" s="25">
        <f t="shared" si="230"/>
        <v>0</v>
      </c>
      <c r="P185" s="23">
        <f t="shared" si="231"/>
        <v>0</v>
      </c>
      <c r="Q185" s="24">
        <f t="shared" si="232"/>
        <v>0</v>
      </c>
      <c r="R185" s="25">
        <f t="shared" si="233"/>
        <v>0</v>
      </c>
      <c r="S185" s="23">
        <f t="shared" si="234"/>
        <v>0</v>
      </c>
      <c r="T185" s="24">
        <f t="shared" si="235"/>
        <v>0</v>
      </c>
      <c r="U185" s="25">
        <f t="shared" si="236"/>
        <v>0</v>
      </c>
      <c r="V185" s="23">
        <f t="shared" si="237"/>
        <v>0</v>
      </c>
      <c r="W185" s="24">
        <f t="shared" si="238"/>
        <v>0</v>
      </c>
      <c r="X185" s="25">
        <f t="shared" si="239"/>
        <v>0</v>
      </c>
      <c r="Y185" s="23">
        <f t="shared" si="240"/>
        <v>0</v>
      </c>
      <c r="Z185" s="24">
        <f t="shared" si="241"/>
        <v>0</v>
      </c>
      <c r="AA185" s="25">
        <f t="shared" si="242"/>
        <v>0</v>
      </c>
      <c r="AB185" s="23">
        <f t="shared" si="243"/>
        <v>0</v>
      </c>
      <c r="AC185" s="24">
        <f t="shared" si="244"/>
        <v>0</v>
      </c>
      <c r="AD185" s="25">
        <f t="shared" si="245"/>
        <v>0</v>
      </c>
      <c r="AE185" s="23">
        <f t="shared" si="246"/>
        <v>0</v>
      </c>
      <c r="AF185" s="24">
        <f t="shared" si="247"/>
        <v>0</v>
      </c>
      <c r="AG185" s="25">
        <f t="shared" si="248"/>
        <v>0</v>
      </c>
      <c r="AH185" s="33"/>
    </row>
    <row r="186" spans="1:34" ht="18" customHeight="1" thickTop="1" thickBot="1" x14ac:dyDescent="0.3">
      <c r="A186" s="27">
        <v>134</v>
      </c>
      <c r="B186" s="28">
        <f t="shared" si="250"/>
        <v>0</v>
      </c>
      <c r="C186" s="60">
        <f t="shared" si="219"/>
        <v>0</v>
      </c>
      <c r="D186" s="23">
        <f t="shared" si="220"/>
        <v>0</v>
      </c>
      <c r="E186" s="24">
        <f t="shared" si="221"/>
        <v>0</v>
      </c>
      <c r="F186" s="25">
        <f t="shared" si="249"/>
        <v>0</v>
      </c>
      <c r="G186" s="23">
        <f t="shared" si="222"/>
        <v>0</v>
      </c>
      <c r="H186" s="24">
        <f t="shared" si="223"/>
        <v>0</v>
      </c>
      <c r="I186" s="25">
        <f t="shared" si="224"/>
        <v>0</v>
      </c>
      <c r="J186" s="23">
        <f t="shared" si="225"/>
        <v>0</v>
      </c>
      <c r="K186" s="24">
        <f t="shared" si="226"/>
        <v>0</v>
      </c>
      <c r="L186" s="25">
        <f t="shared" si="227"/>
        <v>0</v>
      </c>
      <c r="M186" s="23">
        <f t="shared" si="228"/>
        <v>0</v>
      </c>
      <c r="N186" s="24">
        <f t="shared" si="229"/>
        <v>0</v>
      </c>
      <c r="O186" s="25">
        <f t="shared" si="230"/>
        <v>0</v>
      </c>
      <c r="P186" s="23">
        <f t="shared" si="231"/>
        <v>0</v>
      </c>
      <c r="Q186" s="24">
        <f t="shared" si="232"/>
        <v>0</v>
      </c>
      <c r="R186" s="25">
        <f t="shared" si="233"/>
        <v>0</v>
      </c>
      <c r="S186" s="23">
        <f t="shared" si="234"/>
        <v>0</v>
      </c>
      <c r="T186" s="24">
        <f t="shared" si="235"/>
        <v>0</v>
      </c>
      <c r="U186" s="25">
        <f t="shared" si="236"/>
        <v>0</v>
      </c>
      <c r="V186" s="23">
        <f t="shared" si="237"/>
        <v>0</v>
      </c>
      <c r="W186" s="24">
        <f t="shared" si="238"/>
        <v>0</v>
      </c>
      <c r="X186" s="25">
        <f t="shared" si="239"/>
        <v>0</v>
      </c>
      <c r="Y186" s="23">
        <f t="shared" si="240"/>
        <v>0</v>
      </c>
      <c r="Z186" s="24">
        <f t="shared" si="241"/>
        <v>0</v>
      </c>
      <c r="AA186" s="25">
        <f t="shared" si="242"/>
        <v>0</v>
      </c>
      <c r="AB186" s="23">
        <f t="shared" si="243"/>
        <v>0</v>
      </c>
      <c r="AC186" s="24">
        <f t="shared" si="244"/>
        <v>0</v>
      </c>
      <c r="AD186" s="25">
        <f t="shared" si="245"/>
        <v>0</v>
      </c>
      <c r="AE186" s="23">
        <f t="shared" si="246"/>
        <v>0</v>
      </c>
      <c r="AF186" s="24">
        <f t="shared" si="247"/>
        <v>0</v>
      </c>
      <c r="AG186" s="25">
        <f t="shared" si="248"/>
        <v>0</v>
      </c>
      <c r="AH186" s="29"/>
    </row>
    <row r="187" spans="1:34" ht="18" customHeight="1" thickTop="1" thickBot="1" x14ac:dyDescent="0.3">
      <c r="A187" s="23">
        <v>135</v>
      </c>
      <c r="B187" s="28">
        <f t="shared" si="250"/>
        <v>0</v>
      </c>
      <c r="C187" s="60">
        <f t="shared" si="219"/>
        <v>0</v>
      </c>
      <c r="D187" s="23">
        <f t="shared" si="220"/>
        <v>0</v>
      </c>
      <c r="E187" s="24">
        <f t="shared" si="221"/>
        <v>0</v>
      </c>
      <c r="F187" s="25">
        <f t="shared" si="249"/>
        <v>0</v>
      </c>
      <c r="G187" s="23">
        <f t="shared" si="222"/>
        <v>0</v>
      </c>
      <c r="H187" s="24">
        <f t="shared" si="223"/>
        <v>0</v>
      </c>
      <c r="I187" s="25">
        <f t="shared" si="224"/>
        <v>0</v>
      </c>
      <c r="J187" s="23">
        <f t="shared" si="225"/>
        <v>0</v>
      </c>
      <c r="K187" s="24">
        <f t="shared" si="226"/>
        <v>0</v>
      </c>
      <c r="L187" s="25">
        <f t="shared" si="227"/>
        <v>0</v>
      </c>
      <c r="M187" s="23">
        <f t="shared" si="228"/>
        <v>0</v>
      </c>
      <c r="N187" s="24">
        <f t="shared" si="229"/>
        <v>0</v>
      </c>
      <c r="O187" s="25">
        <f t="shared" si="230"/>
        <v>0</v>
      </c>
      <c r="P187" s="23">
        <f t="shared" si="231"/>
        <v>0</v>
      </c>
      <c r="Q187" s="24">
        <f t="shared" si="232"/>
        <v>0</v>
      </c>
      <c r="R187" s="25">
        <f t="shared" si="233"/>
        <v>0</v>
      </c>
      <c r="S187" s="23">
        <f t="shared" si="234"/>
        <v>0</v>
      </c>
      <c r="T187" s="24">
        <f t="shared" si="235"/>
        <v>0</v>
      </c>
      <c r="U187" s="25">
        <f t="shared" si="236"/>
        <v>0</v>
      </c>
      <c r="V187" s="23">
        <f t="shared" si="237"/>
        <v>0</v>
      </c>
      <c r="W187" s="24">
        <f t="shared" si="238"/>
        <v>0</v>
      </c>
      <c r="X187" s="25">
        <f t="shared" si="239"/>
        <v>0</v>
      </c>
      <c r="Y187" s="23">
        <f t="shared" si="240"/>
        <v>0</v>
      </c>
      <c r="Z187" s="24">
        <f t="shared" si="241"/>
        <v>0</v>
      </c>
      <c r="AA187" s="25">
        <f t="shared" si="242"/>
        <v>0</v>
      </c>
      <c r="AB187" s="23">
        <f t="shared" si="243"/>
        <v>0</v>
      </c>
      <c r="AC187" s="24">
        <f t="shared" si="244"/>
        <v>0</v>
      </c>
      <c r="AD187" s="25">
        <f t="shared" si="245"/>
        <v>0</v>
      </c>
      <c r="AE187" s="23">
        <f t="shared" si="246"/>
        <v>0</v>
      </c>
      <c r="AF187" s="24">
        <f t="shared" si="247"/>
        <v>0</v>
      </c>
      <c r="AG187" s="25">
        <f t="shared" si="248"/>
        <v>0</v>
      </c>
      <c r="AH187" s="31"/>
    </row>
    <row r="188" spans="1:34" ht="18" customHeight="1" thickTop="1" thickBot="1" x14ac:dyDescent="0.3">
      <c r="A188" s="27">
        <v>136</v>
      </c>
      <c r="B188" s="28">
        <f t="shared" si="250"/>
        <v>0</v>
      </c>
      <c r="C188" s="60">
        <f t="shared" si="219"/>
        <v>0</v>
      </c>
      <c r="D188" s="23">
        <f t="shared" si="220"/>
        <v>0</v>
      </c>
      <c r="E188" s="24">
        <f t="shared" si="221"/>
        <v>0</v>
      </c>
      <c r="F188" s="25">
        <f t="shared" si="249"/>
        <v>0</v>
      </c>
      <c r="G188" s="23">
        <f t="shared" si="222"/>
        <v>0</v>
      </c>
      <c r="H188" s="24">
        <f t="shared" si="223"/>
        <v>0</v>
      </c>
      <c r="I188" s="25">
        <f t="shared" si="224"/>
        <v>0</v>
      </c>
      <c r="J188" s="23">
        <f t="shared" si="225"/>
        <v>0</v>
      </c>
      <c r="K188" s="24">
        <f t="shared" si="226"/>
        <v>0</v>
      </c>
      <c r="L188" s="25">
        <f t="shared" si="227"/>
        <v>0</v>
      </c>
      <c r="M188" s="23">
        <f t="shared" si="228"/>
        <v>0</v>
      </c>
      <c r="N188" s="24">
        <f t="shared" si="229"/>
        <v>0</v>
      </c>
      <c r="O188" s="25">
        <f t="shared" si="230"/>
        <v>0</v>
      </c>
      <c r="P188" s="23">
        <f t="shared" si="231"/>
        <v>0</v>
      </c>
      <c r="Q188" s="24">
        <f t="shared" si="232"/>
        <v>0</v>
      </c>
      <c r="R188" s="25">
        <f t="shared" si="233"/>
        <v>0</v>
      </c>
      <c r="S188" s="23">
        <f t="shared" si="234"/>
        <v>0</v>
      </c>
      <c r="T188" s="24">
        <f t="shared" si="235"/>
        <v>0</v>
      </c>
      <c r="U188" s="25">
        <f t="shared" si="236"/>
        <v>0</v>
      </c>
      <c r="V188" s="23">
        <f t="shared" si="237"/>
        <v>0</v>
      </c>
      <c r="W188" s="24">
        <f t="shared" si="238"/>
        <v>0</v>
      </c>
      <c r="X188" s="25">
        <f t="shared" si="239"/>
        <v>0</v>
      </c>
      <c r="Y188" s="23">
        <f t="shared" si="240"/>
        <v>0</v>
      </c>
      <c r="Z188" s="24">
        <f t="shared" si="241"/>
        <v>0</v>
      </c>
      <c r="AA188" s="25">
        <f t="shared" si="242"/>
        <v>0</v>
      </c>
      <c r="AB188" s="23">
        <f t="shared" si="243"/>
        <v>0</v>
      </c>
      <c r="AC188" s="24">
        <f t="shared" si="244"/>
        <v>0</v>
      </c>
      <c r="AD188" s="25">
        <f t="shared" si="245"/>
        <v>0</v>
      </c>
      <c r="AE188" s="23">
        <f t="shared" si="246"/>
        <v>0</v>
      </c>
      <c r="AF188" s="24">
        <f t="shared" si="247"/>
        <v>0</v>
      </c>
      <c r="AG188" s="25">
        <f t="shared" si="248"/>
        <v>0</v>
      </c>
      <c r="AH188" s="29"/>
    </row>
    <row r="189" spans="1:34" ht="18" customHeight="1" thickTop="1" thickBot="1" x14ac:dyDescent="0.3">
      <c r="A189" s="23">
        <v>137</v>
      </c>
      <c r="B189" s="28">
        <f t="shared" si="250"/>
        <v>0</v>
      </c>
      <c r="C189" s="60">
        <f t="shared" si="219"/>
        <v>0</v>
      </c>
      <c r="D189" s="23">
        <f t="shared" si="220"/>
        <v>0</v>
      </c>
      <c r="E189" s="24">
        <f t="shared" si="221"/>
        <v>0</v>
      </c>
      <c r="F189" s="25">
        <f t="shared" si="249"/>
        <v>0</v>
      </c>
      <c r="G189" s="23">
        <f t="shared" si="222"/>
        <v>0</v>
      </c>
      <c r="H189" s="24">
        <f t="shared" si="223"/>
        <v>0</v>
      </c>
      <c r="I189" s="25">
        <f t="shared" si="224"/>
        <v>0</v>
      </c>
      <c r="J189" s="23">
        <f t="shared" si="225"/>
        <v>0</v>
      </c>
      <c r="K189" s="24">
        <f t="shared" si="226"/>
        <v>0</v>
      </c>
      <c r="L189" s="25">
        <f t="shared" si="227"/>
        <v>0</v>
      </c>
      <c r="M189" s="23">
        <f t="shared" si="228"/>
        <v>0</v>
      </c>
      <c r="N189" s="24">
        <f t="shared" si="229"/>
        <v>0</v>
      </c>
      <c r="O189" s="25">
        <f t="shared" si="230"/>
        <v>0</v>
      </c>
      <c r="P189" s="23">
        <f t="shared" si="231"/>
        <v>0</v>
      </c>
      <c r="Q189" s="24">
        <f t="shared" si="232"/>
        <v>0</v>
      </c>
      <c r="R189" s="25">
        <f t="shared" si="233"/>
        <v>0</v>
      </c>
      <c r="S189" s="23">
        <f t="shared" si="234"/>
        <v>0</v>
      </c>
      <c r="T189" s="24">
        <f t="shared" si="235"/>
        <v>0</v>
      </c>
      <c r="U189" s="25">
        <f t="shared" si="236"/>
        <v>0</v>
      </c>
      <c r="V189" s="23">
        <f t="shared" si="237"/>
        <v>0</v>
      </c>
      <c r="W189" s="24">
        <f t="shared" si="238"/>
        <v>0</v>
      </c>
      <c r="X189" s="25">
        <f t="shared" si="239"/>
        <v>0</v>
      </c>
      <c r="Y189" s="23">
        <f t="shared" si="240"/>
        <v>0</v>
      </c>
      <c r="Z189" s="24">
        <f t="shared" si="241"/>
        <v>0</v>
      </c>
      <c r="AA189" s="25">
        <f t="shared" si="242"/>
        <v>0</v>
      </c>
      <c r="AB189" s="23">
        <f t="shared" si="243"/>
        <v>0</v>
      </c>
      <c r="AC189" s="24">
        <f t="shared" si="244"/>
        <v>0</v>
      </c>
      <c r="AD189" s="25">
        <f t="shared" si="245"/>
        <v>0</v>
      </c>
      <c r="AE189" s="23">
        <f t="shared" si="246"/>
        <v>0</v>
      </c>
      <c r="AF189" s="24">
        <f t="shared" si="247"/>
        <v>0</v>
      </c>
      <c r="AG189" s="25">
        <f t="shared" si="248"/>
        <v>0</v>
      </c>
      <c r="AH189" s="31"/>
    </row>
    <row r="190" spans="1:34" ht="18" customHeight="1" thickTop="1" thickBot="1" x14ac:dyDescent="0.3">
      <c r="A190" s="27">
        <v>138</v>
      </c>
      <c r="B190" s="28">
        <f t="shared" si="250"/>
        <v>0</v>
      </c>
      <c r="C190" s="60">
        <f t="shared" si="219"/>
        <v>0</v>
      </c>
      <c r="D190" s="23">
        <f t="shared" si="220"/>
        <v>0</v>
      </c>
      <c r="E190" s="24">
        <f t="shared" si="221"/>
        <v>0</v>
      </c>
      <c r="F190" s="25">
        <f t="shared" si="249"/>
        <v>0</v>
      </c>
      <c r="G190" s="23">
        <f t="shared" si="222"/>
        <v>0</v>
      </c>
      <c r="H190" s="24">
        <f t="shared" si="223"/>
        <v>0</v>
      </c>
      <c r="I190" s="25">
        <f t="shared" si="224"/>
        <v>0</v>
      </c>
      <c r="J190" s="23">
        <f t="shared" si="225"/>
        <v>0</v>
      </c>
      <c r="K190" s="24">
        <f t="shared" si="226"/>
        <v>0</v>
      </c>
      <c r="L190" s="25">
        <f t="shared" si="227"/>
        <v>0</v>
      </c>
      <c r="M190" s="23">
        <f t="shared" si="228"/>
        <v>0</v>
      </c>
      <c r="N190" s="24">
        <f t="shared" si="229"/>
        <v>0</v>
      </c>
      <c r="O190" s="25">
        <f t="shared" si="230"/>
        <v>0</v>
      </c>
      <c r="P190" s="23">
        <f t="shared" si="231"/>
        <v>0</v>
      </c>
      <c r="Q190" s="24">
        <f t="shared" si="232"/>
        <v>0</v>
      </c>
      <c r="R190" s="25">
        <f t="shared" si="233"/>
        <v>0</v>
      </c>
      <c r="S190" s="23">
        <f t="shared" si="234"/>
        <v>0</v>
      </c>
      <c r="T190" s="24">
        <f t="shared" si="235"/>
        <v>0</v>
      </c>
      <c r="U190" s="25">
        <f t="shared" si="236"/>
        <v>0</v>
      </c>
      <c r="V190" s="23">
        <f t="shared" si="237"/>
        <v>0</v>
      </c>
      <c r="W190" s="24">
        <f t="shared" si="238"/>
        <v>0</v>
      </c>
      <c r="X190" s="25">
        <f t="shared" si="239"/>
        <v>0</v>
      </c>
      <c r="Y190" s="23">
        <f t="shared" si="240"/>
        <v>0</v>
      </c>
      <c r="Z190" s="24">
        <f t="shared" si="241"/>
        <v>0</v>
      </c>
      <c r="AA190" s="25">
        <f t="shared" si="242"/>
        <v>0</v>
      </c>
      <c r="AB190" s="23">
        <f t="shared" si="243"/>
        <v>0</v>
      </c>
      <c r="AC190" s="24">
        <f t="shared" si="244"/>
        <v>0</v>
      </c>
      <c r="AD190" s="25">
        <f t="shared" si="245"/>
        <v>0</v>
      </c>
      <c r="AE190" s="23">
        <f t="shared" si="246"/>
        <v>0</v>
      </c>
      <c r="AF190" s="24">
        <f t="shared" si="247"/>
        <v>0</v>
      </c>
      <c r="AG190" s="25">
        <f t="shared" si="248"/>
        <v>0</v>
      </c>
      <c r="AH190" s="31"/>
    </row>
    <row r="191" spans="1:34" ht="18" customHeight="1" thickTop="1" thickBot="1" x14ac:dyDescent="0.3">
      <c r="A191" s="23">
        <v>139</v>
      </c>
      <c r="B191" s="28">
        <f t="shared" si="250"/>
        <v>0</v>
      </c>
      <c r="C191" s="60">
        <f t="shared" si="219"/>
        <v>0</v>
      </c>
      <c r="D191" s="23">
        <f t="shared" si="220"/>
        <v>0</v>
      </c>
      <c r="E191" s="24">
        <f t="shared" si="221"/>
        <v>0</v>
      </c>
      <c r="F191" s="25">
        <f t="shared" si="249"/>
        <v>0</v>
      </c>
      <c r="G191" s="23">
        <f t="shared" si="222"/>
        <v>0</v>
      </c>
      <c r="H191" s="24">
        <f t="shared" si="223"/>
        <v>0</v>
      </c>
      <c r="I191" s="25">
        <f t="shared" si="224"/>
        <v>0</v>
      </c>
      <c r="J191" s="23">
        <f t="shared" si="225"/>
        <v>0</v>
      </c>
      <c r="K191" s="24">
        <f t="shared" si="226"/>
        <v>0</v>
      </c>
      <c r="L191" s="25">
        <f t="shared" si="227"/>
        <v>0</v>
      </c>
      <c r="M191" s="23">
        <f t="shared" si="228"/>
        <v>0</v>
      </c>
      <c r="N191" s="24">
        <f t="shared" si="229"/>
        <v>0</v>
      </c>
      <c r="O191" s="25">
        <f t="shared" si="230"/>
        <v>0</v>
      </c>
      <c r="P191" s="23">
        <f t="shared" si="231"/>
        <v>0</v>
      </c>
      <c r="Q191" s="24">
        <f t="shared" si="232"/>
        <v>0</v>
      </c>
      <c r="R191" s="25">
        <f t="shared" si="233"/>
        <v>0</v>
      </c>
      <c r="S191" s="23">
        <f t="shared" si="234"/>
        <v>0</v>
      </c>
      <c r="T191" s="24">
        <f t="shared" si="235"/>
        <v>0</v>
      </c>
      <c r="U191" s="25">
        <f t="shared" si="236"/>
        <v>0</v>
      </c>
      <c r="V191" s="23">
        <f t="shared" si="237"/>
        <v>0</v>
      </c>
      <c r="W191" s="24">
        <f t="shared" si="238"/>
        <v>0</v>
      </c>
      <c r="X191" s="25">
        <f t="shared" si="239"/>
        <v>0</v>
      </c>
      <c r="Y191" s="23">
        <f t="shared" si="240"/>
        <v>0</v>
      </c>
      <c r="Z191" s="24">
        <f t="shared" si="241"/>
        <v>0</v>
      </c>
      <c r="AA191" s="25">
        <f t="shared" si="242"/>
        <v>0</v>
      </c>
      <c r="AB191" s="23">
        <f t="shared" si="243"/>
        <v>0</v>
      </c>
      <c r="AC191" s="24">
        <f t="shared" si="244"/>
        <v>0</v>
      </c>
      <c r="AD191" s="25">
        <f t="shared" si="245"/>
        <v>0</v>
      </c>
      <c r="AE191" s="23">
        <f t="shared" si="246"/>
        <v>0</v>
      </c>
      <c r="AF191" s="24">
        <f t="shared" si="247"/>
        <v>0</v>
      </c>
      <c r="AG191" s="25">
        <f t="shared" si="248"/>
        <v>0</v>
      </c>
      <c r="AH191" s="31"/>
    </row>
    <row r="192" spans="1:34" ht="18" customHeight="1" thickTop="1" thickBot="1" x14ac:dyDescent="0.3">
      <c r="A192" s="27">
        <v>140</v>
      </c>
      <c r="B192" s="28">
        <f t="shared" si="250"/>
        <v>0</v>
      </c>
      <c r="C192" s="60">
        <f t="shared" si="219"/>
        <v>0</v>
      </c>
      <c r="D192" s="23">
        <f t="shared" si="220"/>
        <v>0</v>
      </c>
      <c r="E192" s="24">
        <f t="shared" si="221"/>
        <v>0</v>
      </c>
      <c r="F192" s="25">
        <f t="shared" si="249"/>
        <v>0</v>
      </c>
      <c r="G192" s="23">
        <f t="shared" si="222"/>
        <v>0</v>
      </c>
      <c r="H192" s="24">
        <f t="shared" si="223"/>
        <v>0</v>
      </c>
      <c r="I192" s="25">
        <f t="shared" si="224"/>
        <v>0</v>
      </c>
      <c r="J192" s="23">
        <f t="shared" si="225"/>
        <v>0</v>
      </c>
      <c r="K192" s="24">
        <f t="shared" si="226"/>
        <v>0</v>
      </c>
      <c r="L192" s="25">
        <f t="shared" si="227"/>
        <v>0</v>
      </c>
      <c r="M192" s="23">
        <f t="shared" si="228"/>
        <v>0</v>
      </c>
      <c r="N192" s="24">
        <f t="shared" si="229"/>
        <v>0</v>
      </c>
      <c r="O192" s="25">
        <f t="shared" si="230"/>
        <v>0</v>
      </c>
      <c r="P192" s="23">
        <f t="shared" si="231"/>
        <v>0</v>
      </c>
      <c r="Q192" s="24">
        <f t="shared" si="232"/>
        <v>0</v>
      </c>
      <c r="R192" s="25">
        <f t="shared" si="233"/>
        <v>0</v>
      </c>
      <c r="S192" s="23">
        <f t="shared" si="234"/>
        <v>0</v>
      </c>
      <c r="T192" s="24">
        <f t="shared" si="235"/>
        <v>0</v>
      </c>
      <c r="U192" s="25">
        <f t="shared" si="236"/>
        <v>0</v>
      </c>
      <c r="V192" s="23">
        <f t="shared" si="237"/>
        <v>0</v>
      </c>
      <c r="W192" s="24">
        <f t="shared" si="238"/>
        <v>0</v>
      </c>
      <c r="X192" s="25">
        <f t="shared" si="239"/>
        <v>0</v>
      </c>
      <c r="Y192" s="23">
        <f t="shared" si="240"/>
        <v>0</v>
      </c>
      <c r="Z192" s="24">
        <f t="shared" si="241"/>
        <v>0</v>
      </c>
      <c r="AA192" s="25">
        <f t="shared" si="242"/>
        <v>0</v>
      </c>
      <c r="AB192" s="23">
        <f t="shared" si="243"/>
        <v>0</v>
      </c>
      <c r="AC192" s="24">
        <f t="shared" si="244"/>
        <v>0</v>
      </c>
      <c r="AD192" s="25">
        <f t="shared" si="245"/>
        <v>0</v>
      </c>
      <c r="AE192" s="23">
        <f t="shared" si="246"/>
        <v>0</v>
      </c>
      <c r="AF192" s="24">
        <f t="shared" si="247"/>
        <v>0</v>
      </c>
      <c r="AG192" s="25">
        <f t="shared" si="248"/>
        <v>0</v>
      </c>
      <c r="AH192" s="34"/>
    </row>
    <row r="193" spans="1:34" ht="7.95" customHeight="1" thickTop="1" x14ac:dyDescent="0.25">
      <c r="A193" s="212" t="s">
        <v>2</v>
      </c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212"/>
    </row>
    <row r="194" spans="1:34" x14ac:dyDescent="0.25">
      <c r="A194" s="213"/>
      <c r="B194" s="213"/>
      <c r="C194" s="213" t="s">
        <v>18</v>
      </c>
      <c r="D194" s="213"/>
      <c r="E194" s="213"/>
      <c r="F194" s="214" t="s">
        <v>19</v>
      </c>
      <c r="G194" s="214"/>
      <c r="H194" s="214"/>
      <c r="I194" s="214"/>
      <c r="J194" s="35"/>
      <c r="K194" s="214" t="s">
        <v>20</v>
      </c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  <c r="AA194" s="214"/>
      <c r="AB194" s="214"/>
      <c r="AC194" s="35"/>
      <c r="AD194" s="35"/>
      <c r="AE194" s="214" t="s">
        <v>55</v>
      </c>
      <c r="AF194" s="214"/>
      <c r="AG194" s="214"/>
    </row>
    <row r="195" spans="1:34" ht="13.95" customHeight="1" x14ac:dyDescent="0.25">
      <c r="A195" s="214" t="s">
        <v>21</v>
      </c>
      <c r="B195" s="214"/>
      <c r="C195" s="213">
        <f>'الفترة الاولى'!$CA$10</f>
        <v>0</v>
      </c>
      <c r="D195" s="213"/>
      <c r="E195" s="213"/>
      <c r="F195" s="214"/>
      <c r="G195" s="214"/>
      <c r="H195" s="214"/>
      <c r="I195" s="214"/>
      <c r="J195" s="35"/>
      <c r="K195" s="220" t="s">
        <v>52</v>
      </c>
      <c r="L195" s="215"/>
      <c r="M195" s="215"/>
      <c r="N195" s="222" t="str">
        <f>'الفترة الاولى'!$CA$16</f>
        <v>أ. فهيم عبدالمجيد بوازويتة</v>
      </c>
      <c r="O195" s="222"/>
      <c r="P195" s="222"/>
      <c r="Q195" s="222"/>
      <c r="R195" s="222"/>
      <c r="S195" s="222"/>
      <c r="T195" s="222"/>
      <c r="U195" s="215" t="s">
        <v>53</v>
      </c>
      <c r="V195" s="215"/>
      <c r="W195" s="215"/>
      <c r="X195" s="215" t="str">
        <f>'الفترة الاولى'!$C$6</f>
        <v>سهول العلم للتعليم الخاص</v>
      </c>
      <c r="Y195" s="215"/>
      <c r="Z195" s="215"/>
      <c r="AA195" s="215"/>
      <c r="AB195" s="216"/>
      <c r="AC195" s="36"/>
      <c r="AD195" s="36"/>
      <c r="AE195" s="214" t="s">
        <v>2</v>
      </c>
      <c r="AF195" s="214"/>
      <c r="AG195" s="214"/>
    </row>
    <row r="196" spans="1:34" ht="15.6" customHeight="1" x14ac:dyDescent="0.25">
      <c r="A196" s="214" t="s">
        <v>22</v>
      </c>
      <c r="B196" s="214"/>
      <c r="C196" s="213">
        <f>'الفترة الاولى'!$CA$11</f>
        <v>0</v>
      </c>
      <c r="D196" s="213"/>
      <c r="E196" s="213"/>
      <c r="F196" s="214"/>
      <c r="G196" s="214"/>
      <c r="H196" s="214"/>
      <c r="I196" s="214"/>
      <c r="J196" s="35"/>
      <c r="K196" s="217" t="s">
        <v>54</v>
      </c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9"/>
      <c r="AC196" s="37"/>
      <c r="AD196" s="37"/>
      <c r="AE196" s="214"/>
      <c r="AF196" s="214"/>
      <c r="AG196" s="214"/>
    </row>
    <row r="197" spans="1:34" ht="13.95" customHeight="1" x14ac:dyDescent="0.25">
      <c r="A197" s="214" t="s">
        <v>23</v>
      </c>
      <c r="B197" s="214"/>
      <c r="C197" s="213">
        <f>'الفترة الاولى'!$CA$12</f>
        <v>0</v>
      </c>
      <c r="D197" s="213"/>
      <c r="E197" s="213"/>
      <c r="F197" s="214"/>
      <c r="G197" s="214"/>
      <c r="H197" s="214"/>
      <c r="I197" s="214"/>
      <c r="K197" s="220" t="s">
        <v>44</v>
      </c>
      <c r="L197" s="215"/>
      <c r="M197" s="221">
        <f ca="1">TODAY()</f>
        <v>46181</v>
      </c>
      <c r="N197" s="215"/>
      <c r="O197" s="215"/>
      <c r="P197" s="215"/>
      <c r="Q197" s="215"/>
      <c r="R197" s="215"/>
      <c r="S197" s="215"/>
      <c r="T197" s="215" t="s">
        <v>19</v>
      </c>
      <c r="U197" s="215"/>
      <c r="V197" s="215"/>
      <c r="W197" s="215"/>
      <c r="X197" s="215"/>
      <c r="Y197" s="215"/>
      <c r="Z197" s="215"/>
      <c r="AA197" s="215"/>
      <c r="AB197" s="38"/>
      <c r="AC197" s="36"/>
      <c r="AD197" s="36"/>
      <c r="AE197" s="214"/>
      <c r="AF197" s="214"/>
      <c r="AG197" s="214"/>
    </row>
    <row r="198" spans="1:34" ht="14.4" thickBot="1" x14ac:dyDescent="0.3">
      <c r="A198" s="214" t="s">
        <v>24</v>
      </c>
      <c r="B198" s="214"/>
      <c r="C198" s="213">
        <f>'الفترة الاولى'!$CA$13</f>
        <v>0</v>
      </c>
      <c r="D198" s="213"/>
      <c r="E198" s="213"/>
      <c r="F198" s="214"/>
      <c r="G198" s="214"/>
      <c r="H198" s="214"/>
      <c r="I198" s="214"/>
      <c r="K198" s="39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1"/>
      <c r="AC198" s="36"/>
      <c r="AD198" s="36"/>
      <c r="AE198" s="214"/>
      <c r="AF198" s="214"/>
      <c r="AG198" s="214"/>
    </row>
    <row r="199" spans="1:34" ht="6.75" customHeight="1" thickBot="1" x14ac:dyDescent="0.3">
      <c r="A199" s="209"/>
      <c r="B199" s="210"/>
      <c r="C199" s="210"/>
      <c r="D199" s="210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  <c r="AA199" s="210"/>
      <c r="AB199" s="210"/>
      <c r="AC199" s="210"/>
      <c r="AD199" s="210"/>
      <c r="AE199" s="210"/>
      <c r="AF199" s="210"/>
      <c r="AG199" s="210"/>
      <c r="AH199" s="211"/>
    </row>
    <row r="200" spans="1:34" ht="18" customHeight="1" thickBot="1" x14ac:dyDescent="0.3">
      <c r="A200" s="23">
        <v>141</v>
      </c>
      <c r="B200" s="24">
        <f>IFERROR(VLOOKUP(A200,الاسماء,2,0),"")</f>
        <v>0</v>
      </c>
      <c r="C200" s="59">
        <f t="shared" ref="C200:C219" si="251">IFERROR(VLOOKUP(A200,الاسماء,3,0),"")</f>
        <v>0</v>
      </c>
      <c r="D200" s="23">
        <f t="shared" ref="D200:D219" si="252">IFERROR(VLOOKUP($C200,درجات,5,0),0)</f>
        <v>0</v>
      </c>
      <c r="E200" s="24">
        <f t="shared" ref="E200:E219" si="253">IFERROR(VLOOKUP($C200,درجات,43,0),0)</f>
        <v>0</v>
      </c>
      <c r="F200" s="25">
        <f>SUM(D200:E200)</f>
        <v>0</v>
      </c>
      <c r="G200" s="23">
        <f t="shared" ref="G200:G219" si="254">IFERROR(VLOOKUP($C200,درجات,8,0),0)</f>
        <v>0</v>
      </c>
      <c r="H200" s="24">
        <f t="shared" ref="H200:H219" si="255">IFERROR(VLOOKUP($C200,درجات,46,0),0)</f>
        <v>0</v>
      </c>
      <c r="I200" s="25">
        <f t="shared" ref="I200:I219" si="256">SUM(G200:H200)</f>
        <v>0</v>
      </c>
      <c r="J200" s="23">
        <f t="shared" ref="J200:J219" si="257">IFERROR(VLOOKUP($C200,درجات,11,0),0)</f>
        <v>0</v>
      </c>
      <c r="K200" s="24">
        <f t="shared" ref="K200:K219" si="258">IFERROR(VLOOKUP($C200,درجات,49,0),0)</f>
        <v>0</v>
      </c>
      <c r="L200" s="25">
        <f t="shared" ref="L200:L219" si="259">SUM(J200:K200)</f>
        <v>0</v>
      </c>
      <c r="M200" s="23">
        <f t="shared" ref="M200:M219" si="260">IFERROR(VLOOKUP($C200,درجات,14,0),0)</f>
        <v>0</v>
      </c>
      <c r="N200" s="24">
        <f t="shared" ref="N200:N219" si="261">IFERROR(VLOOKUP($C200,درجات,52,0),0)</f>
        <v>0</v>
      </c>
      <c r="O200" s="25">
        <f t="shared" ref="O200:O219" si="262">SUM(M200:N200)</f>
        <v>0</v>
      </c>
      <c r="P200" s="23">
        <f t="shared" ref="P200:P219" si="263">IFERROR(VLOOKUP($C200,درجات,17,0),0)</f>
        <v>0</v>
      </c>
      <c r="Q200" s="24">
        <f t="shared" ref="Q200:Q219" si="264">IFERROR(VLOOKUP($C200,درجات,55,0),0)</f>
        <v>0</v>
      </c>
      <c r="R200" s="25">
        <f t="shared" ref="R200:R219" si="265">SUM(P200:Q200)</f>
        <v>0</v>
      </c>
      <c r="S200" s="23">
        <f t="shared" ref="S200:S219" si="266">IFERROR(VLOOKUP($C200,درجات,20,0),0)</f>
        <v>0</v>
      </c>
      <c r="T200" s="24">
        <f t="shared" ref="T200:T219" si="267">IFERROR(VLOOKUP($C200,درجات,58,0),0)</f>
        <v>0</v>
      </c>
      <c r="U200" s="25">
        <f t="shared" ref="U200:U219" si="268">SUM(S200:T200)</f>
        <v>0</v>
      </c>
      <c r="V200" s="23">
        <f t="shared" ref="V200:V219" si="269">IFERROR(VLOOKUP($C200,درجات,23,0),0)</f>
        <v>0</v>
      </c>
      <c r="W200" s="24">
        <f t="shared" ref="W200:W219" si="270">IFERROR(VLOOKUP($C200,درجات,61,0),0)</f>
        <v>0</v>
      </c>
      <c r="X200" s="25">
        <f t="shared" ref="X200:X219" si="271">SUM(V200:W200)</f>
        <v>0</v>
      </c>
      <c r="Y200" s="23">
        <f t="shared" ref="Y200:Y219" si="272">IFERROR(VLOOKUP($C200,درجات,26,0),0)</f>
        <v>0</v>
      </c>
      <c r="Z200" s="24">
        <f t="shared" ref="Z200:Z219" si="273">IFERROR(VLOOKUP($C200,درجات,64,0),0)</f>
        <v>0</v>
      </c>
      <c r="AA200" s="25">
        <f t="shared" ref="AA200:AA219" si="274">SUM(Y200:Z200)</f>
        <v>0</v>
      </c>
      <c r="AB200" s="23">
        <f t="shared" ref="AB200:AB219" si="275">IFERROR(VLOOKUP($C200,درجات,29,0),0)</f>
        <v>0</v>
      </c>
      <c r="AC200" s="24">
        <f t="shared" ref="AC200:AC219" si="276">IFERROR(VLOOKUP($C200,درجات,67,0),0)</f>
        <v>0</v>
      </c>
      <c r="AD200" s="25">
        <f t="shared" ref="AD200:AD219" si="277">SUM(AB200:AC200)</f>
        <v>0</v>
      </c>
      <c r="AE200" s="23">
        <f t="shared" ref="AE200:AE219" si="278">IFERROR(VLOOKUP($C200,درجات,32,0),0)</f>
        <v>0</v>
      </c>
      <c r="AF200" s="24">
        <f t="shared" ref="AF200:AF219" si="279">IFERROR(VLOOKUP($C200,درجات,70,0),0)</f>
        <v>0</v>
      </c>
      <c r="AG200" s="25">
        <f t="shared" ref="AG200:AG219" si="280">SUM(AE200:AF200)</f>
        <v>0</v>
      </c>
      <c r="AH200" s="26"/>
    </row>
    <row r="201" spans="1:34" ht="18" customHeight="1" thickTop="1" thickBot="1" x14ac:dyDescent="0.3">
      <c r="A201" s="27">
        <v>142</v>
      </c>
      <c r="B201" s="28">
        <f>IFERROR(VLOOKUP(A201,الاسماء,2,0),0)</f>
        <v>0</v>
      </c>
      <c r="C201" s="60">
        <f t="shared" si="251"/>
        <v>0</v>
      </c>
      <c r="D201" s="23">
        <f t="shared" si="252"/>
        <v>0</v>
      </c>
      <c r="E201" s="24">
        <f t="shared" si="253"/>
        <v>0</v>
      </c>
      <c r="F201" s="25">
        <f t="shared" ref="F201:F219" si="281">SUM(D201:E201)</f>
        <v>0</v>
      </c>
      <c r="G201" s="23">
        <f t="shared" si="254"/>
        <v>0</v>
      </c>
      <c r="H201" s="24">
        <f t="shared" si="255"/>
        <v>0</v>
      </c>
      <c r="I201" s="25">
        <f t="shared" si="256"/>
        <v>0</v>
      </c>
      <c r="J201" s="23">
        <f t="shared" si="257"/>
        <v>0</v>
      </c>
      <c r="K201" s="24">
        <f t="shared" si="258"/>
        <v>0</v>
      </c>
      <c r="L201" s="25">
        <f t="shared" si="259"/>
        <v>0</v>
      </c>
      <c r="M201" s="23">
        <f t="shared" si="260"/>
        <v>0</v>
      </c>
      <c r="N201" s="24">
        <f t="shared" si="261"/>
        <v>0</v>
      </c>
      <c r="O201" s="25">
        <f t="shared" si="262"/>
        <v>0</v>
      </c>
      <c r="P201" s="23">
        <f t="shared" si="263"/>
        <v>0</v>
      </c>
      <c r="Q201" s="24">
        <f t="shared" si="264"/>
        <v>0</v>
      </c>
      <c r="R201" s="25">
        <f t="shared" si="265"/>
        <v>0</v>
      </c>
      <c r="S201" s="23">
        <f t="shared" si="266"/>
        <v>0</v>
      </c>
      <c r="T201" s="24">
        <f t="shared" si="267"/>
        <v>0</v>
      </c>
      <c r="U201" s="25">
        <f t="shared" si="268"/>
        <v>0</v>
      </c>
      <c r="V201" s="23">
        <f t="shared" si="269"/>
        <v>0</v>
      </c>
      <c r="W201" s="24">
        <f t="shared" si="270"/>
        <v>0</v>
      </c>
      <c r="X201" s="25">
        <f t="shared" si="271"/>
        <v>0</v>
      </c>
      <c r="Y201" s="23">
        <f t="shared" si="272"/>
        <v>0</v>
      </c>
      <c r="Z201" s="24">
        <f t="shared" si="273"/>
        <v>0</v>
      </c>
      <c r="AA201" s="25">
        <f t="shared" si="274"/>
        <v>0</v>
      </c>
      <c r="AB201" s="23">
        <f t="shared" si="275"/>
        <v>0</v>
      </c>
      <c r="AC201" s="24">
        <f t="shared" si="276"/>
        <v>0</v>
      </c>
      <c r="AD201" s="25">
        <f t="shared" si="277"/>
        <v>0</v>
      </c>
      <c r="AE201" s="23">
        <f t="shared" si="278"/>
        <v>0</v>
      </c>
      <c r="AF201" s="24">
        <f t="shared" si="279"/>
        <v>0</v>
      </c>
      <c r="AG201" s="25">
        <f t="shared" si="280"/>
        <v>0</v>
      </c>
      <c r="AH201" s="29"/>
    </row>
    <row r="202" spans="1:34" ht="18" customHeight="1" thickTop="1" thickBot="1" x14ac:dyDescent="0.3">
      <c r="A202" s="23">
        <v>143</v>
      </c>
      <c r="B202" s="28">
        <f t="shared" ref="B202:B219" si="282">IFERROR(VLOOKUP(A202,الاسماء,2,0),"")</f>
        <v>0</v>
      </c>
      <c r="C202" s="60">
        <f t="shared" si="251"/>
        <v>0</v>
      </c>
      <c r="D202" s="23">
        <f t="shared" si="252"/>
        <v>0</v>
      </c>
      <c r="E202" s="24">
        <f t="shared" si="253"/>
        <v>0</v>
      </c>
      <c r="F202" s="25">
        <f t="shared" si="281"/>
        <v>0</v>
      </c>
      <c r="G202" s="23">
        <f t="shared" si="254"/>
        <v>0</v>
      </c>
      <c r="H202" s="24">
        <f t="shared" si="255"/>
        <v>0</v>
      </c>
      <c r="I202" s="25">
        <f t="shared" si="256"/>
        <v>0</v>
      </c>
      <c r="J202" s="23">
        <f t="shared" si="257"/>
        <v>0</v>
      </c>
      <c r="K202" s="24">
        <f t="shared" si="258"/>
        <v>0</v>
      </c>
      <c r="L202" s="25">
        <f t="shared" si="259"/>
        <v>0</v>
      </c>
      <c r="M202" s="23">
        <f t="shared" si="260"/>
        <v>0</v>
      </c>
      <c r="N202" s="24">
        <f t="shared" si="261"/>
        <v>0</v>
      </c>
      <c r="O202" s="25">
        <f t="shared" si="262"/>
        <v>0</v>
      </c>
      <c r="P202" s="23">
        <f t="shared" si="263"/>
        <v>0</v>
      </c>
      <c r="Q202" s="24">
        <f t="shared" si="264"/>
        <v>0</v>
      </c>
      <c r="R202" s="25">
        <f t="shared" si="265"/>
        <v>0</v>
      </c>
      <c r="S202" s="23">
        <f t="shared" si="266"/>
        <v>0</v>
      </c>
      <c r="T202" s="24">
        <f t="shared" si="267"/>
        <v>0</v>
      </c>
      <c r="U202" s="25">
        <f t="shared" si="268"/>
        <v>0</v>
      </c>
      <c r="V202" s="23">
        <f t="shared" si="269"/>
        <v>0</v>
      </c>
      <c r="W202" s="24">
        <f t="shared" si="270"/>
        <v>0</v>
      </c>
      <c r="X202" s="25">
        <f t="shared" si="271"/>
        <v>0</v>
      </c>
      <c r="Y202" s="23">
        <f t="shared" si="272"/>
        <v>0</v>
      </c>
      <c r="Z202" s="24">
        <f t="shared" si="273"/>
        <v>0</v>
      </c>
      <c r="AA202" s="25">
        <f t="shared" si="274"/>
        <v>0</v>
      </c>
      <c r="AB202" s="23">
        <f t="shared" si="275"/>
        <v>0</v>
      </c>
      <c r="AC202" s="24">
        <f t="shared" si="276"/>
        <v>0</v>
      </c>
      <c r="AD202" s="25">
        <f t="shared" si="277"/>
        <v>0</v>
      </c>
      <c r="AE202" s="23">
        <f t="shared" si="278"/>
        <v>0</v>
      </c>
      <c r="AF202" s="24">
        <f t="shared" si="279"/>
        <v>0</v>
      </c>
      <c r="AG202" s="25">
        <f t="shared" si="280"/>
        <v>0</v>
      </c>
      <c r="AH202" s="30"/>
    </row>
    <row r="203" spans="1:34" ht="18" customHeight="1" thickTop="1" thickBot="1" x14ac:dyDescent="0.3">
      <c r="A203" s="27">
        <v>144</v>
      </c>
      <c r="B203" s="28">
        <f t="shared" si="282"/>
        <v>0</v>
      </c>
      <c r="C203" s="60">
        <f t="shared" si="251"/>
        <v>0</v>
      </c>
      <c r="D203" s="23">
        <f t="shared" si="252"/>
        <v>0</v>
      </c>
      <c r="E203" s="24">
        <f t="shared" si="253"/>
        <v>0</v>
      </c>
      <c r="F203" s="25">
        <f t="shared" si="281"/>
        <v>0</v>
      </c>
      <c r="G203" s="23">
        <f t="shared" si="254"/>
        <v>0</v>
      </c>
      <c r="H203" s="24">
        <f t="shared" si="255"/>
        <v>0</v>
      </c>
      <c r="I203" s="25">
        <f t="shared" si="256"/>
        <v>0</v>
      </c>
      <c r="J203" s="23">
        <f t="shared" si="257"/>
        <v>0</v>
      </c>
      <c r="K203" s="24">
        <f t="shared" si="258"/>
        <v>0</v>
      </c>
      <c r="L203" s="25">
        <f t="shared" si="259"/>
        <v>0</v>
      </c>
      <c r="M203" s="23">
        <f t="shared" si="260"/>
        <v>0</v>
      </c>
      <c r="N203" s="24">
        <f t="shared" si="261"/>
        <v>0</v>
      </c>
      <c r="O203" s="25">
        <f t="shared" si="262"/>
        <v>0</v>
      </c>
      <c r="P203" s="23">
        <f t="shared" si="263"/>
        <v>0</v>
      </c>
      <c r="Q203" s="24">
        <f t="shared" si="264"/>
        <v>0</v>
      </c>
      <c r="R203" s="25">
        <f t="shared" si="265"/>
        <v>0</v>
      </c>
      <c r="S203" s="23">
        <f t="shared" si="266"/>
        <v>0</v>
      </c>
      <c r="T203" s="24">
        <f t="shared" si="267"/>
        <v>0</v>
      </c>
      <c r="U203" s="25">
        <f t="shared" si="268"/>
        <v>0</v>
      </c>
      <c r="V203" s="23">
        <f t="shared" si="269"/>
        <v>0</v>
      </c>
      <c r="W203" s="24">
        <f t="shared" si="270"/>
        <v>0</v>
      </c>
      <c r="X203" s="25">
        <f t="shared" si="271"/>
        <v>0</v>
      </c>
      <c r="Y203" s="23">
        <f t="shared" si="272"/>
        <v>0</v>
      </c>
      <c r="Z203" s="24">
        <f t="shared" si="273"/>
        <v>0</v>
      </c>
      <c r="AA203" s="25">
        <f t="shared" si="274"/>
        <v>0</v>
      </c>
      <c r="AB203" s="23">
        <f t="shared" si="275"/>
        <v>0</v>
      </c>
      <c r="AC203" s="24">
        <f t="shared" si="276"/>
        <v>0</v>
      </c>
      <c r="AD203" s="25">
        <f t="shared" si="277"/>
        <v>0</v>
      </c>
      <c r="AE203" s="23">
        <f t="shared" si="278"/>
        <v>0</v>
      </c>
      <c r="AF203" s="24">
        <f t="shared" si="279"/>
        <v>0</v>
      </c>
      <c r="AG203" s="25">
        <f t="shared" si="280"/>
        <v>0</v>
      </c>
      <c r="AH203" s="30"/>
    </row>
    <row r="204" spans="1:34" ht="18" customHeight="1" thickTop="1" thickBot="1" x14ac:dyDescent="0.3">
      <c r="A204" s="23">
        <v>145</v>
      </c>
      <c r="B204" s="28">
        <f t="shared" si="282"/>
        <v>0</v>
      </c>
      <c r="C204" s="60">
        <f t="shared" si="251"/>
        <v>0</v>
      </c>
      <c r="D204" s="23">
        <f t="shared" si="252"/>
        <v>0</v>
      </c>
      <c r="E204" s="24">
        <f t="shared" si="253"/>
        <v>0</v>
      </c>
      <c r="F204" s="25">
        <f t="shared" si="281"/>
        <v>0</v>
      </c>
      <c r="G204" s="23">
        <f t="shared" si="254"/>
        <v>0</v>
      </c>
      <c r="H204" s="24">
        <f t="shared" si="255"/>
        <v>0</v>
      </c>
      <c r="I204" s="25">
        <f t="shared" si="256"/>
        <v>0</v>
      </c>
      <c r="J204" s="23">
        <f t="shared" si="257"/>
        <v>0</v>
      </c>
      <c r="K204" s="24">
        <f t="shared" si="258"/>
        <v>0</v>
      </c>
      <c r="L204" s="25">
        <f t="shared" si="259"/>
        <v>0</v>
      </c>
      <c r="M204" s="23">
        <f t="shared" si="260"/>
        <v>0</v>
      </c>
      <c r="N204" s="24">
        <f t="shared" si="261"/>
        <v>0</v>
      </c>
      <c r="O204" s="25">
        <f t="shared" si="262"/>
        <v>0</v>
      </c>
      <c r="P204" s="23">
        <f t="shared" si="263"/>
        <v>0</v>
      </c>
      <c r="Q204" s="24">
        <f t="shared" si="264"/>
        <v>0</v>
      </c>
      <c r="R204" s="25">
        <f t="shared" si="265"/>
        <v>0</v>
      </c>
      <c r="S204" s="23">
        <f t="shared" si="266"/>
        <v>0</v>
      </c>
      <c r="T204" s="24">
        <f t="shared" si="267"/>
        <v>0</v>
      </c>
      <c r="U204" s="25">
        <f t="shared" si="268"/>
        <v>0</v>
      </c>
      <c r="V204" s="23">
        <f t="shared" si="269"/>
        <v>0</v>
      </c>
      <c r="W204" s="24">
        <f t="shared" si="270"/>
        <v>0</v>
      </c>
      <c r="X204" s="25">
        <f t="shared" si="271"/>
        <v>0</v>
      </c>
      <c r="Y204" s="23">
        <f t="shared" si="272"/>
        <v>0</v>
      </c>
      <c r="Z204" s="24">
        <f t="shared" si="273"/>
        <v>0</v>
      </c>
      <c r="AA204" s="25">
        <f t="shared" si="274"/>
        <v>0</v>
      </c>
      <c r="AB204" s="23">
        <f t="shared" si="275"/>
        <v>0</v>
      </c>
      <c r="AC204" s="24">
        <f t="shared" si="276"/>
        <v>0</v>
      </c>
      <c r="AD204" s="25">
        <f t="shared" si="277"/>
        <v>0</v>
      </c>
      <c r="AE204" s="23">
        <f t="shared" si="278"/>
        <v>0</v>
      </c>
      <c r="AF204" s="24">
        <f t="shared" si="279"/>
        <v>0</v>
      </c>
      <c r="AG204" s="25">
        <f t="shared" si="280"/>
        <v>0</v>
      </c>
      <c r="AH204" s="30"/>
    </row>
    <row r="205" spans="1:34" ht="18" customHeight="1" thickTop="1" thickBot="1" x14ac:dyDescent="0.3">
      <c r="A205" s="27">
        <v>146</v>
      </c>
      <c r="B205" s="28">
        <f t="shared" si="282"/>
        <v>0</v>
      </c>
      <c r="C205" s="60">
        <f t="shared" si="251"/>
        <v>0</v>
      </c>
      <c r="D205" s="23">
        <f t="shared" si="252"/>
        <v>0</v>
      </c>
      <c r="E205" s="24">
        <f t="shared" si="253"/>
        <v>0</v>
      </c>
      <c r="F205" s="25">
        <f t="shared" si="281"/>
        <v>0</v>
      </c>
      <c r="G205" s="23">
        <f t="shared" si="254"/>
        <v>0</v>
      </c>
      <c r="H205" s="24">
        <f t="shared" si="255"/>
        <v>0</v>
      </c>
      <c r="I205" s="25">
        <f t="shared" si="256"/>
        <v>0</v>
      </c>
      <c r="J205" s="23">
        <f t="shared" si="257"/>
        <v>0</v>
      </c>
      <c r="K205" s="24">
        <f t="shared" si="258"/>
        <v>0</v>
      </c>
      <c r="L205" s="25">
        <f t="shared" si="259"/>
        <v>0</v>
      </c>
      <c r="M205" s="23">
        <f t="shared" si="260"/>
        <v>0</v>
      </c>
      <c r="N205" s="24">
        <f t="shared" si="261"/>
        <v>0</v>
      </c>
      <c r="O205" s="25">
        <f t="shared" si="262"/>
        <v>0</v>
      </c>
      <c r="P205" s="23">
        <f t="shared" si="263"/>
        <v>0</v>
      </c>
      <c r="Q205" s="24">
        <f t="shared" si="264"/>
        <v>0</v>
      </c>
      <c r="R205" s="25">
        <f t="shared" si="265"/>
        <v>0</v>
      </c>
      <c r="S205" s="23">
        <f t="shared" si="266"/>
        <v>0</v>
      </c>
      <c r="T205" s="24">
        <f t="shared" si="267"/>
        <v>0</v>
      </c>
      <c r="U205" s="25">
        <f t="shared" si="268"/>
        <v>0</v>
      </c>
      <c r="V205" s="23">
        <f t="shared" si="269"/>
        <v>0</v>
      </c>
      <c r="W205" s="24">
        <f t="shared" si="270"/>
        <v>0</v>
      </c>
      <c r="X205" s="25">
        <f t="shared" si="271"/>
        <v>0</v>
      </c>
      <c r="Y205" s="23">
        <f t="shared" si="272"/>
        <v>0</v>
      </c>
      <c r="Z205" s="24">
        <f t="shared" si="273"/>
        <v>0</v>
      </c>
      <c r="AA205" s="25">
        <f t="shared" si="274"/>
        <v>0</v>
      </c>
      <c r="AB205" s="23">
        <f t="shared" si="275"/>
        <v>0</v>
      </c>
      <c r="AC205" s="24">
        <f t="shared" si="276"/>
        <v>0</v>
      </c>
      <c r="AD205" s="25">
        <f t="shared" si="277"/>
        <v>0</v>
      </c>
      <c r="AE205" s="23">
        <f t="shared" si="278"/>
        <v>0</v>
      </c>
      <c r="AF205" s="24">
        <f t="shared" si="279"/>
        <v>0</v>
      </c>
      <c r="AG205" s="25">
        <f t="shared" si="280"/>
        <v>0</v>
      </c>
      <c r="AH205" s="31"/>
    </row>
    <row r="206" spans="1:34" ht="18" customHeight="1" thickTop="1" thickBot="1" x14ac:dyDescent="0.3">
      <c r="A206" s="23">
        <v>147</v>
      </c>
      <c r="B206" s="28">
        <f t="shared" si="282"/>
        <v>0</v>
      </c>
      <c r="C206" s="60">
        <f t="shared" si="251"/>
        <v>0</v>
      </c>
      <c r="D206" s="23">
        <f t="shared" si="252"/>
        <v>0</v>
      </c>
      <c r="E206" s="24">
        <f t="shared" si="253"/>
        <v>0</v>
      </c>
      <c r="F206" s="25">
        <f t="shared" si="281"/>
        <v>0</v>
      </c>
      <c r="G206" s="23">
        <f t="shared" si="254"/>
        <v>0</v>
      </c>
      <c r="H206" s="24">
        <f t="shared" si="255"/>
        <v>0</v>
      </c>
      <c r="I206" s="25">
        <f t="shared" si="256"/>
        <v>0</v>
      </c>
      <c r="J206" s="23">
        <f t="shared" si="257"/>
        <v>0</v>
      </c>
      <c r="K206" s="24">
        <f t="shared" si="258"/>
        <v>0</v>
      </c>
      <c r="L206" s="25">
        <f t="shared" si="259"/>
        <v>0</v>
      </c>
      <c r="M206" s="23">
        <f t="shared" si="260"/>
        <v>0</v>
      </c>
      <c r="N206" s="24">
        <f t="shared" si="261"/>
        <v>0</v>
      </c>
      <c r="O206" s="25">
        <f t="shared" si="262"/>
        <v>0</v>
      </c>
      <c r="P206" s="23">
        <f t="shared" si="263"/>
        <v>0</v>
      </c>
      <c r="Q206" s="24">
        <f t="shared" si="264"/>
        <v>0</v>
      </c>
      <c r="R206" s="25">
        <f t="shared" si="265"/>
        <v>0</v>
      </c>
      <c r="S206" s="23">
        <f t="shared" si="266"/>
        <v>0</v>
      </c>
      <c r="T206" s="24">
        <f t="shared" si="267"/>
        <v>0</v>
      </c>
      <c r="U206" s="25">
        <f t="shared" si="268"/>
        <v>0</v>
      </c>
      <c r="V206" s="23">
        <f t="shared" si="269"/>
        <v>0</v>
      </c>
      <c r="W206" s="24">
        <f t="shared" si="270"/>
        <v>0</v>
      </c>
      <c r="X206" s="25">
        <f t="shared" si="271"/>
        <v>0</v>
      </c>
      <c r="Y206" s="23">
        <f t="shared" si="272"/>
        <v>0</v>
      </c>
      <c r="Z206" s="24">
        <f t="shared" si="273"/>
        <v>0</v>
      </c>
      <c r="AA206" s="25">
        <f t="shared" si="274"/>
        <v>0</v>
      </c>
      <c r="AB206" s="23">
        <f t="shared" si="275"/>
        <v>0</v>
      </c>
      <c r="AC206" s="24">
        <f t="shared" si="276"/>
        <v>0</v>
      </c>
      <c r="AD206" s="25">
        <f t="shared" si="277"/>
        <v>0</v>
      </c>
      <c r="AE206" s="23">
        <f t="shared" si="278"/>
        <v>0</v>
      </c>
      <c r="AF206" s="24">
        <f t="shared" si="279"/>
        <v>0</v>
      </c>
      <c r="AG206" s="25">
        <f t="shared" si="280"/>
        <v>0</v>
      </c>
      <c r="AH206" s="32"/>
    </row>
    <row r="207" spans="1:34" ht="18" customHeight="1" thickTop="1" thickBot="1" x14ac:dyDescent="0.3">
      <c r="A207" s="27">
        <v>148</v>
      </c>
      <c r="B207" s="28">
        <f t="shared" si="282"/>
        <v>0</v>
      </c>
      <c r="C207" s="60">
        <f t="shared" si="251"/>
        <v>0</v>
      </c>
      <c r="D207" s="23">
        <f t="shared" si="252"/>
        <v>0</v>
      </c>
      <c r="E207" s="24">
        <f t="shared" si="253"/>
        <v>0</v>
      </c>
      <c r="F207" s="25">
        <f t="shared" si="281"/>
        <v>0</v>
      </c>
      <c r="G207" s="23">
        <f t="shared" si="254"/>
        <v>0</v>
      </c>
      <c r="H207" s="24">
        <f t="shared" si="255"/>
        <v>0</v>
      </c>
      <c r="I207" s="25">
        <f t="shared" si="256"/>
        <v>0</v>
      </c>
      <c r="J207" s="23">
        <f t="shared" si="257"/>
        <v>0</v>
      </c>
      <c r="K207" s="24">
        <f t="shared" si="258"/>
        <v>0</v>
      </c>
      <c r="L207" s="25">
        <f t="shared" si="259"/>
        <v>0</v>
      </c>
      <c r="M207" s="23">
        <f t="shared" si="260"/>
        <v>0</v>
      </c>
      <c r="N207" s="24">
        <f t="shared" si="261"/>
        <v>0</v>
      </c>
      <c r="O207" s="25">
        <f t="shared" si="262"/>
        <v>0</v>
      </c>
      <c r="P207" s="23">
        <f t="shared" si="263"/>
        <v>0</v>
      </c>
      <c r="Q207" s="24">
        <f t="shared" si="264"/>
        <v>0</v>
      </c>
      <c r="R207" s="25">
        <f t="shared" si="265"/>
        <v>0</v>
      </c>
      <c r="S207" s="23">
        <f t="shared" si="266"/>
        <v>0</v>
      </c>
      <c r="T207" s="24">
        <f t="shared" si="267"/>
        <v>0</v>
      </c>
      <c r="U207" s="25">
        <f t="shared" si="268"/>
        <v>0</v>
      </c>
      <c r="V207" s="23">
        <f t="shared" si="269"/>
        <v>0</v>
      </c>
      <c r="W207" s="24">
        <f t="shared" si="270"/>
        <v>0</v>
      </c>
      <c r="X207" s="25">
        <f t="shared" si="271"/>
        <v>0</v>
      </c>
      <c r="Y207" s="23">
        <f t="shared" si="272"/>
        <v>0</v>
      </c>
      <c r="Z207" s="24">
        <f t="shared" si="273"/>
        <v>0</v>
      </c>
      <c r="AA207" s="25">
        <f t="shared" si="274"/>
        <v>0</v>
      </c>
      <c r="AB207" s="23">
        <f t="shared" si="275"/>
        <v>0</v>
      </c>
      <c r="AC207" s="24">
        <f t="shared" si="276"/>
        <v>0</v>
      </c>
      <c r="AD207" s="25">
        <f t="shared" si="277"/>
        <v>0</v>
      </c>
      <c r="AE207" s="23">
        <f t="shared" si="278"/>
        <v>0</v>
      </c>
      <c r="AF207" s="24">
        <f t="shared" si="279"/>
        <v>0</v>
      </c>
      <c r="AG207" s="25">
        <f t="shared" si="280"/>
        <v>0</v>
      </c>
      <c r="AH207" s="29"/>
    </row>
    <row r="208" spans="1:34" ht="18" customHeight="1" thickTop="1" thickBot="1" x14ac:dyDescent="0.3">
      <c r="A208" s="23">
        <v>149</v>
      </c>
      <c r="B208" s="28">
        <f t="shared" si="282"/>
        <v>0</v>
      </c>
      <c r="C208" s="60">
        <f t="shared" si="251"/>
        <v>0</v>
      </c>
      <c r="D208" s="23">
        <f t="shared" si="252"/>
        <v>0</v>
      </c>
      <c r="E208" s="24">
        <f t="shared" si="253"/>
        <v>0</v>
      </c>
      <c r="F208" s="25">
        <f t="shared" si="281"/>
        <v>0</v>
      </c>
      <c r="G208" s="23">
        <f t="shared" si="254"/>
        <v>0</v>
      </c>
      <c r="H208" s="24">
        <f t="shared" si="255"/>
        <v>0</v>
      </c>
      <c r="I208" s="25">
        <f t="shared" si="256"/>
        <v>0</v>
      </c>
      <c r="J208" s="23">
        <f t="shared" si="257"/>
        <v>0</v>
      </c>
      <c r="K208" s="24">
        <f t="shared" si="258"/>
        <v>0</v>
      </c>
      <c r="L208" s="25">
        <f t="shared" si="259"/>
        <v>0</v>
      </c>
      <c r="M208" s="23">
        <f t="shared" si="260"/>
        <v>0</v>
      </c>
      <c r="N208" s="24">
        <f t="shared" si="261"/>
        <v>0</v>
      </c>
      <c r="O208" s="25">
        <f t="shared" si="262"/>
        <v>0</v>
      </c>
      <c r="P208" s="23">
        <f t="shared" si="263"/>
        <v>0</v>
      </c>
      <c r="Q208" s="24">
        <f t="shared" si="264"/>
        <v>0</v>
      </c>
      <c r="R208" s="25">
        <f t="shared" si="265"/>
        <v>0</v>
      </c>
      <c r="S208" s="23">
        <f t="shared" si="266"/>
        <v>0</v>
      </c>
      <c r="T208" s="24">
        <f t="shared" si="267"/>
        <v>0</v>
      </c>
      <c r="U208" s="25">
        <f t="shared" si="268"/>
        <v>0</v>
      </c>
      <c r="V208" s="23">
        <f t="shared" si="269"/>
        <v>0</v>
      </c>
      <c r="W208" s="24">
        <f t="shared" si="270"/>
        <v>0</v>
      </c>
      <c r="X208" s="25">
        <f t="shared" si="271"/>
        <v>0</v>
      </c>
      <c r="Y208" s="23">
        <f t="shared" si="272"/>
        <v>0</v>
      </c>
      <c r="Z208" s="24">
        <f t="shared" si="273"/>
        <v>0</v>
      </c>
      <c r="AA208" s="25">
        <f t="shared" si="274"/>
        <v>0</v>
      </c>
      <c r="AB208" s="23">
        <f t="shared" si="275"/>
        <v>0</v>
      </c>
      <c r="AC208" s="24">
        <f t="shared" si="276"/>
        <v>0</v>
      </c>
      <c r="AD208" s="25">
        <f t="shared" si="277"/>
        <v>0</v>
      </c>
      <c r="AE208" s="23">
        <f t="shared" si="278"/>
        <v>0</v>
      </c>
      <c r="AF208" s="24">
        <f t="shared" si="279"/>
        <v>0</v>
      </c>
      <c r="AG208" s="25">
        <f t="shared" si="280"/>
        <v>0</v>
      </c>
      <c r="AH208" s="31"/>
    </row>
    <row r="209" spans="1:34" ht="18" customHeight="1" thickTop="1" thickBot="1" x14ac:dyDescent="0.3">
      <c r="A209" s="27">
        <v>150</v>
      </c>
      <c r="B209" s="28">
        <f t="shared" si="282"/>
        <v>0</v>
      </c>
      <c r="C209" s="60">
        <f t="shared" si="251"/>
        <v>0</v>
      </c>
      <c r="D209" s="23">
        <f t="shared" si="252"/>
        <v>0</v>
      </c>
      <c r="E209" s="24">
        <f t="shared" si="253"/>
        <v>0</v>
      </c>
      <c r="F209" s="25">
        <f t="shared" si="281"/>
        <v>0</v>
      </c>
      <c r="G209" s="23">
        <f t="shared" si="254"/>
        <v>0</v>
      </c>
      <c r="H209" s="24">
        <f t="shared" si="255"/>
        <v>0</v>
      </c>
      <c r="I209" s="25">
        <f t="shared" si="256"/>
        <v>0</v>
      </c>
      <c r="J209" s="23">
        <f t="shared" si="257"/>
        <v>0</v>
      </c>
      <c r="K209" s="24">
        <f t="shared" si="258"/>
        <v>0</v>
      </c>
      <c r="L209" s="25">
        <f t="shared" si="259"/>
        <v>0</v>
      </c>
      <c r="M209" s="23">
        <f t="shared" si="260"/>
        <v>0</v>
      </c>
      <c r="N209" s="24">
        <f t="shared" si="261"/>
        <v>0</v>
      </c>
      <c r="O209" s="25">
        <f t="shared" si="262"/>
        <v>0</v>
      </c>
      <c r="P209" s="23">
        <f t="shared" si="263"/>
        <v>0</v>
      </c>
      <c r="Q209" s="24">
        <f t="shared" si="264"/>
        <v>0</v>
      </c>
      <c r="R209" s="25">
        <f t="shared" si="265"/>
        <v>0</v>
      </c>
      <c r="S209" s="23">
        <f t="shared" si="266"/>
        <v>0</v>
      </c>
      <c r="T209" s="24">
        <f t="shared" si="267"/>
        <v>0</v>
      </c>
      <c r="U209" s="25">
        <f t="shared" si="268"/>
        <v>0</v>
      </c>
      <c r="V209" s="23">
        <f t="shared" si="269"/>
        <v>0</v>
      </c>
      <c r="W209" s="24">
        <f t="shared" si="270"/>
        <v>0</v>
      </c>
      <c r="X209" s="25">
        <f t="shared" si="271"/>
        <v>0</v>
      </c>
      <c r="Y209" s="23">
        <f t="shared" si="272"/>
        <v>0</v>
      </c>
      <c r="Z209" s="24">
        <f t="shared" si="273"/>
        <v>0</v>
      </c>
      <c r="AA209" s="25">
        <f t="shared" si="274"/>
        <v>0</v>
      </c>
      <c r="AB209" s="23">
        <f t="shared" si="275"/>
        <v>0</v>
      </c>
      <c r="AC209" s="24">
        <f t="shared" si="276"/>
        <v>0</v>
      </c>
      <c r="AD209" s="25">
        <f t="shared" si="277"/>
        <v>0</v>
      </c>
      <c r="AE209" s="23">
        <f t="shared" si="278"/>
        <v>0</v>
      </c>
      <c r="AF209" s="24">
        <f t="shared" si="279"/>
        <v>0</v>
      </c>
      <c r="AG209" s="25">
        <f t="shared" si="280"/>
        <v>0</v>
      </c>
      <c r="AH209" s="33"/>
    </row>
    <row r="210" spans="1:34" ht="18" customHeight="1" thickTop="1" thickBot="1" x14ac:dyDescent="0.3">
      <c r="A210" s="23">
        <v>151</v>
      </c>
      <c r="B210" s="28">
        <f t="shared" si="282"/>
        <v>0</v>
      </c>
      <c r="C210" s="60">
        <f t="shared" si="251"/>
        <v>0</v>
      </c>
      <c r="D210" s="23">
        <f t="shared" si="252"/>
        <v>0</v>
      </c>
      <c r="E210" s="24">
        <f t="shared" si="253"/>
        <v>0</v>
      </c>
      <c r="F210" s="25">
        <f t="shared" si="281"/>
        <v>0</v>
      </c>
      <c r="G210" s="23">
        <f t="shared" si="254"/>
        <v>0</v>
      </c>
      <c r="H210" s="24">
        <f t="shared" si="255"/>
        <v>0</v>
      </c>
      <c r="I210" s="25">
        <f t="shared" si="256"/>
        <v>0</v>
      </c>
      <c r="J210" s="23">
        <f t="shared" si="257"/>
        <v>0</v>
      </c>
      <c r="K210" s="24">
        <f t="shared" si="258"/>
        <v>0</v>
      </c>
      <c r="L210" s="25">
        <f t="shared" si="259"/>
        <v>0</v>
      </c>
      <c r="M210" s="23">
        <f t="shared" si="260"/>
        <v>0</v>
      </c>
      <c r="N210" s="24">
        <f t="shared" si="261"/>
        <v>0</v>
      </c>
      <c r="O210" s="25">
        <f t="shared" si="262"/>
        <v>0</v>
      </c>
      <c r="P210" s="23">
        <f t="shared" si="263"/>
        <v>0</v>
      </c>
      <c r="Q210" s="24">
        <f t="shared" si="264"/>
        <v>0</v>
      </c>
      <c r="R210" s="25">
        <f t="shared" si="265"/>
        <v>0</v>
      </c>
      <c r="S210" s="23">
        <f t="shared" si="266"/>
        <v>0</v>
      </c>
      <c r="T210" s="24">
        <f t="shared" si="267"/>
        <v>0</v>
      </c>
      <c r="U210" s="25">
        <f t="shared" si="268"/>
        <v>0</v>
      </c>
      <c r="V210" s="23">
        <f t="shared" si="269"/>
        <v>0</v>
      </c>
      <c r="W210" s="24">
        <f t="shared" si="270"/>
        <v>0</v>
      </c>
      <c r="X210" s="25">
        <f t="shared" si="271"/>
        <v>0</v>
      </c>
      <c r="Y210" s="23">
        <f t="shared" si="272"/>
        <v>0</v>
      </c>
      <c r="Z210" s="24">
        <f t="shared" si="273"/>
        <v>0</v>
      </c>
      <c r="AA210" s="25">
        <f t="shared" si="274"/>
        <v>0</v>
      </c>
      <c r="AB210" s="23">
        <f t="shared" si="275"/>
        <v>0</v>
      </c>
      <c r="AC210" s="24">
        <f t="shared" si="276"/>
        <v>0</v>
      </c>
      <c r="AD210" s="25">
        <f t="shared" si="277"/>
        <v>0</v>
      </c>
      <c r="AE210" s="23">
        <f t="shared" si="278"/>
        <v>0</v>
      </c>
      <c r="AF210" s="24">
        <f t="shared" si="279"/>
        <v>0</v>
      </c>
      <c r="AG210" s="25">
        <f t="shared" si="280"/>
        <v>0</v>
      </c>
      <c r="AH210" s="29"/>
    </row>
    <row r="211" spans="1:34" ht="18" customHeight="1" thickTop="1" thickBot="1" x14ac:dyDescent="0.3">
      <c r="A211" s="27">
        <v>152</v>
      </c>
      <c r="B211" s="28">
        <f t="shared" si="282"/>
        <v>0</v>
      </c>
      <c r="C211" s="60">
        <f t="shared" si="251"/>
        <v>0</v>
      </c>
      <c r="D211" s="23">
        <f t="shared" si="252"/>
        <v>0</v>
      </c>
      <c r="E211" s="24">
        <f t="shared" si="253"/>
        <v>0</v>
      </c>
      <c r="F211" s="25">
        <f t="shared" si="281"/>
        <v>0</v>
      </c>
      <c r="G211" s="23">
        <f t="shared" si="254"/>
        <v>0</v>
      </c>
      <c r="H211" s="24">
        <f t="shared" si="255"/>
        <v>0</v>
      </c>
      <c r="I211" s="25">
        <f t="shared" si="256"/>
        <v>0</v>
      </c>
      <c r="J211" s="23">
        <f t="shared" si="257"/>
        <v>0</v>
      </c>
      <c r="K211" s="24">
        <f t="shared" si="258"/>
        <v>0</v>
      </c>
      <c r="L211" s="25">
        <f t="shared" si="259"/>
        <v>0</v>
      </c>
      <c r="M211" s="23">
        <f t="shared" si="260"/>
        <v>0</v>
      </c>
      <c r="N211" s="24">
        <f t="shared" si="261"/>
        <v>0</v>
      </c>
      <c r="O211" s="25">
        <f t="shared" si="262"/>
        <v>0</v>
      </c>
      <c r="P211" s="23">
        <f t="shared" si="263"/>
        <v>0</v>
      </c>
      <c r="Q211" s="24">
        <f t="shared" si="264"/>
        <v>0</v>
      </c>
      <c r="R211" s="25">
        <f t="shared" si="265"/>
        <v>0</v>
      </c>
      <c r="S211" s="23">
        <f t="shared" si="266"/>
        <v>0</v>
      </c>
      <c r="T211" s="24">
        <f t="shared" si="267"/>
        <v>0</v>
      </c>
      <c r="U211" s="25">
        <f t="shared" si="268"/>
        <v>0</v>
      </c>
      <c r="V211" s="23">
        <f t="shared" si="269"/>
        <v>0</v>
      </c>
      <c r="W211" s="24">
        <f t="shared" si="270"/>
        <v>0</v>
      </c>
      <c r="X211" s="25">
        <f t="shared" si="271"/>
        <v>0</v>
      </c>
      <c r="Y211" s="23">
        <f t="shared" si="272"/>
        <v>0</v>
      </c>
      <c r="Z211" s="24">
        <f t="shared" si="273"/>
        <v>0</v>
      </c>
      <c r="AA211" s="25">
        <f t="shared" si="274"/>
        <v>0</v>
      </c>
      <c r="AB211" s="23">
        <f t="shared" si="275"/>
        <v>0</v>
      </c>
      <c r="AC211" s="24">
        <f t="shared" si="276"/>
        <v>0</v>
      </c>
      <c r="AD211" s="25">
        <f t="shared" si="277"/>
        <v>0</v>
      </c>
      <c r="AE211" s="23">
        <f t="shared" si="278"/>
        <v>0</v>
      </c>
      <c r="AF211" s="24">
        <f t="shared" si="279"/>
        <v>0</v>
      </c>
      <c r="AG211" s="25">
        <f t="shared" si="280"/>
        <v>0</v>
      </c>
      <c r="AH211" s="31"/>
    </row>
    <row r="212" spans="1:34" ht="18" customHeight="1" thickTop="1" thickBot="1" x14ac:dyDescent="0.3">
      <c r="A212" s="23">
        <v>153</v>
      </c>
      <c r="B212" s="28">
        <f t="shared" si="282"/>
        <v>0</v>
      </c>
      <c r="C212" s="60">
        <f t="shared" si="251"/>
        <v>0</v>
      </c>
      <c r="D212" s="23">
        <f t="shared" si="252"/>
        <v>0</v>
      </c>
      <c r="E212" s="24">
        <f t="shared" si="253"/>
        <v>0</v>
      </c>
      <c r="F212" s="25">
        <f t="shared" si="281"/>
        <v>0</v>
      </c>
      <c r="G212" s="23">
        <f t="shared" si="254"/>
        <v>0</v>
      </c>
      <c r="H212" s="24">
        <f t="shared" si="255"/>
        <v>0</v>
      </c>
      <c r="I212" s="25">
        <f t="shared" si="256"/>
        <v>0</v>
      </c>
      <c r="J212" s="23">
        <f t="shared" si="257"/>
        <v>0</v>
      </c>
      <c r="K212" s="24">
        <f t="shared" si="258"/>
        <v>0</v>
      </c>
      <c r="L212" s="25">
        <f t="shared" si="259"/>
        <v>0</v>
      </c>
      <c r="M212" s="23">
        <f t="shared" si="260"/>
        <v>0</v>
      </c>
      <c r="N212" s="24">
        <f t="shared" si="261"/>
        <v>0</v>
      </c>
      <c r="O212" s="25">
        <f t="shared" si="262"/>
        <v>0</v>
      </c>
      <c r="P212" s="23">
        <f t="shared" si="263"/>
        <v>0</v>
      </c>
      <c r="Q212" s="24">
        <f t="shared" si="264"/>
        <v>0</v>
      </c>
      <c r="R212" s="25">
        <f t="shared" si="265"/>
        <v>0</v>
      </c>
      <c r="S212" s="23">
        <f t="shared" si="266"/>
        <v>0</v>
      </c>
      <c r="T212" s="24">
        <f t="shared" si="267"/>
        <v>0</v>
      </c>
      <c r="U212" s="25">
        <f t="shared" si="268"/>
        <v>0</v>
      </c>
      <c r="V212" s="23">
        <f t="shared" si="269"/>
        <v>0</v>
      </c>
      <c r="W212" s="24">
        <f t="shared" si="270"/>
        <v>0</v>
      </c>
      <c r="X212" s="25">
        <f t="shared" si="271"/>
        <v>0</v>
      </c>
      <c r="Y212" s="23">
        <f t="shared" si="272"/>
        <v>0</v>
      </c>
      <c r="Z212" s="24">
        <f t="shared" si="273"/>
        <v>0</v>
      </c>
      <c r="AA212" s="25">
        <f t="shared" si="274"/>
        <v>0</v>
      </c>
      <c r="AB212" s="23">
        <f t="shared" si="275"/>
        <v>0</v>
      </c>
      <c r="AC212" s="24">
        <f t="shared" si="276"/>
        <v>0</v>
      </c>
      <c r="AD212" s="25">
        <f t="shared" si="277"/>
        <v>0</v>
      </c>
      <c r="AE212" s="23">
        <f t="shared" si="278"/>
        <v>0</v>
      </c>
      <c r="AF212" s="24">
        <f t="shared" si="279"/>
        <v>0</v>
      </c>
      <c r="AG212" s="25">
        <f t="shared" si="280"/>
        <v>0</v>
      </c>
      <c r="AH212" s="33"/>
    </row>
    <row r="213" spans="1:34" ht="18" customHeight="1" thickTop="1" thickBot="1" x14ac:dyDescent="0.3">
      <c r="A213" s="27">
        <v>154</v>
      </c>
      <c r="B213" s="28">
        <f t="shared" si="282"/>
        <v>0</v>
      </c>
      <c r="C213" s="60">
        <f t="shared" si="251"/>
        <v>0</v>
      </c>
      <c r="D213" s="23">
        <f t="shared" si="252"/>
        <v>0</v>
      </c>
      <c r="E213" s="24">
        <f t="shared" si="253"/>
        <v>0</v>
      </c>
      <c r="F213" s="25">
        <f t="shared" si="281"/>
        <v>0</v>
      </c>
      <c r="G213" s="23">
        <f t="shared" si="254"/>
        <v>0</v>
      </c>
      <c r="H213" s="24">
        <f t="shared" si="255"/>
        <v>0</v>
      </c>
      <c r="I213" s="25">
        <f t="shared" si="256"/>
        <v>0</v>
      </c>
      <c r="J213" s="23">
        <f t="shared" si="257"/>
        <v>0</v>
      </c>
      <c r="K213" s="24">
        <f t="shared" si="258"/>
        <v>0</v>
      </c>
      <c r="L213" s="25">
        <f t="shared" si="259"/>
        <v>0</v>
      </c>
      <c r="M213" s="23">
        <f t="shared" si="260"/>
        <v>0</v>
      </c>
      <c r="N213" s="24">
        <f t="shared" si="261"/>
        <v>0</v>
      </c>
      <c r="O213" s="25">
        <f t="shared" si="262"/>
        <v>0</v>
      </c>
      <c r="P213" s="23">
        <f t="shared" si="263"/>
        <v>0</v>
      </c>
      <c r="Q213" s="24">
        <f t="shared" si="264"/>
        <v>0</v>
      </c>
      <c r="R213" s="25">
        <f t="shared" si="265"/>
        <v>0</v>
      </c>
      <c r="S213" s="23">
        <f t="shared" si="266"/>
        <v>0</v>
      </c>
      <c r="T213" s="24">
        <f t="shared" si="267"/>
        <v>0</v>
      </c>
      <c r="U213" s="25">
        <f t="shared" si="268"/>
        <v>0</v>
      </c>
      <c r="V213" s="23">
        <f t="shared" si="269"/>
        <v>0</v>
      </c>
      <c r="W213" s="24">
        <f t="shared" si="270"/>
        <v>0</v>
      </c>
      <c r="X213" s="25">
        <f t="shared" si="271"/>
        <v>0</v>
      </c>
      <c r="Y213" s="23">
        <f t="shared" si="272"/>
        <v>0</v>
      </c>
      <c r="Z213" s="24">
        <f t="shared" si="273"/>
        <v>0</v>
      </c>
      <c r="AA213" s="25">
        <f t="shared" si="274"/>
        <v>0</v>
      </c>
      <c r="AB213" s="23">
        <f t="shared" si="275"/>
        <v>0</v>
      </c>
      <c r="AC213" s="24">
        <f t="shared" si="276"/>
        <v>0</v>
      </c>
      <c r="AD213" s="25">
        <f t="shared" si="277"/>
        <v>0</v>
      </c>
      <c r="AE213" s="23">
        <f t="shared" si="278"/>
        <v>0</v>
      </c>
      <c r="AF213" s="24">
        <f t="shared" si="279"/>
        <v>0</v>
      </c>
      <c r="AG213" s="25">
        <f t="shared" si="280"/>
        <v>0</v>
      </c>
      <c r="AH213" s="29"/>
    </row>
    <row r="214" spans="1:34" ht="18" customHeight="1" thickTop="1" thickBot="1" x14ac:dyDescent="0.3">
      <c r="A214" s="23">
        <v>155</v>
      </c>
      <c r="B214" s="28">
        <f t="shared" si="282"/>
        <v>0</v>
      </c>
      <c r="C214" s="60">
        <f t="shared" si="251"/>
        <v>0</v>
      </c>
      <c r="D214" s="23">
        <f t="shared" si="252"/>
        <v>0</v>
      </c>
      <c r="E214" s="24">
        <f t="shared" si="253"/>
        <v>0</v>
      </c>
      <c r="F214" s="25">
        <f t="shared" si="281"/>
        <v>0</v>
      </c>
      <c r="G214" s="23">
        <f t="shared" si="254"/>
        <v>0</v>
      </c>
      <c r="H214" s="24">
        <f t="shared" si="255"/>
        <v>0</v>
      </c>
      <c r="I214" s="25">
        <f t="shared" si="256"/>
        <v>0</v>
      </c>
      <c r="J214" s="23">
        <f t="shared" si="257"/>
        <v>0</v>
      </c>
      <c r="K214" s="24">
        <f t="shared" si="258"/>
        <v>0</v>
      </c>
      <c r="L214" s="25">
        <f t="shared" si="259"/>
        <v>0</v>
      </c>
      <c r="M214" s="23">
        <f t="shared" si="260"/>
        <v>0</v>
      </c>
      <c r="N214" s="24">
        <f t="shared" si="261"/>
        <v>0</v>
      </c>
      <c r="O214" s="25">
        <f t="shared" si="262"/>
        <v>0</v>
      </c>
      <c r="P214" s="23">
        <f t="shared" si="263"/>
        <v>0</v>
      </c>
      <c r="Q214" s="24">
        <f t="shared" si="264"/>
        <v>0</v>
      </c>
      <c r="R214" s="25">
        <f t="shared" si="265"/>
        <v>0</v>
      </c>
      <c r="S214" s="23">
        <f t="shared" si="266"/>
        <v>0</v>
      </c>
      <c r="T214" s="24">
        <f t="shared" si="267"/>
        <v>0</v>
      </c>
      <c r="U214" s="25">
        <f t="shared" si="268"/>
        <v>0</v>
      </c>
      <c r="V214" s="23">
        <f t="shared" si="269"/>
        <v>0</v>
      </c>
      <c r="W214" s="24">
        <f t="shared" si="270"/>
        <v>0</v>
      </c>
      <c r="X214" s="25">
        <f t="shared" si="271"/>
        <v>0</v>
      </c>
      <c r="Y214" s="23">
        <f t="shared" si="272"/>
        <v>0</v>
      </c>
      <c r="Z214" s="24">
        <f t="shared" si="273"/>
        <v>0</v>
      </c>
      <c r="AA214" s="25">
        <f t="shared" si="274"/>
        <v>0</v>
      </c>
      <c r="AB214" s="23">
        <f t="shared" si="275"/>
        <v>0</v>
      </c>
      <c r="AC214" s="24">
        <f t="shared" si="276"/>
        <v>0</v>
      </c>
      <c r="AD214" s="25">
        <f t="shared" si="277"/>
        <v>0</v>
      </c>
      <c r="AE214" s="23">
        <f t="shared" si="278"/>
        <v>0</v>
      </c>
      <c r="AF214" s="24">
        <f t="shared" si="279"/>
        <v>0</v>
      </c>
      <c r="AG214" s="25">
        <f t="shared" si="280"/>
        <v>0</v>
      </c>
      <c r="AH214" s="31"/>
    </row>
    <row r="215" spans="1:34" ht="18" customHeight="1" thickTop="1" thickBot="1" x14ac:dyDescent="0.3">
      <c r="A215" s="27">
        <v>156</v>
      </c>
      <c r="B215" s="28">
        <f t="shared" si="282"/>
        <v>0</v>
      </c>
      <c r="C215" s="60">
        <f t="shared" si="251"/>
        <v>0</v>
      </c>
      <c r="D215" s="23">
        <f t="shared" si="252"/>
        <v>0</v>
      </c>
      <c r="E215" s="24">
        <f t="shared" si="253"/>
        <v>0</v>
      </c>
      <c r="F215" s="25">
        <f t="shared" si="281"/>
        <v>0</v>
      </c>
      <c r="G215" s="23">
        <f t="shared" si="254"/>
        <v>0</v>
      </c>
      <c r="H215" s="24">
        <f t="shared" si="255"/>
        <v>0</v>
      </c>
      <c r="I215" s="25">
        <f t="shared" si="256"/>
        <v>0</v>
      </c>
      <c r="J215" s="23">
        <f t="shared" si="257"/>
        <v>0</v>
      </c>
      <c r="K215" s="24">
        <f t="shared" si="258"/>
        <v>0</v>
      </c>
      <c r="L215" s="25">
        <f t="shared" si="259"/>
        <v>0</v>
      </c>
      <c r="M215" s="23">
        <f t="shared" si="260"/>
        <v>0</v>
      </c>
      <c r="N215" s="24">
        <f t="shared" si="261"/>
        <v>0</v>
      </c>
      <c r="O215" s="25">
        <f t="shared" si="262"/>
        <v>0</v>
      </c>
      <c r="P215" s="23">
        <f t="shared" si="263"/>
        <v>0</v>
      </c>
      <c r="Q215" s="24">
        <f t="shared" si="264"/>
        <v>0</v>
      </c>
      <c r="R215" s="25">
        <f t="shared" si="265"/>
        <v>0</v>
      </c>
      <c r="S215" s="23">
        <f t="shared" si="266"/>
        <v>0</v>
      </c>
      <c r="T215" s="24">
        <f t="shared" si="267"/>
        <v>0</v>
      </c>
      <c r="U215" s="25">
        <f t="shared" si="268"/>
        <v>0</v>
      </c>
      <c r="V215" s="23">
        <f t="shared" si="269"/>
        <v>0</v>
      </c>
      <c r="W215" s="24">
        <f t="shared" si="270"/>
        <v>0</v>
      </c>
      <c r="X215" s="25">
        <f t="shared" si="271"/>
        <v>0</v>
      </c>
      <c r="Y215" s="23">
        <f t="shared" si="272"/>
        <v>0</v>
      </c>
      <c r="Z215" s="24">
        <f t="shared" si="273"/>
        <v>0</v>
      </c>
      <c r="AA215" s="25">
        <f t="shared" si="274"/>
        <v>0</v>
      </c>
      <c r="AB215" s="23">
        <f t="shared" si="275"/>
        <v>0</v>
      </c>
      <c r="AC215" s="24">
        <f t="shared" si="276"/>
        <v>0</v>
      </c>
      <c r="AD215" s="25">
        <f t="shared" si="277"/>
        <v>0</v>
      </c>
      <c r="AE215" s="23">
        <f t="shared" si="278"/>
        <v>0</v>
      </c>
      <c r="AF215" s="24">
        <f t="shared" si="279"/>
        <v>0</v>
      </c>
      <c r="AG215" s="25">
        <f t="shared" si="280"/>
        <v>0</v>
      </c>
      <c r="AH215" s="29"/>
    </row>
    <row r="216" spans="1:34" ht="18" customHeight="1" thickTop="1" thickBot="1" x14ac:dyDescent="0.3">
      <c r="A216" s="23">
        <v>157</v>
      </c>
      <c r="B216" s="28">
        <f t="shared" si="282"/>
        <v>0</v>
      </c>
      <c r="C216" s="60">
        <f t="shared" si="251"/>
        <v>0</v>
      </c>
      <c r="D216" s="23">
        <f t="shared" si="252"/>
        <v>0</v>
      </c>
      <c r="E216" s="24">
        <f t="shared" si="253"/>
        <v>0</v>
      </c>
      <c r="F216" s="25">
        <f t="shared" si="281"/>
        <v>0</v>
      </c>
      <c r="G216" s="23">
        <f t="shared" si="254"/>
        <v>0</v>
      </c>
      <c r="H216" s="24">
        <f t="shared" si="255"/>
        <v>0</v>
      </c>
      <c r="I216" s="25">
        <f t="shared" si="256"/>
        <v>0</v>
      </c>
      <c r="J216" s="23">
        <f t="shared" si="257"/>
        <v>0</v>
      </c>
      <c r="K216" s="24">
        <f t="shared" si="258"/>
        <v>0</v>
      </c>
      <c r="L216" s="25">
        <f t="shared" si="259"/>
        <v>0</v>
      </c>
      <c r="M216" s="23">
        <f t="shared" si="260"/>
        <v>0</v>
      </c>
      <c r="N216" s="24">
        <f t="shared" si="261"/>
        <v>0</v>
      </c>
      <c r="O216" s="25">
        <f t="shared" si="262"/>
        <v>0</v>
      </c>
      <c r="P216" s="23">
        <f t="shared" si="263"/>
        <v>0</v>
      </c>
      <c r="Q216" s="24">
        <f t="shared" si="264"/>
        <v>0</v>
      </c>
      <c r="R216" s="25">
        <f t="shared" si="265"/>
        <v>0</v>
      </c>
      <c r="S216" s="23">
        <f t="shared" si="266"/>
        <v>0</v>
      </c>
      <c r="T216" s="24">
        <f t="shared" si="267"/>
        <v>0</v>
      </c>
      <c r="U216" s="25">
        <f t="shared" si="268"/>
        <v>0</v>
      </c>
      <c r="V216" s="23">
        <f t="shared" si="269"/>
        <v>0</v>
      </c>
      <c r="W216" s="24">
        <f t="shared" si="270"/>
        <v>0</v>
      </c>
      <c r="X216" s="25">
        <f t="shared" si="271"/>
        <v>0</v>
      </c>
      <c r="Y216" s="23">
        <f t="shared" si="272"/>
        <v>0</v>
      </c>
      <c r="Z216" s="24">
        <f t="shared" si="273"/>
        <v>0</v>
      </c>
      <c r="AA216" s="25">
        <f t="shared" si="274"/>
        <v>0</v>
      </c>
      <c r="AB216" s="23">
        <f t="shared" si="275"/>
        <v>0</v>
      </c>
      <c r="AC216" s="24">
        <f t="shared" si="276"/>
        <v>0</v>
      </c>
      <c r="AD216" s="25">
        <f t="shared" si="277"/>
        <v>0</v>
      </c>
      <c r="AE216" s="23">
        <f t="shared" si="278"/>
        <v>0</v>
      </c>
      <c r="AF216" s="24">
        <f t="shared" si="279"/>
        <v>0</v>
      </c>
      <c r="AG216" s="25">
        <f t="shared" si="280"/>
        <v>0</v>
      </c>
      <c r="AH216" s="31"/>
    </row>
    <row r="217" spans="1:34" ht="18" customHeight="1" thickTop="1" thickBot="1" x14ac:dyDescent="0.3">
      <c r="A217" s="27">
        <v>158</v>
      </c>
      <c r="B217" s="28">
        <f t="shared" si="282"/>
        <v>0</v>
      </c>
      <c r="C217" s="60">
        <f t="shared" si="251"/>
        <v>0</v>
      </c>
      <c r="D217" s="23">
        <f t="shared" si="252"/>
        <v>0</v>
      </c>
      <c r="E217" s="24">
        <f t="shared" si="253"/>
        <v>0</v>
      </c>
      <c r="F217" s="25">
        <f t="shared" si="281"/>
        <v>0</v>
      </c>
      <c r="G217" s="23">
        <f t="shared" si="254"/>
        <v>0</v>
      </c>
      <c r="H217" s="24">
        <f t="shared" si="255"/>
        <v>0</v>
      </c>
      <c r="I217" s="25">
        <f t="shared" si="256"/>
        <v>0</v>
      </c>
      <c r="J217" s="23">
        <f t="shared" si="257"/>
        <v>0</v>
      </c>
      <c r="K217" s="24">
        <f t="shared" si="258"/>
        <v>0</v>
      </c>
      <c r="L217" s="25">
        <f t="shared" si="259"/>
        <v>0</v>
      </c>
      <c r="M217" s="23">
        <f t="shared" si="260"/>
        <v>0</v>
      </c>
      <c r="N217" s="24">
        <f t="shared" si="261"/>
        <v>0</v>
      </c>
      <c r="O217" s="25">
        <f t="shared" si="262"/>
        <v>0</v>
      </c>
      <c r="P217" s="23">
        <f t="shared" si="263"/>
        <v>0</v>
      </c>
      <c r="Q217" s="24">
        <f t="shared" si="264"/>
        <v>0</v>
      </c>
      <c r="R217" s="25">
        <f t="shared" si="265"/>
        <v>0</v>
      </c>
      <c r="S217" s="23">
        <f t="shared" si="266"/>
        <v>0</v>
      </c>
      <c r="T217" s="24">
        <f t="shared" si="267"/>
        <v>0</v>
      </c>
      <c r="U217" s="25">
        <f t="shared" si="268"/>
        <v>0</v>
      </c>
      <c r="V217" s="23">
        <f t="shared" si="269"/>
        <v>0</v>
      </c>
      <c r="W217" s="24">
        <f t="shared" si="270"/>
        <v>0</v>
      </c>
      <c r="X217" s="25">
        <f t="shared" si="271"/>
        <v>0</v>
      </c>
      <c r="Y217" s="23">
        <f t="shared" si="272"/>
        <v>0</v>
      </c>
      <c r="Z217" s="24">
        <f t="shared" si="273"/>
        <v>0</v>
      </c>
      <c r="AA217" s="25">
        <f t="shared" si="274"/>
        <v>0</v>
      </c>
      <c r="AB217" s="23">
        <f t="shared" si="275"/>
        <v>0</v>
      </c>
      <c r="AC217" s="24">
        <f t="shared" si="276"/>
        <v>0</v>
      </c>
      <c r="AD217" s="25">
        <f t="shared" si="277"/>
        <v>0</v>
      </c>
      <c r="AE217" s="23">
        <f t="shared" si="278"/>
        <v>0</v>
      </c>
      <c r="AF217" s="24">
        <f t="shared" si="279"/>
        <v>0</v>
      </c>
      <c r="AG217" s="25">
        <f t="shared" si="280"/>
        <v>0</v>
      </c>
      <c r="AH217" s="31"/>
    </row>
    <row r="218" spans="1:34" ht="18" customHeight="1" thickTop="1" thickBot="1" x14ac:dyDescent="0.3">
      <c r="A218" s="23">
        <v>159</v>
      </c>
      <c r="B218" s="28">
        <f t="shared" si="282"/>
        <v>0</v>
      </c>
      <c r="C218" s="60">
        <f t="shared" si="251"/>
        <v>0</v>
      </c>
      <c r="D218" s="23">
        <f t="shared" si="252"/>
        <v>0</v>
      </c>
      <c r="E218" s="24">
        <f t="shared" si="253"/>
        <v>0</v>
      </c>
      <c r="F218" s="25">
        <f t="shared" si="281"/>
        <v>0</v>
      </c>
      <c r="G218" s="23">
        <f t="shared" si="254"/>
        <v>0</v>
      </c>
      <c r="H218" s="24">
        <f t="shared" si="255"/>
        <v>0</v>
      </c>
      <c r="I218" s="25">
        <f t="shared" si="256"/>
        <v>0</v>
      </c>
      <c r="J218" s="23">
        <f t="shared" si="257"/>
        <v>0</v>
      </c>
      <c r="K218" s="24">
        <f t="shared" si="258"/>
        <v>0</v>
      </c>
      <c r="L218" s="25">
        <f t="shared" si="259"/>
        <v>0</v>
      </c>
      <c r="M218" s="23">
        <f t="shared" si="260"/>
        <v>0</v>
      </c>
      <c r="N218" s="24">
        <f t="shared" si="261"/>
        <v>0</v>
      </c>
      <c r="O218" s="25">
        <f t="shared" si="262"/>
        <v>0</v>
      </c>
      <c r="P218" s="23">
        <f t="shared" si="263"/>
        <v>0</v>
      </c>
      <c r="Q218" s="24">
        <f t="shared" si="264"/>
        <v>0</v>
      </c>
      <c r="R218" s="25">
        <f t="shared" si="265"/>
        <v>0</v>
      </c>
      <c r="S218" s="23">
        <f t="shared" si="266"/>
        <v>0</v>
      </c>
      <c r="T218" s="24">
        <f t="shared" si="267"/>
        <v>0</v>
      </c>
      <c r="U218" s="25">
        <f t="shared" si="268"/>
        <v>0</v>
      </c>
      <c r="V218" s="23">
        <f t="shared" si="269"/>
        <v>0</v>
      </c>
      <c r="W218" s="24">
        <f t="shared" si="270"/>
        <v>0</v>
      </c>
      <c r="X218" s="25">
        <f t="shared" si="271"/>
        <v>0</v>
      </c>
      <c r="Y218" s="23">
        <f t="shared" si="272"/>
        <v>0</v>
      </c>
      <c r="Z218" s="24">
        <f t="shared" si="273"/>
        <v>0</v>
      </c>
      <c r="AA218" s="25">
        <f t="shared" si="274"/>
        <v>0</v>
      </c>
      <c r="AB218" s="23">
        <f t="shared" si="275"/>
        <v>0</v>
      </c>
      <c r="AC218" s="24">
        <f t="shared" si="276"/>
        <v>0</v>
      </c>
      <c r="AD218" s="25">
        <f t="shared" si="277"/>
        <v>0</v>
      </c>
      <c r="AE218" s="23">
        <f t="shared" si="278"/>
        <v>0</v>
      </c>
      <c r="AF218" s="24">
        <f t="shared" si="279"/>
        <v>0</v>
      </c>
      <c r="AG218" s="25">
        <f t="shared" si="280"/>
        <v>0</v>
      </c>
      <c r="AH218" s="31"/>
    </row>
    <row r="219" spans="1:34" ht="18" customHeight="1" thickTop="1" thickBot="1" x14ac:dyDescent="0.3">
      <c r="A219" s="27">
        <v>160</v>
      </c>
      <c r="B219" s="28">
        <f t="shared" si="282"/>
        <v>0</v>
      </c>
      <c r="C219" s="60">
        <f t="shared" si="251"/>
        <v>0</v>
      </c>
      <c r="D219" s="23">
        <f t="shared" si="252"/>
        <v>0</v>
      </c>
      <c r="E219" s="24">
        <f t="shared" si="253"/>
        <v>0</v>
      </c>
      <c r="F219" s="25">
        <f t="shared" si="281"/>
        <v>0</v>
      </c>
      <c r="G219" s="23">
        <f t="shared" si="254"/>
        <v>0</v>
      </c>
      <c r="H219" s="24">
        <f t="shared" si="255"/>
        <v>0</v>
      </c>
      <c r="I219" s="25">
        <f t="shared" si="256"/>
        <v>0</v>
      </c>
      <c r="J219" s="23">
        <f t="shared" si="257"/>
        <v>0</v>
      </c>
      <c r="K219" s="24">
        <f t="shared" si="258"/>
        <v>0</v>
      </c>
      <c r="L219" s="25">
        <f t="shared" si="259"/>
        <v>0</v>
      </c>
      <c r="M219" s="23">
        <f t="shared" si="260"/>
        <v>0</v>
      </c>
      <c r="N219" s="24">
        <f t="shared" si="261"/>
        <v>0</v>
      </c>
      <c r="O219" s="25">
        <f t="shared" si="262"/>
        <v>0</v>
      </c>
      <c r="P219" s="23">
        <f t="shared" si="263"/>
        <v>0</v>
      </c>
      <c r="Q219" s="24">
        <f t="shared" si="264"/>
        <v>0</v>
      </c>
      <c r="R219" s="25">
        <f t="shared" si="265"/>
        <v>0</v>
      </c>
      <c r="S219" s="23">
        <f t="shared" si="266"/>
        <v>0</v>
      </c>
      <c r="T219" s="24">
        <f t="shared" si="267"/>
        <v>0</v>
      </c>
      <c r="U219" s="25">
        <f t="shared" si="268"/>
        <v>0</v>
      </c>
      <c r="V219" s="23">
        <f t="shared" si="269"/>
        <v>0</v>
      </c>
      <c r="W219" s="24">
        <f t="shared" si="270"/>
        <v>0</v>
      </c>
      <c r="X219" s="25">
        <f t="shared" si="271"/>
        <v>0</v>
      </c>
      <c r="Y219" s="23">
        <f t="shared" si="272"/>
        <v>0</v>
      </c>
      <c r="Z219" s="24">
        <f t="shared" si="273"/>
        <v>0</v>
      </c>
      <c r="AA219" s="25">
        <f t="shared" si="274"/>
        <v>0</v>
      </c>
      <c r="AB219" s="23">
        <f t="shared" si="275"/>
        <v>0</v>
      </c>
      <c r="AC219" s="24">
        <f t="shared" si="276"/>
        <v>0</v>
      </c>
      <c r="AD219" s="25">
        <f t="shared" si="277"/>
        <v>0</v>
      </c>
      <c r="AE219" s="23">
        <f t="shared" si="278"/>
        <v>0</v>
      </c>
      <c r="AF219" s="24">
        <f t="shared" si="279"/>
        <v>0</v>
      </c>
      <c r="AG219" s="25">
        <f t="shared" si="280"/>
        <v>0</v>
      </c>
      <c r="AH219" s="34"/>
    </row>
    <row r="220" spans="1:34" ht="7.95" customHeight="1" thickTop="1" x14ac:dyDescent="0.25">
      <c r="A220" s="212" t="s">
        <v>2</v>
      </c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212"/>
    </row>
    <row r="221" spans="1:34" x14ac:dyDescent="0.25">
      <c r="A221" s="213"/>
      <c r="B221" s="213"/>
      <c r="C221" s="213" t="s">
        <v>18</v>
      </c>
      <c r="D221" s="213"/>
      <c r="E221" s="213"/>
      <c r="F221" s="214" t="s">
        <v>19</v>
      </c>
      <c r="G221" s="214"/>
      <c r="H221" s="214"/>
      <c r="I221" s="214"/>
      <c r="J221" s="35"/>
      <c r="K221" s="214" t="s">
        <v>20</v>
      </c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  <c r="AA221" s="214"/>
      <c r="AB221" s="214"/>
      <c r="AC221" s="35"/>
      <c r="AD221" s="35"/>
      <c r="AE221" s="214" t="s">
        <v>55</v>
      </c>
      <c r="AF221" s="214"/>
      <c r="AG221" s="214"/>
    </row>
    <row r="222" spans="1:34" ht="13.95" customHeight="1" x14ac:dyDescent="0.25">
      <c r="A222" s="214" t="s">
        <v>21</v>
      </c>
      <c r="B222" s="214"/>
      <c r="C222" s="213">
        <f>'الفترة الاولى'!$CA$10</f>
        <v>0</v>
      </c>
      <c r="D222" s="213"/>
      <c r="E222" s="213"/>
      <c r="F222" s="214"/>
      <c r="G222" s="214"/>
      <c r="H222" s="214"/>
      <c r="I222" s="214"/>
      <c r="J222" s="35"/>
      <c r="K222" s="220" t="s">
        <v>52</v>
      </c>
      <c r="L222" s="215"/>
      <c r="M222" s="215"/>
      <c r="N222" s="222" t="str">
        <f>'الفترة الاولى'!$CA$16</f>
        <v>أ. فهيم عبدالمجيد بوازويتة</v>
      </c>
      <c r="O222" s="222"/>
      <c r="P222" s="222"/>
      <c r="Q222" s="222"/>
      <c r="R222" s="222"/>
      <c r="S222" s="222"/>
      <c r="T222" s="222"/>
      <c r="U222" s="215" t="s">
        <v>53</v>
      </c>
      <c r="V222" s="215"/>
      <c r="W222" s="215"/>
      <c r="X222" s="215" t="str">
        <f>'الفترة الاولى'!$C$6</f>
        <v>سهول العلم للتعليم الخاص</v>
      </c>
      <c r="Y222" s="215"/>
      <c r="Z222" s="215"/>
      <c r="AA222" s="215"/>
      <c r="AB222" s="216"/>
      <c r="AC222" s="36"/>
      <c r="AD222" s="36"/>
      <c r="AE222" s="214" t="s">
        <v>2</v>
      </c>
      <c r="AF222" s="214"/>
      <c r="AG222" s="214"/>
    </row>
    <row r="223" spans="1:34" ht="15.6" customHeight="1" x14ac:dyDescent="0.25">
      <c r="A223" s="214" t="s">
        <v>22</v>
      </c>
      <c r="B223" s="214"/>
      <c r="C223" s="213">
        <f>'الفترة الاولى'!$CA$11</f>
        <v>0</v>
      </c>
      <c r="D223" s="213"/>
      <c r="E223" s="213"/>
      <c r="F223" s="214"/>
      <c r="G223" s="214"/>
      <c r="H223" s="214"/>
      <c r="I223" s="214"/>
      <c r="J223" s="35"/>
      <c r="K223" s="217" t="s">
        <v>54</v>
      </c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9"/>
      <c r="AC223" s="37"/>
      <c r="AD223" s="37"/>
      <c r="AE223" s="214"/>
      <c r="AF223" s="214"/>
      <c r="AG223" s="214"/>
    </row>
    <row r="224" spans="1:34" ht="13.95" customHeight="1" x14ac:dyDescent="0.25">
      <c r="A224" s="214" t="s">
        <v>23</v>
      </c>
      <c r="B224" s="214"/>
      <c r="C224" s="213">
        <f>'الفترة الاولى'!$CA$12</f>
        <v>0</v>
      </c>
      <c r="D224" s="213"/>
      <c r="E224" s="213"/>
      <c r="F224" s="214"/>
      <c r="G224" s="214"/>
      <c r="H224" s="214"/>
      <c r="I224" s="214"/>
      <c r="K224" s="220" t="s">
        <v>44</v>
      </c>
      <c r="L224" s="215"/>
      <c r="M224" s="221">
        <f ca="1">TODAY()</f>
        <v>46181</v>
      </c>
      <c r="N224" s="215"/>
      <c r="O224" s="215"/>
      <c r="P224" s="215"/>
      <c r="Q224" s="215"/>
      <c r="R224" s="215"/>
      <c r="S224" s="215"/>
      <c r="T224" s="215" t="s">
        <v>19</v>
      </c>
      <c r="U224" s="215"/>
      <c r="V224" s="215"/>
      <c r="W224" s="215"/>
      <c r="X224" s="215"/>
      <c r="Y224" s="215"/>
      <c r="Z224" s="215"/>
      <c r="AA224" s="215"/>
      <c r="AB224" s="38"/>
      <c r="AC224" s="36"/>
      <c r="AD224" s="36"/>
      <c r="AE224" s="214"/>
      <c r="AF224" s="214"/>
      <c r="AG224" s="214"/>
    </row>
    <row r="225" spans="1:34" ht="14.4" thickBot="1" x14ac:dyDescent="0.3">
      <c r="A225" s="214" t="s">
        <v>24</v>
      </c>
      <c r="B225" s="214"/>
      <c r="C225" s="213">
        <f>'الفترة الاولى'!$CA$13</f>
        <v>0</v>
      </c>
      <c r="D225" s="213"/>
      <c r="E225" s="213"/>
      <c r="F225" s="214"/>
      <c r="G225" s="214"/>
      <c r="H225" s="214"/>
      <c r="I225" s="214"/>
      <c r="K225" s="39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1"/>
      <c r="AC225" s="36"/>
      <c r="AD225" s="36"/>
      <c r="AE225" s="214"/>
      <c r="AF225" s="214"/>
      <c r="AG225" s="214"/>
    </row>
    <row r="226" spans="1:34" ht="6.75" customHeight="1" thickBot="1" x14ac:dyDescent="0.3">
      <c r="A226" s="209"/>
      <c r="B226" s="210"/>
      <c r="C226" s="210"/>
      <c r="D226" s="210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10"/>
      <c r="AC226" s="210"/>
      <c r="AD226" s="210"/>
      <c r="AE226" s="210"/>
      <c r="AF226" s="210"/>
      <c r="AG226" s="210"/>
      <c r="AH226" s="211"/>
    </row>
    <row r="227" spans="1:34" ht="18" customHeight="1" thickBot="1" x14ac:dyDescent="0.3">
      <c r="A227" s="23">
        <v>161</v>
      </c>
      <c r="B227" s="24">
        <f>IFERROR(VLOOKUP(A227,الاسماء,2,0),"")</f>
        <v>0</v>
      </c>
      <c r="C227" s="59">
        <f t="shared" ref="C227:C246" si="283">IFERROR(VLOOKUP(A227,الاسماء,3,0),"")</f>
        <v>0</v>
      </c>
      <c r="D227" s="23">
        <f t="shared" ref="D227:D246" si="284">IFERROR(VLOOKUP($C227,درجات,5,0),0)</f>
        <v>0</v>
      </c>
      <c r="E227" s="24">
        <f t="shared" ref="E227:E246" si="285">IFERROR(VLOOKUP($C227,درجات,43,0),0)</f>
        <v>0</v>
      </c>
      <c r="F227" s="25">
        <f>SUM(D227:E227)</f>
        <v>0</v>
      </c>
      <c r="G227" s="23">
        <f t="shared" ref="G227:G246" si="286">IFERROR(VLOOKUP($C227,درجات,8,0),0)</f>
        <v>0</v>
      </c>
      <c r="H227" s="24">
        <f t="shared" ref="H227:H246" si="287">IFERROR(VLOOKUP($C227,درجات,46,0),0)</f>
        <v>0</v>
      </c>
      <c r="I227" s="25">
        <f t="shared" ref="I227:I246" si="288">SUM(G227:H227)</f>
        <v>0</v>
      </c>
      <c r="J227" s="23">
        <f t="shared" ref="J227:J246" si="289">IFERROR(VLOOKUP($C227,درجات,11,0),0)</f>
        <v>0</v>
      </c>
      <c r="K227" s="24">
        <f t="shared" ref="K227:K246" si="290">IFERROR(VLOOKUP($C227,درجات,49,0),0)</f>
        <v>0</v>
      </c>
      <c r="L227" s="25">
        <f t="shared" ref="L227:L246" si="291">SUM(J227:K227)</f>
        <v>0</v>
      </c>
      <c r="M227" s="23">
        <f t="shared" ref="M227:M246" si="292">IFERROR(VLOOKUP($C227,درجات,14,0),0)</f>
        <v>0</v>
      </c>
      <c r="N227" s="24">
        <f t="shared" ref="N227:N246" si="293">IFERROR(VLOOKUP($C227,درجات,52,0),0)</f>
        <v>0</v>
      </c>
      <c r="O227" s="25">
        <f t="shared" ref="O227:O246" si="294">SUM(M227:N227)</f>
        <v>0</v>
      </c>
      <c r="P227" s="23">
        <f t="shared" ref="P227:P246" si="295">IFERROR(VLOOKUP($C227,درجات,17,0),0)</f>
        <v>0</v>
      </c>
      <c r="Q227" s="24">
        <f t="shared" ref="Q227:Q246" si="296">IFERROR(VLOOKUP($C227,درجات,55,0),0)</f>
        <v>0</v>
      </c>
      <c r="R227" s="25">
        <f t="shared" ref="R227:R246" si="297">SUM(P227:Q227)</f>
        <v>0</v>
      </c>
      <c r="S227" s="23">
        <f t="shared" ref="S227:S246" si="298">IFERROR(VLOOKUP($C227,درجات,20,0),0)</f>
        <v>0</v>
      </c>
      <c r="T227" s="24">
        <f t="shared" ref="T227:T246" si="299">IFERROR(VLOOKUP($C227,درجات,58,0),0)</f>
        <v>0</v>
      </c>
      <c r="U227" s="25">
        <f t="shared" ref="U227:U246" si="300">SUM(S227:T227)</f>
        <v>0</v>
      </c>
      <c r="V227" s="23">
        <f t="shared" ref="V227:V246" si="301">IFERROR(VLOOKUP($C227,درجات,23,0),0)</f>
        <v>0</v>
      </c>
      <c r="W227" s="24">
        <f t="shared" ref="W227:W246" si="302">IFERROR(VLOOKUP($C227,درجات,61,0),0)</f>
        <v>0</v>
      </c>
      <c r="X227" s="25">
        <f t="shared" ref="X227:X246" si="303">SUM(V227:W227)</f>
        <v>0</v>
      </c>
      <c r="Y227" s="23">
        <f t="shared" ref="Y227:Y246" si="304">IFERROR(VLOOKUP($C227,درجات,26,0),0)</f>
        <v>0</v>
      </c>
      <c r="Z227" s="24">
        <f t="shared" ref="Z227:Z246" si="305">IFERROR(VLOOKUP($C227,درجات,64,0),0)</f>
        <v>0</v>
      </c>
      <c r="AA227" s="25">
        <f t="shared" ref="AA227:AA246" si="306">SUM(Y227:Z227)</f>
        <v>0</v>
      </c>
      <c r="AB227" s="23">
        <f t="shared" ref="AB227:AB246" si="307">IFERROR(VLOOKUP($C227,درجات,29,0),0)</f>
        <v>0</v>
      </c>
      <c r="AC227" s="24">
        <f t="shared" ref="AC227:AC246" si="308">IFERROR(VLOOKUP($C227,درجات,67,0),0)</f>
        <v>0</v>
      </c>
      <c r="AD227" s="25">
        <f t="shared" ref="AD227:AD246" si="309">SUM(AB227:AC227)</f>
        <v>0</v>
      </c>
      <c r="AE227" s="23">
        <f t="shared" ref="AE227:AE246" si="310">IFERROR(VLOOKUP($C227,درجات,32,0),0)</f>
        <v>0</v>
      </c>
      <c r="AF227" s="24">
        <f t="shared" ref="AF227:AF246" si="311">IFERROR(VLOOKUP($C227,درجات,70,0),0)</f>
        <v>0</v>
      </c>
      <c r="AG227" s="25">
        <f t="shared" ref="AG227:AG246" si="312">SUM(AE227:AF227)</f>
        <v>0</v>
      </c>
      <c r="AH227" s="26"/>
    </row>
    <row r="228" spans="1:34" ht="18" customHeight="1" thickTop="1" thickBot="1" x14ac:dyDescent="0.3">
      <c r="A228" s="27">
        <v>162</v>
      </c>
      <c r="B228" s="28">
        <f>IFERROR(VLOOKUP(A228,الاسماء,2,0),0)</f>
        <v>0</v>
      </c>
      <c r="C228" s="60">
        <f t="shared" si="283"/>
        <v>0</v>
      </c>
      <c r="D228" s="23">
        <f t="shared" si="284"/>
        <v>0</v>
      </c>
      <c r="E228" s="24">
        <f t="shared" si="285"/>
        <v>0</v>
      </c>
      <c r="F228" s="25">
        <f t="shared" ref="F228:F246" si="313">SUM(D228:E228)</f>
        <v>0</v>
      </c>
      <c r="G228" s="23">
        <f t="shared" si="286"/>
        <v>0</v>
      </c>
      <c r="H228" s="24">
        <f t="shared" si="287"/>
        <v>0</v>
      </c>
      <c r="I228" s="25">
        <f t="shared" si="288"/>
        <v>0</v>
      </c>
      <c r="J228" s="23">
        <f t="shared" si="289"/>
        <v>0</v>
      </c>
      <c r="K228" s="24">
        <f t="shared" si="290"/>
        <v>0</v>
      </c>
      <c r="L228" s="25">
        <f t="shared" si="291"/>
        <v>0</v>
      </c>
      <c r="M228" s="23">
        <f t="shared" si="292"/>
        <v>0</v>
      </c>
      <c r="N228" s="24">
        <f t="shared" si="293"/>
        <v>0</v>
      </c>
      <c r="O228" s="25">
        <f t="shared" si="294"/>
        <v>0</v>
      </c>
      <c r="P228" s="23">
        <f t="shared" si="295"/>
        <v>0</v>
      </c>
      <c r="Q228" s="24">
        <f t="shared" si="296"/>
        <v>0</v>
      </c>
      <c r="R228" s="25">
        <f t="shared" si="297"/>
        <v>0</v>
      </c>
      <c r="S228" s="23">
        <f t="shared" si="298"/>
        <v>0</v>
      </c>
      <c r="T228" s="24">
        <f t="shared" si="299"/>
        <v>0</v>
      </c>
      <c r="U228" s="25">
        <f t="shared" si="300"/>
        <v>0</v>
      </c>
      <c r="V228" s="23">
        <f t="shared" si="301"/>
        <v>0</v>
      </c>
      <c r="W228" s="24">
        <f t="shared" si="302"/>
        <v>0</v>
      </c>
      <c r="X228" s="25">
        <f t="shared" si="303"/>
        <v>0</v>
      </c>
      <c r="Y228" s="23">
        <f t="shared" si="304"/>
        <v>0</v>
      </c>
      <c r="Z228" s="24">
        <f t="shared" si="305"/>
        <v>0</v>
      </c>
      <c r="AA228" s="25">
        <f t="shared" si="306"/>
        <v>0</v>
      </c>
      <c r="AB228" s="23">
        <f t="shared" si="307"/>
        <v>0</v>
      </c>
      <c r="AC228" s="24">
        <f t="shared" si="308"/>
        <v>0</v>
      </c>
      <c r="AD228" s="25">
        <f t="shared" si="309"/>
        <v>0</v>
      </c>
      <c r="AE228" s="23">
        <f t="shared" si="310"/>
        <v>0</v>
      </c>
      <c r="AF228" s="24">
        <f t="shared" si="311"/>
        <v>0</v>
      </c>
      <c r="AG228" s="25">
        <f t="shared" si="312"/>
        <v>0</v>
      </c>
      <c r="AH228" s="29"/>
    </row>
    <row r="229" spans="1:34" ht="18" customHeight="1" thickTop="1" thickBot="1" x14ac:dyDescent="0.3">
      <c r="A229" s="23">
        <v>163</v>
      </c>
      <c r="B229" s="28">
        <f t="shared" ref="B229:B246" si="314">IFERROR(VLOOKUP(A229,الاسماء,2,0),"")</f>
        <v>0</v>
      </c>
      <c r="C229" s="60">
        <f t="shared" si="283"/>
        <v>0</v>
      </c>
      <c r="D229" s="23">
        <f t="shared" si="284"/>
        <v>0</v>
      </c>
      <c r="E229" s="24">
        <f t="shared" si="285"/>
        <v>0</v>
      </c>
      <c r="F229" s="25">
        <f t="shared" si="313"/>
        <v>0</v>
      </c>
      <c r="G229" s="23">
        <f t="shared" si="286"/>
        <v>0</v>
      </c>
      <c r="H229" s="24">
        <f t="shared" si="287"/>
        <v>0</v>
      </c>
      <c r="I229" s="25">
        <f t="shared" si="288"/>
        <v>0</v>
      </c>
      <c r="J229" s="23">
        <f t="shared" si="289"/>
        <v>0</v>
      </c>
      <c r="K229" s="24">
        <f t="shared" si="290"/>
        <v>0</v>
      </c>
      <c r="L229" s="25">
        <f t="shared" si="291"/>
        <v>0</v>
      </c>
      <c r="M229" s="23">
        <f t="shared" si="292"/>
        <v>0</v>
      </c>
      <c r="N229" s="24">
        <f t="shared" si="293"/>
        <v>0</v>
      </c>
      <c r="O229" s="25">
        <f t="shared" si="294"/>
        <v>0</v>
      </c>
      <c r="P229" s="23">
        <f t="shared" si="295"/>
        <v>0</v>
      </c>
      <c r="Q229" s="24">
        <f t="shared" si="296"/>
        <v>0</v>
      </c>
      <c r="R229" s="25">
        <f t="shared" si="297"/>
        <v>0</v>
      </c>
      <c r="S229" s="23">
        <f t="shared" si="298"/>
        <v>0</v>
      </c>
      <c r="T229" s="24">
        <f t="shared" si="299"/>
        <v>0</v>
      </c>
      <c r="U229" s="25">
        <f t="shared" si="300"/>
        <v>0</v>
      </c>
      <c r="V229" s="23">
        <f t="shared" si="301"/>
        <v>0</v>
      </c>
      <c r="W229" s="24">
        <f t="shared" si="302"/>
        <v>0</v>
      </c>
      <c r="X229" s="25">
        <f t="shared" si="303"/>
        <v>0</v>
      </c>
      <c r="Y229" s="23">
        <f t="shared" si="304"/>
        <v>0</v>
      </c>
      <c r="Z229" s="24">
        <f t="shared" si="305"/>
        <v>0</v>
      </c>
      <c r="AA229" s="25">
        <f t="shared" si="306"/>
        <v>0</v>
      </c>
      <c r="AB229" s="23">
        <f t="shared" si="307"/>
        <v>0</v>
      </c>
      <c r="AC229" s="24">
        <f t="shared" si="308"/>
        <v>0</v>
      </c>
      <c r="AD229" s="25">
        <f t="shared" si="309"/>
        <v>0</v>
      </c>
      <c r="AE229" s="23">
        <f t="shared" si="310"/>
        <v>0</v>
      </c>
      <c r="AF229" s="24">
        <f t="shared" si="311"/>
        <v>0</v>
      </c>
      <c r="AG229" s="25">
        <f t="shared" si="312"/>
        <v>0</v>
      </c>
      <c r="AH229" s="30"/>
    </row>
    <row r="230" spans="1:34" ht="18" customHeight="1" thickTop="1" thickBot="1" x14ac:dyDescent="0.3">
      <c r="A230" s="27">
        <v>164</v>
      </c>
      <c r="B230" s="28">
        <f t="shared" si="314"/>
        <v>0</v>
      </c>
      <c r="C230" s="60">
        <f t="shared" si="283"/>
        <v>0</v>
      </c>
      <c r="D230" s="23">
        <f t="shared" si="284"/>
        <v>0</v>
      </c>
      <c r="E230" s="24">
        <f t="shared" si="285"/>
        <v>0</v>
      </c>
      <c r="F230" s="25">
        <f t="shared" si="313"/>
        <v>0</v>
      </c>
      <c r="G230" s="23">
        <f t="shared" si="286"/>
        <v>0</v>
      </c>
      <c r="H230" s="24">
        <f t="shared" si="287"/>
        <v>0</v>
      </c>
      <c r="I230" s="25">
        <f t="shared" si="288"/>
        <v>0</v>
      </c>
      <c r="J230" s="23">
        <f t="shared" si="289"/>
        <v>0</v>
      </c>
      <c r="K230" s="24">
        <f t="shared" si="290"/>
        <v>0</v>
      </c>
      <c r="L230" s="25">
        <f t="shared" si="291"/>
        <v>0</v>
      </c>
      <c r="M230" s="23">
        <f t="shared" si="292"/>
        <v>0</v>
      </c>
      <c r="N230" s="24">
        <f t="shared" si="293"/>
        <v>0</v>
      </c>
      <c r="O230" s="25">
        <f t="shared" si="294"/>
        <v>0</v>
      </c>
      <c r="P230" s="23">
        <f t="shared" si="295"/>
        <v>0</v>
      </c>
      <c r="Q230" s="24">
        <f t="shared" si="296"/>
        <v>0</v>
      </c>
      <c r="R230" s="25">
        <f t="shared" si="297"/>
        <v>0</v>
      </c>
      <c r="S230" s="23">
        <f t="shared" si="298"/>
        <v>0</v>
      </c>
      <c r="T230" s="24">
        <f t="shared" si="299"/>
        <v>0</v>
      </c>
      <c r="U230" s="25">
        <f t="shared" si="300"/>
        <v>0</v>
      </c>
      <c r="V230" s="23">
        <f t="shared" si="301"/>
        <v>0</v>
      </c>
      <c r="W230" s="24">
        <f t="shared" si="302"/>
        <v>0</v>
      </c>
      <c r="X230" s="25">
        <f t="shared" si="303"/>
        <v>0</v>
      </c>
      <c r="Y230" s="23">
        <f t="shared" si="304"/>
        <v>0</v>
      </c>
      <c r="Z230" s="24">
        <f t="shared" si="305"/>
        <v>0</v>
      </c>
      <c r="AA230" s="25">
        <f t="shared" si="306"/>
        <v>0</v>
      </c>
      <c r="AB230" s="23">
        <f t="shared" si="307"/>
        <v>0</v>
      </c>
      <c r="AC230" s="24">
        <f t="shared" si="308"/>
        <v>0</v>
      </c>
      <c r="AD230" s="25">
        <f t="shared" si="309"/>
        <v>0</v>
      </c>
      <c r="AE230" s="23">
        <f t="shared" si="310"/>
        <v>0</v>
      </c>
      <c r="AF230" s="24">
        <f t="shared" si="311"/>
        <v>0</v>
      </c>
      <c r="AG230" s="25">
        <f t="shared" si="312"/>
        <v>0</v>
      </c>
      <c r="AH230" s="30"/>
    </row>
    <row r="231" spans="1:34" ht="18" customHeight="1" thickTop="1" thickBot="1" x14ac:dyDescent="0.3">
      <c r="A231" s="23">
        <v>165</v>
      </c>
      <c r="B231" s="28">
        <f t="shared" si="314"/>
        <v>0</v>
      </c>
      <c r="C231" s="60">
        <f t="shared" si="283"/>
        <v>0</v>
      </c>
      <c r="D231" s="23">
        <f t="shared" si="284"/>
        <v>0</v>
      </c>
      <c r="E231" s="24">
        <f t="shared" si="285"/>
        <v>0</v>
      </c>
      <c r="F231" s="25">
        <f t="shared" si="313"/>
        <v>0</v>
      </c>
      <c r="G231" s="23">
        <f t="shared" si="286"/>
        <v>0</v>
      </c>
      <c r="H231" s="24">
        <f t="shared" si="287"/>
        <v>0</v>
      </c>
      <c r="I231" s="25">
        <f t="shared" si="288"/>
        <v>0</v>
      </c>
      <c r="J231" s="23">
        <f t="shared" si="289"/>
        <v>0</v>
      </c>
      <c r="K231" s="24">
        <f t="shared" si="290"/>
        <v>0</v>
      </c>
      <c r="L231" s="25">
        <f t="shared" si="291"/>
        <v>0</v>
      </c>
      <c r="M231" s="23">
        <f t="shared" si="292"/>
        <v>0</v>
      </c>
      <c r="N231" s="24">
        <f t="shared" si="293"/>
        <v>0</v>
      </c>
      <c r="O231" s="25">
        <f t="shared" si="294"/>
        <v>0</v>
      </c>
      <c r="P231" s="23">
        <f t="shared" si="295"/>
        <v>0</v>
      </c>
      <c r="Q231" s="24">
        <f t="shared" si="296"/>
        <v>0</v>
      </c>
      <c r="R231" s="25">
        <f t="shared" si="297"/>
        <v>0</v>
      </c>
      <c r="S231" s="23">
        <f t="shared" si="298"/>
        <v>0</v>
      </c>
      <c r="T231" s="24">
        <f t="shared" si="299"/>
        <v>0</v>
      </c>
      <c r="U231" s="25">
        <f t="shared" si="300"/>
        <v>0</v>
      </c>
      <c r="V231" s="23">
        <f t="shared" si="301"/>
        <v>0</v>
      </c>
      <c r="W231" s="24">
        <f t="shared" si="302"/>
        <v>0</v>
      </c>
      <c r="X231" s="25">
        <f t="shared" si="303"/>
        <v>0</v>
      </c>
      <c r="Y231" s="23">
        <f t="shared" si="304"/>
        <v>0</v>
      </c>
      <c r="Z231" s="24">
        <f t="shared" si="305"/>
        <v>0</v>
      </c>
      <c r="AA231" s="25">
        <f t="shared" si="306"/>
        <v>0</v>
      </c>
      <c r="AB231" s="23">
        <f t="shared" si="307"/>
        <v>0</v>
      </c>
      <c r="AC231" s="24">
        <f t="shared" si="308"/>
        <v>0</v>
      </c>
      <c r="AD231" s="25">
        <f t="shared" si="309"/>
        <v>0</v>
      </c>
      <c r="AE231" s="23">
        <f t="shared" si="310"/>
        <v>0</v>
      </c>
      <c r="AF231" s="24">
        <f t="shared" si="311"/>
        <v>0</v>
      </c>
      <c r="AG231" s="25">
        <f t="shared" si="312"/>
        <v>0</v>
      </c>
      <c r="AH231" s="30"/>
    </row>
    <row r="232" spans="1:34" ht="18" customHeight="1" thickTop="1" thickBot="1" x14ac:dyDescent="0.3">
      <c r="A232" s="27">
        <v>166</v>
      </c>
      <c r="B232" s="28">
        <f t="shared" si="314"/>
        <v>0</v>
      </c>
      <c r="C232" s="60">
        <f t="shared" si="283"/>
        <v>0</v>
      </c>
      <c r="D232" s="23">
        <f t="shared" si="284"/>
        <v>0</v>
      </c>
      <c r="E232" s="24">
        <f t="shared" si="285"/>
        <v>0</v>
      </c>
      <c r="F232" s="25">
        <f t="shared" si="313"/>
        <v>0</v>
      </c>
      <c r="G232" s="23">
        <f t="shared" si="286"/>
        <v>0</v>
      </c>
      <c r="H232" s="24">
        <f t="shared" si="287"/>
        <v>0</v>
      </c>
      <c r="I232" s="25">
        <f t="shared" si="288"/>
        <v>0</v>
      </c>
      <c r="J232" s="23">
        <f t="shared" si="289"/>
        <v>0</v>
      </c>
      <c r="K232" s="24">
        <f t="shared" si="290"/>
        <v>0</v>
      </c>
      <c r="L232" s="25">
        <f t="shared" si="291"/>
        <v>0</v>
      </c>
      <c r="M232" s="23">
        <f t="shared" si="292"/>
        <v>0</v>
      </c>
      <c r="N232" s="24">
        <f t="shared" si="293"/>
        <v>0</v>
      </c>
      <c r="O232" s="25">
        <f t="shared" si="294"/>
        <v>0</v>
      </c>
      <c r="P232" s="23">
        <f t="shared" si="295"/>
        <v>0</v>
      </c>
      <c r="Q232" s="24">
        <f t="shared" si="296"/>
        <v>0</v>
      </c>
      <c r="R232" s="25">
        <f t="shared" si="297"/>
        <v>0</v>
      </c>
      <c r="S232" s="23">
        <f t="shared" si="298"/>
        <v>0</v>
      </c>
      <c r="T232" s="24">
        <f t="shared" si="299"/>
        <v>0</v>
      </c>
      <c r="U232" s="25">
        <f t="shared" si="300"/>
        <v>0</v>
      </c>
      <c r="V232" s="23">
        <f t="shared" si="301"/>
        <v>0</v>
      </c>
      <c r="W232" s="24">
        <f t="shared" si="302"/>
        <v>0</v>
      </c>
      <c r="X232" s="25">
        <f t="shared" si="303"/>
        <v>0</v>
      </c>
      <c r="Y232" s="23">
        <f t="shared" si="304"/>
        <v>0</v>
      </c>
      <c r="Z232" s="24">
        <f t="shared" si="305"/>
        <v>0</v>
      </c>
      <c r="AA232" s="25">
        <f t="shared" si="306"/>
        <v>0</v>
      </c>
      <c r="AB232" s="23">
        <f t="shared" si="307"/>
        <v>0</v>
      </c>
      <c r="AC232" s="24">
        <f t="shared" si="308"/>
        <v>0</v>
      </c>
      <c r="AD232" s="25">
        <f t="shared" si="309"/>
        <v>0</v>
      </c>
      <c r="AE232" s="23">
        <f t="shared" si="310"/>
        <v>0</v>
      </c>
      <c r="AF232" s="24">
        <f t="shared" si="311"/>
        <v>0</v>
      </c>
      <c r="AG232" s="25">
        <f t="shared" si="312"/>
        <v>0</v>
      </c>
      <c r="AH232" s="31"/>
    </row>
    <row r="233" spans="1:34" ht="18" customHeight="1" thickTop="1" thickBot="1" x14ac:dyDescent="0.3">
      <c r="A233" s="23">
        <v>167</v>
      </c>
      <c r="B233" s="28">
        <f t="shared" si="314"/>
        <v>0</v>
      </c>
      <c r="C233" s="60">
        <f t="shared" si="283"/>
        <v>0</v>
      </c>
      <c r="D233" s="23">
        <f t="shared" si="284"/>
        <v>0</v>
      </c>
      <c r="E233" s="24">
        <f t="shared" si="285"/>
        <v>0</v>
      </c>
      <c r="F233" s="25">
        <f t="shared" si="313"/>
        <v>0</v>
      </c>
      <c r="G233" s="23">
        <f t="shared" si="286"/>
        <v>0</v>
      </c>
      <c r="H233" s="24">
        <f t="shared" si="287"/>
        <v>0</v>
      </c>
      <c r="I233" s="25">
        <f t="shared" si="288"/>
        <v>0</v>
      </c>
      <c r="J233" s="23">
        <f t="shared" si="289"/>
        <v>0</v>
      </c>
      <c r="K233" s="24">
        <f t="shared" si="290"/>
        <v>0</v>
      </c>
      <c r="L233" s="25">
        <f t="shared" si="291"/>
        <v>0</v>
      </c>
      <c r="M233" s="23">
        <f t="shared" si="292"/>
        <v>0</v>
      </c>
      <c r="N233" s="24">
        <f t="shared" si="293"/>
        <v>0</v>
      </c>
      <c r="O233" s="25">
        <f t="shared" si="294"/>
        <v>0</v>
      </c>
      <c r="P233" s="23">
        <f t="shared" si="295"/>
        <v>0</v>
      </c>
      <c r="Q233" s="24">
        <f t="shared" si="296"/>
        <v>0</v>
      </c>
      <c r="R233" s="25">
        <f t="shared" si="297"/>
        <v>0</v>
      </c>
      <c r="S233" s="23">
        <f t="shared" si="298"/>
        <v>0</v>
      </c>
      <c r="T233" s="24">
        <f t="shared" si="299"/>
        <v>0</v>
      </c>
      <c r="U233" s="25">
        <f t="shared" si="300"/>
        <v>0</v>
      </c>
      <c r="V233" s="23">
        <f t="shared" si="301"/>
        <v>0</v>
      </c>
      <c r="W233" s="24">
        <f t="shared" si="302"/>
        <v>0</v>
      </c>
      <c r="X233" s="25">
        <f t="shared" si="303"/>
        <v>0</v>
      </c>
      <c r="Y233" s="23">
        <f t="shared" si="304"/>
        <v>0</v>
      </c>
      <c r="Z233" s="24">
        <f t="shared" si="305"/>
        <v>0</v>
      </c>
      <c r="AA233" s="25">
        <f t="shared" si="306"/>
        <v>0</v>
      </c>
      <c r="AB233" s="23">
        <f t="shared" si="307"/>
        <v>0</v>
      </c>
      <c r="AC233" s="24">
        <f t="shared" si="308"/>
        <v>0</v>
      </c>
      <c r="AD233" s="25">
        <f t="shared" si="309"/>
        <v>0</v>
      </c>
      <c r="AE233" s="23">
        <f t="shared" si="310"/>
        <v>0</v>
      </c>
      <c r="AF233" s="24">
        <f t="shared" si="311"/>
        <v>0</v>
      </c>
      <c r="AG233" s="25">
        <f t="shared" si="312"/>
        <v>0</v>
      </c>
      <c r="AH233" s="32"/>
    </row>
    <row r="234" spans="1:34" ht="18" customHeight="1" thickTop="1" thickBot="1" x14ac:dyDescent="0.3">
      <c r="A234" s="27">
        <v>168</v>
      </c>
      <c r="B234" s="28">
        <f t="shared" si="314"/>
        <v>0</v>
      </c>
      <c r="C234" s="60">
        <f t="shared" si="283"/>
        <v>0</v>
      </c>
      <c r="D234" s="23">
        <f t="shared" si="284"/>
        <v>0</v>
      </c>
      <c r="E234" s="24">
        <f t="shared" si="285"/>
        <v>0</v>
      </c>
      <c r="F234" s="25">
        <f t="shared" si="313"/>
        <v>0</v>
      </c>
      <c r="G234" s="23">
        <f t="shared" si="286"/>
        <v>0</v>
      </c>
      <c r="H234" s="24">
        <f t="shared" si="287"/>
        <v>0</v>
      </c>
      <c r="I234" s="25">
        <f t="shared" si="288"/>
        <v>0</v>
      </c>
      <c r="J234" s="23">
        <f t="shared" si="289"/>
        <v>0</v>
      </c>
      <c r="K234" s="24">
        <f t="shared" si="290"/>
        <v>0</v>
      </c>
      <c r="L234" s="25">
        <f t="shared" si="291"/>
        <v>0</v>
      </c>
      <c r="M234" s="23">
        <f t="shared" si="292"/>
        <v>0</v>
      </c>
      <c r="N234" s="24">
        <f t="shared" si="293"/>
        <v>0</v>
      </c>
      <c r="O234" s="25">
        <f t="shared" si="294"/>
        <v>0</v>
      </c>
      <c r="P234" s="23">
        <f t="shared" si="295"/>
        <v>0</v>
      </c>
      <c r="Q234" s="24">
        <f t="shared" si="296"/>
        <v>0</v>
      </c>
      <c r="R234" s="25">
        <f t="shared" si="297"/>
        <v>0</v>
      </c>
      <c r="S234" s="23">
        <f t="shared" si="298"/>
        <v>0</v>
      </c>
      <c r="T234" s="24">
        <f t="shared" si="299"/>
        <v>0</v>
      </c>
      <c r="U234" s="25">
        <f t="shared" si="300"/>
        <v>0</v>
      </c>
      <c r="V234" s="23">
        <f t="shared" si="301"/>
        <v>0</v>
      </c>
      <c r="W234" s="24">
        <f t="shared" si="302"/>
        <v>0</v>
      </c>
      <c r="X234" s="25">
        <f t="shared" si="303"/>
        <v>0</v>
      </c>
      <c r="Y234" s="23">
        <f t="shared" si="304"/>
        <v>0</v>
      </c>
      <c r="Z234" s="24">
        <f t="shared" si="305"/>
        <v>0</v>
      </c>
      <c r="AA234" s="25">
        <f t="shared" si="306"/>
        <v>0</v>
      </c>
      <c r="AB234" s="23">
        <f t="shared" si="307"/>
        <v>0</v>
      </c>
      <c r="AC234" s="24">
        <f t="shared" si="308"/>
        <v>0</v>
      </c>
      <c r="AD234" s="25">
        <f t="shared" si="309"/>
        <v>0</v>
      </c>
      <c r="AE234" s="23">
        <f t="shared" si="310"/>
        <v>0</v>
      </c>
      <c r="AF234" s="24">
        <f t="shared" si="311"/>
        <v>0</v>
      </c>
      <c r="AG234" s="25">
        <f t="shared" si="312"/>
        <v>0</v>
      </c>
      <c r="AH234" s="29"/>
    </row>
    <row r="235" spans="1:34" ht="18" customHeight="1" thickTop="1" thickBot="1" x14ac:dyDescent="0.3">
      <c r="A235" s="23">
        <v>169</v>
      </c>
      <c r="B235" s="28">
        <f t="shared" si="314"/>
        <v>0</v>
      </c>
      <c r="C235" s="60">
        <f t="shared" si="283"/>
        <v>0</v>
      </c>
      <c r="D235" s="23">
        <f t="shared" si="284"/>
        <v>0</v>
      </c>
      <c r="E235" s="24">
        <f t="shared" si="285"/>
        <v>0</v>
      </c>
      <c r="F235" s="25">
        <f t="shared" si="313"/>
        <v>0</v>
      </c>
      <c r="G235" s="23">
        <f t="shared" si="286"/>
        <v>0</v>
      </c>
      <c r="H235" s="24">
        <f t="shared" si="287"/>
        <v>0</v>
      </c>
      <c r="I235" s="25">
        <f t="shared" si="288"/>
        <v>0</v>
      </c>
      <c r="J235" s="23">
        <f t="shared" si="289"/>
        <v>0</v>
      </c>
      <c r="K235" s="24">
        <f t="shared" si="290"/>
        <v>0</v>
      </c>
      <c r="L235" s="25">
        <f t="shared" si="291"/>
        <v>0</v>
      </c>
      <c r="M235" s="23">
        <f t="shared" si="292"/>
        <v>0</v>
      </c>
      <c r="N235" s="24">
        <f t="shared" si="293"/>
        <v>0</v>
      </c>
      <c r="O235" s="25">
        <f t="shared" si="294"/>
        <v>0</v>
      </c>
      <c r="P235" s="23">
        <f t="shared" si="295"/>
        <v>0</v>
      </c>
      <c r="Q235" s="24">
        <f t="shared" si="296"/>
        <v>0</v>
      </c>
      <c r="R235" s="25">
        <f t="shared" si="297"/>
        <v>0</v>
      </c>
      <c r="S235" s="23">
        <f t="shared" si="298"/>
        <v>0</v>
      </c>
      <c r="T235" s="24">
        <f t="shared" si="299"/>
        <v>0</v>
      </c>
      <c r="U235" s="25">
        <f t="shared" si="300"/>
        <v>0</v>
      </c>
      <c r="V235" s="23">
        <f t="shared" si="301"/>
        <v>0</v>
      </c>
      <c r="W235" s="24">
        <f t="shared" si="302"/>
        <v>0</v>
      </c>
      <c r="X235" s="25">
        <f t="shared" si="303"/>
        <v>0</v>
      </c>
      <c r="Y235" s="23">
        <f t="shared" si="304"/>
        <v>0</v>
      </c>
      <c r="Z235" s="24">
        <f t="shared" si="305"/>
        <v>0</v>
      </c>
      <c r="AA235" s="25">
        <f t="shared" si="306"/>
        <v>0</v>
      </c>
      <c r="AB235" s="23">
        <f t="shared" si="307"/>
        <v>0</v>
      </c>
      <c r="AC235" s="24">
        <f t="shared" si="308"/>
        <v>0</v>
      </c>
      <c r="AD235" s="25">
        <f t="shared" si="309"/>
        <v>0</v>
      </c>
      <c r="AE235" s="23">
        <f t="shared" si="310"/>
        <v>0</v>
      </c>
      <c r="AF235" s="24">
        <f t="shared" si="311"/>
        <v>0</v>
      </c>
      <c r="AG235" s="25">
        <f t="shared" si="312"/>
        <v>0</v>
      </c>
      <c r="AH235" s="31"/>
    </row>
    <row r="236" spans="1:34" ht="18" customHeight="1" thickTop="1" thickBot="1" x14ac:dyDescent="0.3">
      <c r="A236" s="27">
        <v>170</v>
      </c>
      <c r="B236" s="28">
        <f t="shared" si="314"/>
        <v>0</v>
      </c>
      <c r="C236" s="60">
        <f t="shared" si="283"/>
        <v>0</v>
      </c>
      <c r="D236" s="23">
        <f t="shared" si="284"/>
        <v>0</v>
      </c>
      <c r="E236" s="24">
        <f t="shared" si="285"/>
        <v>0</v>
      </c>
      <c r="F236" s="25">
        <f t="shared" si="313"/>
        <v>0</v>
      </c>
      <c r="G236" s="23">
        <f t="shared" si="286"/>
        <v>0</v>
      </c>
      <c r="H236" s="24">
        <f t="shared" si="287"/>
        <v>0</v>
      </c>
      <c r="I236" s="25">
        <f t="shared" si="288"/>
        <v>0</v>
      </c>
      <c r="J236" s="23">
        <f t="shared" si="289"/>
        <v>0</v>
      </c>
      <c r="K236" s="24">
        <f t="shared" si="290"/>
        <v>0</v>
      </c>
      <c r="L236" s="25">
        <f t="shared" si="291"/>
        <v>0</v>
      </c>
      <c r="M236" s="23">
        <f t="shared" si="292"/>
        <v>0</v>
      </c>
      <c r="N236" s="24">
        <f t="shared" si="293"/>
        <v>0</v>
      </c>
      <c r="O236" s="25">
        <f t="shared" si="294"/>
        <v>0</v>
      </c>
      <c r="P236" s="23">
        <f t="shared" si="295"/>
        <v>0</v>
      </c>
      <c r="Q236" s="24">
        <f t="shared" si="296"/>
        <v>0</v>
      </c>
      <c r="R236" s="25">
        <f t="shared" si="297"/>
        <v>0</v>
      </c>
      <c r="S236" s="23">
        <f t="shared" si="298"/>
        <v>0</v>
      </c>
      <c r="T236" s="24">
        <f t="shared" si="299"/>
        <v>0</v>
      </c>
      <c r="U236" s="25">
        <f t="shared" si="300"/>
        <v>0</v>
      </c>
      <c r="V236" s="23">
        <f t="shared" si="301"/>
        <v>0</v>
      </c>
      <c r="W236" s="24">
        <f t="shared" si="302"/>
        <v>0</v>
      </c>
      <c r="X236" s="25">
        <f t="shared" si="303"/>
        <v>0</v>
      </c>
      <c r="Y236" s="23">
        <f t="shared" si="304"/>
        <v>0</v>
      </c>
      <c r="Z236" s="24">
        <f t="shared" si="305"/>
        <v>0</v>
      </c>
      <c r="AA236" s="25">
        <f t="shared" si="306"/>
        <v>0</v>
      </c>
      <c r="AB236" s="23">
        <f t="shared" si="307"/>
        <v>0</v>
      </c>
      <c r="AC236" s="24">
        <f t="shared" si="308"/>
        <v>0</v>
      </c>
      <c r="AD236" s="25">
        <f t="shared" si="309"/>
        <v>0</v>
      </c>
      <c r="AE236" s="23">
        <f t="shared" si="310"/>
        <v>0</v>
      </c>
      <c r="AF236" s="24">
        <f t="shared" si="311"/>
        <v>0</v>
      </c>
      <c r="AG236" s="25">
        <f t="shared" si="312"/>
        <v>0</v>
      </c>
      <c r="AH236" s="33"/>
    </row>
    <row r="237" spans="1:34" ht="18" customHeight="1" thickTop="1" thickBot="1" x14ac:dyDescent="0.3">
      <c r="A237" s="23">
        <v>171</v>
      </c>
      <c r="B237" s="28">
        <f t="shared" si="314"/>
        <v>0</v>
      </c>
      <c r="C237" s="60">
        <f t="shared" si="283"/>
        <v>0</v>
      </c>
      <c r="D237" s="23">
        <f t="shared" si="284"/>
        <v>0</v>
      </c>
      <c r="E237" s="24">
        <f t="shared" si="285"/>
        <v>0</v>
      </c>
      <c r="F237" s="25">
        <f t="shared" si="313"/>
        <v>0</v>
      </c>
      <c r="G237" s="23">
        <f t="shared" si="286"/>
        <v>0</v>
      </c>
      <c r="H237" s="24">
        <f t="shared" si="287"/>
        <v>0</v>
      </c>
      <c r="I237" s="25">
        <f t="shared" si="288"/>
        <v>0</v>
      </c>
      <c r="J237" s="23">
        <f t="shared" si="289"/>
        <v>0</v>
      </c>
      <c r="K237" s="24">
        <f t="shared" si="290"/>
        <v>0</v>
      </c>
      <c r="L237" s="25">
        <f t="shared" si="291"/>
        <v>0</v>
      </c>
      <c r="M237" s="23">
        <f t="shared" si="292"/>
        <v>0</v>
      </c>
      <c r="N237" s="24">
        <f t="shared" si="293"/>
        <v>0</v>
      </c>
      <c r="O237" s="25">
        <f t="shared" si="294"/>
        <v>0</v>
      </c>
      <c r="P237" s="23">
        <f t="shared" si="295"/>
        <v>0</v>
      </c>
      <c r="Q237" s="24">
        <f t="shared" si="296"/>
        <v>0</v>
      </c>
      <c r="R237" s="25">
        <f t="shared" si="297"/>
        <v>0</v>
      </c>
      <c r="S237" s="23">
        <f t="shared" si="298"/>
        <v>0</v>
      </c>
      <c r="T237" s="24">
        <f t="shared" si="299"/>
        <v>0</v>
      </c>
      <c r="U237" s="25">
        <f t="shared" si="300"/>
        <v>0</v>
      </c>
      <c r="V237" s="23">
        <f t="shared" si="301"/>
        <v>0</v>
      </c>
      <c r="W237" s="24">
        <f t="shared" si="302"/>
        <v>0</v>
      </c>
      <c r="X237" s="25">
        <f t="shared" si="303"/>
        <v>0</v>
      </c>
      <c r="Y237" s="23">
        <f t="shared" si="304"/>
        <v>0</v>
      </c>
      <c r="Z237" s="24">
        <f t="shared" si="305"/>
        <v>0</v>
      </c>
      <c r="AA237" s="25">
        <f t="shared" si="306"/>
        <v>0</v>
      </c>
      <c r="AB237" s="23">
        <f t="shared" si="307"/>
        <v>0</v>
      </c>
      <c r="AC237" s="24">
        <f t="shared" si="308"/>
        <v>0</v>
      </c>
      <c r="AD237" s="25">
        <f t="shared" si="309"/>
        <v>0</v>
      </c>
      <c r="AE237" s="23">
        <f t="shared" si="310"/>
        <v>0</v>
      </c>
      <c r="AF237" s="24">
        <f t="shared" si="311"/>
        <v>0</v>
      </c>
      <c r="AG237" s="25">
        <f t="shared" si="312"/>
        <v>0</v>
      </c>
      <c r="AH237" s="29"/>
    </row>
    <row r="238" spans="1:34" ht="18" customHeight="1" thickTop="1" thickBot="1" x14ac:dyDescent="0.3">
      <c r="A238" s="27">
        <v>172</v>
      </c>
      <c r="B238" s="28">
        <f t="shared" si="314"/>
        <v>0</v>
      </c>
      <c r="C238" s="60">
        <f t="shared" si="283"/>
        <v>0</v>
      </c>
      <c r="D238" s="23">
        <f t="shared" si="284"/>
        <v>0</v>
      </c>
      <c r="E238" s="24">
        <f t="shared" si="285"/>
        <v>0</v>
      </c>
      <c r="F238" s="25">
        <f t="shared" si="313"/>
        <v>0</v>
      </c>
      <c r="G238" s="23">
        <f t="shared" si="286"/>
        <v>0</v>
      </c>
      <c r="H238" s="24">
        <f t="shared" si="287"/>
        <v>0</v>
      </c>
      <c r="I238" s="25">
        <f t="shared" si="288"/>
        <v>0</v>
      </c>
      <c r="J238" s="23">
        <f t="shared" si="289"/>
        <v>0</v>
      </c>
      <c r="K238" s="24">
        <f t="shared" si="290"/>
        <v>0</v>
      </c>
      <c r="L238" s="25">
        <f t="shared" si="291"/>
        <v>0</v>
      </c>
      <c r="M238" s="23">
        <f t="shared" si="292"/>
        <v>0</v>
      </c>
      <c r="N238" s="24">
        <f t="shared" si="293"/>
        <v>0</v>
      </c>
      <c r="O238" s="25">
        <f t="shared" si="294"/>
        <v>0</v>
      </c>
      <c r="P238" s="23">
        <f t="shared" si="295"/>
        <v>0</v>
      </c>
      <c r="Q238" s="24">
        <f t="shared" si="296"/>
        <v>0</v>
      </c>
      <c r="R238" s="25">
        <f t="shared" si="297"/>
        <v>0</v>
      </c>
      <c r="S238" s="23">
        <f t="shared" si="298"/>
        <v>0</v>
      </c>
      <c r="T238" s="24">
        <f t="shared" si="299"/>
        <v>0</v>
      </c>
      <c r="U238" s="25">
        <f t="shared" si="300"/>
        <v>0</v>
      </c>
      <c r="V238" s="23">
        <f t="shared" si="301"/>
        <v>0</v>
      </c>
      <c r="W238" s="24">
        <f t="shared" si="302"/>
        <v>0</v>
      </c>
      <c r="X238" s="25">
        <f t="shared" si="303"/>
        <v>0</v>
      </c>
      <c r="Y238" s="23">
        <f t="shared" si="304"/>
        <v>0</v>
      </c>
      <c r="Z238" s="24">
        <f t="shared" si="305"/>
        <v>0</v>
      </c>
      <c r="AA238" s="25">
        <f t="shared" si="306"/>
        <v>0</v>
      </c>
      <c r="AB238" s="23">
        <f t="shared" si="307"/>
        <v>0</v>
      </c>
      <c r="AC238" s="24">
        <f t="shared" si="308"/>
        <v>0</v>
      </c>
      <c r="AD238" s="25">
        <f t="shared" si="309"/>
        <v>0</v>
      </c>
      <c r="AE238" s="23">
        <f t="shared" si="310"/>
        <v>0</v>
      </c>
      <c r="AF238" s="24">
        <f t="shared" si="311"/>
        <v>0</v>
      </c>
      <c r="AG238" s="25">
        <f t="shared" si="312"/>
        <v>0</v>
      </c>
      <c r="AH238" s="31"/>
    </row>
    <row r="239" spans="1:34" ht="18" customHeight="1" thickTop="1" thickBot="1" x14ac:dyDescent="0.3">
      <c r="A239" s="23">
        <v>173</v>
      </c>
      <c r="B239" s="28">
        <f t="shared" si="314"/>
        <v>0</v>
      </c>
      <c r="C239" s="60">
        <f t="shared" si="283"/>
        <v>0</v>
      </c>
      <c r="D239" s="23">
        <f t="shared" si="284"/>
        <v>0</v>
      </c>
      <c r="E239" s="24">
        <f t="shared" si="285"/>
        <v>0</v>
      </c>
      <c r="F239" s="25">
        <f t="shared" si="313"/>
        <v>0</v>
      </c>
      <c r="G239" s="23">
        <f t="shared" si="286"/>
        <v>0</v>
      </c>
      <c r="H239" s="24">
        <f t="shared" si="287"/>
        <v>0</v>
      </c>
      <c r="I239" s="25">
        <f t="shared" si="288"/>
        <v>0</v>
      </c>
      <c r="J239" s="23">
        <f t="shared" si="289"/>
        <v>0</v>
      </c>
      <c r="K239" s="24">
        <f t="shared" si="290"/>
        <v>0</v>
      </c>
      <c r="L239" s="25">
        <f t="shared" si="291"/>
        <v>0</v>
      </c>
      <c r="M239" s="23">
        <f t="shared" si="292"/>
        <v>0</v>
      </c>
      <c r="N239" s="24">
        <f t="shared" si="293"/>
        <v>0</v>
      </c>
      <c r="O239" s="25">
        <f t="shared" si="294"/>
        <v>0</v>
      </c>
      <c r="P239" s="23">
        <f t="shared" si="295"/>
        <v>0</v>
      </c>
      <c r="Q239" s="24">
        <f t="shared" si="296"/>
        <v>0</v>
      </c>
      <c r="R239" s="25">
        <f t="shared" si="297"/>
        <v>0</v>
      </c>
      <c r="S239" s="23">
        <f t="shared" si="298"/>
        <v>0</v>
      </c>
      <c r="T239" s="24">
        <f t="shared" si="299"/>
        <v>0</v>
      </c>
      <c r="U239" s="25">
        <f t="shared" si="300"/>
        <v>0</v>
      </c>
      <c r="V239" s="23">
        <f t="shared" si="301"/>
        <v>0</v>
      </c>
      <c r="W239" s="24">
        <f t="shared" si="302"/>
        <v>0</v>
      </c>
      <c r="X239" s="25">
        <f t="shared" si="303"/>
        <v>0</v>
      </c>
      <c r="Y239" s="23">
        <f t="shared" si="304"/>
        <v>0</v>
      </c>
      <c r="Z239" s="24">
        <f t="shared" si="305"/>
        <v>0</v>
      </c>
      <c r="AA239" s="25">
        <f t="shared" si="306"/>
        <v>0</v>
      </c>
      <c r="AB239" s="23">
        <f t="shared" si="307"/>
        <v>0</v>
      </c>
      <c r="AC239" s="24">
        <f t="shared" si="308"/>
        <v>0</v>
      </c>
      <c r="AD239" s="25">
        <f t="shared" si="309"/>
        <v>0</v>
      </c>
      <c r="AE239" s="23">
        <f t="shared" si="310"/>
        <v>0</v>
      </c>
      <c r="AF239" s="24">
        <f t="shared" si="311"/>
        <v>0</v>
      </c>
      <c r="AG239" s="25">
        <f t="shared" si="312"/>
        <v>0</v>
      </c>
      <c r="AH239" s="33"/>
    </row>
    <row r="240" spans="1:34" ht="18" customHeight="1" thickTop="1" thickBot="1" x14ac:dyDescent="0.3">
      <c r="A240" s="27">
        <v>174</v>
      </c>
      <c r="B240" s="28">
        <f t="shared" si="314"/>
        <v>0</v>
      </c>
      <c r="C240" s="60">
        <f t="shared" si="283"/>
        <v>0</v>
      </c>
      <c r="D240" s="23">
        <f t="shared" si="284"/>
        <v>0</v>
      </c>
      <c r="E240" s="24">
        <f t="shared" si="285"/>
        <v>0</v>
      </c>
      <c r="F240" s="25">
        <f t="shared" si="313"/>
        <v>0</v>
      </c>
      <c r="G240" s="23">
        <f t="shared" si="286"/>
        <v>0</v>
      </c>
      <c r="H240" s="24">
        <f t="shared" si="287"/>
        <v>0</v>
      </c>
      <c r="I240" s="25">
        <f t="shared" si="288"/>
        <v>0</v>
      </c>
      <c r="J240" s="23">
        <f t="shared" si="289"/>
        <v>0</v>
      </c>
      <c r="K240" s="24">
        <f t="shared" si="290"/>
        <v>0</v>
      </c>
      <c r="L240" s="25">
        <f t="shared" si="291"/>
        <v>0</v>
      </c>
      <c r="M240" s="23">
        <f t="shared" si="292"/>
        <v>0</v>
      </c>
      <c r="N240" s="24">
        <f t="shared" si="293"/>
        <v>0</v>
      </c>
      <c r="O240" s="25">
        <f t="shared" si="294"/>
        <v>0</v>
      </c>
      <c r="P240" s="23">
        <f t="shared" si="295"/>
        <v>0</v>
      </c>
      <c r="Q240" s="24">
        <f t="shared" si="296"/>
        <v>0</v>
      </c>
      <c r="R240" s="25">
        <f t="shared" si="297"/>
        <v>0</v>
      </c>
      <c r="S240" s="23">
        <f t="shared" si="298"/>
        <v>0</v>
      </c>
      <c r="T240" s="24">
        <f t="shared" si="299"/>
        <v>0</v>
      </c>
      <c r="U240" s="25">
        <f t="shared" si="300"/>
        <v>0</v>
      </c>
      <c r="V240" s="23">
        <f t="shared" si="301"/>
        <v>0</v>
      </c>
      <c r="W240" s="24">
        <f t="shared" si="302"/>
        <v>0</v>
      </c>
      <c r="X240" s="25">
        <f t="shared" si="303"/>
        <v>0</v>
      </c>
      <c r="Y240" s="23">
        <f t="shared" si="304"/>
        <v>0</v>
      </c>
      <c r="Z240" s="24">
        <f t="shared" si="305"/>
        <v>0</v>
      </c>
      <c r="AA240" s="25">
        <f t="shared" si="306"/>
        <v>0</v>
      </c>
      <c r="AB240" s="23">
        <f t="shared" si="307"/>
        <v>0</v>
      </c>
      <c r="AC240" s="24">
        <f t="shared" si="308"/>
        <v>0</v>
      </c>
      <c r="AD240" s="25">
        <f t="shared" si="309"/>
        <v>0</v>
      </c>
      <c r="AE240" s="23">
        <f t="shared" si="310"/>
        <v>0</v>
      </c>
      <c r="AF240" s="24">
        <f t="shared" si="311"/>
        <v>0</v>
      </c>
      <c r="AG240" s="25">
        <f t="shared" si="312"/>
        <v>0</v>
      </c>
      <c r="AH240" s="29"/>
    </row>
    <row r="241" spans="1:34" ht="18" customHeight="1" thickTop="1" thickBot="1" x14ac:dyDescent="0.3">
      <c r="A241" s="23">
        <v>175</v>
      </c>
      <c r="B241" s="28">
        <f t="shared" si="314"/>
        <v>0</v>
      </c>
      <c r="C241" s="60">
        <f t="shared" si="283"/>
        <v>0</v>
      </c>
      <c r="D241" s="23">
        <f t="shared" si="284"/>
        <v>0</v>
      </c>
      <c r="E241" s="24">
        <f t="shared" si="285"/>
        <v>0</v>
      </c>
      <c r="F241" s="25">
        <f t="shared" si="313"/>
        <v>0</v>
      </c>
      <c r="G241" s="23">
        <f t="shared" si="286"/>
        <v>0</v>
      </c>
      <c r="H241" s="24">
        <f t="shared" si="287"/>
        <v>0</v>
      </c>
      <c r="I241" s="25">
        <f t="shared" si="288"/>
        <v>0</v>
      </c>
      <c r="J241" s="23">
        <f t="shared" si="289"/>
        <v>0</v>
      </c>
      <c r="K241" s="24">
        <f t="shared" si="290"/>
        <v>0</v>
      </c>
      <c r="L241" s="25">
        <f t="shared" si="291"/>
        <v>0</v>
      </c>
      <c r="M241" s="23">
        <f t="shared" si="292"/>
        <v>0</v>
      </c>
      <c r="N241" s="24">
        <f t="shared" si="293"/>
        <v>0</v>
      </c>
      <c r="O241" s="25">
        <f t="shared" si="294"/>
        <v>0</v>
      </c>
      <c r="P241" s="23">
        <f t="shared" si="295"/>
        <v>0</v>
      </c>
      <c r="Q241" s="24">
        <f t="shared" si="296"/>
        <v>0</v>
      </c>
      <c r="R241" s="25">
        <f t="shared" si="297"/>
        <v>0</v>
      </c>
      <c r="S241" s="23">
        <f t="shared" si="298"/>
        <v>0</v>
      </c>
      <c r="T241" s="24">
        <f t="shared" si="299"/>
        <v>0</v>
      </c>
      <c r="U241" s="25">
        <f t="shared" si="300"/>
        <v>0</v>
      </c>
      <c r="V241" s="23">
        <f t="shared" si="301"/>
        <v>0</v>
      </c>
      <c r="W241" s="24">
        <f t="shared" si="302"/>
        <v>0</v>
      </c>
      <c r="X241" s="25">
        <f t="shared" si="303"/>
        <v>0</v>
      </c>
      <c r="Y241" s="23">
        <f t="shared" si="304"/>
        <v>0</v>
      </c>
      <c r="Z241" s="24">
        <f t="shared" si="305"/>
        <v>0</v>
      </c>
      <c r="AA241" s="25">
        <f t="shared" si="306"/>
        <v>0</v>
      </c>
      <c r="AB241" s="23">
        <f t="shared" si="307"/>
        <v>0</v>
      </c>
      <c r="AC241" s="24">
        <f t="shared" si="308"/>
        <v>0</v>
      </c>
      <c r="AD241" s="25">
        <f t="shared" si="309"/>
        <v>0</v>
      </c>
      <c r="AE241" s="23">
        <f t="shared" si="310"/>
        <v>0</v>
      </c>
      <c r="AF241" s="24">
        <f t="shared" si="311"/>
        <v>0</v>
      </c>
      <c r="AG241" s="25">
        <f t="shared" si="312"/>
        <v>0</v>
      </c>
      <c r="AH241" s="31"/>
    </row>
    <row r="242" spans="1:34" ht="18" customHeight="1" thickTop="1" thickBot="1" x14ac:dyDescent="0.3">
      <c r="A242" s="27">
        <v>176</v>
      </c>
      <c r="B242" s="28">
        <f t="shared" si="314"/>
        <v>0</v>
      </c>
      <c r="C242" s="60">
        <f t="shared" si="283"/>
        <v>0</v>
      </c>
      <c r="D242" s="23">
        <f t="shared" si="284"/>
        <v>0</v>
      </c>
      <c r="E242" s="24">
        <f t="shared" si="285"/>
        <v>0</v>
      </c>
      <c r="F242" s="25">
        <f t="shared" si="313"/>
        <v>0</v>
      </c>
      <c r="G242" s="23">
        <f t="shared" si="286"/>
        <v>0</v>
      </c>
      <c r="H242" s="24">
        <f t="shared" si="287"/>
        <v>0</v>
      </c>
      <c r="I242" s="25">
        <f t="shared" si="288"/>
        <v>0</v>
      </c>
      <c r="J242" s="23">
        <f t="shared" si="289"/>
        <v>0</v>
      </c>
      <c r="K242" s="24">
        <f t="shared" si="290"/>
        <v>0</v>
      </c>
      <c r="L242" s="25">
        <f t="shared" si="291"/>
        <v>0</v>
      </c>
      <c r="M242" s="23">
        <f t="shared" si="292"/>
        <v>0</v>
      </c>
      <c r="N242" s="24">
        <f t="shared" si="293"/>
        <v>0</v>
      </c>
      <c r="O242" s="25">
        <f t="shared" si="294"/>
        <v>0</v>
      </c>
      <c r="P242" s="23">
        <f t="shared" si="295"/>
        <v>0</v>
      </c>
      <c r="Q242" s="24">
        <f t="shared" si="296"/>
        <v>0</v>
      </c>
      <c r="R242" s="25">
        <f t="shared" si="297"/>
        <v>0</v>
      </c>
      <c r="S242" s="23">
        <f t="shared" si="298"/>
        <v>0</v>
      </c>
      <c r="T242" s="24">
        <f t="shared" si="299"/>
        <v>0</v>
      </c>
      <c r="U242" s="25">
        <f t="shared" si="300"/>
        <v>0</v>
      </c>
      <c r="V242" s="23">
        <f t="shared" si="301"/>
        <v>0</v>
      </c>
      <c r="W242" s="24">
        <f t="shared" si="302"/>
        <v>0</v>
      </c>
      <c r="X242" s="25">
        <f t="shared" si="303"/>
        <v>0</v>
      </c>
      <c r="Y242" s="23">
        <f t="shared" si="304"/>
        <v>0</v>
      </c>
      <c r="Z242" s="24">
        <f t="shared" si="305"/>
        <v>0</v>
      </c>
      <c r="AA242" s="25">
        <f t="shared" si="306"/>
        <v>0</v>
      </c>
      <c r="AB242" s="23">
        <f t="shared" si="307"/>
        <v>0</v>
      </c>
      <c r="AC242" s="24">
        <f t="shared" si="308"/>
        <v>0</v>
      </c>
      <c r="AD242" s="25">
        <f t="shared" si="309"/>
        <v>0</v>
      </c>
      <c r="AE242" s="23">
        <f t="shared" si="310"/>
        <v>0</v>
      </c>
      <c r="AF242" s="24">
        <f t="shared" si="311"/>
        <v>0</v>
      </c>
      <c r="AG242" s="25">
        <f t="shared" si="312"/>
        <v>0</v>
      </c>
      <c r="AH242" s="29"/>
    </row>
    <row r="243" spans="1:34" ht="18" customHeight="1" thickTop="1" thickBot="1" x14ac:dyDescent="0.3">
      <c r="A243" s="23">
        <v>177</v>
      </c>
      <c r="B243" s="28">
        <f t="shared" si="314"/>
        <v>0</v>
      </c>
      <c r="C243" s="60">
        <f t="shared" si="283"/>
        <v>0</v>
      </c>
      <c r="D243" s="23">
        <f t="shared" si="284"/>
        <v>0</v>
      </c>
      <c r="E243" s="24">
        <f t="shared" si="285"/>
        <v>0</v>
      </c>
      <c r="F243" s="25">
        <f t="shared" si="313"/>
        <v>0</v>
      </c>
      <c r="G243" s="23">
        <f t="shared" si="286"/>
        <v>0</v>
      </c>
      <c r="H243" s="24">
        <f t="shared" si="287"/>
        <v>0</v>
      </c>
      <c r="I243" s="25">
        <f t="shared" si="288"/>
        <v>0</v>
      </c>
      <c r="J243" s="23">
        <f t="shared" si="289"/>
        <v>0</v>
      </c>
      <c r="K243" s="24">
        <f t="shared" si="290"/>
        <v>0</v>
      </c>
      <c r="L243" s="25">
        <f t="shared" si="291"/>
        <v>0</v>
      </c>
      <c r="M243" s="23">
        <f t="shared" si="292"/>
        <v>0</v>
      </c>
      <c r="N243" s="24">
        <f t="shared" si="293"/>
        <v>0</v>
      </c>
      <c r="O243" s="25">
        <f t="shared" si="294"/>
        <v>0</v>
      </c>
      <c r="P243" s="23">
        <f t="shared" si="295"/>
        <v>0</v>
      </c>
      <c r="Q243" s="24">
        <f t="shared" si="296"/>
        <v>0</v>
      </c>
      <c r="R243" s="25">
        <f t="shared" si="297"/>
        <v>0</v>
      </c>
      <c r="S243" s="23">
        <f t="shared" si="298"/>
        <v>0</v>
      </c>
      <c r="T243" s="24">
        <f t="shared" si="299"/>
        <v>0</v>
      </c>
      <c r="U243" s="25">
        <f t="shared" si="300"/>
        <v>0</v>
      </c>
      <c r="V243" s="23">
        <f t="shared" si="301"/>
        <v>0</v>
      </c>
      <c r="W243" s="24">
        <f t="shared" si="302"/>
        <v>0</v>
      </c>
      <c r="X243" s="25">
        <f t="shared" si="303"/>
        <v>0</v>
      </c>
      <c r="Y243" s="23">
        <f t="shared" si="304"/>
        <v>0</v>
      </c>
      <c r="Z243" s="24">
        <f t="shared" si="305"/>
        <v>0</v>
      </c>
      <c r="AA243" s="25">
        <f t="shared" si="306"/>
        <v>0</v>
      </c>
      <c r="AB243" s="23">
        <f t="shared" si="307"/>
        <v>0</v>
      </c>
      <c r="AC243" s="24">
        <f t="shared" si="308"/>
        <v>0</v>
      </c>
      <c r="AD243" s="25">
        <f t="shared" si="309"/>
        <v>0</v>
      </c>
      <c r="AE243" s="23">
        <f t="shared" si="310"/>
        <v>0</v>
      </c>
      <c r="AF243" s="24">
        <f t="shared" si="311"/>
        <v>0</v>
      </c>
      <c r="AG243" s="25">
        <f t="shared" si="312"/>
        <v>0</v>
      </c>
      <c r="AH243" s="31"/>
    </row>
    <row r="244" spans="1:34" ht="18" customHeight="1" thickTop="1" thickBot="1" x14ac:dyDescent="0.3">
      <c r="A244" s="27">
        <v>178</v>
      </c>
      <c r="B244" s="28">
        <f t="shared" si="314"/>
        <v>0</v>
      </c>
      <c r="C244" s="60">
        <f t="shared" si="283"/>
        <v>0</v>
      </c>
      <c r="D244" s="23">
        <f t="shared" si="284"/>
        <v>0</v>
      </c>
      <c r="E244" s="24">
        <f t="shared" si="285"/>
        <v>0</v>
      </c>
      <c r="F244" s="25">
        <f t="shared" si="313"/>
        <v>0</v>
      </c>
      <c r="G244" s="23">
        <f t="shared" si="286"/>
        <v>0</v>
      </c>
      <c r="H244" s="24">
        <f t="shared" si="287"/>
        <v>0</v>
      </c>
      <c r="I244" s="25">
        <f t="shared" si="288"/>
        <v>0</v>
      </c>
      <c r="J244" s="23">
        <f t="shared" si="289"/>
        <v>0</v>
      </c>
      <c r="K244" s="24">
        <f t="shared" si="290"/>
        <v>0</v>
      </c>
      <c r="L244" s="25">
        <f t="shared" si="291"/>
        <v>0</v>
      </c>
      <c r="M244" s="23">
        <f t="shared" si="292"/>
        <v>0</v>
      </c>
      <c r="N244" s="24">
        <f t="shared" si="293"/>
        <v>0</v>
      </c>
      <c r="O244" s="25">
        <f t="shared" si="294"/>
        <v>0</v>
      </c>
      <c r="P244" s="23">
        <f t="shared" si="295"/>
        <v>0</v>
      </c>
      <c r="Q244" s="24">
        <f t="shared" si="296"/>
        <v>0</v>
      </c>
      <c r="R244" s="25">
        <f t="shared" si="297"/>
        <v>0</v>
      </c>
      <c r="S244" s="23">
        <f t="shared" si="298"/>
        <v>0</v>
      </c>
      <c r="T244" s="24">
        <f t="shared" si="299"/>
        <v>0</v>
      </c>
      <c r="U244" s="25">
        <f t="shared" si="300"/>
        <v>0</v>
      </c>
      <c r="V244" s="23">
        <f t="shared" si="301"/>
        <v>0</v>
      </c>
      <c r="W244" s="24">
        <f t="shared" si="302"/>
        <v>0</v>
      </c>
      <c r="X244" s="25">
        <f t="shared" si="303"/>
        <v>0</v>
      </c>
      <c r="Y244" s="23">
        <f t="shared" si="304"/>
        <v>0</v>
      </c>
      <c r="Z244" s="24">
        <f t="shared" si="305"/>
        <v>0</v>
      </c>
      <c r="AA244" s="25">
        <f t="shared" si="306"/>
        <v>0</v>
      </c>
      <c r="AB244" s="23">
        <f t="shared" si="307"/>
        <v>0</v>
      </c>
      <c r="AC244" s="24">
        <f t="shared" si="308"/>
        <v>0</v>
      </c>
      <c r="AD244" s="25">
        <f t="shared" si="309"/>
        <v>0</v>
      </c>
      <c r="AE244" s="23">
        <f t="shared" si="310"/>
        <v>0</v>
      </c>
      <c r="AF244" s="24">
        <f t="shared" si="311"/>
        <v>0</v>
      </c>
      <c r="AG244" s="25">
        <f t="shared" si="312"/>
        <v>0</v>
      </c>
      <c r="AH244" s="31"/>
    </row>
    <row r="245" spans="1:34" ht="18" customHeight="1" thickTop="1" thickBot="1" x14ac:dyDescent="0.3">
      <c r="A245" s="23">
        <v>179</v>
      </c>
      <c r="B245" s="28">
        <f t="shared" si="314"/>
        <v>0</v>
      </c>
      <c r="C245" s="60">
        <f t="shared" si="283"/>
        <v>0</v>
      </c>
      <c r="D245" s="23">
        <f t="shared" si="284"/>
        <v>0</v>
      </c>
      <c r="E245" s="24">
        <f t="shared" si="285"/>
        <v>0</v>
      </c>
      <c r="F245" s="25">
        <f t="shared" si="313"/>
        <v>0</v>
      </c>
      <c r="G245" s="23">
        <f t="shared" si="286"/>
        <v>0</v>
      </c>
      <c r="H245" s="24">
        <f t="shared" si="287"/>
        <v>0</v>
      </c>
      <c r="I245" s="25">
        <f t="shared" si="288"/>
        <v>0</v>
      </c>
      <c r="J245" s="23">
        <f t="shared" si="289"/>
        <v>0</v>
      </c>
      <c r="K245" s="24">
        <f t="shared" si="290"/>
        <v>0</v>
      </c>
      <c r="L245" s="25">
        <f t="shared" si="291"/>
        <v>0</v>
      </c>
      <c r="M245" s="23">
        <f t="shared" si="292"/>
        <v>0</v>
      </c>
      <c r="N245" s="24">
        <f t="shared" si="293"/>
        <v>0</v>
      </c>
      <c r="O245" s="25">
        <f t="shared" si="294"/>
        <v>0</v>
      </c>
      <c r="P245" s="23">
        <f t="shared" si="295"/>
        <v>0</v>
      </c>
      <c r="Q245" s="24">
        <f t="shared" si="296"/>
        <v>0</v>
      </c>
      <c r="R245" s="25">
        <f t="shared" si="297"/>
        <v>0</v>
      </c>
      <c r="S245" s="23">
        <f t="shared" si="298"/>
        <v>0</v>
      </c>
      <c r="T245" s="24">
        <f t="shared" si="299"/>
        <v>0</v>
      </c>
      <c r="U245" s="25">
        <f t="shared" si="300"/>
        <v>0</v>
      </c>
      <c r="V245" s="23">
        <f t="shared" si="301"/>
        <v>0</v>
      </c>
      <c r="W245" s="24">
        <f t="shared" si="302"/>
        <v>0</v>
      </c>
      <c r="X245" s="25">
        <f t="shared" si="303"/>
        <v>0</v>
      </c>
      <c r="Y245" s="23">
        <f t="shared" si="304"/>
        <v>0</v>
      </c>
      <c r="Z245" s="24">
        <f t="shared" si="305"/>
        <v>0</v>
      </c>
      <c r="AA245" s="25">
        <f t="shared" si="306"/>
        <v>0</v>
      </c>
      <c r="AB245" s="23">
        <f t="shared" si="307"/>
        <v>0</v>
      </c>
      <c r="AC245" s="24">
        <f t="shared" si="308"/>
        <v>0</v>
      </c>
      <c r="AD245" s="25">
        <f t="shared" si="309"/>
        <v>0</v>
      </c>
      <c r="AE245" s="23">
        <f t="shared" si="310"/>
        <v>0</v>
      </c>
      <c r="AF245" s="24">
        <f t="shared" si="311"/>
        <v>0</v>
      </c>
      <c r="AG245" s="25">
        <f t="shared" si="312"/>
        <v>0</v>
      </c>
      <c r="AH245" s="31"/>
    </row>
    <row r="246" spans="1:34" ht="18" customHeight="1" thickTop="1" thickBot="1" x14ac:dyDescent="0.3">
      <c r="A246" s="27">
        <v>180</v>
      </c>
      <c r="B246" s="28">
        <f t="shared" si="314"/>
        <v>0</v>
      </c>
      <c r="C246" s="60">
        <f t="shared" si="283"/>
        <v>0</v>
      </c>
      <c r="D246" s="23">
        <f t="shared" si="284"/>
        <v>0</v>
      </c>
      <c r="E246" s="24">
        <f t="shared" si="285"/>
        <v>0</v>
      </c>
      <c r="F246" s="25">
        <f t="shared" si="313"/>
        <v>0</v>
      </c>
      <c r="G246" s="23">
        <f t="shared" si="286"/>
        <v>0</v>
      </c>
      <c r="H246" s="24">
        <f t="shared" si="287"/>
        <v>0</v>
      </c>
      <c r="I246" s="25">
        <f t="shared" si="288"/>
        <v>0</v>
      </c>
      <c r="J246" s="23">
        <f t="shared" si="289"/>
        <v>0</v>
      </c>
      <c r="K246" s="24">
        <f t="shared" si="290"/>
        <v>0</v>
      </c>
      <c r="L246" s="25">
        <f t="shared" si="291"/>
        <v>0</v>
      </c>
      <c r="M246" s="23">
        <f t="shared" si="292"/>
        <v>0</v>
      </c>
      <c r="N246" s="24">
        <f t="shared" si="293"/>
        <v>0</v>
      </c>
      <c r="O246" s="25">
        <f t="shared" si="294"/>
        <v>0</v>
      </c>
      <c r="P246" s="23">
        <f t="shared" si="295"/>
        <v>0</v>
      </c>
      <c r="Q246" s="24">
        <f t="shared" si="296"/>
        <v>0</v>
      </c>
      <c r="R246" s="25">
        <f t="shared" si="297"/>
        <v>0</v>
      </c>
      <c r="S246" s="23">
        <f t="shared" si="298"/>
        <v>0</v>
      </c>
      <c r="T246" s="24">
        <f t="shared" si="299"/>
        <v>0</v>
      </c>
      <c r="U246" s="25">
        <f t="shared" si="300"/>
        <v>0</v>
      </c>
      <c r="V246" s="23">
        <f t="shared" si="301"/>
        <v>0</v>
      </c>
      <c r="W246" s="24">
        <f t="shared" si="302"/>
        <v>0</v>
      </c>
      <c r="X246" s="25">
        <f t="shared" si="303"/>
        <v>0</v>
      </c>
      <c r="Y246" s="23">
        <f t="shared" si="304"/>
        <v>0</v>
      </c>
      <c r="Z246" s="24">
        <f t="shared" si="305"/>
        <v>0</v>
      </c>
      <c r="AA246" s="25">
        <f t="shared" si="306"/>
        <v>0</v>
      </c>
      <c r="AB246" s="23">
        <f t="shared" si="307"/>
        <v>0</v>
      </c>
      <c r="AC246" s="24">
        <f t="shared" si="308"/>
        <v>0</v>
      </c>
      <c r="AD246" s="25">
        <f t="shared" si="309"/>
        <v>0</v>
      </c>
      <c r="AE246" s="23">
        <f t="shared" si="310"/>
        <v>0</v>
      </c>
      <c r="AF246" s="24">
        <f t="shared" si="311"/>
        <v>0</v>
      </c>
      <c r="AG246" s="25">
        <f t="shared" si="312"/>
        <v>0</v>
      </c>
      <c r="AH246" s="34"/>
    </row>
    <row r="247" spans="1:34" ht="7.95" customHeight="1" thickTop="1" x14ac:dyDescent="0.25">
      <c r="A247" s="212" t="s">
        <v>2</v>
      </c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</row>
    <row r="248" spans="1:34" x14ac:dyDescent="0.25">
      <c r="A248" s="213"/>
      <c r="B248" s="213"/>
      <c r="C248" s="213" t="s">
        <v>18</v>
      </c>
      <c r="D248" s="213"/>
      <c r="E248" s="213"/>
      <c r="F248" s="214" t="s">
        <v>19</v>
      </c>
      <c r="G248" s="214"/>
      <c r="H248" s="214"/>
      <c r="I248" s="214"/>
      <c r="J248" s="35"/>
      <c r="K248" s="214" t="s">
        <v>20</v>
      </c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  <c r="AA248" s="214"/>
      <c r="AB248" s="214"/>
      <c r="AC248" s="35"/>
      <c r="AD248" s="35"/>
      <c r="AE248" s="214" t="s">
        <v>55</v>
      </c>
      <c r="AF248" s="214"/>
      <c r="AG248" s="214"/>
    </row>
    <row r="249" spans="1:34" ht="13.95" customHeight="1" x14ac:dyDescent="0.25">
      <c r="A249" s="214" t="s">
        <v>21</v>
      </c>
      <c r="B249" s="214"/>
      <c r="C249" s="213">
        <f>'الفترة الاولى'!$CA$10</f>
        <v>0</v>
      </c>
      <c r="D249" s="213"/>
      <c r="E249" s="213"/>
      <c r="F249" s="214"/>
      <c r="G249" s="214"/>
      <c r="H249" s="214"/>
      <c r="I249" s="214"/>
      <c r="J249" s="35"/>
      <c r="K249" s="220" t="s">
        <v>52</v>
      </c>
      <c r="L249" s="215"/>
      <c r="M249" s="215"/>
      <c r="N249" s="222" t="str">
        <f>'الفترة الاولى'!$CA$16</f>
        <v>أ. فهيم عبدالمجيد بوازويتة</v>
      </c>
      <c r="O249" s="222"/>
      <c r="P249" s="222"/>
      <c r="Q249" s="222"/>
      <c r="R249" s="222"/>
      <c r="S249" s="222"/>
      <c r="T249" s="222"/>
      <c r="U249" s="215" t="s">
        <v>53</v>
      </c>
      <c r="V249" s="215"/>
      <c r="W249" s="215"/>
      <c r="X249" s="215" t="str">
        <f>'الفترة الاولى'!$C$6</f>
        <v>سهول العلم للتعليم الخاص</v>
      </c>
      <c r="Y249" s="215"/>
      <c r="Z249" s="215"/>
      <c r="AA249" s="215"/>
      <c r="AB249" s="216"/>
      <c r="AC249" s="36"/>
      <c r="AD249" s="36"/>
      <c r="AE249" s="214" t="s">
        <v>2</v>
      </c>
      <c r="AF249" s="214"/>
      <c r="AG249" s="214"/>
    </row>
    <row r="250" spans="1:34" ht="15.6" customHeight="1" x14ac:dyDescent="0.25">
      <c r="A250" s="214" t="s">
        <v>22</v>
      </c>
      <c r="B250" s="214"/>
      <c r="C250" s="213">
        <f>'الفترة الاولى'!$CA$11</f>
        <v>0</v>
      </c>
      <c r="D250" s="213"/>
      <c r="E250" s="213"/>
      <c r="F250" s="214"/>
      <c r="G250" s="214"/>
      <c r="H250" s="214"/>
      <c r="I250" s="214"/>
      <c r="J250" s="35"/>
      <c r="K250" s="217" t="s">
        <v>54</v>
      </c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9"/>
      <c r="AC250" s="37"/>
      <c r="AD250" s="37"/>
      <c r="AE250" s="214"/>
      <c r="AF250" s="214"/>
      <c r="AG250" s="214"/>
    </row>
    <row r="251" spans="1:34" ht="13.95" customHeight="1" x14ac:dyDescent="0.25">
      <c r="A251" s="214" t="s">
        <v>23</v>
      </c>
      <c r="B251" s="214"/>
      <c r="C251" s="213">
        <f>'الفترة الاولى'!$CA$12</f>
        <v>0</v>
      </c>
      <c r="D251" s="213"/>
      <c r="E251" s="213"/>
      <c r="F251" s="214"/>
      <c r="G251" s="214"/>
      <c r="H251" s="214"/>
      <c r="I251" s="214"/>
      <c r="K251" s="220" t="s">
        <v>44</v>
      </c>
      <c r="L251" s="215"/>
      <c r="M251" s="221">
        <f ca="1">TODAY()</f>
        <v>46181</v>
      </c>
      <c r="N251" s="215"/>
      <c r="O251" s="215"/>
      <c r="P251" s="215"/>
      <c r="Q251" s="215"/>
      <c r="R251" s="215"/>
      <c r="S251" s="215"/>
      <c r="T251" s="215" t="s">
        <v>19</v>
      </c>
      <c r="U251" s="215"/>
      <c r="V251" s="215"/>
      <c r="W251" s="215"/>
      <c r="X251" s="215"/>
      <c r="Y251" s="215"/>
      <c r="Z251" s="215"/>
      <c r="AA251" s="215"/>
      <c r="AB251" s="38"/>
      <c r="AC251" s="36"/>
      <c r="AD251" s="36"/>
      <c r="AE251" s="214"/>
      <c r="AF251" s="214"/>
      <c r="AG251" s="214"/>
    </row>
    <row r="252" spans="1:34" ht="14.4" thickBot="1" x14ac:dyDescent="0.3">
      <c r="A252" s="214" t="s">
        <v>24</v>
      </c>
      <c r="B252" s="214"/>
      <c r="C252" s="213">
        <f>'الفترة الاولى'!$CA$13</f>
        <v>0</v>
      </c>
      <c r="D252" s="213"/>
      <c r="E252" s="213"/>
      <c r="F252" s="214"/>
      <c r="G252" s="214"/>
      <c r="H252" s="214"/>
      <c r="I252" s="214"/>
      <c r="K252" s="39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1"/>
      <c r="AC252" s="36"/>
      <c r="AD252" s="36"/>
      <c r="AE252" s="214"/>
      <c r="AF252" s="214"/>
      <c r="AG252" s="214"/>
    </row>
    <row r="253" spans="1:34" ht="6.75" customHeight="1" thickBot="1" x14ac:dyDescent="0.3">
      <c r="A253" s="209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  <c r="AD253" s="210"/>
      <c r="AE253" s="210"/>
      <c r="AF253" s="210"/>
      <c r="AG253" s="210"/>
      <c r="AH253" s="211"/>
    </row>
    <row r="254" spans="1:34" ht="18" customHeight="1" thickBot="1" x14ac:dyDescent="0.3">
      <c r="A254" s="23">
        <v>181</v>
      </c>
      <c r="B254" s="24">
        <f>IFERROR(VLOOKUP(A254,الاسماء,2,0),"")</f>
        <v>0</v>
      </c>
      <c r="C254" s="59">
        <f t="shared" ref="C254:C273" si="315">IFERROR(VLOOKUP(A254,الاسماء,3,0),"")</f>
        <v>0</v>
      </c>
      <c r="D254" s="23">
        <f t="shared" ref="D254:D273" si="316">IFERROR(VLOOKUP($C254,درجات,5,0),0)</f>
        <v>0</v>
      </c>
      <c r="E254" s="24">
        <f t="shared" ref="E254:E273" si="317">IFERROR(VLOOKUP($C254,درجات,43,0),0)</f>
        <v>0</v>
      </c>
      <c r="F254" s="25">
        <f>SUM(D254:E254)</f>
        <v>0</v>
      </c>
      <c r="G254" s="23">
        <f t="shared" ref="G254:G273" si="318">IFERROR(VLOOKUP($C254,درجات,8,0),0)</f>
        <v>0</v>
      </c>
      <c r="H254" s="24">
        <f t="shared" ref="H254:H273" si="319">IFERROR(VLOOKUP($C254,درجات,46,0),0)</f>
        <v>0</v>
      </c>
      <c r="I254" s="25">
        <f t="shared" ref="I254:I273" si="320">SUM(G254:H254)</f>
        <v>0</v>
      </c>
      <c r="J254" s="23">
        <f t="shared" ref="J254:J273" si="321">IFERROR(VLOOKUP($C254,درجات,11,0),0)</f>
        <v>0</v>
      </c>
      <c r="K254" s="24">
        <f t="shared" ref="K254:K273" si="322">IFERROR(VLOOKUP($C254,درجات,49,0),0)</f>
        <v>0</v>
      </c>
      <c r="L254" s="25">
        <f t="shared" ref="L254:L273" si="323">SUM(J254:K254)</f>
        <v>0</v>
      </c>
      <c r="M254" s="23">
        <f t="shared" ref="M254:M273" si="324">IFERROR(VLOOKUP($C254,درجات,14,0),0)</f>
        <v>0</v>
      </c>
      <c r="N254" s="24">
        <f t="shared" ref="N254:N273" si="325">IFERROR(VLOOKUP($C254,درجات,52,0),0)</f>
        <v>0</v>
      </c>
      <c r="O254" s="25">
        <f t="shared" ref="O254:O273" si="326">SUM(M254:N254)</f>
        <v>0</v>
      </c>
      <c r="P254" s="23">
        <f t="shared" ref="P254:P273" si="327">IFERROR(VLOOKUP($C254,درجات,17,0),0)</f>
        <v>0</v>
      </c>
      <c r="Q254" s="24">
        <f t="shared" ref="Q254:Q273" si="328">IFERROR(VLOOKUP($C254,درجات,55,0),0)</f>
        <v>0</v>
      </c>
      <c r="R254" s="25">
        <f t="shared" ref="R254:R273" si="329">SUM(P254:Q254)</f>
        <v>0</v>
      </c>
      <c r="S254" s="23">
        <f t="shared" ref="S254:S273" si="330">IFERROR(VLOOKUP($C254,درجات,20,0),0)</f>
        <v>0</v>
      </c>
      <c r="T254" s="24">
        <f t="shared" ref="T254:T273" si="331">IFERROR(VLOOKUP($C254,درجات,58,0),0)</f>
        <v>0</v>
      </c>
      <c r="U254" s="25">
        <f t="shared" ref="U254:U273" si="332">SUM(S254:T254)</f>
        <v>0</v>
      </c>
      <c r="V254" s="23">
        <f t="shared" ref="V254:V273" si="333">IFERROR(VLOOKUP($C254,درجات,23,0),0)</f>
        <v>0</v>
      </c>
      <c r="W254" s="24">
        <f t="shared" ref="W254:W273" si="334">IFERROR(VLOOKUP($C254,درجات,61,0),0)</f>
        <v>0</v>
      </c>
      <c r="X254" s="25">
        <f t="shared" ref="X254:X273" si="335">SUM(V254:W254)</f>
        <v>0</v>
      </c>
      <c r="Y254" s="23">
        <f t="shared" ref="Y254:Y273" si="336">IFERROR(VLOOKUP($C254,درجات,26,0),0)</f>
        <v>0</v>
      </c>
      <c r="Z254" s="24">
        <f t="shared" ref="Z254:Z273" si="337">IFERROR(VLOOKUP($C254,درجات,64,0),0)</f>
        <v>0</v>
      </c>
      <c r="AA254" s="25">
        <f t="shared" ref="AA254:AA273" si="338">SUM(Y254:Z254)</f>
        <v>0</v>
      </c>
      <c r="AB254" s="23">
        <f t="shared" ref="AB254:AB273" si="339">IFERROR(VLOOKUP($C254,درجات,29,0),0)</f>
        <v>0</v>
      </c>
      <c r="AC254" s="24">
        <f t="shared" ref="AC254:AC273" si="340">IFERROR(VLOOKUP($C254,درجات,67,0),0)</f>
        <v>0</v>
      </c>
      <c r="AD254" s="25">
        <f t="shared" ref="AD254:AD273" si="341">SUM(AB254:AC254)</f>
        <v>0</v>
      </c>
      <c r="AE254" s="23">
        <f t="shared" ref="AE254:AE273" si="342">IFERROR(VLOOKUP($C254,درجات,32,0),0)</f>
        <v>0</v>
      </c>
      <c r="AF254" s="24">
        <f t="shared" ref="AF254:AF273" si="343">IFERROR(VLOOKUP($C254,درجات,70,0),0)</f>
        <v>0</v>
      </c>
      <c r="AG254" s="25">
        <f t="shared" ref="AG254:AG273" si="344">SUM(AE254:AF254)</f>
        <v>0</v>
      </c>
      <c r="AH254" s="26"/>
    </row>
    <row r="255" spans="1:34" ht="18" customHeight="1" thickTop="1" thickBot="1" x14ac:dyDescent="0.3">
      <c r="A255" s="27">
        <v>182</v>
      </c>
      <c r="B255" s="28">
        <f>IFERROR(VLOOKUP(A255,الاسماء,2,0),0)</f>
        <v>0</v>
      </c>
      <c r="C255" s="60">
        <f t="shared" si="315"/>
        <v>0</v>
      </c>
      <c r="D255" s="23">
        <f t="shared" si="316"/>
        <v>0</v>
      </c>
      <c r="E255" s="24">
        <f t="shared" si="317"/>
        <v>0</v>
      </c>
      <c r="F255" s="25">
        <f t="shared" ref="F255:F273" si="345">SUM(D255:E255)</f>
        <v>0</v>
      </c>
      <c r="G255" s="23">
        <f t="shared" si="318"/>
        <v>0</v>
      </c>
      <c r="H255" s="24">
        <f t="shared" si="319"/>
        <v>0</v>
      </c>
      <c r="I255" s="25">
        <f t="shared" si="320"/>
        <v>0</v>
      </c>
      <c r="J255" s="23">
        <f t="shared" si="321"/>
        <v>0</v>
      </c>
      <c r="K255" s="24">
        <f t="shared" si="322"/>
        <v>0</v>
      </c>
      <c r="L255" s="25">
        <f t="shared" si="323"/>
        <v>0</v>
      </c>
      <c r="M255" s="23">
        <f t="shared" si="324"/>
        <v>0</v>
      </c>
      <c r="N255" s="24">
        <f t="shared" si="325"/>
        <v>0</v>
      </c>
      <c r="O255" s="25">
        <f t="shared" si="326"/>
        <v>0</v>
      </c>
      <c r="P255" s="23">
        <f t="shared" si="327"/>
        <v>0</v>
      </c>
      <c r="Q255" s="24">
        <f t="shared" si="328"/>
        <v>0</v>
      </c>
      <c r="R255" s="25">
        <f t="shared" si="329"/>
        <v>0</v>
      </c>
      <c r="S255" s="23">
        <f t="shared" si="330"/>
        <v>0</v>
      </c>
      <c r="T255" s="24">
        <f t="shared" si="331"/>
        <v>0</v>
      </c>
      <c r="U255" s="25">
        <f t="shared" si="332"/>
        <v>0</v>
      </c>
      <c r="V255" s="23">
        <f t="shared" si="333"/>
        <v>0</v>
      </c>
      <c r="W255" s="24">
        <f t="shared" si="334"/>
        <v>0</v>
      </c>
      <c r="X255" s="25">
        <f t="shared" si="335"/>
        <v>0</v>
      </c>
      <c r="Y255" s="23">
        <f t="shared" si="336"/>
        <v>0</v>
      </c>
      <c r="Z255" s="24">
        <f t="shared" si="337"/>
        <v>0</v>
      </c>
      <c r="AA255" s="25">
        <f t="shared" si="338"/>
        <v>0</v>
      </c>
      <c r="AB255" s="23">
        <f t="shared" si="339"/>
        <v>0</v>
      </c>
      <c r="AC255" s="24">
        <f t="shared" si="340"/>
        <v>0</v>
      </c>
      <c r="AD255" s="25">
        <f t="shared" si="341"/>
        <v>0</v>
      </c>
      <c r="AE255" s="23">
        <f t="shared" si="342"/>
        <v>0</v>
      </c>
      <c r="AF255" s="24">
        <f t="shared" si="343"/>
        <v>0</v>
      </c>
      <c r="AG255" s="25">
        <f t="shared" si="344"/>
        <v>0</v>
      </c>
      <c r="AH255" s="29"/>
    </row>
    <row r="256" spans="1:34" ht="18" customHeight="1" thickTop="1" thickBot="1" x14ac:dyDescent="0.3">
      <c r="A256" s="23">
        <v>183</v>
      </c>
      <c r="B256" s="28">
        <f t="shared" ref="B256:B273" si="346">IFERROR(VLOOKUP(A256,الاسماء,2,0),"")</f>
        <v>0</v>
      </c>
      <c r="C256" s="60">
        <f t="shared" si="315"/>
        <v>0</v>
      </c>
      <c r="D256" s="23">
        <f t="shared" si="316"/>
        <v>0</v>
      </c>
      <c r="E256" s="24">
        <f t="shared" si="317"/>
        <v>0</v>
      </c>
      <c r="F256" s="25">
        <f t="shared" si="345"/>
        <v>0</v>
      </c>
      <c r="G256" s="23">
        <f t="shared" si="318"/>
        <v>0</v>
      </c>
      <c r="H256" s="24">
        <f t="shared" si="319"/>
        <v>0</v>
      </c>
      <c r="I256" s="25">
        <f t="shared" si="320"/>
        <v>0</v>
      </c>
      <c r="J256" s="23">
        <f t="shared" si="321"/>
        <v>0</v>
      </c>
      <c r="K256" s="24">
        <f t="shared" si="322"/>
        <v>0</v>
      </c>
      <c r="L256" s="25">
        <f t="shared" si="323"/>
        <v>0</v>
      </c>
      <c r="M256" s="23">
        <f t="shared" si="324"/>
        <v>0</v>
      </c>
      <c r="N256" s="24">
        <f t="shared" si="325"/>
        <v>0</v>
      </c>
      <c r="O256" s="25">
        <f t="shared" si="326"/>
        <v>0</v>
      </c>
      <c r="P256" s="23">
        <f t="shared" si="327"/>
        <v>0</v>
      </c>
      <c r="Q256" s="24">
        <f t="shared" si="328"/>
        <v>0</v>
      </c>
      <c r="R256" s="25">
        <f t="shared" si="329"/>
        <v>0</v>
      </c>
      <c r="S256" s="23">
        <f t="shared" si="330"/>
        <v>0</v>
      </c>
      <c r="T256" s="24">
        <f t="shared" si="331"/>
        <v>0</v>
      </c>
      <c r="U256" s="25">
        <f t="shared" si="332"/>
        <v>0</v>
      </c>
      <c r="V256" s="23">
        <f t="shared" si="333"/>
        <v>0</v>
      </c>
      <c r="W256" s="24">
        <f t="shared" si="334"/>
        <v>0</v>
      </c>
      <c r="X256" s="25">
        <f t="shared" si="335"/>
        <v>0</v>
      </c>
      <c r="Y256" s="23">
        <f t="shared" si="336"/>
        <v>0</v>
      </c>
      <c r="Z256" s="24">
        <f t="shared" si="337"/>
        <v>0</v>
      </c>
      <c r="AA256" s="25">
        <f t="shared" si="338"/>
        <v>0</v>
      </c>
      <c r="AB256" s="23">
        <f t="shared" si="339"/>
        <v>0</v>
      </c>
      <c r="AC256" s="24">
        <f t="shared" si="340"/>
        <v>0</v>
      </c>
      <c r="AD256" s="25">
        <f t="shared" si="341"/>
        <v>0</v>
      </c>
      <c r="AE256" s="23">
        <f t="shared" si="342"/>
        <v>0</v>
      </c>
      <c r="AF256" s="24">
        <f t="shared" si="343"/>
        <v>0</v>
      </c>
      <c r="AG256" s="25">
        <f t="shared" si="344"/>
        <v>0</v>
      </c>
      <c r="AH256" s="30"/>
    </row>
    <row r="257" spans="1:34" ht="18" customHeight="1" thickTop="1" thickBot="1" x14ac:dyDescent="0.3">
      <c r="A257" s="27">
        <v>184</v>
      </c>
      <c r="B257" s="28">
        <f t="shared" si="346"/>
        <v>0</v>
      </c>
      <c r="C257" s="60">
        <f t="shared" si="315"/>
        <v>0</v>
      </c>
      <c r="D257" s="23">
        <f t="shared" si="316"/>
        <v>0</v>
      </c>
      <c r="E257" s="24">
        <f t="shared" si="317"/>
        <v>0</v>
      </c>
      <c r="F257" s="25">
        <f t="shared" si="345"/>
        <v>0</v>
      </c>
      <c r="G257" s="23">
        <f t="shared" si="318"/>
        <v>0</v>
      </c>
      <c r="H257" s="24">
        <f t="shared" si="319"/>
        <v>0</v>
      </c>
      <c r="I257" s="25">
        <f t="shared" si="320"/>
        <v>0</v>
      </c>
      <c r="J257" s="23">
        <f t="shared" si="321"/>
        <v>0</v>
      </c>
      <c r="K257" s="24">
        <f t="shared" si="322"/>
        <v>0</v>
      </c>
      <c r="L257" s="25">
        <f t="shared" si="323"/>
        <v>0</v>
      </c>
      <c r="M257" s="23">
        <f t="shared" si="324"/>
        <v>0</v>
      </c>
      <c r="N257" s="24">
        <f t="shared" si="325"/>
        <v>0</v>
      </c>
      <c r="O257" s="25">
        <f t="shared" si="326"/>
        <v>0</v>
      </c>
      <c r="P257" s="23">
        <f t="shared" si="327"/>
        <v>0</v>
      </c>
      <c r="Q257" s="24">
        <f t="shared" si="328"/>
        <v>0</v>
      </c>
      <c r="R257" s="25">
        <f t="shared" si="329"/>
        <v>0</v>
      </c>
      <c r="S257" s="23">
        <f t="shared" si="330"/>
        <v>0</v>
      </c>
      <c r="T257" s="24">
        <f t="shared" si="331"/>
        <v>0</v>
      </c>
      <c r="U257" s="25">
        <f t="shared" si="332"/>
        <v>0</v>
      </c>
      <c r="V257" s="23">
        <f t="shared" si="333"/>
        <v>0</v>
      </c>
      <c r="W257" s="24">
        <f t="shared" si="334"/>
        <v>0</v>
      </c>
      <c r="X257" s="25">
        <f t="shared" si="335"/>
        <v>0</v>
      </c>
      <c r="Y257" s="23">
        <f t="shared" si="336"/>
        <v>0</v>
      </c>
      <c r="Z257" s="24">
        <f t="shared" si="337"/>
        <v>0</v>
      </c>
      <c r="AA257" s="25">
        <f t="shared" si="338"/>
        <v>0</v>
      </c>
      <c r="AB257" s="23">
        <f t="shared" si="339"/>
        <v>0</v>
      </c>
      <c r="AC257" s="24">
        <f t="shared" si="340"/>
        <v>0</v>
      </c>
      <c r="AD257" s="25">
        <f t="shared" si="341"/>
        <v>0</v>
      </c>
      <c r="AE257" s="23">
        <f t="shared" si="342"/>
        <v>0</v>
      </c>
      <c r="AF257" s="24">
        <f t="shared" si="343"/>
        <v>0</v>
      </c>
      <c r="AG257" s="25">
        <f t="shared" si="344"/>
        <v>0</v>
      </c>
      <c r="AH257" s="30"/>
    </row>
    <row r="258" spans="1:34" ht="18" customHeight="1" thickTop="1" thickBot="1" x14ac:dyDescent="0.3">
      <c r="A258" s="23">
        <v>185</v>
      </c>
      <c r="B258" s="28">
        <f t="shared" si="346"/>
        <v>0</v>
      </c>
      <c r="C258" s="60">
        <f t="shared" si="315"/>
        <v>0</v>
      </c>
      <c r="D258" s="23">
        <f t="shared" si="316"/>
        <v>0</v>
      </c>
      <c r="E258" s="24">
        <f t="shared" si="317"/>
        <v>0</v>
      </c>
      <c r="F258" s="25">
        <f t="shared" si="345"/>
        <v>0</v>
      </c>
      <c r="G258" s="23">
        <f t="shared" si="318"/>
        <v>0</v>
      </c>
      <c r="H258" s="24">
        <f t="shared" si="319"/>
        <v>0</v>
      </c>
      <c r="I258" s="25">
        <f t="shared" si="320"/>
        <v>0</v>
      </c>
      <c r="J258" s="23">
        <f t="shared" si="321"/>
        <v>0</v>
      </c>
      <c r="K258" s="24">
        <f t="shared" si="322"/>
        <v>0</v>
      </c>
      <c r="L258" s="25">
        <f t="shared" si="323"/>
        <v>0</v>
      </c>
      <c r="M258" s="23">
        <f t="shared" si="324"/>
        <v>0</v>
      </c>
      <c r="N258" s="24">
        <f t="shared" si="325"/>
        <v>0</v>
      </c>
      <c r="O258" s="25">
        <f t="shared" si="326"/>
        <v>0</v>
      </c>
      <c r="P258" s="23">
        <f t="shared" si="327"/>
        <v>0</v>
      </c>
      <c r="Q258" s="24">
        <f t="shared" si="328"/>
        <v>0</v>
      </c>
      <c r="R258" s="25">
        <f t="shared" si="329"/>
        <v>0</v>
      </c>
      <c r="S258" s="23">
        <f t="shared" si="330"/>
        <v>0</v>
      </c>
      <c r="T258" s="24">
        <f t="shared" si="331"/>
        <v>0</v>
      </c>
      <c r="U258" s="25">
        <f t="shared" si="332"/>
        <v>0</v>
      </c>
      <c r="V258" s="23">
        <f t="shared" si="333"/>
        <v>0</v>
      </c>
      <c r="W258" s="24">
        <f t="shared" si="334"/>
        <v>0</v>
      </c>
      <c r="X258" s="25">
        <f t="shared" si="335"/>
        <v>0</v>
      </c>
      <c r="Y258" s="23">
        <f t="shared" si="336"/>
        <v>0</v>
      </c>
      <c r="Z258" s="24">
        <f t="shared" si="337"/>
        <v>0</v>
      </c>
      <c r="AA258" s="25">
        <f t="shared" si="338"/>
        <v>0</v>
      </c>
      <c r="AB258" s="23">
        <f t="shared" si="339"/>
        <v>0</v>
      </c>
      <c r="AC258" s="24">
        <f t="shared" si="340"/>
        <v>0</v>
      </c>
      <c r="AD258" s="25">
        <f t="shared" si="341"/>
        <v>0</v>
      </c>
      <c r="AE258" s="23">
        <f t="shared" si="342"/>
        <v>0</v>
      </c>
      <c r="AF258" s="24">
        <f t="shared" si="343"/>
        <v>0</v>
      </c>
      <c r="AG258" s="25">
        <f t="shared" si="344"/>
        <v>0</v>
      </c>
      <c r="AH258" s="30"/>
    </row>
    <row r="259" spans="1:34" ht="18" customHeight="1" thickTop="1" thickBot="1" x14ac:dyDescent="0.3">
      <c r="A259" s="27">
        <v>186</v>
      </c>
      <c r="B259" s="28">
        <f t="shared" si="346"/>
        <v>0</v>
      </c>
      <c r="C259" s="60">
        <f t="shared" si="315"/>
        <v>0</v>
      </c>
      <c r="D259" s="23">
        <f t="shared" si="316"/>
        <v>0</v>
      </c>
      <c r="E259" s="24">
        <f t="shared" si="317"/>
        <v>0</v>
      </c>
      <c r="F259" s="25">
        <f t="shared" si="345"/>
        <v>0</v>
      </c>
      <c r="G259" s="23">
        <f t="shared" si="318"/>
        <v>0</v>
      </c>
      <c r="H259" s="24">
        <f t="shared" si="319"/>
        <v>0</v>
      </c>
      <c r="I259" s="25">
        <f t="shared" si="320"/>
        <v>0</v>
      </c>
      <c r="J259" s="23">
        <f t="shared" si="321"/>
        <v>0</v>
      </c>
      <c r="K259" s="24">
        <f t="shared" si="322"/>
        <v>0</v>
      </c>
      <c r="L259" s="25">
        <f t="shared" si="323"/>
        <v>0</v>
      </c>
      <c r="M259" s="23">
        <f t="shared" si="324"/>
        <v>0</v>
      </c>
      <c r="N259" s="24">
        <f t="shared" si="325"/>
        <v>0</v>
      </c>
      <c r="O259" s="25">
        <f t="shared" si="326"/>
        <v>0</v>
      </c>
      <c r="P259" s="23">
        <f t="shared" si="327"/>
        <v>0</v>
      </c>
      <c r="Q259" s="24">
        <f t="shared" si="328"/>
        <v>0</v>
      </c>
      <c r="R259" s="25">
        <f t="shared" si="329"/>
        <v>0</v>
      </c>
      <c r="S259" s="23">
        <f t="shared" si="330"/>
        <v>0</v>
      </c>
      <c r="T259" s="24">
        <f t="shared" si="331"/>
        <v>0</v>
      </c>
      <c r="U259" s="25">
        <f t="shared" si="332"/>
        <v>0</v>
      </c>
      <c r="V259" s="23">
        <f t="shared" si="333"/>
        <v>0</v>
      </c>
      <c r="W259" s="24">
        <f t="shared" si="334"/>
        <v>0</v>
      </c>
      <c r="X259" s="25">
        <f t="shared" si="335"/>
        <v>0</v>
      </c>
      <c r="Y259" s="23">
        <f t="shared" si="336"/>
        <v>0</v>
      </c>
      <c r="Z259" s="24">
        <f t="shared" si="337"/>
        <v>0</v>
      </c>
      <c r="AA259" s="25">
        <f t="shared" si="338"/>
        <v>0</v>
      </c>
      <c r="AB259" s="23">
        <f t="shared" si="339"/>
        <v>0</v>
      </c>
      <c r="AC259" s="24">
        <f t="shared" si="340"/>
        <v>0</v>
      </c>
      <c r="AD259" s="25">
        <f t="shared" si="341"/>
        <v>0</v>
      </c>
      <c r="AE259" s="23">
        <f t="shared" si="342"/>
        <v>0</v>
      </c>
      <c r="AF259" s="24">
        <f t="shared" si="343"/>
        <v>0</v>
      </c>
      <c r="AG259" s="25">
        <f t="shared" si="344"/>
        <v>0</v>
      </c>
      <c r="AH259" s="31"/>
    </row>
    <row r="260" spans="1:34" ht="18" customHeight="1" thickTop="1" thickBot="1" x14ac:dyDescent="0.3">
      <c r="A260" s="23">
        <v>187</v>
      </c>
      <c r="B260" s="28">
        <f t="shared" si="346"/>
        <v>0</v>
      </c>
      <c r="C260" s="60">
        <f t="shared" si="315"/>
        <v>0</v>
      </c>
      <c r="D260" s="23">
        <f t="shared" si="316"/>
        <v>0</v>
      </c>
      <c r="E260" s="24">
        <f t="shared" si="317"/>
        <v>0</v>
      </c>
      <c r="F260" s="25">
        <f t="shared" si="345"/>
        <v>0</v>
      </c>
      <c r="G260" s="23">
        <f t="shared" si="318"/>
        <v>0</v>
      </c>
      <c r="H260" s="24">
        <f t="shared" si="319"/>
        <v>0</v>
      </c>
      <c r="I260" s="25">
        <f t="shared" si="320"/>
        <v>0</v>
      </c>
      <c r="J260" s="23">
        <f t="shared" si="321"/>
        <v>0</v>
      </c>
      <c r="K260" s="24">
        <f t="shared" si="322"/>
        <v>0</v>
      </c>
      <c r="L260" s="25">
        <f t="shared" si="323"/>
        <v>0</v>
      </c>
      <c r="M260" s="23">
        <f t="shared" si="324"/>
        <v>0</v>
      </c>
      <c r="N260" s="24">
        <f t="shared" si="325"/>
        <v>0</v>
      </c>
      <c r="O260" s="25">
        <f t="shared" si="326"/>
        <v>0</v>
      </c>
      <c r="P260" s="23">
        <f t="shared" si="327"/>
        <v>0</v>
      </c>
      <c r="Q260" s="24">
        <f t="shared" si="328"/>
        <v>0</v>
      </c>
      <c r="R260" s="25">
        <f t="shared" si="329"/>
        <v>0</v>
      </c>
      <c r="S260" s="23">
        <f t="shared" si="330"/>
        <v>0</v>
      </c>
      <c r="T260" s="24">
        <f t="shared" si="331"/>
        <v>0</v>
      </c>
      <c r="U260" s="25">
        <f t="shared" si="332"/>
        <v>0</v>
      </c>
      <c r="V260" s="23">
        <f t="shared" si="333"/>
        <v>0</v>
      </c>
      <c r="W260" s="24">
        <f t="shared" si="334"/>
        <v>0</v>
      </c>
      <c r="X260" s="25">
        <f t="shared" si="335"/>
        <v>0</v>
      </c>
      <c r="Y260" s="23">
        <f t="shared" si="336"/>
        <v>0</v>
      </c>
      <c r="Z260" s="24">
        <f t="shared" si="337"/>
        <v>0</v>
      </c>
      <c r="AA260" s="25">
        <f t="shared" si="338"/>
        <v>0</v>
      </c>
      <c r="AB260" s="23">
        <f t="shared" si="339"/>
        <v>0</v>
      </c>
      <c r="AC260" s="24">
        <f t="shared" si="340"/>
        <v>0</v>
      </c>
      <c r="AD260" s="25">
        <f t="shared" si="341"/>
        <v>0</v>
      </c>
      <c r="AE260" s="23">
        <f t="shared" si="342"/>
        <v>0</v>
      </c>
      <c r="AF260" s="24">
        <f t="shared" si="343"/>
        <v>0</v>
      </c>
      <c r="AG260" s="25">
        <f t="shared" si="344"/>
        <v>0</v>
      </c>
      <c r="AH260" s="32"/>
    </row>
    <row r="261" spans="1:34" ht="18" customHeight="1" thickTop="1" thickBot="1" x14ac:dyDescent="0.3">
      <c r="A261" s="27">
        <v>188</v>
      </c>
      <c r="B261" s="28">
        <f t="shared" si="346"/>
        <v>0</v>
      </c>
      <c r="C261" s="60">
        <f t="shared" si="315"/>
        <v>0</v>
      </c>
      <c r="D261" s="23">
        <f t="shared" si="316"/>
        <v>0</v>
      </c>
      <c r="E261" s="24">
        <f t="shared" si="317"/>
        <v>0</v>
      </c>
      <c r="F261" s="25">
        <f t="shared" si="345"/>
        <v>0</v>
      </c>
      <c r="G261" s="23">
        <f t="shared" si="318"/>
        <v>0</v>
      </c>
      <c r="H261" s="24">
        <f t="shared" si="319"/>
        <v>0</v>
      </c>
      <c r="I261" s="25">
        <f t="shared" si="320"/>
        <v>0</v>
      </c>
      <c r="J261" s="23">
        <f t="shared" si="321"/>
        <v>0</v>
      </c>
      <c r="K261" s="24">
        <f t="shared" si="322"/>
        <v>0</v>
      </c>
      <c r="L261" s="25">
        <f t="shared" si="323"/>
        <v>0</v>
      </c>
      <c r="M261" s="23">
        <f t="shared" si="324"/>
        <v>0</v>
      </c>
      <c r="N261" s="24">
        <f t="shared" si="325"/>
        <v>0</v>
      </c>
      <c r="O261" s="25">
        <f t="shared" si="326"/>
        <v>0</v>
      </c>
      <c r="P261" s="23">
        <f t="shared" si="327"/>
        <v>0</v>
      </c>
      <c r="Q261" s="24">
        <f t="shared" si="328"/>
        <v>0</v>
      </c>
      <c r="R261" s="25">
        <f t="shared" si="329"/>
        <v>0</v>
      </c>
      <c r="S261" s="23">
        <f t="shared" si="330"/>
        <v>0</v>
      </c>
      <c r="T261" s="24">
        <f t="shared" si="331"/>
        <v>0</v>
      </c>
      <c r="U261" s="25">
        <f t="shared" si="332"/>
        <v>0</v>
      </c>
      <c r="V261" s="23">
        <f t="shared" si="333"/>
        <v>0</v>
      </c>
      <c r="W261" s="24">
        <f t="shared" si="334"/>
        <v>0</v>
      </c>
      <c r="X261" s="25">
        <f t="shared" si="335"/>
        <v>0</v>
      </c>
      <c r="Y261" s="23">
        <f t="shared" si="336"/>
        <v>0</v>
      </c>
      <c r="Z261" s="24">
        <f t="shared" si="337"/>
        <v>0</v>
      </c>
      <c r="AA261" s="25">
        <f t="shared" si="338"/>
        <v>0</v>
      </c>
      <c r="AB261" s="23">
        <f t="shared" si="339"/>
        <v>0</v>
      </c>
      <c r="AC261" s="24">
        <f t="shared" si="340"/>
        <v>0</v>
      </c>
      <c r="AD261" s="25">
        <f t="shared" si="341"/>
        <v>0</v>
      </c>
      <c r="AE261" s="23">
        <f t="shared" si="342"/>
        <v>0</v>
      </c>
      <c r="AF261" s="24">
        <f t="shared" si="343"/>
        <v>0</v>
      </c>
      <c r="AG261" s="25">
        <f t="shared" si="344"/>
        <v>0</v>
      </c>
      <c r="AH261" s="29"/>
    </row>
    <row r="262" spans="1:34" ht="18" customHeight="1" thickTop="1" thickBot="1" x14ac:dyDescent="0.3">
      <c r="A262" s="23">
        <v>189</v>
      </c>
      <c r="B262" s="28">
        <f t="shared" si="346"/>
        <v>0</v>
      </c>
      <c r="C262" s="60">
        <f t="shared" si="315"/>
        <v>0</v>
      </c>
      <c r="D262" s="23">
        <f t="shared" si="316"/>
        <v>0</v>
      </c>
      <c r="E262" s="24">
        <f t="shared" si="317"/>
        <v>0</v>
      </c>
      <c r="F262" s="25">
        <f t="shared" si="345"/>
        <v>0</v>
      </c>
      <c r="G262" s="23">
        <f t="shared" si="318"/>
        <v>0</v>
      </c>
      <c r="H262" s="24">
        <f t="shared" si="319"/>
        <v>0</v>
      </c>
      <c r="I262" s="25">
        <f t="shared" si="320"/>
        <v>0</v>
      </c>
      <c r="J262" s="23">
        <f t="shared" si="321"/>
        <v>0</v>
      </c>
      <c r="K262" s="24">
        <f t="shared" si="322"/>
        <v>0</v>
      </c>
      <c r="L262" s="25">
        <f t="shared" si="323"/>
        <v>0</v>
      </c>
      <c r="M262" s="23">
        <f t="shared" si="324"/>
        <v>0</v>
      </c>
      <c r="N262" s="24">
        <f t="shared" si="325"/>
        <v>0</v>
      </c>
      <c r="O262" s="25">
        <f t="shared" si="326"/>
        <v>0</v>
      </c>
      <c r="P262" s="23">
        <f t="shared" si="327"/>
        <v>0</v>
      </c>
      <c r="Q262" s="24">
        <f t="shared" si="328"/>
        <v>0</v>
      </c>
      <c r="R262" s="25">
        <f t="shared" si="329"/>
        <v>0</v>
      </c>
      <c r="S262" s="23">
        <f t="shared" si="330"/>
        <v>0</v>
      </c>
      <c r="T262" s="24">
        <f t="shared" si="331"/>
        <v>0</v>
      </c>
      <c r="U262" s="25">
        <f t="shared" si="332"/>
        <v>0</v>
      </c>
      <c r="V262" s="23">
        <f t="shared" si="333"/>
        <v>0</v>
      </c>
      <c r="W262" s="24">
        <f t="shared" si="334"/>
        <v>0</v>
      </c>
      <c r="X262" s="25">
        <f t="shared" si="335"/>
        <v>0</v>
      </c>
      <c r="Y262" s="23">
        <f t="shared" si="336"/>
        <v>0</v>
      </c>
      <c r="Z262" s="24">
        <f t="shared" si="337"/>
        <v>0</v>
      </c>
      <c r="AA262" s="25">
        <f t="shared" si="338"/>
        <v>0</v>
      </c>
      <c r="AB262" s="23">
        <f t="shared" si="339"/>
        <v>0</v>
      </c>
      <c r="AC262" s="24">
        <f t="shared" si="340"/>
        <v>0</v>
      </c>
      <c r="AD262" s="25">
        <f t="shared" si="341"/>
        <v>0</v>
      </c>
      <c r="AE262" s="23">
        <f t="shared" si="342"/>
        <v>0</v>
      </c>
      <c r="AF262" s="24">
        <f t="shared" si="343"/>
        <v>0</v>
      </c>
      <c r="AG262" s="25">
        <f t="shared" si="344"/>
        <v>0</v>
      </c>
      <c r="AH262" s="31"/>
    </row>
    <row r="263" spans="1:34" ht="18" customHeight="1" thickTop="1" thickBot="1" x14ac:dyDescent="0.3">
      <c r="A263" s="27">
        <v>190</v>
      </c>
      <c r="B263" s="28">
        <f t="shared" si="346"/>
        <v>0</v>
      </c>
      <c r="C263" s="60">
        <f t="shared" si="315"/>
        <v>0</v>
      </c>
      <c r="D263" s="23">
        <f t="shared" si="316"/>
        <v>0</v>
      </c>
      <c r="E263" s="24">
        <f t="shared" si="317"/>
        <v>0</v>
      </c>
      <c r="F263" s="25">
        <f t="shared" si="345"/>
        <v>0</v>
      </c>
      <c r="G263" s="23">
        <f t="shared" si="318"/>
        <v>0</v>
      </c>
      <c r="H263" s="24">
        <f t="shared" si="319"/>
        <v>0</v>
      </c>
      <c r="I263" s="25">
        <f t="shared" si="320"/>
        <v>0</v>
      </c>
      <c r="J263" s="23">
        <f t="shared" si="321"/>
        <v>0</v>
      </c>
      <c r="K263" s="24">
        <f t="shared" si="322"/>
        <v>0</v>
      </c>
      <c r="L263" s="25">
        <f t="shared" si="323"/>
        <v>0</v>
      </c>
      <c r="M263" s="23">
        <f t="shared" si="324"/>
        <v>0</v>
      </c>
      <c r="N263" s="24">
        <f t="shared" si="325"/>
        <v>0</v>
      </c>
      <c r="O263" s="25">
        <f t="shared" si="326"/>
        <v>0</v>
      </c>
      <c r="P263" s="23">
        <f t="shared" si="327"/>
        <v>0</v>
      </c>
      <c r="Q263" s="24">
        <f t="shared" si="328"/>
        <v>0</v>
      </c>
      <c r="R263" s="25">
        <f t="shared" si="329"/>
        <v>0</v>
      </c>
      <c r="S263" s="23">
        <f t="shared" si="330"/>
        <v>0</v>
      </c>
      <c r="T263" s="24">
        <f t="shared" si="331"/>
        <v>0</v>
      </c>
      <c r="U263" s="25">
        <f t="shared" si="332"/>
        <v>0</v>
      </c>
      <c r="V263" s="23">
        <f t="shared" si="333"/>
        <v>0</v>
      </c>
      <c r="W263" s="24">
        <f t="shared" si="334"/>
        <v>0</v>
      </c>
      <c r="X263" s="25">
        <f t="shared" si="335"/>
        <v>0</v>
      </c>
      <c r="Y263" s="23">
        <f t="shared" si="336"/>
        <v>0</v>
      </c>
      <c r="Z263" s="24">
        <f t="shared" si="337"/>
        <v>0</v>
      </c>
      <c r="AA263" s="25">
        <f t="shared" si="338"/>
        <v>0</v>
      </c>
      <c r="AB263" s="23">
        <f t="shared" si="339"/>
        <v>0</v>
      </c>
      <c r="AC263" s="24">
        <f t="shared" si="340"/>
        <v>0</v>
      </c>
      <c r="AD263" s="25">
        <f t="shared" si="341"/>
        <v>0</v>
      </c>
      <c r="AE263" s="23">
        <f t="shared" si="342"/>
        <v>0</v>
      </c>
      <c r="AF263" s="24">
        <f t="shared" si="343"/>
        <v>0</v>
      </c>
      <c r="AG263" s="25">
        <f t="shared" si="344"/>
        <v>0</v>
      </c>
      <c r="AH263" s="33"/>
    </row>
    <row r="264" spans="1:34" ht="18" customHeight="1" thickTop="1" thickBot="1" x14ac:dyDescent="0.3">
      <c r="A264" s="23">
        <v>191</v>
      </c>
      <c r="B264" s="28">
        <f t="shared" si="346"/>
        <v>0</v>
      </c>
      <c r="C264" s="60">
        <f t="shared" si="315"/>
        <v>0</v>
      </c>
      <c r="D264" s="23">
        <f t="shared" si="316"/>
        <v>0</v>
      </c>
      <c r="E264" s="24">
        <f t="shared" si="317"/>
        <v>0</v>
      </c>
      <c r="F264" s="25">
        <f t="shared" si="345"/>
        <v>0</v>
      </c>
      <c r="G264" s="23">
        <f t="shared" si="318"/>
        <v>0</v>
      </c>
      <c r="H264" s="24">
        <f t="shared" si="319"/>
        <v>0</v>
      </c>
      <c r="I264" s="25">
        <f t="shared" si="320"/>
        <v>0</v>
      </c>
      <c r="J264" s="23">
        <f t="shared" si="321"/>
        <v>0</v>
      </c>
      <c r="K264" s="24">
        <f t="shared" si="322"/>
        <v>0</v>
      </c>
      <c r="L264" s="25">
        <f t="shared" si="323"/>
        <v>0</v>
      </c>
      <c r="M264" s="23">
        <f t="shared" si="324"/>
        <v>0</v>
      </c>
      <c r="N264" s="24">
        <f t="shared" si="325"/>
        <v>0</v>
      </c>
      <c r="O264" s="25">
        <f t="shared" si="326"/>
        <v>0</v>
      </c>
      <c r="P264" s="23">
        <f t="shared" si="327"/>
        <v>0</v>
      </c>
      <c r="Q264" s="24">
        <f t="shared" si="328"/>
        <v>0</v>
      </c>
      <c r="R264" s="25">
        <f t="shared" si="329"/>
        <v>0</v>
      </c>
      <c r="S264" s="23">
        <f t="shared" si="330"/>
        <v>0</v>
      </c>
      <c r="T264" s="24">
        <f t="shared" si="331"/>
        <v>0</v>
      </c>
      <c r="U264" s="25">
        <f t="shared" si="332"/>
        <v>0</v>
      </c>
      <c r="V264" s="23">
        <f t="shared" si="333"/>
        <v>0</v>
      </c>
      <c r="W264" s="24">
        <f t="shared" si="334"/>
        <v>0</v>
      </c>
      <c r="X264" s="25">
        <f t="shared" si="335"/>
        <v>0</v>
      </c>
      <c r="Y264" s="23">
        <f t="shared" si="336"/>
        <v>0</v>
      </c>
      <c r="Z264" s="24">
        <f t="shared" si="337"/>
        <v>0</v>
      </c>
      <c r="AA264" s="25">
        <f t="shared" si="338"/>
        <v>0</v>
      </c>
      <c r="AB264" s="23">
        <f t="shared" si="339"/>
        <v>0</v>
      </c>
      <c r="AC264" s="24">
        <f t="shared" si="340"/>
        <v>0</v>
      </c>
      <c r="AD264" s="25">
        <f t="shared" si="341"/>
        <v>0</v>
      </c>
      <c r="AE264" s="23">
        <f t="shared" si="342"/>
        <v>0</v>
      </c>
      <c r="AF264" s="24">
        <f t="shared" si="343"/>
        <v>0</v>
      </c>
      <c r="AG264" s="25">
        <f t="shared" si="344"/>
        <v>0</v>
      </c>
      <c r="AH264" s="29"/>
    </row>
    <row r="265" spans="1:34" ht="18" customHeight="1" thickTop="1" thickBot="1" x14ac:dyDescent="0.3">
      <c r="A265" s="27">
        <v>192</v>
      </c>
      <c r="B265" s="28">
        <f t="shared" si="346"/>
        <v>0</v>
      </c>
      <c r="C265" s="60">
        <f t="shared" si="315"/>
        <v>0</v>
      </c>
      <c r="D265" s="23">
        <f t="shared" si="316"/>
        <v>0</v>
      </c>
      <c r="E265" s="24">
        <f t="shared" si="317"/>
        <v>0</v>
      </c>
      <c r="F265" s="25">
        <f t="shared" si="345"/>
        <v>0</v>
      </c>
      <c r="G265" s="23">
        <f t="shared" si="318"/>
        <v>0</v>
      </c>
      <c r="H265" s="24">
        <f t="shared" si="319"/>
        <v>0</v>
      </c>
      <c r="I265" s="25">
        <f t="shared" si="320"/>
        <v>0</v>
      </c>
      <c r="J265" s="23">
        <f t="shared" si="321"/>
        <v>0</v>
      </c>
      <c r="K265" s="24">
        <f t="shared" si="322"/>
        <v>0</v>
      </c>
      <c r="L265" s="25">
        <f t="shared" si="323"/>
        <v>0</v>
      </c>
      <c r="M265" s="23">
        <f t="shared" si="324"/>
        <v>0</v>
      </c>
      <c r="N265" s="24">
        <f t="shared" si="325"/>
        <v>0</v>
      </c>
      <c r="O265" s="25">
        <f t="shared" si="326"/>
        <v>0</v>
      </c>
      <c r="P265" s="23">
        <f t="shared" si="327"/>
        <v>0</v>
      </c>
      <c r="Q265" s="24">
        <f t="shared" si="328"/>
        <v>0</v>
      </c>
      <c r="R265" s="25">
        <f t="shared" si="329"/>
        <v>0</v>
      </c>
      <c r="S265" s="23">
        <f t="shared" si="330"/>
        <v>0</v>
      </c>
      <c r="T265" s="24">
        <f t="shared" si="331"/>
        <v>0</v>
      </c>
      <c r="U265" s="25">
        <f t="shared" si="332"/>
        <v>0</v>
      </c>
      <c r="V265" s="23">
        <f t="shared" si="333"/>
        <v>0</v>
      </c>
      <c r="W265" s="24">
        <f t="shared" si="334"/>
        <v>0</v>
      </c>
      <c r="X265" s="25">
        <f t="shared" si="335"/>
        <v>0</v>
      </c>
      <c r="Y265" s="23">
        <f t="shared" si="336"/>
        <v>0</v>
      </c>
      <c r="Z265" s="24">
        <f t="shared" si="337"/>
        <v>0</v>
      </c>
      <c r="AA265" s="25">
        <f t="shared" si="338"/>
        <v>0</v>
      </c>
      <c r="AB265" s="23">
        <f t="shared" si="339"/>
        <v>0</v>
      </c>
      <c r="AC265" s="24">
        <f t="shared" si="340"/>
        <v>0</v>
      </c>
      <c r="AD265" s="25">
        <f t="shared" si="341"/>
        <v>0</v>
      </c>
      <c r="AE265" s="23">
        <f t="shared" si="342"/>
        <v>0</v>
      </c>
      <c r="AF265" s="24">
        <f t="shared" si="343"/>
        <v>0</v>
      </c>
      <c r="AG265" s="25">
        <f t="shared" si="344"/>
        <v>0</v>
      </c>
      <c r="AH265" s="31"/>
    </row>
    <row r="266" spans="1:34" ht="18" customHeight="1" thickTop="1" thickBot="1" x14ac:dyDescent="0.3">
      <c r="A266" s="23">
        <v>193</v>
      </c>
      <c r="B266" s="28">
        <f t="shared" si="346"/>
        <v>0</v>
      </c>
      <c r="C266" s="60">
        <f t="shared" si="315"/>
        <v>0</v>
      </c>
      <c r="D266" s="23">
        <f t="shared" si="316"/>
        <v>0</v>
      </c>
      <c r="E266" s="24">
        <f t="shared" si="317"/>
        <v>0</v>
      </c>
      <c r="F266" s="25">
        <f t="shared" si="345"/>
        <v>0</v>
      </c>
      <c r="G266" s="23">
        <f t="shared" si="318"/>
        <v>0</v>
      </c>
      <c r="H266" s="24">
        <f t="shared" si="319"/>
        <v>0</v>
      </c>
      <c r="I266" s="25">
        <f t="shared" si="320"/>
        <v>0</v>
      </c>
      <c r="J266" s="23">
        <f t="shared" si="321"/>
        <v>0</v>
      </c>
      <c r="K266" s="24">
        <f t="shared" si="322"/>
        <v>0</v>
      </c>
      <c r="L266" s="25">
        <f t="shared" si="323"/>
        <v>0</v>
      </c>
      <c r="M266" s="23">
        <f t="shared" si="324"/>
        <v>0</v>
      </c>
      <c r="N266" s="24">
        <f t="shared" si="325"/>
        <v>0</v>
      </c>
      <c r="O266" s="25">
        <f t="shared" si="326"/>
        <v>0</v>
      </c>
      <c r="P266" s="23">
        <f t="shared" si="327"/>
        <v>0</v>
      </c>
      <c r="Q266" s="24">
        <f t="shared" si="328"/>
        <v>0</v>
      </c>
      <c r="R266" s="25">
        <f t="shared" si="329"/>
        <v>0</v>
      </c>
      <c r="S266" s="23">
        <f t="shared" si="330"/>
        <v>0</v>
      </c>
      <c r="T266" s="24">
        <f t="shared" si="331"/>
        <v>0</v>
      </c>
      <c r="U266" s="25">
        <f t="shared" si="332"/>
        <v>0</v>
      </c>
      <c r="V266" s="23">
        <f t="shared" si="333"/>
        <v>0</v>
      </c>
      <c r="W266" s="24">
        <f t="shared" si="334"/>
        <v>0</v>
      </c>
      <c r="X266" s="25">
        <f t="shared" si="335"/>
        <v>0</v>
      </c>
      <c r="Y266" s="23">
        <f t="shared" si="336"/>
        <v>0</v>
      </c>
      <c r="Z266" s="24">
        <f t="shared" si="337"/>
        <v>0</v>
      </c>
      <c r="AA266" s="25">
        <f t="shared" si="338"/>
        <v>0</v>
      </c>
      <c r="AB266" s="23">
        <f t="shared" si="339"/>
        <v>0</v>
      </c>
      <c r="AC266" s="24">
        <f t="shared" si="340"/>
        <v>0</v>
      </c>
      <c r="AD266" s="25">
        <f t="shared" si="341"/>
        <v>0</v>
      </c>
      <c r="AE266" s="23">
        <f t="shared" si="342"/>
        <v>0</v>
      </c>
      <c r="AF266" s="24">
        <f t="shared" si="343"/>
        <v>0</v>
      </c>
      <c r="AG266" s="25">
        <f t="shared" si="344"/>
        <v>0</v>
      </c>
      <c r="AH266" s="33"/>
    </row>
    <row r="267" spans="1:34" ht="18" customHeight="1" thickTop="1" thickBot="1" x14ac:dyDescent="0.3">
      <c r="A267" s="27">
        <v>194</v>
      </c>
      <c r="B267" s="28">
        <f t="shared" si="346"/>
        <v>0</v>
      </c>
      <c r="C267" s="60">
        <f t="shared" si="315"/>
        <v>0</v>
      </c>
      <c r="D267" s="23">
        <f t="shared" si="316"/>
        <v>0</v>
      </c>
      <c r="E267" s="24">
        <f t="shared" si="317"/>
        <v>0</v>
      </c>
      <c r="F267" s="25">
        <f t="shared" si="345"/>
        <v>0</v>
      </c>
      <c r="G267" s="23">
        <f t="shared" si="318"/>
        <v>0</v>
      </c>
      <c r="H267" s="24">
        <f t="shared" si="319"/>
        <v>0</v>
      </c>
      <c r="I267" s="25">
        <f t="shared" si="320"/>
        <v>0</v>
      </c>
      <c r="J267" s="23">
        <f t="shared" si="321"/>
        <v>0</v>
      </c>
      <c r="K267" s="24">
        <f t="shared" si="322"/>
        <v>0</v>
      </c>
      <c r="L267" s="25">
        <f t="shared" si="323"/>
        <v>0</v>
      </c>
      <c r="M267" s="23">
        <f t="shared" si="324"/>
        <v>0</v>
      </c>
      <c r="N267" s="24">
        <f t="shared" si="325"/>
        <v>0</v>
      </c>
      <c r="O267" s="25">
        <f t="shared" si="326"/>
        <v>0</v>
      </c>
      <c r="P267" s="23">
        <f t="shared" si="327"/>
        <v>0</v>
      </c>
      <c r="Q267" s="24">
        <f t="shared" si="328"/>
        <v>0</v>
      </c>
      <c r="R267" s="25">
        <f t="shared" si="329"/>
        <v>0</v>
      </c>
      <c r="S267" s="23">
        <f t="shared" si="330"/>
        <v>0</v>
      </c>
      <c r="T267" s="24">
        <f t="shared" si="331"/>
        <v>0</v>
      </c>
      <c r="U267" s="25">
        <f t="shared" si="332"/>
        <v>0</v>
      </c>
      <c r="V267" s="23">
        <f t="shared" si="333"/>
        <v>0</v>
      </c>
      <c r="W267" s="24">
        <f t="shared" si="334"/>
        <v>0</v>
      </c>
      <c r="X267" s="25">
        <f t="shared" si="335"/>
        <v>0</v>
      </c>
      <c r="Y267" s="23">
        <f t="shared" si="336"/>
        <v>0</v>
      </c>
      <c r="Z267" s="24">
        <f t="shared" si="337"/>
        <v>0</v>
      </c>
      <c r="AA267" s="25">
        <f t="shared" si="338"/>
        <v>0</v>
      </c>
      <c r="AB267" s="23">
        <f t="shared" si="339"/>
        <v>0</v>
      </c>
      <c r="AC267" s="24">
        <f t="shared" si="340"/>
        <v>0</v>
      </c>
      <c r="AD267" s="25">
        <f t="shared" si="341"/>
        <v>0</v>
      </c>
      <c r="AE267" s="23">
        <f t="shared" si="342"/>
        <v>0</v>
      </c>
      <c r="AF267" s="24">
        <f t="shared" si="343"/>
        <v>0</v>
      </c>
      <c r="AG267" s="25">
        <f t="shared" si="344"/>
        <v>0</v>
      </c>
      <c r="AH267" s="29"/>
    </row>
    <row r="268" spans="1:34" ht="18" customHeight="1" thickTop="1" thickBot="1" x14ac:dyDescent="0.3">
      <c r="A268" s="23">
        <v>195</v>
      </c>
      <c r="B268" s="28">
        <f t="shared" si="346"/>
        <v>0</v>
      </c>
      <c r="C268" s="60">
        <f t="shared" si="315"/>
        <v>0</v>
      </c>
      <c r="D268" s="23">
        <f t="shared" si="316"/>
        <v>0</v>
      </c>
      <c r="E268" s="24">
        <f t="shared" si="317"/>
        <v>0</v>
      </c>
      <c r="F268" s="25">
        <f t="shared" si="345"/>
        <v>0</v>
      </c>
      <c r="G268" s="23">
        <f t="shared" si="318"/>
        <v>0</v>
      </c>
      <c r="H268" s="24">
        <f t="shared" si="319"/>
        <v>0</v>
      </c>
      <c r="I268" s="25">
        <f t="shared" si="320"/>
        <v>0</v>
      </c>
      <c r="J268" s="23">
        <f t="shared" si="321"/>
        <v>0</v>
      </c>
      <c r="K268" s="24">
        <f t="shared" si="322"/>
        <v>0</v>
      </c>
      <c r="L268" s="25">
        <f t="shared" si="323"/>
        <v>0</v>
      </c>
      <c r="M268" s="23">
        <f t="shared" si="324"/>
        <v>0</v>
      </c>
      <c r="N268" s="24">
        <f t="shared" si="325"/>
        <v>0</v>
      </c>
      <c r="O268" s="25">
        <f t="shared" si="326"/>
        <v>0</v>
      </c>
      <c r="P268" s="23">
        <f t="shared" si="327"/>
        <v>0</v>
      </c>
      <c r="Q268" s="24">
        <f t="shared" si="328"/>
        <v>0</v>
      </c>
      <c r="R268" s="25">
        <f t="shared" si="329"/>
        <v>0</v>
      </c>
      <c r="S268" s="23">
        <f t="shared" si="330"/>
        <v>0</v>
      </c>
      <c r="T268" s="24">
        <f t="shared" si="331"/>
        <v>0</v>
      </c>
      <c r="U268" s="25">
        <f t="shared" si="332"/>
        <v>0</v>
      </c>
      <c r="V268" s="23">
        <f t="shared" si="333"/>
        <v>0</v>
      </c>
      <c r="W268" s="24">
        <f t="shared" si="334"/>
        <v>0</v>
      </c>
      <c r="X268" s="25">
        <f t="shared" si="335"/>
        <v>0</v>
      </c>
      <c r="Y268" s="23">
        <f t="shared" si="336"/>
        <v>0</v>
      </c>
      <c r="Z268" s="24">
        <f t="shared" si="337"/>
        <v>0</v>
      </c>
      <c r="AA268" s="25">
        <f t="shared" si="338"/>
        <v>0</v>
      </c>
      <c r="AB268" s="23">
        <f t="shared" si="339"/>
        <v>0</v>
      </c>
      <c r="AC268" s="24">
        <f t="shared" si="340"/>
        <v>0</v>
      </c>
      <c r="AD268" s="25">
        <f t="shared" si="341"/>
        <v>0</v>
      </c>
      <c r="AE268" s="23">
        <f t="shared" si="342"/>
        <v>0</v>
      </c>
      <c r="AF268" s="24">
        <f t="shared" si="343"/>
        <v>0</v>
      </c>
      <c r="AG268" s="25">
        <f t="shared" si="344"/>
        <v>0</v>
      </c>
      <c r="AH268" s="31"/>
    </row>
    <row r="269" spans="1:34" ht="18" customHeight="1" thickTop="1" thickBot="1" x14ac:dyDescent="0.3">
      <c r="A269" s="27">
        <v>196</v>
      </c>
      <c r="B269" s="28">
        <f t="shared" si="346"/>
        <v>0</v>
      </c>
      <c r="C269" s="60">
        <f t="shared" si="315"/>
        <v>0</v>
      </c>
      <c r="D269" s="23">
        <f t="shared" si="316"/>
        <v>0</v>
      </c>
      <c r="E269" s="24">
        <f t="shared" si="317"/>
        <v>0</v>
      </c>
      <c r="F269" s="25">
        <f t="shared" si="345"/>
        <v>0</v>
      </c>
      <c r="G269" s="23">
        <f t="shared" si="318"/>
        <v>0</v>
      </c>
      <c r="H269" s="24">
        <f t="shared" si="319"/>
        <v>0</v>
      </c>
      <c r="I269" s="25">
        <f t="shared" si="320"/>
        <v>0</v>
      </c>
      <c r="J269" s="23">
        <f t="shared" si="321"/>
        <v>0</v>
      </c>
      <c r="K269" s="24">
        <f t="shared" si="322"/>
        <v>0</v>
      </c>
      <c r="L269" s="25">
        <f t="shared" si="323"/>
        <v>0</v>
      </c>
      <c r="M269" s="23">
        <f t="shared" si="324"/>
        <v>0</v>
      </c>
      <c r="N269" s="24">
        <f t="shared" si="325"/>
        <v>0</v>
      </c>
      <c r="O269" s="25">
        <f t="shared" si="326"/>
        <v>0</v>
      </c>
      <c r="P269" s="23">
        <f t="shared" si="327"/>
        <v>0</v>
      </c>
      <c r="Q269" s="24">
        <f t="shared" si="328"/>
        <v>0</v>
      </c>
      <c r="R269" s="25">
        <f t="shared" si="329"/>
        <v>0</v>
      </c>
      <c r="S269" s="23">
        <f t="shared" si="330"/>
        <v>0</v>
      </c>
      <c r="T269" s="24">
        <f t="shared" si="331"/>
        <v>0</v>
      </c>
      <c r="U269" s="25">
        <f t="shared" si="332"/>
        <v>0</v>
      </c>
      <c r="V269" s="23">
        <f t="shared" si="333"/>
        <v>0</v>
      </c>
      <c r="W269" s="24">
        <f t="shared" si="334"/>
        <v>0</v>
      </c>
      <c r="X269" s="25">
        <f t="shared" si="335"/>
        <v>0</v>
      </c>
      <c r="Y269" s="23">
        <f t="shared" si="336"/>
        <v>0</v>
      </c>
      <c r="Z269" s="24">
        <f t="shared" si="337"/>
        <v>0</v>
      </c>
      <c r="AA269" s="25">
        <f t="shared" si="338"/>
        <v>0</v>
      </c>
      <c r="AB269" s="23">
        <f t="shared" si="339"/>
        <v>0</v>
      </c>
      <c r="AC269" s="24">
        <f t="shared" si="340"/>
        <v>0</v>
      </c>
      <c r="AD269" s="25">
        <f t="shared" si="341"/>
        <v>0</v>
      </c>
      <c r="AE269" s="23">
        <f t="shared" si="342"/>
        <v>0</v>
      </c>
      <c r="AF269" s="24">
        <f t="shared" si="343"/>
        <v>0</v>
      </c>
      <c r="AG269" s="25">
        <f t="shared" si="344"/>
        <v>0</v>
      </c>
      <c r="AH269" s="29"/>
    </row>
    <row r="270" spans="1:34" ht="18" customHeight="1" thickTop="1" thickBot="1" x14ac:dyDescent="0.3">
      <c r="A270" s="23">
        <v>197</v>
      </c>
      <c r="B270" s="28">
        <f t="shared" si="346"/>
        <v>0</v>
      </c>
      <c r="C270" s="60">
        <f t="shared" si="315"/>
        <v>0</v>
      </c>
      <c r="D270" s="23">
        <f t="shared" si="316"/>
        <v>0</v>
      </c>
      <c r="E270" s="24">
        <f t="shared" si="317"/>
        <v>0</v>
      </c>
      <c r="F270" s="25">
        <f t="shared" si="345"/>
        <v>0</v>
      </c>
      <c r="G270" s="23">
        <f t="shared" si="318"/>
        <v>0</v>
      </c>
      <c r="H270" s="24">
        <f t="shared" si="319"/>
        <v>0</v>
      </c>
      <c r="I270" s="25">
        <f t="shared" si="320"/>
        <v>0</v>
      </c>
      <c r="J270" s="23">
        <f t="shared" si="321"/>
        <v>0</v>
      </c>
      <c r="K270" s="24">
        <f t="shared" si="322"/>
        <v>0</v>
      </c>
      <c r="L270" s="25">
        <f t="shared" si="323"/>
        <v>0</v>
      </c>
      <c r="M270" s="23">
        <f t="shared" si="324"/>
        <v>0</v>
      </c>
      <c r="N270" s="24">
        <f t="shared" si="325"/>
        <v>0</v>
      </c>
      <c r="O270" s="25">
        <f t="shared" si="326"/>
        <v>0</v>
      </c>
      <c r="P270" s="23">
        <f t="shared" si="327"/>
        <v>0</v>
      </c>
      <c r="Q270" s="24">
        <f t="shared" si="328"/>
        <v>0</v>
      </c>
      <c r="R270" s="25">
        <f t="shared" si="329"/>
        <v>0</v>
      </c>
      <c r="S270" s="23">
        <f t="shared" si="330"/>
        <v>0</v>
      </c>
      <c r="T270" s="24">
        <f t="shared" si="331"/>
        <v>0</v>
      </c>
      <c r="U270" s="25">
        <f t="shared" si="332"/>
        <v>0</v>
      </c>
      <c r="V270" s="23">
        <f t="shared" si="333"/>
        <v>0</v>
      </c>
      <c r="W270" s="24">
        <f t="shared" si="334"/>
        <v>0</v>
      </c>
      <c r="X270" s="25">
        <f t="shared" si="335"/>
        <v>0</v>
      </c>
      <c r="Y270" s="23">
        <f t="shared" si="336"/>
        <v>0</v>
      </c>
      <c r="Z270" s="24">
        <f t="shared" si="337"/>
        <v>0</v>
      </c>
      <c r="AA270" s="25">
        <f t="shared" si="338"/>
        <v>0</v>
      </c>
      <c r="AB270" s="23">
        <f t="shared" si="339"/>
        <v>0</v>
      </c>
      <c r="AC270" s="24">
        <f t="shared" si="340"/>
        <v>0</v>
      </c>
      <c r="AD270" s="25">
        <f t="shared" si="341"/>
        <v>0</v>
      </c>
      <c r="AE270" s="23">
        <f t="shared" si="342"/>
        <v>0</v>
      </c>
      <c r="AF270" s="24">
        <f t="shared" si="343"/>
        <v>0</v>
      </c>
      <c r="AG270" s="25">
        <f t="shared" si="344"/>
        <v>0</v>
      </c>
      <c r="AH270" s="31"/>
    </row>
    <row r="271" spans="1:34" ht="18" customHeight="1" thickTop="1" thickBot="1" x14ac:dyDescent="0.3">
      <c r="A271" s="27">
        <v>198</v>
      </c>
      <c r="B271" s="28">
        <f t="shared" si="346"/>
        <v>0</v>
      </c>
      <c r="C271" s="60">
        <f t="shared" si="315"/>
        <v>0</v>
      </c>
      <c r="D271" s="23">
        <f t="shared" si="316"/>
        <v>0</v>
      </c>
      <c r="E271" s="24">
        <f t="shared" si="317"/>
        <v>0</v>
      </c>
      <c r="F271" s="25">
        <f t="shared" si="345"/>
        <v>0</v>
      </c>
      <c r="G271" s="23">
        <f t="shared" si="318"/>
        <v>0</v>
      </c>
      <c r="H271" s="24">
        <f t="shared" si="319"/>
        <v>0</v>
      </c>
      <c r="I271" s="25">
        <f t="shared" si="320"/>
        <v>0</v>
      </c>
      <c r="J271" s="23">
        <f t="shared" si="321"/>
        <v>0</v>
      </c>
      <c r="K271" s="24">
        <f t="shared" si="322"/>
        <v>0</v>
      </c>
      <c r="L271" s="25">
        <f t="shared" si="323"/>
        <v>0</v>
      </c>
      <c r="M271" s="23">
        <f t="shared" si="324"/>
        <v>0</v>
      </c>
      <c r="N271" s="24">
        <f t="shared" si="325"/>
        <v>0</v>
      </c>
      <c r="O271" s="25">
        <f t="shared" si="326"/>
        <v>0</v>
      </c>
      <c r="P271" s="23">
        <f t="shared" si="327"/>
        <v>0</v>
      </c>
      <c r="Q271" s="24">
        <f t="shared" si="328"/>
        <v>0</v>
      </c>
      <c r="R271" s="25">
        <f t="shared" si="329"/>
        <v>0</v>
      </c>
      <c r="S271" s="23">
        <f t="shared" si="330"/>
        <v>0</v>
      </c>
      <c r="T271" s="24">
        <f t="shared" si="331"/>
        <v>0</v>
      </c>
      <c r="U271" s="25">
        <f t="shared" si="332"/>
        <v>0</v>
      </c>
      <c r="V271" s="23">
        <f t="shared" si="333"/>
        <v>0</v>
      </c>
      <c r="W271" s="24">
        <f t="shared" si="334"/>
        <v>0</v>
      </c>
      <c r="X271" s="25">
        <f t="shared" si="335"/>
        <v>0</v>
      </c>
      <c r="Y271" s="23">
        <f t="shared" si="336"/>
        <v>0</v>
      </c>
      <c r="Z271" s="24">
        <f t="shared" si="337"/>
        <v>0</v>
      </c>
      <c r="AA271" s="25">
        <f t="shared" si="338"/>
        <v>0</v>
      </c>
      <c r="AB271" s="23">
        <f t="shared" si="339"/>
        <v>0</v>
      </c>
      <c r="AC271" s="24">
        <f t="shared" si="340"/>
        <v>0</v>
      </c>
      <c r="AD271" s="25">
        <f t="shared" si="341"/>
        <v>0</v>
      </c>
      <c r="AE271" s="23">
        <f t="shared" si="342"/>
        <v>0</v>
      </c>
      <c r="AF271" s="24">
        <f t="shared" si="343"/>
        <v>0</v>
      </c>
      <c r="AG271" s="25">
        <f t="shared" si="344"/>
        <v>0</v>
      </c>
      <c r="AH271" s="31"/>
    </row>
    <row r="272" spans="1:34" ht="18" customHeight="1" thickTop="1" thickBot="1" x14ac:dyDescent="0.3">
      <c r="A272" s="23">
        <v>199</v>
      </c>
      <c r="B272" s="28">
        <f t="shared" si="346"/>
        <v>0</v>
      </c>
      <c r="C272" s="60">
        <f t="shared" si="315"/>
        <v>0</v>
      </c>
      <c r="D272" s="23">
        <f t="shared" si="316"/>
        <v>0</v>
      </c>
      <c r="E272" s="24">
        <f t="shared" si="317"/>
        <v>0</v>
      </c>
      <c r="F272" s="25">
        <f t="shared" si="345"/>
        <v>0</v>
      </c>
      <c r="G272" s="23">
        <f t="shared" si="318"/>
        <v>0</v>
      </c>
      <c r="H272" s="24">
        <f t="shared" si="319"/>
        <v>0</v>
      </c>
      <c r="I272" s="25">
        <f t="shared" si="320"/>
        <v>0</v>
      </c>
      <c r="J272" s="23">
        <f t="shared" si="321"/>
        <v>0</v>
      </c>
      <c r="K272" s="24">
        <f t="shared" si="322"/>
        <v>0</v>
      </c>
      <c r="L272" s="25">
        <f t="shared" si="323"/>
        <v>0</v>
      </c>
      <c r="M272" s="23">
        <f t="shared" si="324"/>
        <v>0</v>
      </c>
      <c r="N272" s="24">
        <f t="shared" si="325"/>
        <v>0</v>
      </c>
      <c r="O272" s="25">
        <f t="shared" si="326"/>
        <v>0</v>
      </c>
      <c r="P272" s="23">
        <f t="shared" si="327"/>
        <v>0</v>
      </c>
      <c r="Q272" s="24">
        <f t="shared" si="328"/>
        <v>0</v>
      </c>
      <c r="R272" s="25">
        <f t="shared" si="329"/>
        <v>0</v>
      </c>
      <c r="S272" s="23">
        <f t="shared" si="330"/>
        <v>0</v>
      </c>
      <c r="T272" s="24">
        <f t="shared" si="331"/>
        <v>0</v>
      </c>
      <c r="U272" s="25">
        <f t="shared" si="332"/>
        <v>0</v>
      </c>
      <c r="V272" s="23">
        <f t="shared" si="333"/>
        <v>0</v>
      </c>
      <c r="W272" s="24">
        <f t="shared" si="334"/>
        <v>0</v>
      </c>
      <c r="X272" s="25">
        <f t="shared" si="335"/>
        <v>0</v>
      </c>
      <c r="Y272" s="23">
        <f t="shared" si="336"/>
        <v>0</v>
      </c>
      <c r="Z272" s="24">
        <f t="shared" si="337"/>
        <v>0</v>
      </c>
      <c r="AA272" s="25">
        <f t="shared" si="338"/>
        <v>0</v>
      </c>
      <c r="AB272" s="23">
        <f t="shared" si="339"/>
        <v>0</v>
      </c>
      <c r="AC272" s="24">
        <f t="shared" si="340"/>
        <v>0</v>
      </c>
      <c r="AD272" s="25">
        <f t="shared" si="341"/>
        <v>0</v>
      </c>
      <c r="AE272" s="23">
        <f t="shared" si="342"/>
        <v>0</v>
      </c>
      <c r="AF272" s="24">
        <f t="shared" si="343"/>
        <v>0</v>
      </c>
      <c r="AG272" s="25">
        <f t="shared" si="344"/>
        <v>0</v>
      </c>
      <c r="AH272" s="31"/>
    </row>
    <row r="273" spans="1:34" ht="18" customHeight="1" thickTop="1" thickBot="1" x14ac:dyDescent="0.3">
      <c r="A273" s="27">
        <v>200</v>
      </c>
      <c r="B273" s="28">
        <f t="shared" si="346"/>
        <v>0</v>
      </c>
      <c r="C273" s="60">
        <f t="shared" si="315"/>
        <v>0</v>
      </c>
      <c r="D273" s="23">
        <f t="shared" si="316"/>
        <v>0</v>
      </c>
      <c r="E273" s="24">
        <f t="shared" si="317"/>
        <v>0</v>
      </c>
      <c r="F273" s="25">
        <f t="shared" si="345"/>
        <v>0</v>
      </c>
      <c r="G273" s="23">
        <f t="shared" si="318"/>
        <v>0</v>
      </c>
      <c r="H273" s="24">
        <f t="shared" si="319"/>
        <v>0</v>
      </c>
      <c r="I273" s="25">
        <f t="shared" si="320"/>
        <v>0</v>
      </c>
      <c r="J273" s="23">
        <f t="shared" si="321"/>
        <v>0</v>
      </c>
      <c r="K273" s="24">
        <f t="shared" si="322"/>
        <v>0</v>
      </c>
      <c r="L273" s="25">
        <f t="shared" si="323"/>
        <v>0</v>
      </c>
      <c r="M273" s="23">
        <f t="shared" si="324"/>
        <v>0</v>
      </c>
      <c r="N273" s="24">
        <f t="shared" si="325"/>
        <v>0</v>
      </c>
      <c r="O273" s="25">
        <f t="shared" si="326"/>
        <v>0</v>
      </c>
      <c r="P273" s="23">
        <f t="shared" si="327"/>
        <v>0</v>
      </c>
      <c r="Q273" s="24">
        <f t="shared" si="328"/>
        <v>0</v>
      </c>
      <c r="R273" s="25">
        <f t="shared" si="329"/>
        <v>0</v>
      </c>
      <c r="S273" s="23">
        <f t="shared" si="330"/>
        <v>0</v>
      </c>
      <c r="T273" s="24">
        <f t="shared" si="331"/>
        <v>0</v>
      </c>
      <c r="U273" s="25">
        <f t="shared" si="332"/>
        <v>0</v>
      </c>
      <c r="V273" s="23">
        <f t="shared" si="333"/>
        <v>0</v>
      </c>
      <c r="W273" s="24">
        <f t="shared" si="334"/>
        <v>0</v>
      </c>
      <c r="X273" s="25">
        <f t="shared" si="335"/>
        <v>0</v>
      </c>
      <c r="Y273" s="23">
        <f t="shared" si="336"/>
        <v>0</v>
      </c>
      <c r="Z273" s="24">
        <f t="shared" si="337"/>
        <v>0</v>
      </c>
      <c r="AA273" s="25">
        <f t="shared" si="338"/>
        <v>0</v>
      </c>
      <c r="AB273" s="23">
        <f t="shared" si="339"/>
        <v>0</v>
      </c>
      <c r="AC273" s="24">
        <f t="shared" si="340"/>
        <v>0</v>
      </c>
      <c r="AD273" s="25">
        <f t="shared" si="341"/>
        <v>0</v>
      </c>
      <c r="AE273" s="23">
        <f t="shared" si="342"/>
        <v>0</v>
      </c>
      <c r="AF273" s="24">
        <f t="shared" si="343"/>
        <v>0</v>
      </c>
      <c r="AG273" s="25">
        <f t="shared" si="344"/>
        <v>0</v>
      </c>
      <c r="AH273" s="34"/>
    </row>
    <row r="274" spans="1:34" ht="7.95" customHeight="1" thickTop="1" x14ac:dyDescent="0.25">
      <c r="A274" s="212" t="s">
        <v>2</v>
      </c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  <c r="AD274" s="212"/>
      <c r="AE274" s="212"/>
      <c r="AF274" s="212"/>
      <c r="AG274" s="212"/>
    </row>
    <row r="275" spans="1:34" x14ac:dyDescent="0.25">
      <c r="A275" s="213"/>
      <c r="B275" s="213"/>
      <c r="C275" s="213" t="s">
        <v>18</v>
      </c>
      <c r="D275" s="213"/>
      <c r="E275" s="213"/>
      <c r="F275" s="214" t="s">
        <v>19</v>
      </c>
      <c r="G275" s="214"/>
      <c r="H275" s="214"/>
      <c r="I275" s="214"/>
      <c r="J275" s="35"/>
      <c r="K275" s="214" t="s">
        <v>20</v>
      </c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  <c r="AA275" s="214"/>
      <c r="AB275" s="214"/>
      <c r="AC275" s="35"/>
      <c r="AD275" s="35"/>
      <c r="AE275" s="214" t="s">
        <v>55</v>
      </c>
      <c r="AF275" s="214"/>
      <c r="AG275" s="214"/>
    </row>
    <row r="276" spans="1:34" ht="13.95" customHeight="1" x14ac:dyDescent="0.25">
      <c r="A276" s="214" t="s">
        <v>21</v>
      </c>
      <c r="B276" s="214"/>
      <c r="C276" s="213">
        <f>'الفترة الاولى'!$CA$10</f>
        <v>0</v>
      </c>
      <c r="D276" s="213"/>
      <c r="E276" s="213"/>
      <c r="F276" s="214"/>
      <c r="G276" s="214"/>
      <c r="H276" s="214"/>
      <c r="I276" s="214"/>
      <c r="J276" s="35"/>
      <c r="K276" s="220" t="s">
        <v>52</v>
      </c>
      <c r="L276" s="215"/>
      <c r="M276" s="215"/>
      <c r="N276" s="222" t="str">
        <f>'الفترة الاولى'!$CA$16</f>
        <v>أ. فهيم عبدالمجيد بوازويتة</v>
      </c>
      <c r="O276" s="222"/>
      <c r="P276" s="222"/>
      <c r="Q276" s="222"/>
      <c r="R276" s="222"/>
      <c r="S276" s="222"/>
      <c r="T276" s="222"/>
      <c r="U276" s="215" t="s">
        <v>53</v>
      </c>
      <c r="V276" s="215"/>
      <c r="W276" s="215"/>
      <c r="X276" s="215" t="str">
        <f>'الفترة الاولى'!$C$6</f>
        <v>سهول العلم للتعليم الخاص</v>
      </c>
      <c r="Y276" s="215"/>
      <c r="Z276" s="215"/>
      <c r="AA276" s="215"/>
      <c r="AB276" s="216"/>
      <c r="AC276" s="36"/>
      <c r="AD276" s="36"/>
      <c r="AE276" s="214" t="s">
        <v>2</v>
      </c>
      <c r="AF276" s="214"/>
      <c r="AG276" s="214"/>
    </row>
    <row r="277" spans="1:34" ht="15.6" customHeight="1" x14ac:dyDescent="0.25">
      <c r="A277" s="214" t="s">
        <v>22</v>
      </c>
      <c r="B277" s="214"/>
      <c r="C277" s="213">
        <f>'الفترة الاولى'!$CA$11</f>
        <v>0</v>
      </c>
      <c r="D277" s="213"/>
      <c r="E277" s="213"/>
      <c r="F277" s="214"/>
      <c r="G277" s="214"/>
      <c r="H277" s="214"/>
      <c r="I277" s="214"/>
      <c r="J277" s="35"/>
      <c r="K277" s="217" t="s">
        <v>54</v>
      </c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9"/>
      <c r="AC277" s="37"/>
      <c r="AD277" s="37"/>
      <c r="AE277" s="214"/>
      <c r="AF277" s="214"/>
      <c r="AG277" s="214"/>
    </row>
    <row r="278" spans="1:34" ht="13.95" customHeight="1" x14ac:dyDescent="0.25">
      <c r="A278" s="214" t="s">
        <v>23</v>
      </c>
      <c r="B278" s="214"/>
      <c r="C278" s="213">
        <f>'الفترة الاولى'!$CA$12</f>
        <v>0</v>
      </c>
      <c r="D278" s="213"/>
      <c r="E278" s="213"/>
      <c r="F278" s="214"/>
      <c r="G278" s="214"/>
      <c r="H278" s="214"/>
      <c r="I278" s="214"/>
      <c r="K278" s="220" t="s">
        <v>44</v>
      </c>
      <c r="L278" s="215"/>
      <c r="M278" s="221">
        <f ca="1">TODAY()</f>
        <v>46181</v>
      </c>
      <c r="N278" s="215"/>
      <c r="O278" s="215"/>
      <c r="P278" s="215"/>
      <c r="Q278" s="215"/>
      <c r="R278" s="215"/>
      <c r="S278" s="215"/>
      <c r="T278" s="215" t="s">
        <v>19</v>
      </c>
      <c r="U278" s="215"/>
      <c r="V278" s="215"/>
      <c r="W278" s="215"/>
      <c r="X278" s="215"/>
      <c r="Y278" s="215"/>
      <c r="Z278" s="215"/>
      <c r="AA278" s="215"/>
      <c r="AB278" s="38"/>
      <c r="AC278" s="36"/>
      <c r="AD278" s="36"/>
      <c r="AE278" s="214"/>
      <c r="AF278" s="214"/>
      <c r="AG278" s="214"/>
    </row>
    <row r="279" spans="1:34" x14ac:dyDescent="0.25">
      <c r="A279" s="214" t="s">
        <v>24</v>
      </c>
      <c r="B279" s="214"/>
      <c r="C279" s="213">
        <f>'الفترة الاولى'!$CA$13</f>
        <v>0</v>
      </c>
      <c r="D279" s="213"/>
      <c r="E279" s="213"/>
      <c r="F279" s="214"/>
      <c r="G279" s="214"/>
      <c r="H279" s="214"/>
      <c r="I279" s="214"/>
      <c r="K279" s="39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1"/>
      <c r="AC279" s="36"/>
      <c r="AD279" s="36"/>
      <c r="AE279" s="214"/>
      <c r="AF279" s="214"/>
      <c r="AG279" s="214"/>
    </row>
    <row r="280" spans="1:34" ht="14.4" thickBot="1" x14ac:dyDescent="0.3"/>
    <row r="281" spans="1:34" ht="6.75" customHeight="1" thickBot="1" x14ac:dyDescent="0.3">
      <c r="A281" s="209"/>
      <c r="B281" s="210"/>
      <c r="C281" s="210"/>
      <c r="D281" s="210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  <c r="AA281" s="210"/>
      <c r="AB281" s="210"/>
      <c r="AC281" s="210"/>
      <c r="AD281" s="210"/>
      <c r="AE281" s="210"/>
      <c r="AF281" s="210"/>
      <c r="AG281" s="210"/>
      <c r="AH281" s="211"/>
    </row>
    <row r="282" spans="1:34" ht="18" customHeight="1" thickBot="1" x14ac:dyDescent="0.3">
      <c r="A282" s="23">
        <v>201</v>
      </c>
      <c r="B282" s="24">
        <f>IFERROR(VLOOKUP(A282,الاسماء,2,0),"")</f>
        <v>0</v>
      </c>
      <c r="C282" s="59">
        <f t="shared" ref="C282:C301" si="347">IFERROR(VLOOKUP(A282,الاسماء,3,0),"")</f>
        <v>0</v>
      </c>
      <c r="D282" s="23">
        <f t="shared" ref="D282:D301" si="348">IFERROR(VLOOKUP($C282,درجات,5,0),0)</f>
        <v>0</v>
      </c>
      <c r="E282" s="24">
        <f t="shared" ref="E282:E301" si="349">IFERROR(VLOOKUP($C282,درجات,43,0),0)</f>
        <v>0</v>
      </c>
      <c r="F282" s="25">
        <f>SUM(D282:E282)</f>
        <v>0</v>
      </c>
      <c r="G282" s="23">
        <f t="shared" ref="G282:G301" si="350">IFERROR(VLOOKUP($C282,درجات,8,0),0)</f>
        <v>0</v>
      </c>
      <c r="H282" s="24">
        <f t="shared" ref="H282:H301" si="351">IFERROR(VLOOKUP($C282,درجات,46,0),0)</f>
        <v>0</v>
      </c>
      <c r="I282" s="25">
        <f t="shared" ref="I282:I301" si="352">SUM(G282:H282)</f>
        <v>0</v>
      </c>
      <c r="J282" s="23">
        <f t="shared" ref="J282:J301" si="353">IFERROR(VLOOKUP($C282,درجات,11,0),0)</f>
        <v>0</v>
      </c>
      <c r="K282" s="24">
        <f t="shared" ref="K282:K301" si="354">IFERROR(VLOOKUP($C282,درجات,49,0),0)</f>
        <v>0</v>
      </c>
      <c r="L282" s="25">
        <f t="shared" ref="L282:L301" si="355">SUM(J282:K282)</f>
        <v>0</v>
      </c>
      <c r="M282" s="23">
        <f t="shared" ref="M282:M301" si="356">IFERROR(VLOOKUP($C282,درجات,14,0),0)</f>
        <v>0</v>
      </c>
      <c r="N282" s="24">
        <f t="shared" ref="N282:N301" si="357">IFERROR(VLOOKUP($C282,درجات,52,0),0)</f>
        <v>0</v>
      </c>
      <c r="O282" s="25">
        <f t="shared" ref="O282:O301" si="358">SUM(M282:N282)</f>
        <v>0</v>
      </c>
      <c r="P282" s="23">
        <f t="shared" ref="P282:P301" si="359">IFERROR(VLOOKUP($C282,درجات,17,0),0)</f>
        <v>0</v>
      </c>
      <c r="Q282" s="24">
        <f t="shared" ref="Q282:Q301" si="360">IFERROR(VLOOKUP($C282,درجات,55,0),0)</f>
        <v>0</v>
      </c>
      <c r="R282" s="25">
        <f t="shared" ref="R282:R301" si="361">SUM(P282:Q282)</f>
        <v>0</v>
      </c>
      <c r="S282" s="23">
        <f t="shared" ref="S282:S301" si="362">IFERROR(VLOOKUP($C282,درجات,20,0),0)</f>
        <v>0</v>
      </c>
      <c r="T282" s="24">
        <f t="shared" ref="T282:T301" si="363">IFERROR(VLOOKUP($C282,درجات,58,0),0)</f>
        <v>0</v>
      </c>
      <c r="U282" s="25">
        <f t="shared" ref="U282:U301" si="364">SUM(S282:T282)</f>
        <v>0</v>
      </c>
      <c r="V282" s="23">
        <f t="shared" ref="V282:V301" si="365">IFERROR(VLOOKUP($C282,درجات,23,0),0)</f>
        <v>0</v>
      </c>
      <c r="W282" s="24">
        <f t="shared" ref="W282:W301" si="366">IFERROR(VLOOKUP($C282,درجات,61,0),0)</f>
        <v>0</v>
      </c>
      <c r="X282" s="25">
        <f t="shared" ref="X282:X301" si="367">SUM(V282:W282)</f>
        <v>0</v>
      </c>
      <c r="Y282" s="23">
        <f t="shared" ref="Y282:Y301" si="368">IFERROR(VLOOKUP($C282,درجات,26,0),0)</f>
        <v>0</v>
      </c>
      <c r="Z282" s="24">
        <f t="shared" ref="Z282:Z301" si="369">IFERROR(VLOOKUP($C282,درجات,64,0),0)</f>
        <v>0</v>
      </c>
      <c r="AA282" s="25">
        <f t="shared" ref="AA282:AA301" si="370">SUM(Y282:Z282)</f>
        <v>0</v>
      </c>
      <c r="AB282" s="23">
        <f t="shared" ref="AB282:AB301" si="371">IFERROR(VLOOKUP($C282,درجات,29,0),0)</f>
        <v>0</v>
      </c>
      <c r="AC282" s="24">
        <f t="shared" ref="AC282:AC301" si="372">IFERROR(VLOOKUP($C282,درجات,67,0),0)</f>
        <v>0</v>
      </c>
      <c r="AD282" s="25">
        <f t="shared" ref="AD282:AD301" si="373">SUM(AB282:AC282)</f>
        <v>0</v>
      </c>
      <c r="AE282" s="23">
        <f t="shared" ref="AE282:AE301" si="374">IFERROR(VLOOKUP($C282,درجات,32,0),0)</f>
        <v>0</v>
      </c>
      <c r="AF282" s="24">
        <f t="shared" ref="AF282:AF301" si="375">IFERROR(VLOOKUP($C282,درجات,70,0),0)</f>
        <v>0</v>
      </c>
      <c r="AG282" s="25">
        <f t="shared" ref="AG282:AG301" si="376">SUM(AE282:AF282)</f>
        <v>0</v>
      </c>
      <c r="AH282" s="26"/>
    </row>
    <row r="283" spans="1:34" ht="18" customHeight="1" thickTop="1" thickBot="1" x14ac:dyDescent="0.3">
      <c r="A283" s="27">
        <v>202</v>
      </c>
      <c r="B283" s="28">
        <f>IFERROR(VLOOKUP(A283,الاسماء,2,0),0)</f>
        <v>0</v>
      </c>
      <c r="C283" s="60">
        <f t="shared" si="347"/>
        <v>0</v>
      </c>
      <c r="D283" s="23">
        <f t="shared" si="348"/>
        <v>0</v>
      </c>
      <c r="E283" s="24">
        <f t="shared" si="349"/>
        <v>0</v>
      </c>
      <c r="F283" s="25">
        <f t="shared" ref="F283:F301" si="377">SUM(D283:E283)</f>
        <v>0</v>
      </c>
      <c r="G283" s="23">
        <f t="shared" si="350"/>
        <v>0</v>
      </c>
      <c r="H283" s="24">
        <f t="shared" si="351"/>
        <v>0</v>
      </c>
      <c r="I283" s="25">
        <f t="shared" si="352"/>
        <v>0</v>
      </c>
      <c r="J283" s="23">
        <f t="shared" si="353"/>
        <v>0</v>
      </c>
      <c r="K283" s="24">
        <f t="shared" si="354"/>
        <v>0</v>
      </c>
      <c r="L283" s="25">
        <f t="shared" si="355"/>
        <v>0</v>
      </c>
      <c r="M283" s="23">
        <f t="shared" si="356"/>
        <v>0</v>
      </c>
      <c r="N283" s="24">
        <f t="shared" si="357"/>
        <v>0</v>
      </c>
      <c r="O283" s="25">
        <f t="shared" si="358"/>
        <v>0</v>
      </c>
      <c r="P283" s="23">
        <f t="shared" si="359"/>
        <v>0</v>
      </c>
      <c r="Q283" s="24">
        <f t="shared" si="360"/>
        <v>0</v>
      </c>
      <c r="R283" s="25">
        <f t="shared" si="361"/>
        <v>0</v>
      </c>
      <c r="S283" s="23">
        <f t="shared" si="362"/>
        <v>0</v>
      </c>
      <c r="T283" s="24">
        <f t="shared" si="363"/>
        <v>0</v>
      </c>
      <c r="U283" s="25">
        <f t="shared" si="364"/>
        <v>0</v>
      </c>
      <c r="V283" s="23">
        <f t="shared" si="365"/>
        <v>0</v>
      </c>
      <c r="W283" s="24">
        <f t="shared" si="366"/>
        <v>0</v>
      </c>
      <c r="X283" s="25">
        <f t="shared" si="367"/>
        <v>0</v>
      </c>
      <c r="Y283" s="23">
        <f t="shared" si="368"/>
        <v>0</v>
      </c>
      <c r="Z283" s="24">
        <f t="shared" si="369"/>
        <v>0</v>
      </c>
      <c r="AA283" s="25">
        <f t="shared" si="370"/>
        <v>0</v>
      </c>
      <c r="AB283" s="23">
        <f t="shared" si="371"/>
        <v>0</v>
      </c>
      <c r="AC283" s="24">
        <f t="shared" si="372"/>
        <v>0</v>
      </c>
      <c r="AD283" s="25">
        <f t="shared" si="373"/>
        <v>0</v>
      </c>
      <c r="AE283" s="23">
        <f t="shared" si="374"/>
        <v>0</v>
      </c>
      <c r="AF283" s="24">
        <f t="shared" si="375"/>
        <v>0</v>
      </c>
      <c r="AG283" s="25">
        <f t="shared" si="376"/>
        <v>0</v>
      </c>
      <c r="AH283" s="29"/>
    </row>
    <row r="284" spans="1:34" ht="18" customHeight="1" thickTop="1" thickBot="1" x14ac:dyDescent="0.3">
      <c r="A284" s="23">
        <v>203</v>
      </c>
      <c r="B284" s="28">
        <f t="shared" ref="B284:B301" si="378">IFERROR(VLOOKUP(A284,الاسماء,2,0),"")</f>
        <v>0</v>
      </c>
      <c r="C284" s="60">
        <f t="shared" si="347"/>
        <v>0</v>
      </c>
      <c r="D284" s="23">
        <f t="shared" si="348"/>
        <v>0</v>
      </c>
      <c r="E284" s="24">
        <f t="shared" si="349"/>
        <v>0</v>
      </c>
      <c r="F284" s="25">
        <f t="shared" si="377"/>
        <v>0</v>
      </c>
      <c r="G284" s="23">
        <f t="shared" si="350"/>
        <v>0</v>
      </c>
      <c r="H284" s="24">
        <f t="shared" si="351"/>
        <v>0</v>
      </c>
      <c r="I284" s="25">
        <f t="shared" si="352"/>
        <v>0</v>
      </c>
      <c r="J284" s="23">
        <f t="shared" si="353"/>
        <v>0</v>
      </c>
      <c r="K284" s="24">
        <f t="shared" si="354"/>
        <v>0</v>
      </c>
      <c r="L284" s="25">
        <f t="shared" si="355"/>
        <v>0</v>
      </c>
      <c r="M284" s="23">
        <f t="shared" si="356"/>
        <v>0</v>
      </c>
      <c r="N284" s="24">
        <f t="shared" si="357"/>
        <v>0</v>
      </c>
      <c r="O284" s="25">
        <f t="shared" si="358"/>
        <v>0</v>
      </c>
      <c r="P284" s="23">
        <f t="shared" si="359"/>
        <v>0</v>
      </c>
      <c r="Q284" s="24">
        <f t="shared" si="360"/>
        <v>0</v>
      </c>
      <c r="R284" s="25">
        <f t="shared" si="361"/>
        <v>0</v>
      </c>
      <c r="S284" s="23">
        <f t="shared" si="362"/>
        <v>0</v>
      </c>
      <c r="T284" s="24">
        <f t="shared" si="363"/>
        <v>0</v>
      </c>
      <c r="U284" s="25">
        <f t="shared" si="364"/>
        <v>0</v>
      </c>
      <c r="V284" s="23">
        <f t="shared" si="365"/>
        <v>0</v>
      </c>
      <c r="W284" s="24">
        <f t="shared" si="366"/>
        <v>0</v>
      </c>
      <c r="X284" s="25">
        <f t="shared" si="367"/>
        <v>0</v>
      </c>
      <c r="Y284" s="23">
        <f t="shared" si="368"/>
        <v>0</v>
      </c>
      <c r="Z284" s="24">
        <f t="shared" si="369"/>
        <v>0</v>
      </c>
      <c r="AA284" s="25">
        <f t="shared" si="370"/>
        <v>0</v>
      </c>
      <c r="AB284" s="23">
        <f t="shared" si="371"/>
        <v>0</v>
      </c>
      <c r="AC284" s="24">
        <f t="shared" si="372"/>
        <v>0</v>
      </c>
      <c r="AD284" s="25">
        <f t="shared" si="373"/>
        <v>0</v>
      </c>
      <c r="AE284" s="23">
        <f t="shared" si="374"/>
        <v>0</v>
      </c>
      <c r="AF284" s="24">
        <f t="shared" si="375"/>
        <v>0</v>
      </c>
      <c r="AG284" s="25">
        <f t="shared" si="376"/>
        <v>0</v>
      </c>
      <c r="AH284" s="30"/>
    </row>
    <row r="285" spans="1:34" ht="18" customHeight="1" thickTop="1" thickBot="1" x14ac:dyDescent="0.3">
      <c r="A285" s="27">
        <v>204</v>
      </c>
      <c r="B285" s="28">
        <f t="shared" si="378"/>
        <v>0</v>
      </c>
      <c r="C285" s="60">
        <f t="shared" si="347"/>
        <v>0</v>
      </c>
      <c r="D285" s="23">
        <f t="shared" si="348"/>
        <v>0</v>
      </c>
      <c r="E285" s="24">
        <f t="shared" si="349"/>
        <v>0</v>
      </c>
      <c r="F285" s="25">
        <f t="shared" si="377"/>
        <v>0</v>
      </c>
      <c r="G285" s="23">
        <f t="shared" si="350"/>
        <v>0</v>
      </c>
      <c r="H285" s="24">
        <f t="shared" si="351"/>
        <v>0</v>
      </c>
      <c r="I285" s="25">
        <f t="shared" si="352"/>
        <v>0</v>
      </c>
      <c r="J285" s="23">
        <f t="shared" si="353"/>
        <v>0</v>
      </c>
      <c r="K285" s="24">
        <f t="shared" si="354"/>
        <v>0</v>
      </c>
      <c r="L285" s="25">
        <f t="shared" si="355"/>
        <v>0</v>
      </c>
      <c r="M285" s="23">
        <f t="shared" si="356"/>
        <v>0</v>
      </c>
      <c r="N285" s="24">
        <f t="shared" si="357"/>
        <v>0</v>
      </c>
      <c r="O285" s="25">
        <f t="shared" si="358"/>
        <v>0</v>
      </c>
      <c r="P285" s="23">
        <f t="shared" si="359"/>
        <v>0</v>
      </c>
      <c r="Q285" s="24">
        <f t="shared" si="360"/>
        <v>0</v>
      </c>
      <c r="R285" s="25">
        <f t="shared" si="361"/>
        <v>0</v>
      </c>
      <c r="S285" s="23">
        <f t="shared" si="362"/>
        <v>0</v>
      </c>
      <c r="T285" s="24">
        <f t="shared" si="363"/>
        <v>0</v>
      </c>
      <c r="U285" s="25">
        <f t="shared" si="364"/>
        <v>0</v>
      </c>
      <c r="V285" s="23">
        <f t="shared" si="365"/>
        <v>0</v>
      </c>
      <c r="W285" s="24">
        <f t="shared" si="366"/>
        <v>0</v>
      </c>
      <c r="X285" s="25">
        <f t="shared" si="367"/>
        <v>0</v>
      </c>
      <c r="Y285" s="23">
        <f t="shared" si="368"/>
        <v>0</v>
      </c>
      <c r="Z285" s="24">
        <f t="shared" si="369"/>
        <v>0</v>
      </c>
      <c r="AA285" s="25">
        <f t="shared" si="370"/>
        <v>0</v>
      </c>
      <c r="AB285" s="23">
        <f t="shared" si="371"/>
        <v>0</v>
      </c>
      <c r="AC285" s="24">
        <f t="shared" si="372"/>
        <v>0</v>
      </c>
      <c r="AD285" s="25">
        <f t="shared" si="373"/>
        <v>0</v>
      </c>
      <c r="AE285" s="23">
        <f t="shared" si="374"/>
        <v>0</v>
      </c>
      <c r="AF285" s="24">
        <f t="shared" si="375"/>
        <v>0</v>
      </c>
      <c r="AG285" s="25">
        <f t="shared" si="376"/>
        <v>0</v>
      </c>
      <c r="AH285" s="30"/>
    </row>
    <row r="286" spans="1:34" ht="18" customHeight="1" thickTop="1" thickBot="1" x14ac:dyDescent="0.3">
      <c r="A286" s="23">
        <v>205</v>
      </c>
      <c r="B286" s="28">
        <f t="shared" si="378"/>
        <v>0</v>
      </c>
      <c r="C286" s="60">
        <f t="shared" si="347"/>
        <v>0</v>
      </c>
      <c r="D286" s="23">
        <f t="shared" si="348"/>
        <v>0</v>
      </c>
      <c r="E286" s="24">
        <f t="shared" si="349"/>
        <v>0</v>
      </c>
      <c r="F286" s="25">
        <f t="shared" si="377"/>
        <v>0</v>
      </c>
      <c r="G286" s="23">
        <f t="shared" si="350"/>
        <v>0</v>
      </c>
      <c r="H286" s="24">
        <f t="shared" si="351"/>
        <v>0</v>
      </c>
      <c r="I286" s="25">
        <f t="shared" si="352"/>
        <v>0</v>
      </c>
      <c r="J286" s="23">
        <f t="shared" si="353"/>
        <v>0</v>
      </c>
      <c r="K286" s="24">
        <f t="shared" si="354"/>
        <v>0</v>
      </c>
      <c r="L286" s="25">
        <f t="shared" si="355"/>
        <v>0</v>
      </c>
      <c r="M286" s="23">
        <f t="shared" si="356"/>
        <v>0</v>
      </c>
      <c r="N286" s="24">
        <f t="shared" si="357"/>
        <v>0</v>
      </c>
      <c r="O286" s="25">
        <f t="shared" si="358"/>
        <v>0</v>
      </c>
      <c r="P286" s="23">
        <f t="shared" si="359"/>
        <v>0</v>
      </c>
      <c r="Q286" s="24">
        <f t="shared" si="360"/>
        <v>0</v>
      </c>
      <c r="R286" s="25">
        <f t="shared" si="361"/>
        <v>0</v>
      </c>
      <c r="S286" s="23">
        <f t="shared" si="362"/>
        <v>0</v>
      </c>
      <c r="T286" s="24">
        <f t="shared" si="363"/>
        <v>0</v>
      </c>
      <c r="U286" s="25">
        <f t="shared" si="364"/>
        <v>0</v>
      </c>
      <c r="V286" s="23">
        <f t="shared" si="365"/>
        <v>0</v>
      </c>
      <c r="W286" s="24">
        <f t="shared" si="366"/>
        <v>0</v>
      </c>
      <c r="X286" s="25">
        <f t="shared" si="367"/>
        <v>0</v>
      </c>
      <c r="Y286" s="23">
        <f t="shared" si="368"/>
        <v>0</v>
      </c>
      <c r="Z286" s="24">
        <f t="shared" si="369"/>
        <v>0</v>
      </c>
      <c r="AA286" s="25">
        <f t="shared" si="370"/>
        <v>0</v>
      </c>
      <c r="AB286" s="23">
        <f t="shared" si="371"/>
        <v>0</v>
      </c>
      <c r="AC286" s="24">
        <f t="shared" si="372"/>
        <v>0</v>
      </c>
      <c r="AD286" s="25">
        <f t="shared" si="373"/>
        <v>0</v>
      </c>
      <c r="AE286" s="23">
        <f t="shared" si="374"/>
        <v>0</v>
      </c>
      <c r="AF286" s="24">
        <f t="shared" si="375"/>
        <v>0</v>
      </c>
      <c r="AG286" s="25">
        <f t="shared" si="376"/>
        <v>0</v>
      </c>
      <c r="AH286" s="30"/>
    </row>
    <row r="287" spans="1:34" ht="18" customHeight="1" thickTop="1" thickBot="1" x14ac:dyDescent="0.3">
      <c r="A287" s="27">
        <v>206</v>
      </c>
      <c r="B287" s="28">
        <f t="shared" si="378"/>
        <v>0</v>
      </c>
      <c r="C287" s="60">
        <f t="shared" si="347"/>
        <v>0</v>
      </c>
      <c r="D287" s="23">
        <f t="shared" si="348"/>
        <v>0</v>
      </c>
      <c r="E287" s="24">
        <f t="shared" si="349"/>
        <v>0</v>
      </c>
      <c r="F287" s="25">
        <f t="shared" si="377"/>
        <v>0</v>
      </c>
      <c r="G287" s="23">
        <f t="shared" si="350"/>
        <v>0</v>
      </c>
      <c r="H287" s="24">
        <f t="shared" si="351"/>
        <v>0</v>
      </c>
      <c r="I287" s="25">
        <f t="shared" si="352"/>
        <v>0</v>
      </c>
      <c r="J287" s="23">
        <f t="shared" si="353"/>
        <v>0</v>
      </c>
      <c r="K287" s="24">
        <f t="shared" si="354"/>
        <v>0</v>
      </c>
      <c r="L287" s="25">
        <f t="shared" si="355"/>
        <v>0</v>
      </c>
      <c r="M287" s="23">
        <f t="shared" si="356"/>
        <v>0</v>
      </c>
      <c r="N287" s="24">
        <f t="shared" si="357"/>
        <v>0</v>
      </c>
      <c r="O287" s="25">
        <f t="shared" si="358"/>
        <v>0</v>
      </c>
      <c r="P287" s="23">
        <f t="shared" si="359"/>
        <v>0</v>
      </c>
      <c r="Q287" s="24">
        <f t="shared" si="360"/>
        <v>0</v>
      </c>
      <c r="R287" s="25">
        <f t="shared" si="361"/>
        <v>0</v>
      </c>
      <c r="S287" s="23">
        <f t="shared" si="362"/>
        <v>0</v>
      </c>
      <c r="T287" s="24">
        <f t="shared" si="363"/>
        <v>0</v>
      </c>
      <c r="U287" s="25">
        <f t="shared" si="364"/>
        <v>0</v>
      </c>
      <c r="V287" s="23">
        <f t="shared" si="365"/>
        <v>0</v>
      </c>
      <c r="W287" s="24">
        <f t="shared" si="366"/>
        <v>0</v>
      </c>
      <c r="X287" s="25">
        <f t="shared" si="367"/>
        <v>0</v>
      </c>
      <c r="Y287" s="23">
        <f t="shared" si="368"/>
        <v>0</v>
      </c>
      <c r="Z287" s="24">
        <f t="shared" si="369"/>
        <v>0</v>
      </c>
      <c r="AA287" s="25">
        <f t="shared" si="370"/>
        <v>0</v>
      </c>
      <c r="AB287" s="23">
        <f t="shared" si="371"/>
        <v>0</v>
      </c>
      <c r="AC287" s="24">
        <f t="shared" si="372"/>
        <v>0</v>
      </c>
      <c r="AD287" s="25">
        <f t="shared" si="373"/>
        <v>0</v>
      </c>
      <c r="AE287" s="23">
        <f t="shared" si="374"/>
        <v>0</v>
      </c>
      <c r="AF287" s="24">
        <f t="shared" si="375"/>
        <v>0</v>
      </c>
      <c r="AG287" s="25">
        <f t="shared" si="376"/>
        <v>0</v>
      </c>
      <c r="AH287" s="31"/>
    </row>
    <row r="288" spans="1:34" ht="18" customHeight="1" thickTop="1" thickBot="1" x14ac:dyDescent="0.3">
      <c r="A288" s="23">
        <v>207</v>
      </c>
      <c r="B288" s="28">
        <f t="shared" si="378"/>
        <v>0</v>
      </c>
      <c r="C288" s="60">
        <f t="shared" si="347"/>
        <v>0</v>
      </c>
      <c r="D288" s="23">
        <f t="shared" si="348"/>
        <v>0</v>
      </c>
      <c r="E288" s="24">
        <f t="shared" si="349"/>
        <v>0</v>
      </c>
      <c r="F288" s="25">
        <f t="shared" si="377"/>
        <v>0</v>
      </c>
      <c r="G288" s="23">
        <f t="shared" si="350"/>
        <v>0</v>
      </c>
      <c r="H288" s="24">
        <f t="shared" si="351"/>
        <v>0</v>
      </c>
      <c r="I288" s="25">
        <f t="shared" si="352"/>
        <v>0</v>
      </c>
      <c r="J288" s="23">
        <f t="shared" si="353"/>
        <v>0</v>
      </c>
      <c r="K288" s="24">
        <f t="shared" si="354"/>
        <v>0</v>
      </c>
      <c r="L288" s="25">
        <f t="shared" si="355"/>
        <v>0</v>
      </c>
      <c r="M288" s="23">
        <f t="shared" si="356"/>
        <v>0</v>
      </c>
      <c r="N288" s="24">
        <f t="shared" si="357"/>
        <v>0</v>
      </c>
      <c r="O288" s="25">
        <f t="shared" si="358"/>
        <v>0</v>
      </c>
      <c r="P288" s="23">
        <f t="shared" si="359"/>
        <v>0</v>
      </c>
      <c r="Q288" s="24">
        <f t="shared" si="360"/>
        <v>0</v>
      </c>
      <c r="R288" s="25">
        <f t="shared" si="361"/>
        <v>0</v>
      </c>
      <c r="S288" s="23">
        <f t="shared" si="362"/>
        <v>0</v>
      </c>
      <c r="T288" s="24">
        <f t="shared" si="363"/>
        <v>0</v>
      </c>
      <c r="U288" s="25">
        <f t="shared" si="364"/>
        <v>0</v>
      </c>
      <c r="V288" s="23">
        <f t="shared" si="365"/>
        <v>0</v>
      </c>
      <c r="W288" s="24">
        <f t="shared" si="366"/>
        <v>0</v>
      </c>
      <c r="X288" s="25">
        <f t="shared" si="367"/>
        <v>0</v>
      </c>
      <c r="Y288" s="23">
        <f t="shared" si="368"/>
        <v>0</v>
      </c>
      <c r="Z288" s="24">
        <f t="shared" si="369"/>
        <v>0</v>
      </c>
      <c r="AA288" s="25">
        <f t="shared" si="370"/>
        <v>0</v>
      </c>
      <c r="AB288" s="23">
        <f t="shared" si="371"/>
        <v>0</v>
      </c>
      <c r="AC288" s="24">
        <f t="shared" si="372"/>
        <v>0</v>
      </c>
      <c r="AD288" s="25">
        <f t="shared" si="373"/>
        <v>0</v>
      </c>
      <c r="AE288" s="23">
        <f t="shared" si="374"/>
        <v>0</v>
      </c>
      <c r="AF288" s="24">
        <f t="shared" si="375"/>
        <v>0</v>
      </c>
      <c r="AG288" s="25">
        <f t="shared" si="376"/>
        <v>0</v>
      </c>
      <c r="AH288" s="32"/>
    </row>
    <row r="289" spans="1:34" ht="18" customHeight="1" thickTop="1" thickBot="1" x14ac:dyDescent="0.3">
      <c r="A289" s="27">
        <v>208</v>
      </c>
      <c r="B289" s="28">
        <f t="shared" si="378"/>
        <v>0</v>
      </c>
      <c r="C289" s="60">
        <f t="shared" si="347"/>
        <v>0</v>
      </c>
      <c r="D289" s="23">
        <f t="shared" si="348"/>
        <v>0</v>
      </c>
      <c r="E289" s="24">
        <f t="shared" si="349"/>
        <v>0</v>
      </c>
      <c r="F289" s="25">
        <f t="shared" si="377"/>
        <v>0</v>
      </c>
      <c r="G289" s="23">
        <f t="shared" si="350"/>
        <v>0</v>
      </c>
      <c r="H289" s="24">
        <f t="shared" si="351"/>
        <v>0</v>
      </c>
      <c r="I289" s="25">
        <f t="shared" si="352"/>
        <v>0</v>
      </c>
      <c r="J289" s="23">
        <f t="shared" si="353"/>
        <v>0</v>
      </c>
      <c r="K289" s="24">
        <f t="shared" si="354"/>
        <v>0</v>
      </c>
      <c r="L289" s="25">
        <f t="shared" si="355"/>
        <v>0</v>
      </c>
      <c r="M289" s="23">
        <f t="shared" si="356"/>
        <v>0</v>
      </c>
      <c r="N289" s="24">
        <f t="shared" si="357"/>
        <v>0</v>
      </c>
      <c r="O289" s="25">
        <f t="shared" si="358"/>
        <v>0</v>
      </c>
      <c r="P289" s="23">
        <f t="shared" si="359"/>
        <v>0</v>
      </c>
      <c r="Q289" s="24">
        <f t="shared" si="360"/>
        <v>0</v>
      </c>
      <c r="R289" s="25">
        <f t="shared" si="361"/>
        <v>0</v>
      </c>
      <c r="S289" s="23">
        <f t="shared" si="362"/>
        <v>0</v>
      </c>
      <c r="T289" s="24">
        <f t="shared" si="363"/>
        <v>0</v>
      </c>
      <c r="U289" s="25">
        <f t="shared" si="364"/>
        <v>0</v>
      </c>
      <c r="V289" s="23">
        <f t="shared" si="365"/>
        <v>0</v>
      </c>
      <c r="W289" s="24">
        <f t="shared" si="366"/>
        <v>0</v>
      </c>
      <c r="X289" s="25">
        <f t="shared" si="367"/>
        <v>0</v>
      </c>
      <c r="Y289" s="23">
        <f t="shared" si="368"/>
        <v>0</v>
      </c>
      <c r="Z289" s="24">
        <f t="shared" si="369"/>
        <v>0</v>
      </c>
      <c r="AA289" s="25">
        <f t="shared" si="370"/>
        <v>0</v>
      </c>
      <c r="AB289" s="23">
        <f t="shared" si="371"/>
        <v>0</v>
      </c>
      <c r="AC289" s="24">
        <f t="shared" si="372"/>
        <v>0</v>
      </c>
      <c r="AD289" s="25">
        <f t="shared" si="373"/>
        <v>0</v>
      </c>
      <c r="AE289" s="23">
        <f t="shared" si="374"/>
        <v>0</v>
      </c>
      <c r="AF289" s="24">
        <f t="shared" si="375"/>
        <v>0</v>
      </c>
      <c r="AG289" s="25">
        <f t="shared" si="376"/>
        <v>0</v>
      </c>
      <c r="AH289" s="29"/>
    </row>
    <row r="290" spans="1:34" ht="18" customHeight="1" thickTop="1" thickBot="1" x14ac:dyDescent="0.3">
      <c r="A290" s="23">
        <v>209</v>
      </c>
      <c r="B290" s="28">
        <f t="shared" si="378"/>
        <v>0</v>
      </c>
      <c r="C290" s="60">
        <f t="shared" si="347"/>
        <v>0</v>
      </c>
      <c r="D290" s="23">
        <f t="shared" si="348"/>
        <v>0</v>
      </c>
      <c r="E290" s="24">
        <f t="shared" si="349"/>
        <v>0</v>
      </c>
      <c r="F290" s="25">
        <f t="shared" si="377"/>
        <v>0</v>
      </c>
      <c r="G290" s="23">
        <f t="shared" si="350"/>
        <v>0</v>
      </c>
      <c r="H290" s="24">
        <f t="shared" si="351"/>
        <v>0</v>
      </c>
      <c r="I290" s="25">
        <f t="shared" si="352"/>
        <v>0</v>
      </c>
      <c r="J290" s="23">
        <f t="shared" si="353"/>
        <v>0</v>
      </c>
      <c r="K290" s="24">
        <f t="shared" si="354"/>
        <v>0</v>
      </c>
      <c r="L290" s="25">
        <f t="shared" si="355"/>
        <v>0</v>
      </c>
      <c r="M290" s="23">
        <f t="shared" si="356"/>
        <v>0</v>
      </c>
      <c r="N290" s="24">
        <f t="shared" si="357"/>
        <v>0</v>
      </c>
      <c r="O290" s="25">
        <f t="shared" si="358"/>
        <v>0</v>
      </c>
      <c r="P290" s="23">
        <f t="shared" si="359"/>
        <v>0</v>
      </c>
      <c r="Q290" s="24">
        <f t="shared" si="360"/>
        <v>0</v>
      </c>
      <c r="R290" s="25">
        <f t="shared" si="361"/>
        <v>0</v>
      </c>
      <c r="S290" s="23">
        <f t="shared" si="362"/>
        <v>0</v>
      </c>
      <c r="T290" s="24">
        <f t="shared" si="363"/>
        <v>0</v>
      </c>
      <c r="U290" s="25">
        <f t="shared" si="364"/>
        <v>0</v>
      </c>
      <c r="V290" s="23">
        <f t="shared" si="365"/>
        <v>0</v>
      </c>
      <c r="W290" s="24">
        <f t="shared" si="366"/>
        <v>0</v>
      </c>
      <c r="X290" s="25">
        <f t="shared" si="367"/>
        <v>0</v>
      </c>
      <c r="Y290" s="23">
        <f t="shared" si="368"/>
        <v>0</v>
      </c>
      <c r="Z290" s="24">
        <f t="shared" si="369"/>
        <v>0</v>
      </c>
      <c r="AA290" s="25">
        <f t="shared" si="370"/>
        <v>0</v>
      </c>
      <c r="AB290" s="23">
        <f t="shared" si="371"/>
        <v>0</v>
      </c>
      <c r="AC290" s="24">
        <f t="shared" si="372"/>
        <v>0</v>
      </c>
      <c r="AD290" s="25">
        <f t="shared" si="373"/>
        <v>0</v>
      </c>
      <c r="AE290" s="23">
        <f t="shared" si="374"/>
        <v>0</v>
      </c>
      <c r="AF290" s="24">
        <f t="shared" si="375"/>
        <v>0</v>
      </c>
      <c r="AG290" s="25">
        <f t="shared" si="376"/>
        <v>0</v>
      </c>
      <c r="AH290" s="31"/>
    </row>
    <row r="291" spans="1:34" ht="18" customHeight="1" thickTop="1" thickBot="1" x14ac:dyDescent="0.3">
      <c r="A291" s="27">
        <v>210</v>
      </c>
      <c r="B291" s="28">
        <f t="shared" si="378"/>
        <v>0</v>
      </c>
      <c r="C291" s="60">
        <f t="shared" si="347"/>
        <v>0</v>
      </c>
      <c r="D291" s="23">
        <f t="shared" si="348"/>
        <v>0</v>
      </c>
      <c r="E291" s="24">
        <f t="shared" si="349"/>
        <v>0</v>
      </c>
      <c r="F291" s="25">
        <f t="shared" si="377"/>
        <v>0</v>
      </c>
      <c r="G291" s="23">
        <f t="shared" si="350"/>
        <v>0</v>
      </c>
      <c r="H291" s="24">
        <f t="shared" si="351"/>
        <v>0</v>
      </c>
      <c r="I291" s="25">
        <f t="shared" si="352"/>
        <v>0</v>
      </c>
      <c r="J291" s="23">
        <f t="shared" si="353"/>
        <v>0</v>
      </c>
      <c r="K291" s="24">
        <f t="shared" si="354"/>
        <v>0</v>
      </c>
      <c r="L291" s="25">
        <f t="shared" si="355"/>
        <v>0</v>
      </c>
      <c r="M291" s="23">
        <f t="shared" si="356"/>
        <v>0</v>
      </c>
      <c r="N291" s="24">
        <f t="shared" si="357"/>
        <v>0</v>
      </c>
      <c r="O291" s="25">
        <f t="shared" si="358"/>
        <v>0</v>
      </c>
      <c r="P291" s="23">
        <f t="shared" si="359"/>
        <v>0</v>
      </c>
      <c r="Q291" s="24">
        <f t="shared" si="360"/>
        <v>0</v>
      </c>
      <c r="R291" s="25">
        <f t="shared" si="361"/>
        <v>0</v>
      </c>
      <c r="S291" s="23">
        <f t="shared" si="362"/>
        <v>0</v>
      </c>
      <c r="T291" s="24">
        <f t="shared" si="363"/>
        <v>0</v>
      </c>
      <c r="U291" s="25">
        <f t="shared" si="364"/>
        <v>0</v>
      </c>
      <c r="V291" s="23">
        <f t="shared" si="365"/>
        <v>0</v>
      </c>
      <c r="W291" s="24">
        <f t="shared" si="366"/>
        <v>0</v>
      </c>
      <c r="X291" s="25">
        <f t="shared" si="367"/>
        <v>0</v>
      </c>
      <c r="Y291" s="23">
        <f t="shared" si="368"/>
        <v>0</v>
      </c>
      <c r="Z291" s="24">
        <f t="shared" si="369"/>
        <v>0</v>
      </c>
      <c r="AA291" s="25">
        <f t="shared" si="370"/>
        <v>0</v>
      </c>
      <c r="AB291" s="23">
        <f t="shared" si="371"/>
        <v>0</v>
      </c>
      <c r="AC291" s="24">
        <f t="shared" si="372"/>
        <v>0</v>
      </c>
      <c r="AD291" s="25">
        <f t="shared" si="373"/>
        <v>0</v>
      </c>
      <c r="AE291" s="23">
        <f t="shared" si="374"/>
        <v>0</v>
      </c>
      <c r="AF291" s="24">
        <f t="shared" si="375"/>
        <v>0</v>
      </c>
      <c r="AG291" s="25">
        <f t="shared" si="376"/>
        <v>0</v>
      </c>
      <c r="AH291" s="33"/>
    </row>
    <row r="292" spans="1:34" ht="18" customHeight="1" thickTop="1" thickBot="1" x14ac:dyDescent="0.3">
      <c r="A292" s="23">
        <v>211</v>
      </c>
      <c r="B292" s="28">
        <f t="shared" si="378"/>
        <v>0</v>
      </c>
      <c r="C292" s="60">
        <f t="shared" si="347"/>
        <v>0</v>
      </c>
      <c r="D292" s="23">
        <f t="shared" si="348"/>
        <v>0</v>
      </c>
      <c r="E292" s="24">
        <f t="shared" si="349"/>
        <v>0</v>
      </c>
      <c r="F292" s="25">
        <f t="shared" si="377"/>
        <v>0</v>
      </c>
      <c r="G292" s="23">
        <f t="shared" si="350"/>
        <v>0</v>
      </c>
      <c r="H292" s="24">
        <f t="shared" si="351"/>
        <v>0</v>
      </c>
      <c r="I292" s="25">
        <f t="shared" si="352"/>
        <v>0</v>
      </c>
      <c r="J292" s="23">
        <f t="shared" si="353"/>
        <v>0</v>
      </c>
      <c r="K292" s="24">
        <f t="shared" si="354"/>
        <v>0</v>
      </c>
      <c r="L292" s="25">
        <f t="shared" si="355"/>
        <v>0</v>
      </c>
      <c r="M292" s="23">
        <f t="shared" si="356"/>
        <v>0</v>
      </c>
      <c r="N292" s="24">
        <f t="shared" si="357"/>
        <v>0</v>
      </c>
      <c r="O292" s="25">
        <f t="shared" si="358"/>
        <v>0</v>
      </c>
      <c r="P292" s="23">
        <f t="shared" si="359"/>
        <v>0</v>
      </c>
      <c r="Q292" s="24">
        <f t="shared" si="360"/>
        <v>0</v>
      </c>
      <c r="R292" s="25">
        <f t="shared" si="361"/>
        <v>0</v>
      </c>
      <c r="S292" s="23">
        <f t="shared" si="362"/>
        <v>0</v>
      </c>
      <c r="T292" s="24">
        <f t="shared" si="363"/>
        <v>0</v>
      </c>
      <c r="U292" s="25">
        <f t="shared" si="364"/>
        <v>0</v>
      </c>
      <c r="V292" s="23">
        <f t="shared" si="365"/>
        <v>0</v>
      </c>
      <c r="W292" s="24">
        <f t="shared" si="366"/>
        <v>0</v>
      </c>
      <c r="X292" s="25">
        <f t="shared" si="367"/>
        <v>0</v>
      </c>
      <c r="Y292" s="23">
        <f t="shared" si="368"/>
        <v>0</v>
      </c>
      <c r="Z292" s="24">
        <f t="shared" si="369"/>
        <v>0</v>
      </c>
      <c r="AA292" s="25">
        <f t="shared" si="370"/>
        <v>0</v>
      </c>
      <c r="AB292" s="23">
        <f t="shared" si="371"/>
        <v>0</v>
      </c>
      <c r="AC292" s="24">
        <f t="shared" si="372"/>
        <v>0</v>
      </c>
      <c r="AD292" s="25">
        <f t="shared" si="373"/>
        <v>0</v>
      </c>
      <c r="AE292" s="23">
        <f t="shared" si="374"/>
        <v>0</v>
      </c>
      <c r="AF292" s="24">
        <f t="shared" si="375"/>
        <v>0</v>
      </c>
      <c r="AG292" s="25">
        <f t="shared" si="376"/>
        <v>0</v>
      </c>
      <c r="AH292" s="29"/>
    </row>
    <row r="293" spans="1:34" ht="18" customHeight="1" thickTop="1" thickBot="1" x14ac:dyDescent="0.3">
      <c r="A293" s="27">
        <v>212</v>
      </c>
      <c r="B293" s="28">
        <f t="shared" si="378"/>
        <v>0</v>
      </c>
      <c r="C293" s="60">
        <f t="shared" si="347"/>
        <v>0</v>
      </c>
      <c r="D293" s="23">
        <f t="shared" si="348"/>
        <v>0</v>
      </c>
      <c r="E293" s="24">
        <f t="shared" si="349"/>
        <v>0</v>
      </c>
      <c r="F293" s="25">
        <f t="shared" si="377"/>
        <v>0</v>
      </c>
      <c r="G293" s="23">
        <f t="shared" si="350"/>
        <v>0</v>
      </c>
      <c r="H293" s="24">
        <f t="shared" si="351"/>
        <v>0</v>
      </c>
      <c r="I293" s="25">
        <f t="shared" si="352"/>
        <v>0</v>
      </c>
      <c r="J293" s="23">
        <f t="shared" si="353"/>
        <v>0</v>
      </c>
      <c r="K293" s="24">
        <f t="shared" si="354"/>
        <v>0</v>
      </c>
      <c r="L293" s="25">
        <f t="shared" si="355"/>
        <v>0</v>
      </c>
      <c r="M293" s="23">
        <f t="shared" si="356"/>
        <v>0</v>
      </c>
      <c r="N293" s="24">
        <f t="shared" si="357"/>
        <v>0</v>
      </c>
      <c r="O293" s="25">
        <f t="shared" si="358"/>
        <v>0</v>
      </c>
      <c r="P293" s="23">
        <f t="shared" si="359"/>
        <v>0</v>
      </c>
      <c r="Q293" s="24">
        <f t="shared" si="360"/>
        <v>0</v>
      </c>
      <c r="R293" s="25">
        <f t="shared" si="361"/>
        <v>0</v>
      </c>
      <c r="S293" s="23">
        <f t="shared" si="362"/>
        <v>0</v>
      </c>
      <c r="T293" s="24">
        <f t="shared" si="363"/>
        <v>0</v>
      </c>
      <c r="U293" s="25">
        <f t="shared" si="364"/>
        <v>0</v>
      </c>
      <c r="V293" s="23">
        <f t="shared" si="365"/>
        <v>0</v>
      </c>
      <c r="W293" s="24">
        <f t="shared" si="366"/>
        <v>0</v>
      </c>
      <c r="X293" s="25">
        <f t="shared" si="367"/>
        <v>0</v>
      </c>
      <c r="Y293" s="23">
        <f t="shared" si="368"/>
        <v>0</v>
      </c>
      <c r="Z293" s="24">
        <f t="shared" si="369"/>
        <v>0</v>
      </c>
      <c r="AA293" s="25">
        <f t="shared" si="370"/>
        <v>0</v>
      </c>
      <c r="AB293" s="23">
        <f t="shared" si="371"/>
        <v>0</v>
      </c>
      <c r="AC293" s="24">
        <f t="shared" si="372"/>
        <v>0</v>
      </c>
      <c r="AD293" s="25">
        <f t="shared" si="373"/>
        <v>0</v>
      </c>
      <c r="AE293" s="23">
        <f t="shared" si="374"/>
        <v>0</v>
      </c>
      <c r="AF293" s="24">
        <f t="shared" si="375"/>
        <v>0</v>
      </c>
      <c r="AG293" s="25">
        <f t="shared" si="376"/>
        <v>0</v>
      </c>
      <c r="AH293" s="31"/>
    </row>
    <row r="294" spans="1:34" ht="18" customHeight="1" thickTop="1" thickBot="1" x14ac:dyDescent="0.3">
      <c r="A294" s="23">
        <v>213</v>
      </c>
      <c r="B294" s="28">
        <f t="shared" si="378"/>
        <v>0</v>
      </c>
      <c r="C294" s="60">
        <f t="shared" si="347"/>
        <v>0</v>
      </c>
      <c r="D294" s="23">
        <f t="shared" si="348"/>
        <v>0</v>
      </c>
      <c r="E294" s="24">
        <f t="shared" si="349"/>
        <v>0</v>
      </c>
      <c r="F294" s="25">
        <f t="shared" si="377"/>
        <v>0</v>
      </c>
      <c r="G294" s="23">
        <f t="shared" si="350"/>
        <v>0</v>
      </c>
      <c r="H294" s="24">
        <f t="shared" si="351"/>
        <v>0</v>
      </c>
      <c r="I294" s="25">
        <f t="shared" si="352"/>
        <v>0</v>
      </c>
      <c r="J294" s="23">
        <f t="shared" si="353"/>
        <v>0</v>
      </c>
      <c r="K294" s="24">
        <f t="shared" si="354"/>
        <v>0</v>
      </c>
      <c r="L294" s="25">
        <f t="shared" si="355"/>
        <v>0</v>
      </c>
      <c r="M294" s="23">
        <f t="shared" si="356"/>
        <v>0</v>
      </c>
      <c r="N294" s="24">
        <f t="shared" si="357"/>
        <v>0</v>
      </c>
      <c r="O294" s="25">
        <f t="shared" si="358"/>
        <v>0</v>
      </c>
      <c r="P294" s="23">
        <f t="shared" si="359"/>
        <v>0</v>
      </c>
      <c r="Q294" s="24">
        <f t="shared" si="360"/>
        <v>0</v>
      </c>
      <c r="R294" s="25">
        <f t="shared" si="361"/>
        <v>0</v>
      </c>
      <c r="S294" s="23">
        <f t="shared" si="362"/>
        <v>0</v>
      </c>
      <c r="T294" s="24">
        <f t="shared" si="363"/>
        <v>0</v>
      </c>
      <c r="U294" s="25">
        <f t="shared" si="364"/>
        <v>0</v>
      </c>
      <c r="V294" s="23">
        <f t="shared" si="365"/>
        <v>0</v>
      </c>
      <c r="W294" s="24">
        <f t="shared" si="366"/>
        <v>0</v>
      </c>
      <c r="X294" s="25">
        <f t="shared" si="367"/>
        <v>0</v>
      </c>
      <c r="Y294" s="23">
        <f t="shared" si="368"/>
        <v>0</v>
      </c>
      <c r="Z294" s="24">
        <f t="shared" si="369"/>
        <v>0</v>
      </c>
      <c r="AA294" s="25">
        <f t="shared" si="370"/>
        <v>0</v>
      </c>
      <c r="AB294" s="23">
        <f t="shared" si="371"/>
        <v>0</v>
      </c>
      <c r="AC294" s="24">
        <f t="shared" si="372"/>
        <v>0</v>
      </c>
      <c r="AD294" s="25">
        <f t="shared" si="373"/>
        <v>0</v>
      </c>
      <c r="AE294" s="23">
        <f t="shared" si="374"/>
        <v>0</v>
      </c>
      <c r="AF294" s="24">
        <f t="shared" si="375"/>
        <v>0</v>
      </c>
      <c r="AG294" s="25">
        <f t="shared" si="376"/>
        <v>0</v>
      </c>
      <c r="AH294" s="33"/>
    </row>
    <row r="295" spans="1:34" ht="18" customHeight="1" thickTop="1" thickBot="1" x14ac:dyDescent="0.3">
      <c r="A295" s="27">
        <v>214</v>
      </c>
      <c r="B295" s="28">
        <f t="shared" si="378"/>
        <v>0</v>
      </c>
      <c r="C295" s="60">
        <f t="shared" si="347"/>
        <v>0</v>
      </c>
      <c r="D295" s="23">
        <f t="shared" si="348"/>
        <v>0</v>
      </c>
      <c r="E295" s="24">
        <f t="shared" si="349"/>
        <v>0</v>
      </c>
      <c r="F295" s="25">
        <f t="shared" si="377"/>
        <v>0</v>
      </c>
      <c r="G295" s="23">
        <f t="shared" si="350"/>
        <v>0</v>
      </c>
      <c r="H295" s="24">
        <f t="shared" si="351"/>
        <v>0</v>
      </c>
      <c r="I295" s="25">
        <f t="shared" si="352"/>
        <v>0</v>
      </c>
      <c r="J295" s="23">
        <f t="shared" si="353"/>
        <v>0</v>
      </c>
      <c r="K295" s="24">
        <f t="shared" si="354"/>
        <v>0</v>
      </c>
      <c r="L295" s="25">
        <f t="shared" si="355"/>
        <v>0</v>
      </c>
      <c r="M295" s="23">
        <f t="shared" si="356"/>
        <v>0</v>
      </c>
      <c r="N295" s="24">
        <f t="shared" si="357"/>
        <v>0</v>
      </c>
      <c r="O295" s="25">
        <f t="shared" si="358"/>
        <v>0</v>
      </c>
      <c r="P295" s="23">
        <f t="shared" si="359"/>
        <v>0</v>
      </c>
      <c r="Q295" s="24">
        <f t="shared" si="360"/>
        <v>0</v>
      </c>
      <c r="R295" s="25">
        <f t="shared" si="361"/>
        <v>0</v>
      </c>
      <c r="S295" s="23">
        <f t="shared" si="362"/>
        <v>0</v>
      </c>
      <c r="T295" s="24">
        <f t="shared" si="363"/>
        <v>0</v>
      </c>
      <c r="U295" s="25">
        <f t="shared" si="364"/>
        <v>0</v>
      </c>
      <c r="V295" s="23">
        <f t="shared" si="365"/>
        <v>0</v>
      </c>
      <c r="W295" s="24">
        <f t="shared" si="366"/>
        <v>0</v>
      </c>
      <c r="X295" s="25">
        <f t="shared" si="367"/>
        <v>0</v>
      </c>
      <c r="Y295" s="23">
        <f t="shared" si="368"/>
        <v>0</v>
      </c>
      <c r="Z295" s="24">
        <f t="shared" si="369"/>
        <v>0</v>
      </c>
      <c r="AA295" s="25">
        <f t="shared" si="370"/>
        <v>0</v>
      </c>
      <c r="AB295" s="23">
        <f t="shared" si="371"/>
        <v>0</v>
      </c>
      <c r="AC295" s="24">
        <f t="shared" si="372"/>
        <v>0</v>
      </c>
      <c r="AD295" s="25">
        <f t="shared" si="373"/>
        <v>0</v>
      </c>
      <c r="AE295" s="23">
        <f t="shared" si="374"/>
        <v>0</v>
      </c>
      <c r="AF295" s="24">
        <f t="shared" si="375"/>
        <v>0</v>
      </c>
      <c r="AG295" s="25">
        <f t="shared" si="376"/>
        <v>0</v>
      </c>
      <c r="AH295" s="29"/>
    </row>
    <row r="296" spans="1:34" ht="18" customHeight="1" thickTop="1" thickBot="1" x14ac:dyDescent="0.3">
      <c r="A296" s="23">
        <v>215</v>
      </c>
      <c r="B296" s="28">
        <f t="shared" si="378"/>
        <v>0</v>
      </c>
      <c r="C296" s="60">
        <f t="shared" si="347"/>
        <v>0</v>
      </c>
      <c r="D296" s="23">
        <f t="shared" si="348"/>
        <v>0</v>
      </c>
      <c r="E296" s="24">
        <f t="shared" si="349"/>
        <v>0</v>
      </c>
      <c r="F296" s="25">
        <f t="shared" si="377"/>
        <v>0</v>
      </c>
      <c r="G296" s="23">
        <f t="shared" si="350"/>
        <v>0</v>
      </c>
      <c r="H296" s="24">
        <f t="shared" si="351"/>
        <v>0</v>
      </c>
      <c r="I296" s="25">
        <f t="shared" si="352"/>
        <v>0</v>
      </c>
      <c r="J296" s="23">
        <f t="shared" si="353"/>
        <v>0</v>
      </c>
      <c r="K296" s="24">
        <f t="shared" si="354"/>
        <v>0</v>
      </c>
      <c r="L296" s="25">
        <f t="shared" si="355"/>
        <v>0</v>
      </c>
      <c r="M296" s="23">
        <f t="shared" si="356"/>
        <v>0</v>
      </c>
      <c r="N296" s="24">
        <f t="shared" si="357"/>
        <v>0</v>
      </c>
      <c r="O296" s="25">
        <f t="shared" si="358"/>
        <v>0</v>
      </c>
      <c r="P296" s="23">
        <f t="shared" si="359"/>
        <v>0</v>
      </c>
      <c r="Q296" s="24">
        <f t="shared" si="360"/>
        <v>0</v>
      </c>
      <c r="R296" s="25">
        <f t="shared" si="361"/>
        <v>0</v>
      </c>
      <c r="S296" s="23">
        <f t="shared" si="362"/>
        <v>0</v>
      </c>
      <c r="T296" s="24">
        <f t="shared" si="363"/>
        <v>0</v>
      </c>
      <c r="U296" s="25">
        <f t="shared" si="364"/>
        <v>0</v>
      </c>
      <c r="V296" s="23">
        <f t="shared" si="365"/>
        <v>0</v>
      </c>
      <c r="W296" s="24">
        <f t="shared" si="366"/>
        <v>0</v>
      </c>
      <c r="X296" s="25">
        <f t="shared" si="367"/>
        <v>0</v>
      </c>
      <c r="Y296" s="23">
        <f t="shared" si="368"/>
        <v>0</v>
      </c>
      <c r="Z296" s="24">
        <f t="shared" si="369"/>
        <v>0</v>
      </c>
      <c r="AA296" s="25">
        <f t="shared" si="370"/>
        <v>0</v>
      </c>
      <c r="AB296" s="23">
        <f t="shared" si="371"/>
        <v>0</v>
      </c>
      <c r="AC296" s="24">
        <f t="shared" si="372"/>
        <v>0</v>
      </c>
      <c r="AD296" s="25">
        <f t="shared" si="373"/>
        <v>0</v>
      </c>
      <c r="AE296" s="23">
        <f t="shared" si="374"/>
        <v>0</v>
      </c>
      <c r="AF296" s="24">
        <f t="shared" si="375"/>
        <v>0</v>
      </c>
      <c r="AG296" s="25">
        <f t="shared" si="376"/>
        <v>0</v>
      </c>
      <c r="AH296" s="31"/>
    </row>
    <row r="297" spans="1:34" ht="18" customHeight="1" thickTop="1" thickBot="1" x14ac:dyDescent="0.3">
      <c r="A297" s="27">
        <v>216</v>
      </c>
      <c r="B297" s="28">
        <f t="shared" si="378"/>
        <v>0</v>
      </c>
      <c r="C297" s="60">
        <f t="shared" si="347"/>
        <v>0</v>
      </c>
      <c r="D297" s="23">
        <f t="shared" si="348"/>
        <v>0</v>
      </c>
      <c r="E297" s="24">
        <f t="shared" si="349"/>
        <v>0</v>
      </c>
      <c r="F297" s="25">
        <f t="shared" si="377"/>
        <v>0</v>
      </c>
      <c r="G297" s="23">
        <f t="shared" si="350"/>
        <v>0</v>
      </c>
      <c r="H297" s="24">
        <f t="shared" si="351"/>
        <v>0</v>
      </c>
      <c r="I297" s="25">
        <f t="shared" si="352"/>
        <v>0</v>
      </c>
      <c r="J297" s="23">
        <f t="shared" si="353"/>
        <v>0</v>
      </c>
      <c r="K297" s="24">
        <f t="shared" si="354"/>
        <v>0</v>
      </c>
      <c r="L297" s="25">
        <f t="shared" si="355"/>
        <v>0</v>
      </c>
      <c r="M297" s="23">
        <f t="shared" si="356"/>
        <v>0</v>
      </c>
      <c r="N297" s="24">
        <f t="shared" si="357"/>
        <v>0</v>
      </c>
      <c r="O297" s="25">
        <f t="shared" si="358"/>
        <v>0</v>
      </c>
      <c r="P297" s="23">
        <f t="shared" si="359"/>
        <v>0</v>
      </c>
      <c r="Q297" s="24">
        <f t="shared" si="360"/>
        <v>0</v>
      </c>
      <c r="R297" s="25">
        <f t="shared" si="361"/>
        <v>0</v>
      </c>
      <c r="S297" s="23">
        <f t="shared" si="362"/>
        <v>0</v>
      </c>
      <c r="T297" s="24">
        <f t="shared" si="363"/>
        <v>0</v>
      </c>
      <c r="U297" s="25">
        <f t="shared" si="364"/>
        <v>0</v>
      </c>
      <c r="V297" s="23">
        <f t="shared" si="365"/>
        <v>0</v>
      </c>
      <c r="W297" s="24">
        <f t="shared" si="366"/>
        <v>0</v>
      </c>
      <c r="X297" s="25">
        <f t="shared" si="367"/>
        <v>0</v>
      </c>
      <c r="Y297" s="23">
        <f t="shared" si="368"/>
        <v>0</v>
      </c>
      <c r="Z297" s="24">
        <f t="shared" si="369"/>
        <v>0</v>
      </c>
      <c r="AA297" s="25">
        <f t="shared" si="370"/>
        <v>0</v>
      </c>
      <c r="AB297" s="23">
        <f t="shared" si="371"/>
        <v>0</v>
      </c>
      <c r="AC297" s="24">
        <f t="shared" si="372"/>
        <v>0</v>
      </c>
      <c r="AD297" s="25">
        <f t="shared" si="373"/>
        <v>0</v>
      </c>
      <c r="AE297" s="23">
        <f t="shared" si="374"/>
        <v>0</v>
      </c>
      <c r="AF297" s="24">
        <f t="shared" si="375"/>
        <v>0</v>
      </c>
      <c r="AG297" s="25">
        <f t="shared" si="376"/>
        <v>0</v>
      </c>
      <c r="AH297" s="29"/>
    </row>
    <row r="298" spans="1:34" ht="18" customHeight="1" thickTop="1" thickBot="1" x14ac:dyDescent="0.3">
      <c r="A298" s="23">
        <v>217</v>
      </c>
      <c r="B298" s="28">
        <f t="shared" si="378"/>
        <v>0</v>
      </c>
      <c r="C298" s="60">
        <f t="shared" si="347"/>
        <v>0</v>
      </c>
      <c r="D298" s="23">
        <f t="shared" si="348"/>
        <v>0</v>
      </c>
      <c r="E298" s="24">
        <f t="shared" si="349"/>
        <v>0</v>
      </c>
      <c r="F298" s="25">
        <f t="shared" si="377"/>
        <v>0</v>
      </c>
      <c r="G298" s="23">
        <f t="shared" si="350"/>
        <v>0</v>
      </c>
      <c r="H298" s="24">
        <f t="shared" si="351"/>
        <v>0</v>
      </c>
      <c r="I298" s="25">
        <f t="shared" si="352"/>
        <v>0</v>
      </c>
      <c r="J298" s="23">
        <f t="shared" si="353"/>
        <v>0</v>
      </c>
      <c r="K298" s="24">
        <f t="shared" si="354"/>
        <v>0</v>
      </c>
      <c r="L298" s="25">
        <f t="shared" si="355"/>
        <v>0</v>
      </c>
      <c r="M298" s="23">
        <f t="shared" si="356"/>
        <v>0</v>
      </c>
      <c r="N298" s="24">
        <f t="shared" si="357"/>
        <v>0</v>
      </c>
      <c r="O298" s="25">
        <f t="shared" si="358"/>
        <v>0</v>
      </c>
      <c r="P298" s="23">
        <f t="shared" si="359"/>
        <v>0</v>
      </c>
      <c r="Q298" s="24">
        <f t="shared" si="360"/>
        <v>0</v>
      </c>
      <c r="R298" s="25">
        <f t="shared" si="361"/>
        <v>0</v>
      </c>
      <c r="S298" s="23">
        <f t="shared" si="362"/>
        <v>0</v>
      </c>
      <c r="T298" s="24">
        <f t="shared" si="363"/>
        <v>0</v>
      </c>
      <c r="U298" s="25">
        <f t="shared" si="364"/>
        <v>0</v>
      </c>
      <c r="V298" s="23">
        <f t="shared" si="365"/>
        <v>0</v>
      </c>
      <c r="W298" s="24">
        <f t="shared" si="366"/>
        <v>0</v>
      </c>
      <c r="X298" s="25">
        <f t="shared" si="367"/>
        <v>0</v>
      </c>
      <c r="Y298" s="23">
        <f t="shared" si="368"/>
        <v>0</v>
      </c>
      <c r="Z298" s="24">
        <f t="shared" si="369"/>
        <v>0</v>
      </c>
      <c r="AA298" s="25">
        <f t="shared" si="370"/>
        <v>0</v>
      </c>
      <c r="AB298" s="23">
        <f t="shared" si="371"/>
        <v>0</v>
      </c>
      <c r="AC298" s="24">
        <f t="shared" si="372"/>
        <v>0</v>
      </c>
      <c r="AD298" s="25">
        <f t="shared" si="373"/>
        <v>0</v>
      </c>
      <c r="AE298" s="23">
        <f t="shared" si="374"/>
        <v>0</v>
      </c>
      <c r="AF298" s="24">
        <f t="shared" si="375"/>
        <v>0</v>
      </c>
      <c r="AG298" s="25">
        <f t="shared" si="376"/>
        <v>0</v>
      </c>
      <c r="AH298" s="31"/>
    </row>
    <row r="299" spans="1:34" ht="18" customHeight="1" thickTop="1" thickBot="1" x14ac:dyDescent="0.3">
      <c r="A299" s="27">
        <v>218</v>
      </c>
      <c r="B299" s="28">
        <f t="shared" si="378"/>
        <v>0</v>
      </c>
      <c r="C299" s="60">
        <f t="shared" si="347"/>
        <v>0</v>
      </c>
      <c r="D299" s="23">
        <f t="shared" si="348"/>
        <v>0</v>
      </c>
      <c r="E299" s="24">
        <f t="shared" si="349"/>
        <v>0</v>
      </c>
      <c r="F299" s="25">
        <f t="shared" si="377"/>
        <v>0</v>
      </c>
      <c r="G299" s="23">
        <f t="shared" si="350"/>
        <v>0</v>
      </c>
      <c r="H299" s="24">
        <f t="shared" si="351"/>
        <v>0</v>
      </c>
      <c r="I299" s="25">
        <f t="shared" si="352"/>
        <v>0</v>
      </c>
      <c r="J299" s="23">
        <f t="shared" si="353"/>
        <v>0</v>
      </c>
      <c r="K299" s="24">
        <f t="shared" si="354"/>
        <v>0</v>
      </c>
      <c r="L299" s="25">
        <f t="shared" si="355"/>
        <v>0</v>
      </c>
      <c r="M299" s="23">
        <f t="shared" si="356"/>
        <v>0</v>
      </c>
      <c r="N299" s="24">
        <f t="shared" si="357"/>
        <v>0</v>
      </c>
      <c r="O299" s="25">
        <f t="shared" si="358"/>
        <v>0</v>
      </c>
      <c r="P299" s="23">
        <f t="shared" si="359"/>
        <v>0</v>
      </c>
      <c r="Q299" s="24">
        <f t="shared" si="360"/>
        <v>0</v>
      </c>
      <c r="R299" s="25">
        <f t="shared" si="361"/>
        <v>0</v>
      </c>
      <c r="S299" s="23">
        <f t="shared" si="362"/>
        <v>0</v>
      </c>
      <c r="T299" s="24">
        <f t="shared" si="363"/>
        <v>0</v>
      </c>
      <c r="U299" s="25">
        <f t="shared" si="364"/>
        <v>0</v>
      </c>
      <c r="V299" s="23">
        <f t="shared" si="365"/>
        <v>0</v>
      </c>
      <c r="W299" s="24">
        <f t="shared" si="366"/>
        <v>0</v>
      </c>
      <c r="X299" s="25">
        <f t="shared" si="367"/>
        <v>0</v>
      </c>
      <c r="Y299" s="23">
        <f t="shared" si="368"/>
        <v>0</v>
      </c>
      <c r="Z299" s="24">
        <f t="shared" si="369"/>
        <v>0</v>
      </c>
      <c r="AA299" s="25">
        <f t="shared" si="370"/>
        <v>0</v>
      </c>
      <c r="AB299" s="23">
        <f t="shared" si="371"/>
        <v>0</v>
      </c>
      <c r="AC299" s="24">
        <f t="shared" si="372"/>
        <v>0</v>
      </c>
      <c r="AD299" s="25">
        <f t="shared" si="373"/>
        <v>0</v>
      </c>
      <c r="AE299" s="23">
        <f t="shared" si="374"/>
        <v>0</v>
      </c>
      <c r="AF299" s="24">
        <f t="shared" si="375"/>
        <v>0</v>
      </c>
      <c r="AG299" s="25">
        <f t="shared" si="376"/>
        <v>0</v>
      </c>
      <c r="AH299" s="31"/>
    </row>
    <row r="300" spans="1:34" ht="18" customHeight="1" thickTop="1" thickBot="1" x14ac:dyDescent="0.3">
      <c r="A300" s="23">
        <v>219</v>
      </c>
      <c r="B300" s="28">
        <f t="shared" si="378"/>
        <v>0</v>
      </c>
      <c r="C300" s="60">
        <f t="shared" si="347"/>
        <v>0</v>
      </c>
      <c r="D300" s="23">
        <f t="shared" si="348"/>
        <v>0</v>
      </c>
      <c r="E300" s="24">
        <f t="shared" si="349"/>
        <v>0</v>
      </c>
      <c r="F300" s="25">
        <f t="shared" si="377"/>
        <v>0</v>
      </c>
      <c r="G300" s="23">
        <f t="shared" si="350"/>
        <v>0</v>
      </c>
      <c r="H300" s="24">
        <f t="shared" si="351"/>
        <v>0</v>
      </c>
      <c r="I300" s="25">
        <f t="shared" si="352"/>
        <v>0</v>
      </c>
      <c r="J300" s="23">
        <f t="shared" si="353"/>
        <v>0</v>
      </c>
      <c r="K300" s="24">
        <f t="shared" si="354"/>
        <v>0</v>
      </c>
      <c r="L300" s="25">
        <f t="shared" si="355"/>
        <v>0</v>
      </c>
      <c r="M300" s="23">
        <f t="shared" si="356"/>
        <v>0</v>
      </c>
      <c r="N300" s="24">
        <f t="shared" si="357"/>
        <v>0</v>
      </c>
      <c r="O300" s="25">
        <f t="shared" si="358"/>
        <v>0</v>
      </c>
      <c r="P300" s="23">
        <f t="shared" si="359"/>
        <v>0</v>
      </c>
      <c r="Q300" s="24">
        <f t="shared" si="360"/>
        <v>0</v>
      </c>
      <c r="R300" s="25">
        <f t="shared" si="361"/>
        <v>0</v>
      </c>
      <c r="S300" s="23">
        <f t="shared" si="362"/>
        <v>0</v>
      </c>
      <c r="T300" s="24">
        <f t="shared" si="363"/>
        <v>0</v>
      </c>
      <c r="U300" s="25">
        <f t="shared" si="364"/>
        <v>0</v>
      </c>
      <c r="V300" s="23">
        <f t="shared" si="365"/>
        <v>0</v>
      </c>
      <c r="W300" s="24">
        <f t="shared" si="366"/>
        <v>0</v>
      </c>
      <c r="X300" s="25">
        <f t="shared" si="367"/>
        <v>0</v>
      </c>
      <c r="Y300" s="23">
        <f t="shared" si="368"/>
        <v>0</v>
      </c>
      <c r="Z300" s="24">
        <f t="shared" si="369"/>
        <v>0</v>
      </c>
      <c r="AA300" s="25">
        <f t="shared" si="370"/>
        <v>0</v>
      </c>
      <c r="AB300" s="23">
        <f t="shared" si="371"/>
        <v>0</v>
      </c>
      <c r="AC300" s="24">
        <f t="shared" si="372"/>
        <v>0</v>
      </c>
      <c r="AD300" s="25">
        <f t="shared" si="373"/>
        <v>0</v>
      </c>
      <c r="AE300" s="23">
        <f t="shared" si="374"/>
        <v>0</v>
      </c>
      <c r="AF300" s="24">
        <f t="shared" si="375"/>
        <v>0</v>
      </c>
      <c r="AG300" s="25">
        <f t="shared" si="376"/>
        <v>0</v>
      </c>
      <c r="AH300" s="31"/>
    </row>
    <row r="301" spans="1:34" ht="18" customHeight="1" thickTop="1" thickBot="1" x14ac:dyDescent="0.3">
      <c r="A301" s="27">
        <v>220</v>
      </c>
      <c r="B301" s="28">
        <f t="shared" si="378"/>
        <v>0</v>
      </c>
      <c r="C301" s="60">
        <f t="shared" si="347"/>
        <v>0</v>
      </c>
      <c r="D301" s="23">
        <f t="shared" si="348"/>
        <v>0</v>
      </c>
      <c r="E301" s="24">
        <f t="shared" si="349"/>
        <v>0</v>
      </c>
      <c r="F301" s="25">
        <f t="shared" si="377"/>
        <v>0</v>
      </c>
      <c r="G301" s="23">
        <f t="shared" si="350"/>
        <v>0</v>
      </c>
      <c r="H301" s="24">
        <f t="shared" si="351"/>
        <v>0</v>
      </c>
      <c r="I301" s="25">
        <f t="shared" si="352"/>
        <v>0</v>
      </c>
      <c r="J301" s="23">
        <f t="shared" si="353"/>
        <v>0</v>
      </c>
      <c r="K301" s="24">
        <f t="shared" si="354"/>
        <v>0</v>
      </c>
      <c r="L301" s="25">
        <f t="shared" si="355"/>
        <v>0</v>
      </c>
      <c r="M301" s="23">
        <f t="shared" si="356"/>
        <v>0</v>
      </c>
      <c r="N301" s="24">
        <f t="shared" si="357"/>
        <v>0</v>
      </c>
      <c r="O301" s="25">
        <f t="shared" si="358"/>
        <v>0</v>
      </c>
      <c r="P301" s="23">
        <f t="shared" si="359"/>
        <v>0</v>
      </c>
      <c r="Q301" s="24">
        <f t="shared" si="360"/>
        <v>0</v>
      </c>
      <c r="R301" s="25">
        <f t="shared" si="361"/>
        <v>0</v>
      </c>
      <c r="S301" s="23">
        <f t="shared" si="362"/>
        <v>0</v>
      </c>
      <c r="T301" s="24">
        <f t="shared" si="363"/>
        <v>0</v>
      </c>
      <c r="U301" s="25">
        <f t="shared" si="364"/>
        <v>0</v>
      </c>
      <c r="V301" s="23">
        <f t="shared" si="365"/>
        <v>0</v>
      </c>
      <c r="W301" s="24">
        <f t="shared" si="366"/>
        <v>0</v>
      </c>
      <c r="X301" s="25">
        <f t="shared" si="367"/>
        <v>0</v>
      </c>
      <c r="Y301" s="23">
        <f t="shared" si="368"/>
        <v>0</v>
      </c>
      <c r="Z301" s="24">
        <f t="shared" si="369"/>
        <v>0</v>
      </c>
      <c r="AA301" s="25">
        <f t="shared" si="370"/>
        <v>0</v>
      </c>
      <c r="AB301" s="23">
        <f t="shared" si="371"/>
        <v>0</v>
      </c>
      <c r="AC301" s="24">
        <f t="shared" si="372"/>
        <v>0</v>
      </c>
      <c r="AD301" s="25">
        <f t="shared" si="373"/>
        <v>0</v>
      </c>
      <c r="AE301" s="23">
        <f t="shared" si="374"/>
        <v>0</v>
      </c>
      <c r="AF301" s="24">
        <f t="shared" si="375"/>
        <v>0</v>
      </c>
      <c r="AG301" s="25">
        <f t="shared" si="376"/>
        <v>0</v>
      </c>
      <c r="AH301" s="34"/>
    </row>
    <row r="302" spans="1:34" ht="7.95" customHeight="1" thickTop="1" x14ac:dyDescent="0.25">
      <c r="A302" s="212" t="s">
        <v>2</v>
      </c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  <c r="AD302" s="212"/>
      <c r="AE302" s="212"/>
      <c r="AF302" s="212"/>
      <c r="AG302" s="212"/>
    </row>
    <row r="303" spans="1:34" x14ac:dyDescent="0.25">
      <c r="A303" s="213"/>
      <c r="B303" s="213"/>
      <c r="C303" s="213" t="s">
        <v>18</v>
      </c>
      <c r="D303" s="213"/>
      <c r="E303" s="213"/>
      <c r="F303" s="214" t="s">
        <v>19</v>
      </c>
      <c r="G303" s="214"/>
      <c r="H303" s="214"/>
      <c r="I303" s="214"/>
      <c r="J303" s="35"/>
      <c r="K303" s="214" t="s">
        <v>20</v>
      </c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  <c r="Y303" s="214"/>
      <c r="Z303" s="214"/>
      <c r="AA303" s="214"/>
      <c r="AB303" s="214"/>
      <c r="AC303" s="35"/>
      <c r="AD303" s="35"/>
      <c r="AE303" s="214" t="s">
        <v>55</v>
      </c>
      <c r="AF303" s="214"/>
      <c r="AG303" s="214"/>
    </row>
    <row r="304" spans="1:34" ht="13.95" customHeight="1" x14ac:dyDescent="0.25">
      <c r="A304" s="214" t="s">
        <v>21</v>
      </c>
      <c r="B304" s="214"/>
      <c r="C304" s="213">
        <f>'الفترة الاولى'!$CA$10</f>
        <v>0</v>
      </c>
      <c r="D304" s="213"/>
      <c r="E304" s="213"/>
      <c r="F304" s="214"/>
      <c r="G304" s="214"/>
      <c r="H304" s="214"/>
      <c r="I304" s="214"/>
      <c r="J304" s="35"/>
      <c r="K304" s="220" t="s">
        <v>52</v>
      </c>
      <c r="L304" s="215"/>
      <c r="M304" s="215"/>
      <c r="N304" s="222" t="str">
        <f>'الفترة الاولى'!$CA$16</f>
        <v>أ. فهيم عبدالمجيد بوازويتة</v>
      </c>
      <c r="O304" s="222"/>
      <c r="P304" s="222"/>
      <c r="Q304" s="222"/>
      <c r="R304" s="222"/>
      <c r="S304" s="222"/>
      <c r="T304" s="222"/>
      <c r="U304" s="215" t="s">
        <v>53</v>
      </c>
      <c r="V304" s="215"/>
      <c r="W304" s="215"/>
      <c r="X304" s="215" t="str">
        <f>'الفترة الاولى'!$C$6</f>
        <v>سهول العلم للتعليم الخاص</v>
      </c>
      <c r="Y304" s="215"/>
      <c r="Z304" s="215"/>
      <c r="AA304" s="215"/>
      <c r="AB304" s="216"/>
      <c r="AC304" s="36"/>
      <c r="AD304" s="36"/>
      <c r="AE304" s="214" t="s">
        <v>2</v>
      </c>
      <c r="AF304" s="214"/>
      <c r="AG304" s="214"/>
    </row>
    <row r="305" spans="1:34" ht="15.6" customHeight="1" x14ac:dyDescent="0.25">
      <c r="A305" s="214" t="s">
        <v>22</v>
      </c>
      <c r="B305" s="214"/>
      <c r="C305" s="213">
        <f>'الفترة الاولى'!$CA$11</f>
        <v>0</v>
      </c>
      <c r="D305" s="213"/>
      <c r="E305" s="213"/>
      <c r="F305" s="214"/>
      <c r="G305" s="214"/>
      <c r="H305" s="214"/>
      <c r="I305" s="214"/>
      <c r="J305" s="35"/>
      <c r="K305" s="217" t="s">
        <v>54</v>
      </c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9"/>
      <c r="AC305" s="37"/>
      <c r="AD305" s="37"/>
      <c r="AE305" s="214"/>
      <c r="AF305" s="214"/>
      <c r="AG305" s="214"/>
    </row>
    <row r="306" spans="1:34" ht="13.95" customHeight="1" x14ac:dyDescent="0.25">
      <c r="A306" s="214" t="s">
        <v>23</v>
      </c>
      <c r="B306" s="214"/>
      <c r="C306" s="213">
        <f>'الفترة الاولى'!$CA$12</f>
        <v>0</v>
      </c>
      <c r="D306" s="213"/>
      <c r="E306" s="213"/>
      <c r="F306" s="214"/>
      <c r="G306" s="214"/>
      <c r="H306" s="214"/>
      <c r="I306" s="214"/>
      <c r="K306" s="220" t="s">
        <v>44</v>
      </c>
      <c r="L306" s="215"/>
      <c r="M306" s="221">
        <f ca="1">TODAY()</f>
        <v>46181</v>
      </c>
      <c r="N306" s="215"/>
      <c r="O306" s="215"/>
      <c r="P306" s="215"/>
      <c r="Q306" s="215"/>
      <c r="R306" s="215"/>
      <c r="S306" s="215"/>
      <c r="T306" s="215" t="s">
        <v>19</v>
      </c>
      <c r="U306" s="215"/>
      <c r="V306" s="215"/>
      <c r="W306" s="215"/>
      <c r="X306" s="215"/>
      <c r="Y306" s="215"/>
      <c r="Z306" s="215"/>
      <c r="AA306" s="215"/>
      <c r="AB306" s="38"/>
      <c r="AC306" s="36"/>
      <c r="AD306" s="36"/>
      <c r="AE306" s="214"/>
      <c r="AF306" s="214"/>
      <c r="AG306" s="214"/>
    </row>
    <row r="307" spans="1:34" ht="14.4" thickBot="1" x14ac:dyDescent="0.3">
      <c r="A307" s="214" t="s">
        <v>24</v>
      </c>
      <c r="B307" s="214"/>
      <c r="C307" s="213">
        <f>'الفترة الاولى'!$CA$13</f>
        <v>0</v>
      </c>
      <c r="D307" s="213"/>
      <c r="E307" s="213"/>
      <c r="F307" s="214"/>
      <c r="G307" s="214"/>
      <c r="H307" s="214"/>
      <c r="I307" s="214"/>
      <c r="K307" s="39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1"/>
      <c r="AC307" s="36"/>
      <c r="AD307" s="36"/>
      <c r="AE307" s="214"/>
      <c r="AF307" s="214"/>
      <c r="AG307" s="214"/>
    </row>
    <row r="308" spans="1:34" ht="6.75" customHeight="1" thickBot="1" x14ac:dyDescent="0.3">
      <c r="A308" s="209"/>
      <c r="B308" s="210"/>
      <c r="C308" s="210"/>
      <c r="D308" s="210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  <c r="AA308" s="210"/>
      <c r="AB308" s="210"/>
      <c r="AC308" s="210"/>
      <c r="AD308" s="210"/>
      <c r="AE308" s="210"/>
      <c r="AF308" s="210"/>
      <c r="AG308" s="210"/>
      <c r="AH308" s="211"/>
    </row>
    <row r="309" spans="1:34" ht="18" customHeight="1" thickBot="1" x14ac:dyDescent="0.3">
      <c r="A309" s="23">
        <v>221</v>
      </c>
      <c r="B309" s="24">
        <f>IFERROR(VLOOKUP(A309,الاسماء,2,0),"")</f>
        <v>0</v>
      </c>
      <c r="C309" s="59">
        <f t="shared" ref="C309:C328" si="379">IFERROR(VLOOKUP(A309,الاسماء,3,0),"")</f>
        <v>0</v>
      </c>
      <c r="D309" s="23">
        <f t="shared" ref="D309:D328" si="380">IFERROR(VLOOKUP($C309,درجات,5,0),0)</f>
        <v>0</v>
      </c>
      <c r="E309" s="24">
        <f t="shared" ref="E309:E328" si="381">IFERROR(VLOOKUP($C309,درجات,43,0),0)</f>
        <v>0</v>
      </c>
      <c r="F309" s="25">
        <f>SUM(D309:E309)</f>
        <v>0</v>
      </c>
      <c r="G309" s="23">
        <f t="shared" ref="G309:G328" si="382">IFERROR(VLOOKUP($C309,درجات,8,0),0)</f>
        <v>0</v>
      </c>
      <c r="H309" s="24">
        <f t="shared" ref="H309:H328" si="383">IFERROR(VLOOKUP($C309,درجات,46,0),0)</f>
        <v>0</v>
      </c>
      <c r="I309" s="25">
        <f t="shared" ref="I309:I328" si="384">SUM(G309:H309)</f>
        <v>0</v>
      </c>
      <c r="J309" s="23">
        <f t="shared" ref="J309:J328" si="385">IFERROR(VLOOKUP($C309,درجات,11,0),0)</f>
        <v>0</v>
      </c>
      <c r="K309" s="24">
        <f t="shared" ref="K309:K328" si="386">IFERROR(VLOOKUP($C309,درجات,49,0),0)</f>
        <v>0</v>
      </c>
      <c r="L309" s="25">
        <f t="shared" ref="L309:L328" si="387">SUM(J309:K309)</f>
        <v>0</v>
      </c>
      <c r="M309" s="23">
        <f t="shared" ref="M309:M328" si="388">IFERROR(VLOOKUP($C309,درجات,14,0),0)</f>
        <v>0</v>
      </c>
      <c r="N309" s="24">
        <f t="shared" ref="N309:N328" si="389">IFERROR(VLOOKUP($C309,درجات,52,0),0)</f>
        <v>0</v>
      </c>
      <c r="O309" s="25">
        <f t="shared" ref="O309:O328" si="390">SUM(M309:N309)</f>
        <v>0</v>
      </c>
      <c r="P309" s="23">
        <f t="shared" ref="P309:P328" si="391">IFERROR(VLOOKUP($C309,درجات,17,0),0)</f>
        <v>0</v>
      </c>
      <c r="Q309" s="24">
        <f t="shared" ref="Q309:Q328" si="392">IFERROR(VLOOKUP($C309,درجات,55,0),0)</f>
        <v>0</v>
      </c>
      <c r="R309" s="25">
        <f t="shared" ref="R309:R328" si="393">SUM(P309:Q309)</f>
        <v>0</v>
      </c>
      <c r="S309" s="23">
        <f t="shared" ref="S309:S328" si="394">IFERROR(VLOOKUP($C309,درجات,20,0),0)</f>
        <v>0</v>
      </c>
      <c r="T309" s="24">
        <f t="shared" ref="T309:T328" si="395">IFERROR(VLOOKUP($C309,درجات,58,0),0)</f>
        <v>0</v>
      </c>
      <c r="U309" s="25">
        <f t="shared" ref="U309:U328" si="396">SUM(S309:T309)</f>
        <v>0</v>
      </c>
      <c r="V309" s="23">
        <f t="shared" ref="V309:V328" si="397">IFERROR(VLOOKUP($C309,درجات,23,0),0)</f>
        <v>0</v>
      </c>
      <c r="W309" s="24">
        <f t="shared" ref="W309:W328" si="398">IFERROR(VLOOKUP($C309,درجات,61,0),0)</f>
        <v>0</v>
      </c>
      <c r="X309" s="25">
        <f t="shared" ref="X309:X328" si="399">SUM(V309:W309)</f>
        <v>0</v>
      </c>
      <c r="Y309" s="23">
        <f t="shared" ref="Y309:Y328" si="400">IFERROR(VLOOKUP($C309,درجات,26,0),0)</f>
        <v>0</v>
      </c>
      <c r="Z309" s="24">
        <f t="shared" ref="Z309:Z328" si="401">IFERROR(VLOOKUP($C309,درجات,64,0),0)</f>
        <v>0</v>
      </c>
      <c r="AA309" s="25">
        <f t="shared" ref="AA309:AA328" si="402">SUM(Y309:Z309)</f>
        <v>0</v>
      </c>
      <c r="AB309" s="23">
        <f t="shared" ref="AB309:AB328" si="403">IFERROR(VLOOKUP($C309,درجات,29,0),0)</f>
        <v>0</v>
      </c>
      <c r="AC309" s="24">
        <f t="shared" ref="AC309:AC328" si="404">IFERROR(VLOOKUP($C309,درجات,67,0),0)</f>
        <v>0</v>
      </c>
      <c r="AD309" s="25">
        <f t="shared" ref="AD309:AD328" si="405">SUM(AB309:AC309)</f>
        <v>0</v>
      </c>
      <c r="AE309" s="23">
        <f t="shared" ref="AE309:AE328" si="406">IFERROR(VLOOKUP($C309,درجات,32,0),0)</f>
        <v>0</v>
      </c>
      <c r="AF309" s="24">
        <f t="shared" ref="AF309:AF328" si="407">IFERROR(VLOOKUP($C309,درجات,70,0),0)</f>
        <v>0</v>
      </c>
      <c r="AG309" s="25">
        <f t="shared" ref="AG309:AG328" si="408">SUM(AE309:AF309)</f>
        <v>0</v>
      </c>
      <c r="AH309" s="26"/>
    </row>
    <row r="310" spans="1:34" ht="18" customHeight="1" thickTop="1" thickBot="1" x14ac:dyDescent="0.3">
      <c r="A310" s="27">
        <v>222</v>
      </c>
      <c r="B310" s="28">
        <f>IFERROR(VLOOKUP(A310,الاسماء,2,0),0)</f>
        <v>0</v>
      </c>
      <c r="C310" s="60">
        <f t="shared" si="379"/>
        <v>0</v>
      </c>
      <c r="D310" s="23">
        <f t="shared" si="380"/>
        <v>0</v>
      </c>
      <c r="E310" s="24">
        <f t="shared" si="381"/>
        <v>0</v>
      </c>
      <c r="F310" s="25">
        <f t="shared" ref="F310:F328" si="409">SUM(D310:E310)</f>
        <v>0</v>
      </c>
      <c r="G310" s="23">
        <f t="shared" si="382"/>
        <v>0</v>
      </c>
      <c r="H310" s="24">
        <f t="shared" si="383"/>
        <v>0</v>
      </c>
      <c r="I310" s="25">
        <f t="shared" si="384"/>
        <v>0</v>
      </c>
      <c r="J310" s="23">
        <f t="shared" si="385"/>
        <v>0</v>
      </c>
      <c r="K310" s="24">
        <f t="shared" si="386"/>
        <v>0</v>
      </c>
      <c r="L310" s="25">
        <f t="shared" si="387"/>
        <v>0</v>
      </c>
      <c r="M310" s="23">
        <f t="shared" si="388"/>
        <v>0</v>
      </c>
      <c r="N310" s="24">
        <f t="shared" si="389"/>
        <v>0</v>
      </c>
      <c r="O310" s="25">
        <f t="shared" si="390"/>
        <v>0</v>
      </c>
      <c r="P310" s="23">
        <f t="shared" si="391"/>
        <v>0</v>
      </c>
      <c r="Q310" s="24">
        <f t="shared" si="392"/>
        <v>0</v>
      </c>
      <c r="R310" s="25">
        <f t="shared" si="393"/>
        <v>0</v>
      </c>
      <c r="S310" s="23">
        <f t="shared" si="394"/>
        <v>0</v>
      </c>
      <c r="T310" s="24">
        <f t="shared" si="395"/>
        <v>0</v>
      </c>
      <c r="U310" s="25">
        <f t="shared" si="396"/>
        <v>0</v>
      </c>
      <c r="V310" s="23">
        <f t="shared" si="397"/>
        <v>0</v>
      </c>
      <c r="W310" s="24">
        <f t="shared" si="398"/>
        <v>0</v>
      </c>
      <c r="X310" s="25">
        <f t="shared" si="399"/>
        <v>0</v>
      </c>
      <c r="Y310" s="23">
        <f t="shared" si="400"/>
        <v>0</v>
      </c>
      <c r="Z310" s="24">
        <f t="shared" si="401"/>
        <v>0</v>
      </c>
      <c r="AA310" s="25">
        <f t="shared" si="402"/>
        <v>0</v>
      </c>
      <c r="AB310" s="23">
        <f t="shared" si="403"/>
        <v>0</v>
      </c>
      <c r="AC310" s="24">
        <f t="shared" si="404"/>
        <v>0</v>
      </c>
      <c r="AD310" s="25">
        <f t="shared" si="405"/>
        <v>0</v>
      </c>
      <c r="AE310" s="23">
        <f t="shared" si="406"/>
        <v>0</v>
      </c>
      <c r="AF310" s="24">
        <f t="shared" si="407"/>
        <v>0</v>
      </c>
      <c r="AG310" s="25">
        <f t="shared" si="408"/>
        <v>0</v>
      </c>
      <c r="AH310" s="29"/>
    </row>
    <row r="311" spans="1:34" ht="18" customHeight="1" thickTop="1" thickBot="1" x14ac:dyDescent="0.3">
      <c r="A311" s="23">
        <v>223</v>
      </c>
      <c r="B311" s="28">
        <f t="shared" ref="B311:B328" si="410">IFERROR(VLOOKUP(A311,الاسماء,2,0),"")</f>
        <v>0</v>
      </c>
      <c r="C311" s="60">
        <f t="shared" si="379"/>
        <v>0</v>
      </c>
      <c r="D311" s="23">
        <f t="shared" si="380"/>
        <v>0</v>
      </c>
      <c r="E311" s="24">
        <f t="shared" si="381"/>
        <v>0</v>
      </c>
      <c r="F311" s="25">
        <f t="shared" si="409"/>
        <v>0</v>
      </c>
      <c r="G311" s="23">
        <f t="shared" si="382"/>
        <v>0</v>
      </c>
      <c r="H311" s="24">
        <f t="shared" si="383"/>
        <v>0</v>
      </c>
      <c r="I311" s="25">
        <f t="shared" si="384"/>
        <v>0</v>
      </c>
      <c r="J311" s="23">
        <f t="shared" si="385"/>
        <v>0</v>
      </c>
      <c r="K311" s="24">
        <f t="shared" si="386"/>
        <v>0</v>
      </c>
      <c r="L311" s="25">
        <f t="shared" si="387"/>
        <v>0</v>
      </c>
      <c r="M311" s="23">
        <f t="shared" si="388"/>
        <v>0</v>
      </c>
      <c r="N311" s="24">
        <f t="shared" si="389"/>
        <v>0</v>
      </c>
      <c r="O311" s="25">
        <f t="shared" si="390"/>
        <v>0</v>
      </c>
      <c r="P311" s="23">
        <f t="shared" si="391"/>
        <v>0</v>
      </c>
      <c r="Q311" s="24">
        <f t="shared" si="392"/>
        <v>0</v>
      </c>
      <c r="R311" s="25">
        <f t="shared" si="393"/>
        <v>0</v>
      </c>
      <c r="S311" s="23">
        <f t="shared" si="394"/>
        <v>0</v>
      </c>
      <c r="T311" s="24">
        <f t="shared" si="395"/>
        <v>0</v>
      </c>
      <c r="U311" s="25">
        <f t="shared" si="396"/>
        <v>0</v>
      </c>
      <c r="V311" s="23">
        <f t="shared" si="397"/>
        <v>0</v>
      </c>
      <c r="W311" s="24">
        <f t="shared" si="398"/>
        <v>0</v>
      </c>
      <c r="X311" s="25">
        <f t="shared" si="399"/>
        <v>0</v>
      </c>
      <c r="Y311" s="23">
        <f t="shared" si="400"/>
        <v>0</v>
      </c>
      <c r="Z311" s="24">
        <f t="shared" si="401"/>
        <v>0</v>
      </c>
      <c r="AA311" s="25">
        <f t="shared" si="402"/>
        <v>0</v>
      </c>
      <c r="AB311" s="23">
        <f t="shared" si="403"/>
        <v>0</v>
      </c>
      <c r="AC311" s="24">
        <f t="shared" si="404"/>
        <v>0</v>
      </c>
      <c r="AD311" s="25">
        <f t="shared" si="405"/>
        <v>0</v>
      </c>
      <c r="AE311" s="23">
        <f t="shared" si="406"/>
        <v>0</v>
      </c>
      <c r="AF311" s="24">
        <f t="shared" si="407"/>
        <v>0</v>
      </c>
      <c r="AG311" s="25">
        <f t="shared" si="408"/>
        <v>0</v>
      </c>
      <c r="AH311" s="30"/>
    </row>
    <row r="312" spans="1:34" ht="18" customHeight="1" thickTop="1" thickBot="1" x14ac:dyDescent="0.3">
      <c r="A312" s="27">
        <v>224</v>
      </c>
      <c r="B312" s="28">
        <f t="shared" si="410"/>
        <v>0</v>
      </c>
      <c r="C312" s="60">
        <f t="shared" si="379"/>
        <v>0</v>
      </c>
      <c r="D312" s="23">
        <f t="shared" si="380"/>
        <v>0</v>
      </c>
      <c r="E312" s="24">
        <f t="shared" si="381"/>
        <v>0</v>
      </c>
      <c r="F312" s="25">
        <f t="shared" si="409"/>
        <v>0</v>
      </c>
      <c r="G312" s="23">
        <f t="shared" si="382"/>
        <v>0</v>
      </c>
      <c r="H312" s="24">
        <f t="shared" si="383"/>
        <v>0</v>
      </c>
      <c r="I312" s="25">
        <f t="shared" si="384"/>
        <v>0</v>
      </c>
      <c r="J312" s="23">
        <f t="shared" si="385"/>
        <v>0</v>
      </c>
      <c r="K312" s="24">
        <f t="shared" si="386"/>
        <v>0</v>
      </c>
      <c r="L312" s="25">
        <f t="shared" si="387"/>
        <v>0</v>
      </c>
      <c r="M312" s="23">
        <f t="shared" si="388"/>
        <v>0</v>
      </c>
      <c r="N312" s="24">
        <f t="shared" si="389"/>
        <v>0</v>
      </c>
      <c r="O312" s="25">
        <f t="shared" si="390"/>
        <v>0</v>
      </c>
      <c r="P312" s="23">
        <f t="shared" si="391"/>
        <v>0</v>
      </c>
      <c r="Q312" s="24">
        <f t="shared" si="392"/>
        <v>0</v>
      </c>
      <c r="R312" s="25">
        <f t="shared" si="393"/>
        <v>0</v>
      </c>
      <c r="S312" s="23">
        <f t="shared" si="394"/>
        <v>0</v>
      </c>
      <c r="T312" s="24">
        <f t="shared" si="395"/>
        <v>0</v>
      </c>
      <c r="U312" s="25">
        <f t="shared" si="396"/>
        <v>0</v>
      </c>
      <c r="V312" s="23">
        <f t="shared" si="397"/>
        <v>0</v>
      </c>
      <c r="W312" s="24">
        <f t="shared" si="398"/>
        <v>0</v>
      </c>
      <c r="X312" s="25">
        <f t="shared" si="399"/>
        <v>0</v>
      </c>
      <c r="Y312" s="23">
        <f t="shared" si="400"/>
        <v>0</v>
      </c>
      <c r="Z312" s="24">
        <f t="shared" si="401"/>
        <v>0</v>
      </c>
      <c r="AA312" s="25">
        <f t="shared" si="402"/>
        <v>0</v>
      </c>
      <c r="AB312" s="23">
        <f t="shared" si="403"/>
        <v>0</v>
      </c>
      <c r="AC312" s="24">
        <f t="shared" si="404"/>
        <v>0</v>
      </c>
      <c r="AD312" s="25">
        <f t="shared" si="405"/>
        <v>0</v>
      </c>
      <c r="AE312" s="23">
        <f t="shared" si="406"/>
        <v>0</v>
      </c>
      <c r="AF312" s="24">
        <f t="shared" si="407"/>
        <v>0</v>
      </c>
      <c r="AG312" s="25">
        <f t="shared" si="408"/>
        <v>0</v>
      </c>
      <c r="AH312" s="30"/>
    </row>
    <row r="313" spans="1:34" ht="18" customHeight="1" thickTop="1" thickBot="1" x14ac:dyDescent="0.3">
      <c r="A313" s="23">
        <v>225</v>
      </c>
      <c r="B313" s="28">
        <f t="shared" si="410"/>
        <v>0</v>
      </c>
      <c r="C313" s="60">
        <f t="shared" si="379"/>
        <v>0</v>
      </c>
      <c r="D313" s="23">
        <f t="shared" si="380"/>
        <v>0</v>
      </c>
      <c r="E313" s="24">
        <f t="shared" si="381"/>
        <v>0</v>
      </c>
      <c r="F313" s="25">
        <f t="shared" si="409"/>
        <v>0</v>
      </c>
      <c r="G313" s="23">
        <f t="shared" si="382"/>
        <v>0</v>
      </c>
      <c r="H313" s="24">
        <f t="shared" si="383"/>
        <v>0</v>
      </c>
      <c r="I313" s="25">
        <f t="shared" si="384"/>
        <v>0</v>
      </c>
      <c r="J313" s="23">
        <f t="shared" si="385"/>
        <v>0</v>
      </c>
      <c r="K313" s="24">
        <f t="shared" si="386"/>
        <v>0</v>
      </c>
      <c r="L313" s="25">
        <f t="shared" si="387"/>
        <v>0</v>
      </c>
      <c r="M313" s="23">
        <f t="shared" si="388"/>
        <v>0</v>
      </c>
      <c r="N313" s="24">
        <f t="shared" si="389"/>
        <v>0</v>
      </c>
      <c r="O313" s="25">
        <f t="shared" si="390"/>
        <v>0</v>
      </c>
      <c r="P313" s="23">
        <f t="shared" si="391"/>
        <v>0</v>
      </c>
      <c r="Q313" s="24">
        <f t="shared" si="392"/>
        <v>0</v>
      </c>
      <c r="R313" s="25">
        <f t="shared" si="393"/>
        <v>0</v>
      </c>
      <c r="S313" s="23">
        <f t="shared" si="394"/>
        <v>0</v>
      </c>
      <c r="T313" s="24">
        <f t="shared" si="395"/>
        <v>0</v>
      </c>
      <c r="U313" s="25">
        <f t="shared" si="396"/>
        <v>0</v>
      </c>
      <c r="V313" s="23">
        <f t="shared" si="397"/>
        <v>0</v>
      </c>
      <c r="W313" s="24">
        <f t="shared" si="398"/>
        <v>0</v>
      </c>
      <c r="X313" s="25">
        <f t="shared" si="399"/>
        <v>0</v>
      </c>
      <c r="Y313" s="23">
        <f t="shared" si="400"/>
        <v>0</v>
      </c>
      <c r="Z313" s="24">
        <f t="shared" si="401"/>
        <v>0</v>
      </c>
      <c r="AA313" s="25">
        <f t="shared" si="402"/>
        <v>0</v>
      </c>
      <c r="AB313" s="23">
        <f t="shared" si="403"/>
        <v>0</v>
      </c>
      <c r="AC313" s="24">
        <f t="shared" si="404"/>
        <v>0</v>
      </c>
      <c r="AD313" s="25">
        <f t="shared" si="405"/>
        <v>0</v>
      </c>
      <c r="AE313" s="23">
        <f t="shared" si="406"/>
        <v>0</v>
      </c>
      <c r="AF313" s="24">
        <f t="shared" si="407"/>
        <v>0</v>
      </c>
      <c r="AG313" s="25">
        <f t="shared" si="408"/>
        <v>0</v>
      </c>
      <c r="AH313" s="30"/>
    </row>
    <row r="314" spans="1:34" ht="18" customHeight="1" thickTop="1" thickBot="1" x14ac:dyDescent="0.3">
      <c r="A314" s="27">
        <v>226</v>
      </c>
      <c r="B314" s="28">
        <f t="shared" si="410"/>
        <v>0</v>
      </c>
      <c r="C314" s="60">
        <f t="shared" si="379"/>
        <v>0</v>
      </c>
      <c r="D314" s="23">
        <f t="shared" si="380"/>
        <v>0</v>
      </c>
      <c r="E314" s="24">
        <f t="shared" si="381"/>
        <v>0</v>
      </c>
      <c r="F314" s="25">
        <f t="shared" si="409"/>
        <v>0</v>
      </c>
      <c r="G314" s="23">
        <f t="shared" si="382"/>
        <v>0</v>
      </c>
      <c r="H314" s="24">
        <f t="shared" si="383"/>
        <v>0</v>
      </c>
      <c r="I314" s="25">
        <f t="shared" si="384"/>
        <v>0</v>
      </c>
      <c r="J314" s="23">
        <f t="shared" si="385"/>
        <v>0</v>
      </c>
      <c r="K314" s="24">
        <f t="shared" si="386"/>
        <v>0</v>
      </c>
      <c r="L314" s="25">
        <f t="shared" si="387"/>
        <v>0</v>
      </c>
      <c r="M314" s="23">
        <f t="shared" si="388"/>
        <v>0</v>
      </c>
      <c r="N314" s="24">
        <f t="shared" si="389"/>
        <v>0</v>
      </c>
      <c r="O314" s="25">
        <f t="shared" si="390"/>
        <v>0</v>
      </c>
      <c r="P314" s="23">
        <f t="shared" si="391"/>
        <v>0</v>
      </c>
      <c r="Q314" s="24">
        <f t="shared" si="392"/>
        <v>0</v>
      </c>
      <c r="R314" s="25">
        <f t="shared" si="393"/>
        <v>0</v>
      </c>
      <c r="S314" s="23">
        <f t="shared" si="394"/>
        <v>0</v>
      </c>
      <c r="T314" s="24">
        <f t="shared" si="395"/>
        <v>0</v>
      </c>
      <c r="U314" s="25">
        <f t="shared" si="396"/>
        <v>0</v>
      </c>
      <c r="V314" s="23">
        <f t="shared" si="397"/>
        <v>0</v>
      </c>
      <c r="W314" s="24">
        <f t="shared" si="398"/>
        <v>0</v>
      </c>
      <c r="X314" s="25">
        <f t="shared" si="399"/>
        <v>0</v>
      </c>
      <c r="Y314" s="23">
        <f t="shared" si="400"/>
        <v>0</v>
      </c>
      <c r="Z314" s="24">
        <f t="shared" si="401"/>
        <v>0</v>
      </c>
      <c r="AA314" s="25">
        <f t="shared" si="402"/>
        <v>0</v>
      </c>
      <c r="AB314" s="23">
        <f t="shared" si="403"/>
        <v>0</v>
      </c>
      <c r="AC314" s="24">
        <f t="shared" si="404"/>
        <v>0</v>
      </c>
      <c r="AD314" s="25">
        <f t="shared" si="405"/>
        <v>0</v>
      </c>
      <c r="AE314" s="23">
        <f t="shared" si="406"/>
        <v>0</v>
      </c>
      <c r="AF314" s="24">
        <f t="shared" si="407"/>
        <v>0</v>
      </c>
      <c r="AG314" s="25">
        <f t="shared" si="408"/>
        <v>0</v>
      </c>
      <c r="AH314" s="31"/>
    </row>
    <row r="315" spans="1:34" ht="18" customHeight="1" thickTop="1" thickBot="1" x14ac:dyDescent="0.3">
      <c r="A315" s="23">
        <v>227</v>
      </c>
      <c r="B315" s="28">
        <f t="shared" si="410"/>
        <v>0</v>
      </c>
      <c r="C315" s="60">
        <f t="shared" si="379"/>
        <v>0</v>
      </c>
      <c r="D315" s="23">
        <f t="shared" si="380"/>
        <v>0</v>
      </c>
      <c r="E315" s="24">
        <f t="shared" si="381"/>
        <v>0</v>
      </c>
      <c r="F315" s="25">
        <f t="shared" si="409"/>
        <v>0</v>
      </c>
      <c r="G315" s="23">
        <f t="shared" si="382"/>
        <v>0</v>
      </c>
      <c r="H315" s="24">
        <f t="shared" si="383"/>
        <v>0</v>
      </c>
      <c r="I315" s="25">
        <f t="shared" si="384"/>
        <v>0</v>
      </c>
      <c r="J315" s="23">
        <f t="shared" si="385"/>
        <v>0</v>
      </c>
      <c r="K315" s="24">
        <f t="shared" si="386"/>
        <v>0</v>
      </c>
      <c r="L315" s="25">
        <f t="shared" si="387"/>
        <v>0</v>
      </c>
      <c r="M315" s="23">
        <f t="shared" si="388"/>
        <v>0</v>
      </c>
      <c r="N315" s="24">
        <f t="shared" si="389"/>
        <v>0</v>
      </c>
      <c r="O315" s="25">
        <f t="shared" si="390"/>
        <v>0</v>
      </c>
      <c r="P315" s="23">
        <f t="shared" si="391"/>
        <v>0</v>
      </c>
      <c r="Q315" s="24">
        <f t="shared" si="392"/>
        <v>0</v>
      </c>
      <c r="R315" s="25">
        <f t="shared" si="393"/>
        <v>0</v>
      </c>
      <c r="S315" s="23">
        <f t="shared" si="394"/>
        <v>0</v>
      </c>
      <c r="T315" s="24">
        <f t="shared" si="395"/>
        <v>0</v>
      </c>
      <c r="U315" s="25">
        <f t="shared" si="396"/>
        <v>0</v>
      </c>
      <c r="V315" s="23">
        <f t="shared" si="397"/>
        <v>0</v>
      </c>
      <c r="W315" s="24">
        <f t="shared" si="398"/>
        <v>0</v>
      </c>
      <c r="X315" s="25">
        <f t="shared" si="399"/>
        <v>0</v>
      </c>
      <c r="Y315" s="23">
        <f t="shared" si="400"/>
        <v>0</v>
      </c>
      <c r="Z315" s="24">
        <f t="shared" si="401"/>
        <v>0</v>
      </c>
      <c r="AA315" s="25">
        <f t="shared" si="402"/>
        <v>0</v>
      </c>
      <c r="AB315" s="23">
        <f t="shared" si="403"/>
        <v>0</v>
      </c>
      <c r="AC315" s="24">
        <f t="shared" si="404"/>
        <v>0</v>
      </c>
      <c r="AD315" s="25">
        <f t="shared" si="405"/>
        <v>0</v>
      </c>
      <c r="AE315" s="23">
        <f t="shared" si="406"/>
        <v>0</v>
      </c>
      <c r="AF315" s="24">
        <f t="shared" si="407"/>
        <v>0</v>
      </c>
      <c r="AG315" s="25">
        <f t="shared" si="408"/>
        <v>0</v>
      </c>
      <c r="AH315" s="32"/>
    </row>
    <row r="316" spans="1:34" ht="18" customHeight="1" thickTop="1" thickBot="1" x14ac:dyDescent="0.3">
      <c r="A316" s="27">
        <v>228</v>
      </c>
      <c r="B316" s="28">
        <f t="shared" si="410"/>
        <v>0</v>
      </c>
      <c r="C316" s="60">
        <f t="shared" si="379"/>
        <v>0</v>
      </c>
      <c r="D316" s="23">
        <f t="shared" si="380"/>
        <v>0</v>
      </c>
      <c r="E316" s="24">
        <f t="shared" si="381"/>
        <v>0</v>
      </c>
      <c r="F316" s="25">
        <f t="shared" si="409"/>
        <v>0</v>
      </c>
      <c r="G316" s="23">
        <f t="shared" si="382"/>
        <v>0</v>
      </c>
      <c r="H316" s="24">
        <f t="shared" si="383"/>
        <v>0</v>
      </c>
      <c r="I316" s="25">
        <f t="shared" si="384"/>
        <v>0</v>
      </c>
      <c r="J316" s="23">
        <f t="shared" si="385"/>
        <v>0</v>
      </c>
      <c r="K316" s="24">
        <f t="shared" si="386"/>
        <v>0</v>
      </c>
      <c r="L316" s="25">
        <f t="shared" si="387"/>
        <v>0</v>
      </c>
      <c r="M316" s="23">
        <f t="shared" si="388"/>
        <v>0</v>
      </c>
      <c r="N316" s="24">
        <f t="shared" si="389"/>
        <v>0</v>
      </c>
      <c r="O316" s="25">
        <f t="shared" si="390"/>
        <v>0</v>
      </c>
      <c r="P316" s="23">
        <f t="shared" si="391"/>
        <v>0</v>
      </c>
      <c r="Q316" s="24">
        <f t="shared" si="392"/>
        <v>0</v>
      </c>
      <c r="R316" s="25">
        <f t="shared" si="393"/>
        <v>0</v>
      </c>
      <c r="S316" s="23">
        <f t="shared" si="394"/>
        <v>0</v>
      </c>
      <c r="T316" s="24">
        <f t="shared" si="395"/>
        <v>0</v>
      </c>
      <c r="U316" s="25">
        <f t="shared" si="396"/>
        <v>0</v>
      </c>
      <c r="V316" s="23">
        <f t="shared" si="397"/>
        <v>0</v>
      </c>
      <c r="W316" s="24">
        <f t="shared" si="398"/>
        <v>0</v>
      </c>
      <c r="X316" s="25">
        <f t="shared" si="399"/>
        <v>0</v>
      </c>
      <c r="Y316" s="23">
        <f t="shared" si="400"/>
        <v>0</v>
      </c>
      <c r="Z316" s="24">
        <f t="shared" si="401"/>
        <v>0</v>
      </c>
      <c r="AA316" s="25">
        <f t="shared" si="402"/>
        <v>0</v>
      </c>
      <c r="AB316" s="23">
        <f t="shared" si="403"/>
        <v>0</v>
      </c>
      <c r="AC316" s="24">
        <f t="shared" si="404"/>
        <v>0</v>
      </c>
      <c r="AD316" s="25">
        <f t="shared" si="405"/>
        <v>0</v>
      </c>
      <c r="AE316" s="23">
        <f t="shared" si="406"/>
        <v>0</v>
      </c>
      <c r="AF316" s="24">
        <f t="shared" si="407"/>
        <v>0</v>
      </c>
      <c r="AG316" s="25">
        <f t="shared" si="408"/>
        <v>0</v>
      </c>
      <c r="AH316" s="29"/>
    </row>
    <row r="317" spans="1:34" ht="18" customHeight="1" thickTop="1" thickBot="1" x14ac:dyDescent="0.3">
      <c r="A317" s="23">
        <v>229</v>
      </c>
      <c r="B317" s="28">
        <f t="shared" si="410"/>
        <v>0</v>
      </c>
      <c r="C317" s="60">
        <f t="shared" si="379"/>
        <v>0</v>
      </c>
      <c r="D317" s="23">
        <f t="shared" si="380"/>
        <v>0</v>
      </c>
      <c r="E317" s="24">
        <f t="shared" si="381"/>
        <v>0</v>
      </c>
      <c r="F317" s="25">
        <f t="shared" si="409"/>
        <v>0</v>
      </c>
      <c r="G317" s="23">
        <f t="shared" si="382"/>
        <v>0</v>
      </c>
      <c r="H317" s="24">
        <f t="shared" si="383"/>
        <v>0</v>
      </c>
      <c r="I317" s="25">
        <f t="shared" si="384"/>
        <v>0</v>
      </c>
      <c r="J317" s="23">
        <f t="shared" si="385"/>
        <v>0</v>
      </c>
      <c r="K317" s="24">
        <f t="shared" si="386"/>
        <v>0</v>
      </c>
      <c r="L317" s="25">
        <f t="shared" si="387"/>
        <v>0</v>
      </c>
      <c r="M317" s="23">
        <f t="shared" si="388"/>
        <v>0</v>
      </c>
      <c r="N317" s="24">
        <f t="shared" si="389"/>
        <v>0</v>
      </c>
      <c r="O317" s="25">
        <f t="shared" si="390"/>
        <v>0</v>
      </c>
      <c r="P317" s="23">
        <f t="shared" si="391"/>
        <v>0</v>
      </c>
      <c r="Q317" s="24">
        <f t="shared" si="392"/>
        <v>0</v>
      </c>
      <c r="R317" s="25">
        <f t="shared" si="393"/>
        <v>0</v>
      </c>
      <c r="S317" s="23">
        <f t="shared" si="394"/>
        <v>0</v>
      </c>
      <c r="T317" s="24">
        <f t="shared" si="395"/>
        <v>0</v>
      </c>
      <c r="U317" s="25">
        <f t="shared" si="396"/>
        <v>0</v>
      </c>
      <c r="V317" s="23">
        <f t="shared" si="397"/>
        <v>0</v>
      </c>
      <c r="W317" s="24">
        <f t="shared" si="398"/>
        <v>0</v>
      </c>
      <c r="X317" s="25">
        <f t="shared" si="399"/>
        <v>0</v>
      </c>
      <c r="Y317" s="23">
        <f t="shared" si="400"/>
        <v>0</v>
      </c>
      <c r="Z317" s="24">
        <f t="shared" si="401"/>
        <v>0</v>
      </c>
      <c r="AA317" s="25">
        <f t="shared" si="402"/>
        <v>0</v>
      </c>
      <c r="AB317" s="23">
        <f t="shared" si="403"/>
        <v>0</v>
      </c>
      <c r="AC317" s="24">
        <f t="shared" si="404"/>
        <v>0</v>
      </c>
      <c r="AD317" s="25">
        <f t="shared" si="405"/>
        <v>0</v>
      </c>
      <c r="AE317" s="23">
        <f t="shared" si="406"/>
        <v>0</v>
      </c>
      <c r="AF317" s="24">
        <f t="shared" si="407"/>
        <v>0</v>
      </c>
      <c r="AG317" s="25">
        <f t="shared" si="408"/>
        <v>0</v>
      </c>
      <c r="AH317" s="31"/>
    </row>
    <row r="318" spans="1:34" ht="18" customHeight="1" thickTop="1" thickBot="1" x14ac:dyDescent="0.3">
      <c r="A318" s="27">
        <v>230</v>
      </c>
      <c r="B318" s="28">
        <f t="shared" si="410"/>
        <v>0</v>
      </c>
      <c r="C318" s="60">
        <f t="shared" si="379"/>
        <v>0</v>
      </c>
      <c r="D318" s="23">
        <f t="shared" si="380"/>
        <v>0</v>
      </c>
      <c r="E318" s="24">
        <f t="shared" si="381"/>
        <v>0</v>
      </c>
      <c r="F318" s="25">
        <f t="shared" si="409"/>
        <v>0</v>
      </c>
      <c r="G318" s="23">
        <f t="shared" si="382"/>
        <v>0</v>
      </c>
      <c r="H318" s="24">
        <f t="shared" si="383"/>
        <v>0</v>
      </c>
      <c r="I318" s="25">
        <f t="shared" si="384"/>
        <v>0</v>
      </c>
      <c r="J318" s="23">
        <f t="shared" si="385"/>
        <v>0</v>
      </c>
      <c r="K318" s="24">
        <f t="shared" si="386"/>
        <v>0</v>
      </c>
      <c r="L318" s="25">
        <f t="shared" si="387"/>
        <v>0</v>
      </c>
      <c r="M318" s="23">
        <f t="shared" si="388"/>
        <v>0</v>
      </c>
      <c r="N318" s="24">
        <f t="shared" si="389"/>
        <v>0</v>
      </c>
      <c r="O318" s="25">
        <f t="shared" si="390"/>
        <v>0</v>
      </c>
      <c r="P318" s="23">
        <f t="shared" si="391"/>
        <v>0</v>
      </c>
      <c r="Q318" s="24">
        <f t="shared" si="392"/>
        <v>0</v>
      </c>
      <c r="R318" s="25">
        <f t="shared" si="393"/>
        <v>0</v>
      </c>
      <c r="S318" s="23">
        <f t="shared" si="394"/>
        <v>0</v>
      </c>
      <c r="T318" s="24">
        <f t="shared" si="395"/>
        <v>0</v>
      </c>
      <c r="U318" s="25">
        <f t="shared" si="396"/>
        <v>0</v>
      </c>
      <c r="V318" s="23">
        <f t="shared" si="397"/>
        <v>0</v>
      </c>
      <c r="W318" s="24">
        <f t="shared" si="398"/>
        <v>0</v>
      </c>
      <c r="X318" s="25">
        <f t="shared" si="399"/>
        <v>0</v>
      </c>
      <c r="Y318" s="23">
        <f t="shared" si="400"/>
        <v>0</v>
      </c>
      <c r="Z318" s="24">
        <f t="shared" si="401"/>
        <v>0</v>
      </c>
      <c r="AA318" s="25">
        <f t="shared" si="402"/>
        <v>0</v>
      </c>
      <c r="AB318" s="23">
        <f t="shared" si="403"/>
        <v>0</v>
      </c>
      <c r="AC318" s="24">
        <f t="shared" si="404"/>
        <v>0</v>
      </c>
      <c r="AD318" s="25">
        <f t="shared" si="405"/>
        <v>0</v>
      </c>
      <c r="AE318" s="23">
        <f t="shared" si="406"/>
        <v>0</v>
      </c>
      <c r="AF318" s="24">
        <f t="shared" si="407"/>
        <v>0</v>
      </c>
      <c r="AG318" s="25">
        <f t="shared" si="408"/>
        <v>0</v>
      </c>
      <c r="AH318" s="33"/>
    </row>
    <row r="319" spans="1:34" ht="18" customHeight="1" thickTop="1" thickBot="1" x14ac:dyDescent="0.3">
      <c r="A319" s="23">
        <v>231</v>
      </c>
      <c r="B319" s="28">
        <f t="shared" si="410"/>
        <v>0</v>
      </c>
      <c r="C319" s="60">
        <f t="shared" si="379"/>
        <v>0</v>
      </c>
      <c r="D319" s="23">
        <f t="shared" si="380"/>
        <v>0</v>
      </c>
      <c r="E319" s="24">
        <f t="shared" si="381"/>
        <v>0</v>
      </c>
      <c r="F319" s="25">
        <f t="shared" si="409"/>
        <v>0</v>
      </c>
      <c r="G319" s="23">
        <f t="shared" si="382"/>
        <v>0</v>
      </c>
      <c r="H319" s="24">
        <f t="shared" si="383"/>
        <v>0</v>
      </c>
      <c r="I319" s="25">
        <f t="shared" si="384"/>
        <v>0</v>
      </c>
      <c r="J319" s="23">
        <f t="shared" si="385"/>
        <v>0</v>
      </c>
      <c r="K319" s="24">
        <f t="shared" si="386"/>
        <v>0</v>
      </c>
      <c r="L319" s="25">
        <f t="shared" si="387"/>
        <v>0</v>
      </c>
      <c r="M319" s="23">
        <f t="shared" si="388"/>
        <v>0</v>
      </c>
      <c r="N319" s="24">
        <f t="shared" si="389"/>
        <v>0</v>
      </c>
      <c r="O319" s="25">
        <f t="shared" si="390"/>
        <v>0</v>
      </c>
      <c r="P319" s="23">
        <f t="shared" si="391"/>
        <v>0</v>
      </c>
      <c r="Q319" s="24">
        <f t="shared" si="392"/>
        <v>0</v>
      </c>
      <c r="R319" s="25">
        <f t="shared" si="393"/>
        <v>0</v>
      </c>
      <c r="S319" s="23">
        <f t="shared" si="394"/>
        <v>0</v>
      </c>
      <c r="T319" s="24">
        <f t="shared" si="395"/>
        <v>0</v>
      </c>
      <c r="U319" s="25">
        <f t="shared" si="396"/>
        <v>0</v>
      </c>
      <c r="V319" s="23">
        <f t="shared" si="397"/>
        <v>0</v>
      </c>
      <c r="W319" s="24">
        <f t="shared" si="398"/>
        <v>0</v>
      </c>
      <c r="X319" s="25">
        <f t="shared" si="399"/>
        <v>0</v>
      </c>
      <c r="Y319" s="23">
        <f t="shared" si="400"/>
        <v>0</v>
      </c>
      <c r="Z319" s="24">
        <f t="shared" si="401"/>
        <v>0</v>
      </c>
      <c r="AA319" s="25">
        <f t="shared" si="402"/>
        <v>0</v>
      </c>
      <c r="AB319" s="23">
        <f t="shared" si="403"/>
        <v>0</v>
      </c>
      <c r="AC319" s="24">
        <f t="shared" si="404"/>
        <v>0</v>
      </c>
      <c r="AD319" s="25">
        <f t="shared" si="405"/>
        <v>0</v>
      </c>
      <c r="AE319" s="23">
        <f t="shared" si="406"/>
        <v>0</v>
      </c>
      <c r="AF319" s="24">
        <f t="shared" si="407"/>
        <v>0</v>
      </c>
      <c r="AG319" s="25">
        <f t="shared" si="408"/>
        <v>0</v>
      </c>
      <c r="AH319" s="29"/>
    </row>
    <row r="320" spans="1:34" ht="18" customHeight="1" thickTop="1" thickBot="1" x14ac:dyDescent="0.3">
      <c r="A320" s="27">
        <v>232</v>
      </c>
      <c r="B320" s="28">
        <f t="shared" si="410"/>
        <v>0</v>
      </c>
      <c r="C320" s="60">
        <f t="shared" si="379"/>
        <v>0</v>
      </c>
      <c r="D320" s="23">
        <f t="shared" si="380"/>
        <v>0</v>
      </c>
      <c r="E320" s="24">
        <f t="shared" si="381"/>
        <v>0</v>
      </c>
      <c r="F320" s="25">
        <f t="shared" si="409"/>
        <v>0</v>
      </c>
      <c r="G320" s="23">
        <f t="shared" si="382"/>
        <v>0</v>
      </c>
      <c r="H320" s="24">
        <f t="shared" si="383"/>
        <v>0</v>
      </c>
      <c r="I320" s="25">
        <f t="shared" si="384"/>
        <v>0</v>
      </c>
      <c r="J320" s="23">
        <f t="shared" si="385"/>
        <v>0</v>
      </c>
      <c r="K320" s="24">
        <f t="shared" si="386"/>
        <v>0</v>
      </c>
      <c r="L320" s="25">
        <f t="shared" si="387"/>
        <v>0</v>
      </c>
      <c r="M320" s="23">
        <f t="shared" si="388"/>
        <v>0</v>
      </c>
      <c r="N320" s="24">
        <f t="shared" si="389"/>
        <v>0</v>
      </c>
      <c r="O320" s="25">
        <f t="shared" si="390"/>
        <v>0</v>
      </c>
      <c r="P320" s="23">
        <f t="shared" si="391"/>
        <v>0</v>
      </c>
      <c r="Q320" s="24">
        <f t="shared" si="392"/>
        <v>0</v>
      </c>
      <c r="R320" s="25">
        <f t="shared" si="393"/>
        <v>0</v>
      </c>
      <c r="S320" s="23">
        <f t="shared" si="394"/>
        <v>0</v>
      </c>
      <c r="T320" s="24">
        <f t="shared" si="395"/>
        <v>0</v>
      </c>
      <c r="U320" s="25">
        <f t="shared" si="396"/>
        <v>0</v>
      </c>
      <c r="V320" s="23">
        <f t="shared" si="397"/>
        <v>0</v>
      </c>
      <c r="W320" s="24">
        <f t="shared" si="398"/>
        <v>0</v>
      </c>
      <c r="X320" s="25">
        <f t="shared" si="399"/>
        <v>0</v>
      </c>
      <c r="Y320" s="23">
        <f t="shared" si="400"/>
        <v>0</v>
      </c>
      <c r="Z320" s="24">
        <f t="shared" si="401"/>
        <v>0</v>
      </c>
      <c r="AA320" s="25">
        <f t="shared" si="402"/>
        <v>0</v>
      </c>
      <c r="AB320" s="23">
        <f t="shared" si="403"/>
        <v>0</v>
      </c>
      <c r="AC320" s="24">
        <f t="shared" si="404"/>
        <v>0</v>
      </c>
      <c r="AD320" s="25">
        <f t="shared" si="405"/>
        <v>0</v>
      </c>
      <c r="AE320" s="23">
        <f t="shared" si="406"/>
        <v>0</v>
      </c>
      <c r="AF320" s="24">
        <f t="shared" si="407"/>
        <v>0</v>
      </c>
      <c r="AG320" s="25">
        <f t="shared" si="408"/>
        <v>0</v>
      </c>
      <c r="AH320" s="31"/>
    </row>
    <row r="321" spans="1:34" ht="18" customHeight="1" thickTop="1" thickBot="1" x14ac:dyDescent="0.3">
      <c r="A321" s="23">
        <v>233</v>
      </c>
      <c r="B321" s="28">
        <f t="shared" si="410"/>
        <v>0</v>
      </c>
      <c r="C321" s="60">
        <f t="shared" si="379"/>
        <v>0</v>
      </c>
      <c r="D321" s="23">
        <f t="shared" si="380"/>
        <v>0</v>
      </c>
      <c r="E321" s="24">
        <f t="shared" si="381"/>
        <v>0</v>
      </c>
      <c r="F321" s="25">
        <f t="shared" si="409"/>
        <v>0</v>
      </c>
      <c r="G321" s="23">
        <f t="shared" si="382"/>
        <v>0</v>
      </c>
      <c r="H321" s="24">
        <f t="shared" si="383"/>
        <v>0</v>
      </c>
      <c r="I321" s="25">
        <f t="shared" si="384"/>
        <v>0</v>
      </c>
      <c r="J321" s="23">
        <f t="shared" si="385"/>
        <v>0</v>
      </c>
      <c r="K321" s="24">
        <f t="shared" si="386"/>
        <v>0</v>
      </c>
      <c r="L321" s="25">
        <f t="shared" si="387"/>
        <v>0</v>
      </c>
      <c r="M321" s="23">
        <f t="shared" si="388"/>
        <v>0</v>
      </c>
      <c r="N321" s="24">
        <f t="shared" si="389"/>
        <v>0</v>
      </c>
      <c r="O321" s="25">
        <f t="shared" si="390"/>
        <v>0</v>
      </c>
      <c r="P321" s="23">
        <f t="shared" si="391"/>
        <v>0</v>
      </c>
      <c r="Q321" s="24">
        <f t="shared" si="392"/>
        <v>0</v>
      </c>
      <c r="R321" s="25">
        <f t="shared" si="393"/>
        <v>0</v>
      </c>
      <c r="S321" s="23">
        <f t="shared" si="394"/>
        <v>0</v>
      </c>
      <c r="T321" s="24">
        <f t="shared" si="395"/>
        <v>0</v>
      </c>
      <c r="U321" s="25">
        <f t="shared" si="396"/>
        <v>0</v>
      </c>
      <c r="V321" s="23">
        <f t="shared" si="397"/>
        <v>0</v>
      </c>
      <c r="W321" s="24">
        <f t="shared" si="398"/>
        <v>0</v>
      </c>
      <c r="X321" s="25">
        <f t="shared" si="399"/>
        <v>0</v>
      </c>
      <c r="Y321" s="23">
        <f t="shared" si="400"/>
        <v>0</v>
      </c>
      <c r="Z321" s="24">
        <f t="shared" si="401"/>
        <v>0</v>
      </c>
      <c r="AA321" s="25">
        <f t="shared" si="402"/>
        <v>0</v>
      </c>
      <c r="AB321" s="23">
        <f t="shared" si="403"/>
        <v>0</v>
      </c>
      <c r="AC321" s="24">
        <f t="shared" si="404"/>
        <v>0</v>
      </c>
      <c r="AD321" s="25">
        <f t="shared" si="405"/>
        <v>0</v>
      </c>
      <c r="AE321" s="23">
        <f t="shared" si="406"/>
        <v>0</v>
      </c>
      <c r="AF321" s="24">
        <f t="shared" si="407"/>
        <v>0</v>
      </c>
      <c r="AG321" s="25">
        <f t="shared" si="408"/>
        <v>0</v>
      </c>
      <c r="AH321" s="33"/>
    </row>
    <row r="322" spans="1:34" ht="18" customHeight="1" thickTop="1" thickBot="1" x14ac:dyDescent="0.3">
      <c r="A322" s="27">
        <v>234</v>
      </c>
      <c r="B322" s="28">
        <f t="shared" si="410"/>
        <v>0</v>
      </c>
      <c r="C322" s="60">
        <f t="shared" si="379"/>
        <v>0</v>
      </c>
      <c r="D322" s="23">
        <f t="shared" si="380"/>
        <v>0</v>
      </c>
      <c r="E322" s="24">
        <f t="shared" si="381"/>
        <v>0</v>
      </c>
      <c r="F322" s="25">
        <f t="shared" si="409"/>
        <v>0</v>
      </c>
      <c r="G322" s="23">
        <f t="shared" si="382"/>
        <v>0</v>
      </c>
      <c r="H322" s="24">
        <f t="shared" si="383"/>
        <v>0</v>
      </c>
      <c r="I322" s="25">
        <f t="shared" si="384"/>
        <v>0</v>
      </c>
      <c r="J322" s="23">
        <f t="shared" si="385"/>
        <v>0</v>
      </c>
      <c r="K322" s="24">
        <f t="shared" si="386"/>
        <v>0</v>
      </c>
      <c r="L322" s="25">
        <f t="shared" si="387"/>
        <v>0</v>
      </c>
      <c r="M322" s="23">
        <f t="shared" si="388"/>
        <v>0</v>
      </c>
      <c r="N322" s="24">
        <f t="shared" si="389"/>
        <v>0</v>
      </c>
      <c r="O322" s="25">
        <f t="shared" si="390"/>
        <v>0</v>
      </c>
      <c r="P322" s="23">
        <f t="shared" si="391"/>
        <v>0</v>
      </c>
      <c r="Q322" s="24">
        <f t="shared" si="392"/>
        <v>0</v>
      </c>
      <c r="R322" s="25">
        <f t="shared" si="393"/>
        <v>0</v>
      </c>
      <c r="S322" s="23">
        <f t="shared" si="394"/>
        <v>0</v>
      </c>
      <c r="T322" s="24">
        <f t="shared" si="395"/>
        <v>0</v>
      </c>
      <c r="U322" s="25">
        <f t="shared" si="396"/>
        <v>0</v>
      </c>
      <c r="V322" s="23">
        <f t="shared" si="397"/>
        <v>0</v>
      </c>
      <c r="W322" s="24">
        <f t="shared" si="398"/>
        <v>0</v>
      </c>
      <c r="X322" s="25">
        <f t="shared" si="399"/>
        <v>0</v>
      </c>
      <c r="Y322" s="23">
        <f t="shared" si="400"/>
        <v>0</v>
      </c>
      <c r="Z322" s="24">
        <f t="shared" si="401"/>
        <v>0</v>
      </c>
      <c r="AA322" s="25">
        <f t="shared" si="402"/>
        <v>0</v>
      </c>
      <c r="AB322" s="23">
        <f t="shared" si="403"/>
        <v>0</v>
      </c>
      <c r="AC322" s="24">
        <f t="shared" si="404"/>
        <v>0</v>
      </c>
      <c r="AD322" s="25">
        <f t="shared" si="405"/>
        <v>0</v>
      </c>
      <c r="AE322" s="23">
        <f t="shared" si="406"/>
        <v>0</v>
      </c>
      <c r="AF322" s="24">
        <f t="shared" si="407"/>
        <v>0</v>
      </c>
      <c r="AG322" s="25">
        <f t="shared" si="408"/>
        <v>0</v>
      </c>
      <c r="AH322" s="29"/>
    </row>
    <row r="323" spans="1:34" ht="18" customHeight="1" thickTop="1" thickBot="1" x14ac:dyDescent="0.3">
      <c r="A323" s="23">
        <v>235</v>
      </c>
      <c r="B323" s="28">
        <f t="shared" si="410"/>
        <v>0</v>
      </c>
      <c r="C323" s="60">
        <f t="shared" si="379"/>
        <v>0</v>
      </c>
      <c r="D323" s="23">
        <f t="shared" si="380"/>
        <v>0</v>
      </c>
      <c r="E323" s="24">
        <f t="shared" si="381"/>
        <v>0</v>
      </c>
      <c r="F323" s="25">
        <f t="shared" si="409"/>
        <v>0</v>
      </c>
      <c r="G323" s="23">
        <f t="shared" si="382"/>
        <v>0</v>
      </c>
      <c r="H323" s="24">
        <f t="shared" si="383"/>
        <v>0</v>
      </c>
      <c r="I323" s="25">
        <f t="shared" si="384"/>
        <v>0</v>
      </c>
      <c r="J323" s="23">
        <f t="shared" si="385"/>
        <v>0</v>
      </c>
      <c r="K323" s="24">
        <f t="shared" si="386"/>
        <v>0</v>
      </c>
      <c r="L323" s="25">
        <f t="shared" si="387"/>
        <v>0</v>
      </c>
      <c r="M323" s="23">
        <f t="shared" si="388"/>
        <v>0</v>
      </c>
      <c r="N323" s="24">
        <f t="shared" si="389"/>
        <v>0</v>
      </c>
      <c r="O323" s="25">
        <f t="shared" si="390"/>
        <v>0</v>
      </c>
      <c r="P323" s="23">
        <f t="shared" si="391"/>
        <v>0</v>
      </c>
      <c r="Q323" s="24">
        <f t="shared" si="392"/>
        <v>0</v>
      </c>
      <c r="R323" s="25">
        <f t="shared" si="393"/>
        <v>0</v>
      </c>
      <c r="S323" s="23">
        <f t="shared" si="394"/>
        <v>0</v>
      </c>
      <c r="T323" s="24">
        <f t="shared" si="395"/>
        <v>0</v>
      </c>
      <c r="U323" s="25">
        <f t="shared" si="396"/>
        <v>0</v>
      </c>
      <c r="V323" s="23">
        <f t="shared" si="397"/>
        <v>0</v>
      </c>
      <c r="W323" s="24">
        <f t="shared" si="398"/>
        <v>0</v>
      </c>
      <c r="X323" s="25">
        <f t="shared" si="399"/>
        <v>0</v>
      </c>
      <c r="Y323" s="23">
        <f t="shared" si="400"/>
        <v>0</v>
      </c>
      <c r="Z323" s="24">
        <f t="shared" si="401"/>
        <v>0</v>
      </c>
      <c r="AA323" s="25">
        <f t="shared" si="402"/>
        <v>0</v>
      </c>
      <c r="AB323" s="23">
        <f t="shared" si="403"/>
        <v>0</v>
      </c>
      <c r="AC323" s="24">
        <f t="shared" si="404"/>
        <v>0</v>
      </c>
      <c r="AD323" s="25">
        <f t="shared" si="405"/>
        <v>0</v>
      </c>
      <c r="AE323" s="23">
        <f t="shared" si="406"/>
        <v>0</v>
      </c>
      <c r="AF323" s="24">
        <f t="shared" si="407"/>
        <v>0</v>
      </c>
      <c r="AG323" s="25">
        <f t="shared" si="408"/>
        <v>0</v>
      </c>
      <c r="AH323" s="31"/>
    </row>
    <row r="324" spans="1:34" ht="18" customHeight="1" thickTop="1" thickBot="1" x14ac:dyDescent="0.3">
      <c r="A324" s="27">
        <v>236</v>
      </c>
      <c r="B324" s="28">
        <f t="shared" si="410"/>
        <v>0</v>
      </c>
      <c r="C324" s="60">
        <f t="shared" si="379"/>
        <v>0</v>
      </c>
      <c r="D324" s="23">
        <f t="shared" si="380"/>
        <v>0</v>
      </c>
      <c r="E324" s="24">
        <f t="shared" si="381"/>
        <v>0</v>
      </c>
      <c r="F324" s="25">
        <f t="shared" si="409"/>
        <v>0</v>
      </c>
      <c r="G324" s="23">
        <f t="shared" si="382"/>
        <v>0</v>
      </c>
      <c r="H324" s="24">
        <f t="shared" si="383"/>
        <v>0</v>
      </c>
      <c r="I324" s="25">
        <f t="shared" si="384"/>
        <v>0</v>
      </c>
      <c r="J324" s="23">
        <f t="shared" si="385"/>
        <v>0</v>
      </c>
      <c r="K324" s="24">
        <f t="shared" si="386"/>
        <v>0</v>
      </c>
      <c r="L324" s="25">
        <f t="shared" si="387"/>
        <v>0</v>
      </c>
      <c r="M324" s="23">
        <f t="shared" si="388"/>
        <v>0</v>
      </c>
      <c r="N324" s="24">
        <f t="shared" si="389"/>
        <v>0</v>
      </c>
      <c r="O324" s="25">
        <f t="shared" si="390"/>
        <v>0</v>
      </c>
      <c r="P324" s="23">
        <f t="shared" si="391"/>
        <v>0</v>
      </c>
      <c r="Q324" s="24">
        <f t="shared" si="392"/>
        <v>0</v>
      </c>
      <c r="R324" s="25">
        <f t="shared" si="393"/>
        <v>0</v>
      </c>
      <c r="S324" s="23">
        <f t="shared" si="394"/>
        <v>0</v>
      </c>
      <c r="T324" s="24">
        <f t="shared" si="395"/>
        <v>0</v>
      </c>
      <c r="U324" s="25">
        <f t="shared" si="396"/>
        <v>0</v>
      </c>
      <c r="V324" s="23">
        <f t="shared" si="397"/>
        <v>0</v>
      </c>
      <c r="W324" s="24">
        <f t="shared" si="398"/>
        <v>0</v>
      </c>
      <c r="X324" s="25">
        <f t="shared" si="399"/>
        <v>0</v>
      </c>
      <c r="Y324" s="23">
        <f t="shared" si="400"/>
        <v>0</v>
      </c>
      <c r="Z324" s="24">
        <f t="shared" si="401"/>
        <v>0</v>
      </c>
      <c r="AA324" s="25">
        <f t="shared" si="402"/>
        <v>0</v>
      </c>
      <c r="AB324" s="23">
        <f t="shared" si="403"/>
        <v>0</v>
      </c>
      <c r="AC324" s="24">
        <f t="shared" si="404"/>
        <v>0</v>
      </c>
      <c r="AD324" s="25">
        <f t="shared" si="405"/>
        <v>0</v>
      </c>
      <c r="AE324" s="23">
        <f t="shared" si="406"/>
        <v>0</v>
      </c>
      <c r="AF324" s="24">
        <f t="shared" si="407"/>
        <v>0</v>
      </c>
      <c r="AG324" s="25">
        <f t="shared" si="408"/>
        <v>0</v>
      </c>
      <c r="AH324" s="29"/>
    </row>
    <row r="325" spans="1:34" ht="18" customHeight="1" thickTop="1" thickBot="1" x14ac:dyDescent="0.3">
      <c r="A325" s="23">
        <v>237</v>
      </c>
      <c r="B325" s="28">
        <f t="shared" si="410"/>
        <v>0</v>
      </c>
      <c r="C325" s="60">
        <f t="shared" si="379"/>
        <v>0</v>
      </c>
      <c r="D325" s="23">
        <f t="shared" si="380"/>
        <v>0</v>
      </c>
      <c r="E325" s="24">
        <f t="shared" si="381"/>
        <v>0</v>
      </c>
      <c r="F325" s="25">
        <f t="shared" si="409"/>
        <v>0</v>
      </c>
      <c r="G325" s="23">
        <f t="shared" si="382"/>
        <v>0</v>
      </c>
      <c r="H325" s="24">
        <f t="shared" si="383"/>
        <v>0</v>
      </c>
      <c r="I325" s="25">
        <f t="shared" si="384"/>
        <v>0</v>
      </c>
      <c r="J325" s="23">
        <f t="shared" si="385"/>
        <v>0</v>
      </c>
      <c r="K325" s="24">
        <f t="shared" si="386"/>
        <v>0</v>
      </c>
      <c r="L325" s="25">
        <f t="shared" si="387"/>
        <v>0</v>
      </c>
      <c r="M325" s="23">
        <f t="shared" si="388"/>
        <v>0</v>
      </c>
      <c r="N325" s="24">
        <f t="shared" si="389"/>
        <v>0</v>
      </c>
      <c r="O325" s="25">
        <f t="shared" si="390"/>
        <v>0</v>
      </c>
      <c r="P325" s="23">
        <f t="shared" si="391"/>
        <v>0</v>
      </c>
      <c r="Q325" s="24">
        <f t="shared" si="392"/>
        <v>0</v>
      </c>
      <c r="R325" s="25">
        <f t="shared" si="393"/>
        <v>0</v>
      </c>
      <c r="S325" s="23">
        <f t="shared" si="394"/>
        <v>0</v>
      </c>
      <c r="T325" s="24">
        <f t="shared" si="395"/>
        <v>0</v>
      </c>
      <c r="U325" s="25">
        <f t="shared" si="396"/>
        <v>0</v>
      </c>
      <c r="V325" s="23">
        <f t="shared" si="397"/>
        <v>0</v>
      </c>
      <c r="W325" s="24">
        <f t="shared" si="398"/>
        <v>0</v>
      </c>
      <c r="X325" s="25">
        <f t="shared" si="399"/>
        <v>0</v>
      </c>
      <c r="Y325" s="23">
        <f t="shared" si="400"/>
        <v>0</v>
      </c>
      <c r="Z325" s="24">
        <f t="shared" si="401"/>
        <v>0</v>
      </c>
      <c r="AA325" s="25">
        <f t="shared" si="402"/>
        <v>0</v>
      </c>
      <c r="AB325" s="23">
        <f t="shared" si="403"/>
        <v>0</v>
      </c>
      <c r="AC325" s="24">
        <f t="shared" si="404"/>
        <v>0</v>
      </c>
      <c r="AD325" s="25">
        <f t="shared" si="405"/>
        <v>0</v>
      </c>
      <c r="AE325" s="23">
        <f t="shared" si="406"/>
        <v>0</v>
      </c>
      <c r="AF325" s="24">
        <f t="shared" si="407"/>
        <v>0</v>
      </c>
      <c r="AG325" s="25">
        <f t="shared" si="408"/>
        <v>0</v>
      </c>
      <c r="AH325" s="31"/>
    </row>
    <row r="326" spans="1:34" ht="18" customHeight="1" thickTop="1" thickBot="1" x14ac:dyDescent="0.3">
      <c r="A326" s="27">
        <v>238</v>
      </c>
      <c r="B326" s="28">
        <f t="shared" si="410"/>
        <v>0</v>
      </c>
      <c r="C326" s="60">
        <f t="shared" si="379"/>
        <v>0</v>
      </c>
      <c r="D326" s="23">
        <f t="shared" si="380"/>
        <v>0</v>
      </c>
      <c r="E326" s="24">
        <f t="shared" si="381"/>
        <v>0</v>
      </c>
      <c r="F326" s="25">
        <f t="shared" si="409"/>
        <v>0</v>
      </c>
      <c r="G326" s="23">
        <f t="shared" si="382"/>
        <v>0</v>
      </c>
      <c r="H326" s="24">
        <f t="shared" si="383"/>
        <v>0</v>
      </c>
      <c r="I326" s="25">
        <f t="shared" si="384"/>
        <v>0</v>
      </c>
      <c r="J326" s="23">
        <f t="shared" si="385"/>
        <v>0</v>
      </c>
      <c r="K326" s="24">
        <f t="shared" si="386"/>
        <v>0</v>
      </c>
      <c r="L326" s="25">
        <f t="shared" si="387"/>
        <v>0</v>
      </c>
      <c r="M326" s="23">
        <f t="shared" si="388"/>
        <v>0</v>
      </c>
      <c r="N326" s="24">
        <f t="shared" si="389"/>
        <v>0</v>
      </c>
      <c r="O326" s="25">
        <f t="shared" si="390"/>
        <v>0</v>
      </c>
      <c r="P326" s="23">
        <f t="shared" si="391"/>
        <v>0</v>
      </c>
      <c r="Q326" s="24">
        <f t="shared" si="392"/>
        <v>0</v>
      </c>
      <c r="R326" s="25">
        <f t="shared" si="393"/>
        <v>0</v>
      </c>
      <c r="S326" s="23">
        <f t="shared" si="394"/>
        <v>0</v>
      </c>
      <c r="T326" s="24">
        <f t="shared" si="395"/>
        <v>0</v>
      </c>
      <c r="U326" s="25">
        <f t="shared" si="396"/>
        <v>0</v>
      </c>
      <c r="V326" s="23">
        <f t="shared" si="397"/>
        <v>0</v>
      </c>
      <c r="W326" s="24">
        <f t="shared" si="398"/>
        <v>0</v>
      </c>
      <c r="X326" s="25">
        <f t="shared" si="399"/>
        <v>0</v>
      </c>
      <c r="Y326" s="23">
        <f t="shared" si="400"/>
        <v>0</v>
      </c>
      <c r="Z326" s="24">
        <f t="shared" si="401"/>
        <v>0</v>
      </c>
      <c r="AA326" s="25">
        <f t="shared" si="402"/>
        <v>0</v>
      </c>
      <c r="AB326" s="23">
        <f t="shared" si="403"/>
        <v>0</v>
      </c>
      <c r="AC326" s="24">
        <f t="shared" si="404"/>
        <v>0</v>
      </c>
      <c r="AD326" s="25">
        <f t="shared" si="405"/>
        <v>0</v>
      </c>
      <c r="AE326" s="23">
        <f t="shared" si="406"/>
        <v>0</v>
      </c>
      <c r="AF326" s="24">
        <f t="shared" si="407"/>
        <v>0</v>
      </c>
      <c r="AG326" s="25">
        <f t="shared" si="408"/>
        <v>0</v>
      </c>
      <c r="AH326" s="31"/>
    </row>
    <row r="327" spans="1:34" ht="18" customHeight="1" thickTop="1" thickBot="1" x14ac:dyDescent="0.3">
      <c r="A327" s="23">
        <v>239</v>
      </c>
      <c r="B327" s="28">
        <f t="shared" si="410"/>
        <v>0</v>
      </c>
      <c r="C327" s="60">
        <f t="shared" si="379"/>
        <v>0</v>
      </c>
      <c r="D327" s="23">
        <f t="shared" si="380"/>
        <v>0</v>
      </c>
      <c r="E327" s="24">
        <f t="shared" si="381"/>
        <v>0</v>
      </c>
      <c r="F327" s="25">
        <f t="shared" si="409"/>
        <v>0</v>
      </c>
      <c r="G327" s="23">
        <f t="shared" si="382"/>
        <v>0</v>
      </c>
      <c r="H327" s="24">
        <f t="shared" si="383"/>
        <v>0</v>
      </c>
      <c r="I327" s="25">
        <f t="shared" si="384"/>
        <v>0</v>
      </c>
      <c r="J327" s="23">
        <f t="shared" si="385"/>
        <v>0</v>
      </c>
      <c r="K327" s="24">
        <f t="shared" si="386"/>
        <v>0</v>
      </c>
      <c r="L327" s="25">
        <f t="shared" si="387"/>
        <v>0</v>
      </c>
      <c r="M327" s="23">
        <f t="shared" si="388"/>
        <v>0</v>
      </c>
      <c r="N327" s="24">
        <f t="shared" si="389"/>
        <v>0</v>
      </c>
      <c r="O327" s="25">
        <f t="shared" si="390"/>
        <v>0</v>
      </c>
      <c r="P327" s="23">
        <f t="shared" si="391"/>
        <v>0</v>
      </c>
      <c r="Q327" s="24">
        <f t="shared" si="392"/>
        <v>0</v>
      </c>
      <c r="R327" s="25">
        <f t="shared" si="393"/>
        <v>0</v>
      </c>
      <c r="S327" s="23">
        <f t="shared" si="394"/>
        <v>0</v>
      </c>
      <c r="T327" s="24">
        <f t="shared" si="395"/>
        <v>0</v>
      </c>
      <c r="U327" s="25">
        <f t="shared" si="396"/>
        <v>0</v>
      </c>
      <c r="V327" s="23">
        <f t="shared" si="397"/>
        <v>0</v>
      </c>
      <c r="W327" s="24">
        <f t="shared" si="398"/>
        <v>0</v>
      </c>
      <c r="X327" s="25">
        <f t="shared" si="399"/>
        <v>0</v>
      </c>
      <c r="Y327" s="23">
        <f t="shared" si="400"/>
        <v>0</v>
      </c>
      <c r="Z327" s="24">
        <f t="shared" si="401"/>
        <v>0</v>
      </c>
      <c r="AA327" s="25">
        <f t="shared" si="402"/>
        <v>0</v>
      </c>
      <c r="AB327" s="23">
        <f t="shared" si="403"/>
        <v>0</v>
      </c>
      <c r="AC327" s="24">
        <f t="shared" si="404"/>
        <v>0</v>
      </c>
      <c r="AD327" s="25">
        <f t="shared" si="405"/>
        <v>0</v>
      </c>
      <c r="AE327" s="23">
        <f t="shared" si="406"/>
        <v>0</v>
      </c>
      <c r="AF327" s="24">
        <f t="shared" si="407"/>
        <v>0</v>
      </c>
      <c r="AG327" s="25">
        <f t="shared" si="408"/>
        <v>0</v>
      </c>
      <c r="AH327" s="31"/>
    </row>
    <row r="328" spans="1:34" ht="18" customHeight="1" thickTop="1" thickBot="1" x14ac:dyDescent="0.3">
      <c r="A328" s="27">
        <v>240</v>
      </c>
      <c r="B328" s="28">
        <f t="shared" si="410"/>
        <v>0</v>
      </c>
      <c r="C328" s="60">
        <f t="shared" si="379"/>
        <v>0</v>
      </c>
      <c r="D328" s="23">
        <f t="shared" si="380"/>
        <v>0</v>
      </c>
      <c r="E328" s="24">
        <f t="shared" si="381"/>
        <v>0</v>
      </c>
      <c r="F328" s="25">
        <f t="shared" si="409"/>
        <v>0</v>
      </c>
      <c r="G328" s="23">
        <f t="shared" si="382"/>
        <v>0</v>
      </c>
      <c r="H328" s="24">
        <f t="shared" si="383"/>
        <v>0</v>
      </c>
      <c r="I328" s="25">
        <f t="shared" si="384"/>
        <v>0</v>
      </c>
      <c r="J328" s="23">
        <f t="shared" si="385"/>
        <v>0</v>
      </c>
      <c r="K328" s="24">
        <f t="shared" si="386"/>
        <v>0</v>
      </c>
      <c r="L328" s="25">
        <f t="shared" si="387"/>
        <v>0</v>
      </c>
      <c r="M328" s="23">
        <f t="shared" si="388"/>
        <v>0</v>
      </c>
      <c r="N328" s="24">
        <f t="shared" si="389"/>
        <v>0</v>
      </c>
      <c r="O328" s="25">
        <f t="shared" si="390"/>
        <v>0</v>
      </c>
      <c r="P328" s="23">
        <f t="shared" si="391"/>
        <v>0</v>
      </c>
      <c r="Q328" s="24">
        <f t="shared" si="392"/>
        <v>0</v>
      </c>
      <c r="R328" s="25">
        <f t="shared" si="393"/>
        <v>0</v>
      </c>
      <c r="S328" s="23">
        <f t="shared" si="394"/>
        <v>0</v>
      </c>
      <c r="T328" s="24">
        <f t="shared" si="395"/>
        <v>0</v>
      </c>
      <c r="U328" s="25">
        <f t="shared" si="396"/>
        <v>0</v>
      </c>
      <c r="V328" s="23">
        <f t="shared" si="397"/>
        <v>0</v>
      </c>
      <c r="W328" s="24">
        <f t="shared" si="398"/>
        <v>0</v>
      </c>
      <c r="X328" s="25">
        <f t="shared" si="399"/>
        <v>0</v>
      </c>
      <c r="Y328" s="23">
        <f t="shared" si="400"/>
        <v>0</v>
      </c>
      <c r="Z328" s="24">
        <f t="shared" si="401"/>
        <v>0</v>
      </c>
      <c r="AA328" s="25">
        <f t="shared" si="402"/>
        <v>0</v>
      </c>
      <c r="AB328" s="23">
        <f t="shared" si="403"/>
        <v>0</v>
      </c>
      <c r="AC328" s="24">
        <f t="shared" si="404"/>
        <v>0</v>
      </c>
      <c r="AD328" s="25">
        <f t="shared" si="405"/>
        <v>0</v>
      </c>
      <c r="AE328" s="23">
        <f t="shared" si="406"/>
        <v>0</v>
      </c>
      <c r="AF328" s="24">
        <f t="shared" si="407"/>
        <v>0</v>
      </c>
      <c r="AG328" s="25">
        <f t="shared" si="408"/>
        <v>0</v>
      </c>
      <c r="AH328" s="34"/>
    </row>
    <row r="329" spans="1:34" ht="7.95" customHeight="1" thickTop="1" x14ac:dyDescent="0.25">
      <c r="A329" s="212" t="s">
        <v>2</v>
      </c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  <c r="AD329" s="212"/>
      <c r="AE329" s="212"/>
      <c r="AF329" s="212"/>
      <c r="AG329" s="212"/>
    </row>
    <row r="330" spans="1:34" x14ac:dyDescent="0.25">
      <c r="A330" s="213"/>
      <c r="B330" s="213"/>
      <c r="C330" s="213" t="s">
        <v>18</v>
      </c>
      <c r="D330" s="213"/>
      <c r="E330" s="213"/>
      <c r="F330" s="214" t="s">
        <v>19</v>
      </c>
      <c r="G330" s="214"/>
      <c r="H330" s="214"/>
      <c r="I330" s="214"/>
      <c r="J330" s="35"/>
      <c r="K330" s="214" t="s">
        <v>20</v>
      </c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  <c r="Y330" s="214"/>
      <c r="Z330" s="214"/>
      <c r="AA330" s="214"/>
      <c r="AB330" s="214"/>
      <c r="AC330" s="35"/>
      <c r="AD330" s="35"/>
      <c r="AE330" s="214" t="s">
        <v>55</v>
      </c>
      <c r="AF330" s="214"/>
      <c r="AG330" s="214"/>
    </row>
    <row r="331" spans="1:34" ht="13.95" customHeight="1" x14ac:dyDescent="0.25">
      <c r="A331" s="214" t="s">
        <v>21</v>
      </c>
      <c r="B331" s="214"/>
      <c r="C331" s="213">
        <f>'الفترة الاولى'!$CA$10</f>
        <v>0</v>
      </c>
      <c r="D331" s="213"/>
      <c r="E331" s="213"/>
      <c r="F331" s="214"/>
      <c r="G331" s="214"/>
      <c r="H331" s="214"/>
      <c r="I331" s="214"/>
      <c r="J331" s="35"/>
      <c r="K331" s="220" t="s">
        <v>52</v>
      </c>
      <c r="L331" s="215"/>
      <c r="M331" s="215"/>
      <c r="N331" s="222" t="str">
        <f>'الفترة الاولى'!$CA$16</f>
        <v>أ. فهيم عبدالمجيد بوازويتة</v>
      </c>
      <c r="O331" s="222"/>
      <c r="P331" s="222"/>
      <c r="Q331" s="222"/>
      <c r="R331" s="222"/>
      <c r="S331" s="222"/>
      <c r="T331" s="222"/>
      <c r="U331" s="215" t="s">
        <v>53</v>
      </c>
      <c r="V331" s="215"/>
      <c r="W331" s="215"/>
      <c r="X331" s="215" t="str">
        <f>'الفترة الاولى'!$C$6</f>
        <v>سهول العلم للتعليم الخاص</v>
      </c>
      <c r="Y331" s="215"/>
      <c r="Z331" s="215"/>
      <c r="AA331" s="215"/>
      <c r="AB331" s="216"/>
      <c r="AC331" s="36"/>
      <c r="AD331" s="36"/>
      <c r="AE331" s="214" t="s">
        <v>2</v>
      </c>
      <c r="AF331" s="214"/>
      <c r="AG331" s="214"/>
    </row>
    <row r="332" spans="1:34" ht="15.6" customHeight="1" x14ac:dyDescent="0.25">
      <c r="A332" s="214" t="s">
        <v>22</v>
      </c>
      <c r="B332" s="214"/>
      <c r="C332" s="213">
        <f>'الفترة الاولى'!$CA$11</f>
        <v>0</v>
      </c>
      <c r="D332" s="213"/>
      <c r="E332" s="213"/>
      <c r="F332" s="214"/>
      <c r="G332" s="214"/>
      <c r="H332" s="214"/>
      <c r="I332" s="214"/>
      <c r="J332" s="35"/>
      <c r="K332" s="217" t="s">
        <v>54</v>
      </c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9"/>
      <c r="AC332" s="37"/>
      <c r="AD332" s="37"/>
      <c r="AE332" s="214"/>
      <c r="AF332" s="214"/>
      <c r="AG332" s="214"/>
    </row>
    <row r="333" spans="1:34" ht="13.95" customHeight="1" x14ac:dyDescent="0.25">
      <c r="A333" s="214" t="s">
        <v>23</v>
      </c>
      <c r="B333" s="214"/>
      <c r="C333" s="213">
        <f>'الفترة الاولى'!$CA$12</f>
        <v>0</v>
      </c>
      <c r="D333" s="213"/>
      <c r="E333" s="213"/>
      <c r="F333" s="214"/>
      <c r="G333" s="214"/>
      <c r="H333" s="214"/>
      <c r="I333" s="214"/>
      <c r="K333" s="220" t="s">
        <v>44</v>
      </c>
      <c r="L333" s="215"/>
      <c r="M333" s="221">
        <f ca="1">TODAY()</f>
        <v>46181</v>
      </c>
      <c r="N333" s="215"/>
      <c r="O333" s="215"/>
      <c r="P333" s="215"/>
      <c r="Q333" s="215"/>
      <c r="R333" s="215"/>
      <c r="S333" s="215"/>
      <c r="T333" s="215" t="s">
        <v>19</v>
      </c>
      <c r="U333" s="215"/>
      <c r="V333" s="215"/>
      <c r="W333" s="215"/>
      <c r="X333" s="215"/>
      <c r="Y333" s="215"/>
      <c r="Z333" s="215"/>
      <c r="AA333" s="215"/>
      <c r="AB333" s="38"/>
      <c r="AC333" s="36"/>
      <c r="AD333" s="36"/>
      <c r="AE333" s="214"/>
      <c r="AF333" s="214"/>
      <c r="AG333" s="214"/>
    </row>
    <row r="334" spans="1:34" ht="14.4" thickBot="1" x14ac:dyDescent="0.3">
      <c r="A334" s="214" t="s">
        <v>24</v>
      </c>
      <c r="B334" s="214"/>
      <c r="C334" s="213">
        <f>'الفترة الاولى'!$CA$13</f>
        <v>0</v>
      </c>
      <c r="D334" s="213"/>
      <c r="E334" s="213"/>
      <c r="F334" s="214"/>
      <c r="G334" s="214"/>
      <c r="H334" s="214"/>
      <c r="I334" s="214"/>
      <c r="K334" s="39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1"/>
      <c r="AC334" s="36"/>
      <c r="AD334" s="36"/>
      <c r="AE334" s="214"/>
      <c r="AF334" s="214"/>
      <c r="AG334" s="214"/>
    </row>
    <row r="335" spans="1:34" ht="6.75" customHeight="1" thickBot="1" x14ac:dyDescent="0.3">
      <c r="A335" s="209"/>
      <c r="B335" s="210"/>
      <c r="C335" s="210"/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  <c r="AA335" s="210"/>
      <c r="AB335" s="210"/>
      <c r="AC335" s="210"/>
      <c r="AD335" s="210"/>
      <c r="AE335" s="210"/>
      <c r="AF335" s="210"/>
      <c r="AG335" s="210"/>
      <c r="AH335" s="211"/>
    </row>
    <row r="336" spans="1:34" ht="18" customHeight="1" thickBot="1" x14ac:dyDescent="0.3">
      <c r="A336" s="23">
        <v>241</v>
      </c>
      <c r="B336" s="24">
        <f>IFERROR(VLOOKUP(A336,الاسماء,2,0),"")</f>
        <v>0</v>
      </c>
      <c r="C336" s="59">
        <f t="shared" ref="C336:C355" si="411">IFERROR(VLOOKUP(A336,الاسماء,3,0),"")</f>
        <v>0</v>
      </c>
      <c r="D336" s="23">
        <f t="shared" ref="D336:D355" si="412">IFERROR(VLOOKUP($C336,درجات,5,0),0)</f>
        <v>0</v>
      </c>
      <c r="E336" s="24">
        <f t="shared" ref="E336:E355" si="413">IFERROR(VLOOKUP($C336,درجات,43,0),0)</f>
        <v>0</v>
      </c>
      <c r="F336" s="25">
        <f>SUM(D336:E336)</f>
        <v>0</v>
      </c>
      <c r="G336" s="23">
        <f t="shared" ref="G336:G355" si="414">IFERROR(VLOOKUP($C336,درجات,8,0),0)</f>
        <v>0</v>
      </c>
      <c r="H336" s="24">
        <f t="shared" ref="H336:H355" si="415">IFERROR(VLOOKUP($C336,درجات,46,0),0)</f>
        <v>0</v>
      </c>
      <c r="I336" s="25">
        <f t="shared" ref="I336:I355" si="416">SUM(G336:H336)</f>
        <v>0</v>
      </c>
      <c r="J336" s="23">
        <f t="shared" ref="J336:J355" si="417">IFERROR(VLOOKUP($C336,درجات,11,0),0)</f>
        <v>0</v>
      </c>
      <c r="K336" s="24">
        <f t="shared" ref="K336:K355" si="418">IFERROR(VLOOKUP($C336,درجات,49,0),0)</f>
        <v>0</v>
      </c>
      <c r="L336" s="25">
        <f t="shared" ref="L336:L355" si="419">SUM(J336:K336)</f>
        <v>0</v>
      </c>
      <c r="M336" s="23">
        <f t="shared" ref="M336:M355" si="420">IFERROR(VLOOKUP($C336,درجات,14,0),0)</f>
        <v>0</v>
      </c>
      <c r="N336" s="24">
        <f t="shared" ref="N336:N355" si="421">IFERROR(VLOOKUP($C336,درجات,52,0),0)</f>
        <v>0</v>
      </c>
      <c r="O336" s="25">
        <f t="shared" ref="O336:O355" si="422">SUM(M336:N336)</f>
        <v>0</v>
      </c>
      <c r="P336" s="23">
        <f t="shared" ref="P336:P355" si="423">IFERROR(VLOOKUP($C336,درجات,17,0),0)</f>
        <v>0</v>
      </c>
      <c r="Q336" s="24">
        <f t="shared" ref="Q336:Q355" si="424">IFERROR(VLOOKUP($C336,درجات,55,0),0)</f>
        <v>0</v>
      </c>
      <c r="R336" s="25">
        <f t="shared" ref="R336:R355" si="425">SUM(P336:Q336)</f>
        <v>0</v>
      </c>
      <c r="S336" s="23">
        <f t="shared" ref="S336:S355" si="426">IFERROR(VLOOKUP($C336,درجات,20,0),0)</f>
        <v>0</v>
      </c>
      <c r="T336" s="24">
        <f t="shared" ref="T336:T355" si="427">IFERROR(VLOOKUP($C336,درجات,58,0),0)</f>
        <v>0</v>
      </c>
      <c r="U336" s="25">
        <f t="shared" ref="U336:U355" si="428">SUM(S336:T336)</f>
        <v>0</v>
      </c>
      <c r="V336" s="23">
        <f t="shared" ref="V336:V355" si="429">IFERROR(VLOOKUP($C336,درجات,23,0),0)</f>
        <v>0</v>
      </c>
      <c r="W336" s="24">
        <f t="shared" ref="W336:W355" si="430">IFERROR(VLOOKUP($C336,درجات,61,0),0)</f>
        <v>0</v>
      </c>
      <c r="X336" s="25">
        <f t="shared" ref="X336:X355" si="431">SUM(V336:W336)</f>
        <v>0</v>
      </c>
      <c r="Y336" s="23">
        <f t="shared" ref="Y336:Y355" si="432">IFERROR(VLOOKUP($C336,درجات,26,0),0)</f>
        <v>0</v>
      </c>
      <c r="Z336" s="24">
        <f t="shared" ref="Z336:Z355" si="433">IFERROR(VLOOKUP($C336,درجات,64,0),0)</f>
        <v>0</v>
      </c>
      <c r="AA336" s="25">
        <f t="shared" ref="AA336:AA355" si="434">SUM(Y336:Z336)</f>
        <v>0</v>
      </c>
      <c r="AB336" s="23">
        <f t="shared" ref="AB336:AB355" si="435">IFERROR(VLOOKUP($C336,درجات,29,0),0)</f>
        <v>0</v>
      </c>
      <c r="AC336" s="24">
        <f t="shared" ref="AC336:AC355" si="436">IFERROR(VLOOKUP($C336,درجات,67,0),0)</f>
        <v>0</v>
      </c>
      <c r="AD336" s="25">
        <f t="shared" ref="AD336:AD355" si="437">SUM(AB336:AC336)</f>
        <v>0</v>
      </c>
      <c r="AE336" s="23">
        <f t="shared" ref="AE336:AE355" si="438">IFERROR(VLOOKUP($C336,درجات,32,0),0)</f>
        <v>0</v>
      </c>
      <c r="AF336" s="24">
        <f t="shared" ref="AF336:AF355" si="439">IFERROR(VLOOKUP($C336,درجات,70,0),0)</f>
        <v>0</v>
      </c>
      <c r="AG336" s="25">
        <f t="shared" ref="AG336:AG355" si="440">SUM(AE336:AF336)</f>
        <v>0</v>
      </c>
      <c r="AH336" s="26"/>
    </row>
    <row r="337" spans="1:34" ht="18" customHeight="1" thickTop="1" thickBot="1" x14ac:dyDescent="0.3">
      <c r="A337" s="27">
        <v>242</v>
      </c>
      <c r="B337" s="28">
        <f>IFERROR(VLOOKUP(A337,الاسماء,2,0),0)</f>
        <v>0</v>
      </c>
      <c r="C337" s="60">
        <f t="shared" si="411"/>
        <v>0</v>
      </c>
      <c r="D337" s="23">
        <f t="shared" si="412"/>
        <v>0</v>
      </c>
      <c r="E337" s="24">
        <f t="shared" si="413"/>
        <v>0</v>
      </c>
      <c r="F337" s="25">
        <f t="shared" ref="F337:F355" si="441">SUM(D337:E337)</f>
        <v>0</v>
      </c>
      <c r="G337" s="23">
        <f t="shared" si="414"/>
        <v>0</v>
      </c>
      <c r="H337" s="24">
        <f t="shared" si="415"/>
        <v>0</v>
      </c>
      <c r="I337" s="25">
        <f t="shared" si="416"/>
        <v>0</v>
      </c>
      <c r="J337" s="23">
        <f t="shared" si="417"/>
        <v>0</v>
      </c>
      <c r="K337" s="24">
        <f t="shared" si="418"/>
        <v>0</v>
      </c>
      <c r="L337" s="25">
        <f t="shared" si="419"/>
        <v>0</v>
      </c>
      <c r="M337" s="23">
        <f t="shared" si="420"/>
        <v>0</v>
      </c>
      <c r="N337" s="24">
        <f t="shared" si="421"/>
        <v>0</v>
      </c>
      <c r="O337" s="25">
        <f t="shared" si="422"/>
        <v>0</v>
      </c>
      <c r="P337" s="23">
        <f t="shared" si="423"/>
        <v>0</v>
      </c>
      <c r="Q337" s="24">
        <f t="shared" si="424"/>
        <v>0</v>
      </c>
      <c r="R337" s="25">
        <f t="shared" si="425"/>
        <v>0</v>
      </c>
      <c r="S337" s="23">
        <f t="shared" si="426"/>
        <v>0</v>
      </c>
      <c r="T337" s="24">
        <f t="shared" si="427"/>
        <v>0</v>
      </c>
      <c r="U337" s="25">
        <f t="shared" si="428"/>
        <v>0</v>
      </c>
      <c r="V337" s="23">
        <f t="shared" si="429"/>
        <v>0</v>
      </c>
      <c r="W337" s="24">
        <f t="shared" si="430"/>
        <v>0</v>
      </c>
      <c r="X337" s="25">
        <f t="shared" si="431"/>
        <v>0</v>
      </c>
      <c r="Y337" s="23">
        <f t="shared" si="432"/>
        <v>0</v>
      </c>
      <c r="Z337" s="24">
        <f t="shared" si="433"/>
        <v>0</v>
      </c>
      <c r="AA337" s="25">
        <f t="shared" si="434"/>
        <v>0</v>
      </c>
      <c r="AB337" s="23">
        <f t="shared" si="435"/>
        <v>0</v>
      </c>
      <c r="AC337" s="24">
        <f t="shared" si="436"/>
        <v>0</v>
      </c>
      <c r="AD337" s="25">
        <f t="shared" si="437"/>
        <v>0</v>
      </c>
      <c r="AE337" s="23">
        <f t="shared" si="438"/>
        <v>0</v>
      </c>
      <c r="AF337" s="24">
        <f t="shared" si="439"/>
        <v>0</v>
      </c>
      <c r="AG337" s="25">
        <f t="shared" si="440"/>
        <v>0</v>
      </c>
      <c r="AH337" s="29"/>
    </row>
    <row r="338" spans="1:34" ht="18" customHeight="1" thickTop="1" thickBot="1" x14ac:dyDescent="0.3">
      <c r="A338" s="23">
        <v>243</v>
      </c>
      <c r="B338" s="28">
        <f t="shared" ref="B338:B355" si="442">IFERROR(VLOOKUP(A338,الاسماء,2,0),"")</f>
        <v>0</v>
      </c>
      <c r="C338" s="60">
        <f t="shared" si="411"/>
        <v>0</v>
      </c>
      <c r="D338" s="23">
        <f t="shared" si="412"/>
        <v>0</v>
      </c>
      <c r="E338" s="24">
        <f t="shared" si="413"/>
        <v>0</v>
      </c>
      <c r="F338" s="25">
        <f t="shared" si="441"/>
        <v>0</v>
      </c>
      <c r="G338" s="23">
        <f t="shared" si="414"/>
        <v>0</v>
      </c>
      <c r="H338" s="24">
        <f t="shared" si="415"/>
        <v>0</v>
      </c>
      <c r="I338" s="25">
        <f t="shared" si="416"/>
        <v>0</v>
      </c>
      <c r="J338" s="23">
        <f t="shared" si="417"/>
        <v>0</v>
      </c>
      <c r="K338" s="24">
        <f t="shared" si="418"/>
        <v>0</v>
      </c>
      <c r="L338" s="25">
        <f t="shared" si="419"/>
        <v>0</v>
      </c>
      <c r="M338" s="23">
        <f t="shared" si="420"/>
        <v>0</v>
      </c>
      <c r="N338" s="24">
        <f t="shared" si="421"/>
        <v>0</v>
      </c>
      <c r="O338" s="25">
        <f t="shared" si="422"/>
        <v>0</v>
      </c>
      <c r="P338" s="23">
        <f t="shared" si="423"/>
        <v>0</v>
      </c>
      <c r="Q338" s="24">
        <f t="shared" si="424"/>
        <v>0</v>
      </c>
      <c r="R338" s="25">
        <f t="shared" si="425"/>
        <v>0</v>
      </c>
      <c r="S338" s="23">
        <f t="shared" si="426"/>
        <v>0</v>
      </c>
      <c r="T338" s="24">
        <f t="shared" si="427"/>
        <v>0</v>
      </c>
      <c r="U338" s="25">
        <f t="shared" si="428"/>
        <v>0</v>
      </c>
      <c r="V338" s="23">
        <f t="shared" si="429"/>
        <v>0</v>
      </c>
      <c r="W338" s="24">
        <f t="shared" si="430"/>
        <v>0</v>
      </c>
      <c r="X338" s="25">
        <f t="shared" si="431"/>
        <v>0</v>
      </c>
      <c r="Y338" s="23">
        <f t="shared" si="432"/>
        <v>0</v>
      </c>
      <c r="Z338" s="24">
        <f t="shared" si="433"/>
        <v>0</v>
      </c>
      <c r="AA338" s="25">
        <f t="shared" si="434"/>
        <v>0</v>
      </c>
      <c r="AB338" s="23">
        <f t="shared" si="435"/>
        <v>0</v>
      </c>
      <c r="AC338" s="24">
        <f t="shared" si="436"/>
        <v>0</v>
      </c>
      <c r="AD338" s="25">
        <f t="shared" si="437"/>
        <v>0</v>
      </c>
      <c r="AE338" s="23">
        <f t="shared" si="438"/>
        <v>0</v>
      </c>
      <c r="AF338" s="24">
        <f t="shared" si="439"/>
        <v>0</v>
      </c>
      <c r="AG338" s="25">
        <f t="shared" si="440"/>
        <v>0</v>
      </c>
      <c r="AH338" s="30"/>
    </row>
    <row r="339" spans="1:34" ht="18" customHeight="1" thickTop="1" thickBot="1" x14ac:dyDescent="0.3">
      <c r="A339" s="27">
        <v>244</v>
      </c>
      <c r="B339" s="28">
        <f t="shared" si="442"/>
        <v>0</v>
      </c>
      <c r="C339" s="60">
        <f t="shared" si="411"/>
        <v>0</v>
      </c>
      <c r="D339" s="23">
        <f t="shared" si="412"/>
        <v>0</v>
      </c>
      <c r="E339" s="24">
        <f t="shared" si="413"/>
        <v>0</v>
      </c>
      <c r="F339" s="25">
        <f t="shared" si="441"/>
        <v>0</v>
      </c>
      <c r="G339" s="23">
        <f t="shared" si="414"/>
        <v>0</v>
      </c>
      <c r="H339" s="24">
        <f t="shared" si="415"/>
        <v>0</v>
      </c>
      <c r="I339" s="25">
        <f t="shared" si="416"/>
        <v>0</v>
      </c>
      <c r="J339" s="23">
        <f t="shared" si="417"/>
        <v>0</v>
      </c>
      <c r="K339" s="24">
        <f t="shared" si="418"/>
        <v>0</v>
      </c>
      <c r="L339" s="25">
        <f t="shared" si="419"/>
        <v>0</v>
      </c>
      <c r="M339" s="23">
        <f t="shared" si="420"/>
        <v>0</v>
      </c>
      <c r="N339" s="24">
        <f t="shared" si="421"/>
        <v>0</v>
      </c>
      <c r="O339" s="25">
        <f t="shared" si="422"/>
        <v>0</v>
      </c>
      <c r="P339" s="23">
        <f t="shared" si="423"/>
        <v>0</v>
      </c>
      <c r="Q339" s="24">
        <f t="shared" si="424"/>
        <v>0</v>
      </c>
      <c r="R339" s="25">
        <f t="shared" si="425"/>
        <v>0</v>
      </c>
      <c r="S339" s="23">
        <f t="shared" si="426"/>
        <v>0</v>
      </c>
      <c r="T339" s="24">
        <f t="shared" si="427"/>
        <v>0</v>
      </c>
      <c r="U339" s="25">
        <f t="shared" si="428"/>
        <v>0</v>
      </c>
      <c r="V339" s="23">
        <f t="shared" si="429"/>
        <v>0</v>
      </c>
      <c r="W339" s="24">
        <f t="shared" si="430"/>
        <v>0</v>
      </c>
      <c r="X339" s="25">
        <f t="shared" si="431"/>
        <v>0</v>
      </c>
      <c r="Y339" s="23">
        <f t="shared" si="432"/>
        <v>0</v>
      </c>
      <c r="Z339" s="24">
        <f t="shared" si="433"/>
        <v>0</v>
      </c>
      <c r="AA339" s="25">
        <f t="shared" si="434"/>
        <v>0</v>
      </c>
      <c r="AB339" s="23">
        <f t="shared" si="435"/>
        <v>0</v>
      </c>
      <c r="AC339" s="24">
        <f t="shared" si="436"/>
        <v>0</v>
      </c>
      <c r="AD339" s="25">
        <f t="shared" si="437"/>
        <v>0</v>
      </c>
      <c r="AE339" s="23">
        <f t="shared" si="438"/>
        <v>0</v>
      </c>
      <c r="AF339" s="24">
        <f t="shared" si="439"/>
        <v>0</v>
      </c>
      <c r="AG339" s="25">
        <f t="shared" si="440"/>
        <v>0</v>
      </c>
      <c r="AH339" s="30"/>
    </row>
    <row r="340" spans="1:34" ht="18" customHeight="1" thickTop="1" thickBot="1" x14ac:dyDescent="0.3">
      <c r="A340" s="23">
        <v>245</v>
      </c>
      <c r="B340" s="28">
        <f t="shared" si="442"/>
        <v>0</v>
      </c>
      <c r="C340" s="60">
        <f t="shared" si="411"/>
        <v>0</v>
      </c>
      <c r="D340" s="23">
        <f t="shared" si="412"/>
        <v>0</v>
      </c>
      <c r="E340" s="24">
        <f t="shared" si="413"/>
        <v>0</v>
      </c>
      <c r="F340" s="25">
        <f t="shared" si="441"/>
        <v>0</v>
      </c>
      <c r="G340" s="23">
        <f t="shared" si="414"/>
        <v>0</v>
      </c>
      <c r="H340" s="24">
        <f t="shared" si="415"/>
        <v>0</v>
      </c>
      <c r="I340" s="25">
        <f t="shared" si="416"/>
        <v>0</v>
      </c>
      <c r="J340" s="23">
        <f t="shared" si="417"/>
        <v>0</v>
      </c>
      <c r="K340" s="24">
        <f t="shared" si="418"/>
        <v>0</v>
      </c>
      <c r="L340" s="25">
        <f t="shared" si="419"/>
        <v>0</v>
      </c>
      <c r="M340" s="23">
        <f t="shared" si="420"/>
        <v>0</v>
      </c>
      <c r="N340" s="24">
        <f t="shared" si="421"/>
        <v>0</v>
      </c>
      <c r="O340" s="25">
        <f t="shared" si="422"/>
        <v>0</v>
      </c>
      <c r="P340" s="23">
        <f t="shared" si="423"/>
        <v>0</v>
      </c>
      <c r="Q340" s="24">
        <f t="shared" si="424"/>
        <v>0</v>
      </c>
      <c r="R340" s="25">
        <f t="shared" si="425"/>
        <v>0</v>
      </c>
      <c r="S340" s="23">
        <f t="shared" si="426"/>
        <v>0</v>
      </c>
      <c r="T340" s="24">
        <f t="shared" si="427"/>
        <v>0</v>
      </c>
      <c r="U340" s="25">
        <f t="shared" si="428"/>
        <v>0</v>
      </c>
      <c r="V340" s="23">
        <f t="shared" si="429"/>
        <v>0</v>
      </c>
      <c r="W340" s="24">
        <f t="shared" si="430"/>
        <v>0</v>
      </c>
      <c r="X340" s="25">
        <f t="shared" si="431"/>
        <v>0</v>
      </c>
      <c r="Y340" s="23">
        <f t="shared" si="432"/>
        <v>0</v>
      </c>
      <c r="Z340" s="24">
        <f t="shared" si="433"/>
        <v>0</v>
      </c>
      <c r="AA340" s="25">
        <f t="shared" si="434"/>
        <v>0</v>
      </c>
      <c r="AB340" s="23">
        <f t="shared" si="435"/>
        <v>0</v>
      </c>
      <c r="AC340" s="24">
        <f t="shared" si="436"/>
        <v>0</v>
      </c>
      <c r="AD340" s="25">
        <f t="shared" si="437"/>
        <v>0</v>
      </c>
      <c r="AE340" s="23">
        <f t="shared" si="438"/>
        <v>0</v>
      </c>
      <c r="AF340" s="24">
        <f t="shared" si="439"/>
        <v>0</v>
      </c>
      <c r="AG340" s="25">
        <f t="shared" si="440"/>
        <v>0</v>
      </c>
      <c r="AH340" s="30"/>
    </row>
    <row r="341" spans="1:34" ht="18" customHeight="1" thickTop="1" thickBot="1" x14ac:dyDescent="0.3">
      <c r="A341" s="27">
        <v>246</v>
      </c>
      <c r="B341" s="28">
        <f t="shared" si="442"/>
        <v>0</v>
      </c>
      <c r="C341" s="60">
        <f t="shared" si="411"/>
        <v>0</v>
      </c>
      <c r="D341" s="23">
        <f t="shared" si="412"/>
        <v>0</v>
      </c>
      <c r="E341" s="24">
        <f t="shared" si="413"/>
        <v>0</v>
      </c>
      <c r="F341" s="25">
        <f t="shared" si="441"/>
        <v>0</v>
      </c>
      <c r="G341" s="23">
        <f t="shared" si="414"/>
        <v>0</v>
      </c>
      <c r="H341" s="24">
        <f t="shared" si="415"/>
        <v>0</v>
      </c>
      <c r="I341" s="25">
        <f t="shared" si="416"/>
        <v>0</v>
      </c>
      <c r="J341" s="23">
        <f t="shared" si="417"/>
        <v>0</v>
      </c>
      <c r="K341" s="24">
        <f t="shared" si="418"/>
        <v>0</v>
      </c>
      <c r="L341" s="25">
        <f t="shared" si="419"/>
        <v>0</v>
      </c>
      <c r="M341" s="23">
        <f t="shared" si="420"/>
        <v>0</v>
      </c>
      <c r="N341" s="24">
        <f t="shared" si="421"/>
        <v>0</v>
      </c>
      <c r="O341" s="25">
        <f t="shared" si="422"/>
        <v>0</v>
      </c>
      <c r="P341" s="23">
        <f t="shared" si="423"/>
        <v>0</v>
      </c>
      <c r="Q341" s="24">
        <f t="shared" si="424"/>
        <v>0</v>
      </c>
      <c r="R341" s="25">
        <f t="shared" si="425"/>
        <v>0</v>
      </c>
      <c r="S341" s="23">
        <f t="shared" si="426"/>
        <v>0</v>
      </c>
      <c r="T341" s="24">
        <f t="shared" si="427"/>
        <v>0</v>
      </c>
      <c r="U341" s="25">
        <f t="shared" si="428"/>
        <v>0</v>
      </c>
      <c r="V341" s="23">
        <f t="shared" si="429"/>
        <v>0</v>
      </c>
      <c r="W341" s="24">
        <f t="shared" si="430"/>
        <v>0</v>
      </c>
      <c r="X341" s="25">
        <f t="shared" si="431"/>
        <v>0</v>
      </c>
      <c r="Y341" s="23">
        <f t="shared" si="432"/>
        <v>0</v>
      </c>
      <c r="Z341" s="24">
        <f t="shared" si="433"/>
        <v>0</v>
      </c>
      <c r="AA341" s="25">
        <f t="shared" si="434"/>
        <v>0</v>
      </c>
      <c r="AB341" s="23">
        <f t="shared" si="435"/>
        <v>0</v>
      </c>
      <c r="AC341" s="24">
        <f t="shared" si="436"/>
        <v>0</v>
      </c>
      <c r="AD341" s="25">
        <f t="shared" si="437"/>
        <v>0</v>
      </c>
      <c r="AE341" s="23">
        <f t="shared" si="438"/>
        <v>0</v>
      </c>
      <c r="AF341" s="24">
        <f t="shared" si="439"/>
        <v>0</v>
      </c>
      <c r="AG341" s="25">
        <f t="shared" si="440"/>
        <v>0</v>
      </c>
      <c r="AH341" s="31"/>
    </row>
    <row r="342" spans="1:34" ht="18" customHeight="1" thickTop="1" thickBot="1" x14ac:dyDescent="0.3">
      <c r="A342" s="23">
        <v>247</v>
      </c>
      <c r="B342" s="28">
        <f t="shared" si="442"/>
        <v>0</v>
      </c>
      <c r="C342" s="60">
        <f t="shared" si="411"/>
        <v>0</v>
      </c>
      <c r="D342" s="23">
        <f t="shared" si="412"/>
        <v>0</v>
      </c>
      <c r="E342" s="24">
        <f t="shared" si="413"/>
        <v>0</v>
      </c>
      <c r="F342" s="25">
        <f t="shared" si="441"/>
        <v>0</v>
      </c>
      <c r="G342" s="23">
        <f t="shared" si="414"/>
        <v>0</v>
      </c>
      <c r="H342" s="24">
        <f t="shared" si="415"/>
        <v>0</v>
      </c>
      <c r="I342" s="25">
        <f t="shared" si="416"/>
        <v>0</v>
      </c>
      <c r="J342" s="23">
        <f t="shared" si="417"/>
        <v>0</v>
      </c>
      <c r="K342" s="24">
        <f t="shared" si="418"/>
        <v>0</v>
      </c>
      <c r="L342" s="25">
        <f t="shared" si="419"/>
        <v>0</v>
      </c>
      <c r="M342" s="23">
        <f t="shared" si="420"/>
        <v>0</v>
      </c>
      <c r="N342" s="24">
        <f t="shared" si="421"/>
        <v>0</v>
      </c>
      <c r="O342" s="25">
        <f t="shared" si="422"/>
        <v>0</v>
      </c>
      <c r="P342" s="23">
        <f t="shared" si="423"/>
        <v>0</v>
      </c>
      <c r="Q342" s="24">
        <f t="shared" si="424"/>
        <v>0</v>
      </c>
      <c r="R342" s="25">
        <f t="shared" si="425"/>
        <v>0</v>
      </c>
      <c r="S342" s="23">
        <f t="shared" si="426"/>
        <v>0</v>
      </c>
      <c r="T342" s="24">
        <f t="shared" si="427"/>
        <v>0</v>
      </c>
      <c r="U342" s="25">
        <f t="shared" si="428"/>
        <v>0</v>
      </c>
      <c r="V342" s="23">
        <f t="shared" si="429"/>
        <v>0</v>
      </c>
      <c r="W342" s="24">
        <f t="shared" si="430"/>
        <v>0</v>
      </c>
      <c r="X342" s="25">
        <f t="shared" si="431"/>
        <v>0</v>
      </c>
      <c r="Y342" s="23">
        <f t="shared" si="432"/>
        <v>0</v>
      </c>
      <c r="Z342" s="24">
        <f t="shared" si="433"/>
        <v>0</v>
      </c>
      <c r="AA342" s="25">
        <f t="shared" si="434"/>
        <v>0</v>
      </c>
      <c r="AB342" s="23">
        <f t="shared" si="435"/>
        <v>0</v>
      </c>
      <c r="AC342" s="24">
        <f t="shared" si="436"/>
        <v>0</v>
      </c>
      <c r="AD342" s="25">
        <f t="shared" si="437"/>
        <v>0</v>
      </c>
      <c r="AE342" s="23">
        <f t="shared" si="438"/>
        <v>0</v>
      </c>
      <c r="AF342" s="24">
        <f t="shared" si="439"/>
        <v>0</v>
      </c>
      <c r="AG342" s="25">
        <f t="shared" si="440"/>
        <v>0</v>
      </c>
      <c r="AH342" s="32"/>
    </row>
    <row r="343" spans="1:34" ht="18" customHeight="1" thickTop="1" thickBot="1" x14ac:dyDescent="0.3">
      <c r="A343" s="27">
        <v>248</v>
      </c>
      <c r="B343" s="28">
        <f t="shared" si="442"/>
        <v>0</v>
      </c>
      <c r="C343" s="60">
        <f t="shared" si="411"/>
        <v>0</v>
      </c>
      <c r="D343" s="23">
        <f t="shared" si="412"/>
        <v>0</v>
      </c>
      <c r="E343" s="24">
        <f t="shared" si="413"/>
        <v>0</v>
      </c>
      <c r="F343" s="25">
        <f t="shared" si="441"/>
        <v>0</v>
      </c>
      <c r="G343" s="23">
        <f t="shared" si="414"/>
        <v>0</v>
      </c>
      <c r="H343" s="24">
        <f t="shared" si="415"/>
        <v>0</v>
      </c>
      <c r="I343" s="25">
        <f t="shared" si="416"/>
        <v>0</v>
      </c>
      <c r="J343" s="23">
        <f t="shared" si="417"/>
        <v>0</v>
      </c>
      <c r="K343" s="24">
        <f t="shared" si="418"/>
        <v>0</v>
      </c>
      <c r="L343" s="25">
        <f t="shared" si="419"/>
        <v>0</v>
      </c>
      <c r="M343" s="23">
        <f t="shared" si="420"/>
        <v>0</v>
      </c>
      <c r="N343" s="24">
        <f t="shared" si="421"/>
        <v>0</v>
      </c>
      <c r="O343" s="25">
        <f t="shared" si="422"/>
        <v>0</v>
      </c>
      <c r="P343" s="23">
        <f t="shared" si="423"/>
        <v>0</v>
      </c>
      <c r="Q343" s="24">
        <f t="shared" si="424"/>
        <v>0</v>
      </c>
      <c r="R343" s="25">
        <f t="shared" si="425"/>
        <v>0</v>
      </c>
      <c r="S343" s="23">
        <f t="shared" si="426"/>
        <v>0</v>
      </c>
      <c r="T343" s="24">
        <f t="shared" si="427"/>
        <v>0</v>
      </c>
      <c r="U343" s="25">
        <f t="shared" si="428"/>
        <v>0</v>
      </c>
      <c r="V343" s="23">
        <f t="shared" si="429"/>
        <v>0</v>
      </c>
      <c r="W343" s="24">
        <f t="shared" si="430"/>
        <v>0</v>
      </c>
      <c r="X343" s="25">
        <f t="shared" si="431"/>
        <v>0</v>
      </c>
      <c r="Y343" s="23">
        <f t="shared" si="432"/>
        <v>0</v>
      </c>
      <c r="Z343" s="24">
        <f t="shared" si="433"/>
        <v>0</v>
      </c>
      <c r="AA343" s="25">
        <f t="shared" si="434"/>
        <v>0</v>
      </c>
      <c r="AB343" s="23">
        <f t="shared" si="435"/>
        <v>0</v>
      </c>
      <c r="AC343" s="24">
        <f t="shared" si="436"/>
        <v>0</v>
      </c>
      <c r="AD343" s="25">
        <f t="shared" si="437"/>
        <v>0</v>
      </c>
      <c r="AE343" s="23">
        <f t="shared" si="438"/>
        <v>0</v>
      </c>
      <c r="AF343" s="24">
        <f t="shared" si="439"/>
        <v>0</v>
      </c>
      <c r="AG343" s="25">
        <f t="shared" si="440"/>
        <v>0</v>
      </c>
      <c r="AH343" s="29"/>
    </row>
    <row r="344" spans="1:34" ht="18" customHeight="1" thickTop="1" thickBot="1" x14ac:dyDescent="0.3">
      <c r="A344" s="23">
        <v>249</v>
      </c>
      <c r="B344" s="28">
        <f t="shared" si="442"/>
        <v>0</v>
      </c>
      <c r="C344" s="60">
        <f t="shared" si="411"/>
        <v>0</v>
      </c>
      <c r="D344" s="23">
        <f t="shared" si="412"/>
        <v>0</v>
      </c>
      <c r="E344" s="24">
        <f t="shared" si="413"/>
        <v>0</v>
      </c>
      <c r="F344" s="25">
        <f t="shared" si="441"/>
        <v>0</v>
      </c>
      <c r="G344" s="23">
        <f t="shared" si="414"/>
        <v>0</v>
      </c>
      <c r="H344" s="24">
        <f t="shared" si="415"/>
        <v>0</v>
      </c>
      <c r="I344" s="25">
        <f t="shared" si="416"/>
        <v>0</v>
      </c>
      <c r="J344" s="23">
        <f t="shared" si="417"/>
        <v>0</v>
      </c>
      <c r="K344" s="24">
        <f t="shared" si="418"/>
        <v>0</v>
      </c>
      <c r="L344" s="25">
        <f t="shared" si="419"/>
        <v>0</v>
      </c>
      <c r="M344" s="23">
        <f t="shared" si="420"/>
        <v>0</v>
      </c>
      <c r="N344" s="24">
        <f t="shared" si="421"/>
        <v>0</v>
      </c>
      <c r="O344" s="25">
        <f t="shared" si="422"/>
        <v>0</v>
      </c>
      <c r="P344" s="23">
        <f t="shared" si="423"/>
        <v>0</v>
      </c>
      <c r="Q344" s="24">
        <f t="shared" si="424"/>
        <v>0</v>
      </c>
      <c r="R344" s="25">
        <f t="shared" si="425"/>
        <v>0</v>
      </c>
      <c r="S344" s="23">
        <f t="shared" si="426"/>
        <v>0</v>
      </c>
      <c r="T344" s="24">
        <f t="shared" si="427"/>
        <v>0</v>
      </c>
      <c r="U344" s="25">
        <f t="shared" si="428"/>
        <v>0</v>
      </c>
      <c r="V344" s="23">
        <f t="shared" si="429"/>
        <v>0</v>
      </c>
      <c r="W344" s="24">
        <f t="shared" si="430"/>
        <v>0</v>
      </c>
      <c r="X344" s="25">
        <f t="shared" si="431"/>
        <v>0</v>
      </c>
      <c r="Y344" s="23">
        <f t="shared" si="432"/>
        <v>0</v>
      </c>
      <c r="Z344" s="24">
        <f t="shared" si="433"/>
        <v>0</v>
      </c>
      <c r="AA344" s="25">
        <f t="shared" si="434"/>
        <v>0</v>
      </c>
      <c r="AB344" s="23">
        <f t="shared" si="435"/>
        <v>0</v>
      </c>
      <c r="AC344" s="24">
        <f t="shared" si="436"/>
        <v>0</v>
      </c>
      <c r="AD344" s="25">
        <f t="shared" si="437"/>
        <v>0</v>
      </c>
      <c r="AE344" s="23">
        <f t="shared" si="438"/>
        <v>0</v>
      </c>
      <c r="AF344" s="24">
        <f t="shared" si="439"/>
        <v>0</v>
      </c>
      <c r="AG344" s="25">
        <f t="shared" si="440"/>
        <v>0</v>
      </c>
      <c r="AH344" s="31"/>
    </row>
    <row r="345" spans="1:34" ht="18" customHeight="1" thickTop="1" thickBot="1" x14ac:dyDescent="0.3">
      <c r="A345" s="27">
        <v>250</v>
      </c>
      <c r="B345" s="28">
        <f t="shared" si="442"/>
        <v>0</v>
      </c>
      <c r="C345" s="60">
        <f t="shared" si="411"/>
        <v>0</v>
      </c>
      <c r="D345" s="23">
        <f t="shared" si="412"/>
        <v>0</v>
      </c>
      <c r="E345" s="24">
        <f t="shared" si="413"/>
        <v>0</v>
      </c>
      <c r="F345" s="25">
        <f t="shared" si="441"/>
        <v>0</v>
      </c>
      <c r="G345" s="23">
        <f t="shared" si="414"/>
        <v>0</v>
      </c>
      <c r="H345" s="24">
        <f t="shared" si="415"/>
        <v>0</v>
      </c>
      <c r="I345" s="25">
        <f t="shared" si="416"/>
        <v>0</v>
      </c>
      <c r="J345" s="23">
        <f t="shared" si="417"/>
        <v>0</v>
      </c>
      <c r="K345" s="24">
        <f t="shared" si="418"/>
        <v>0</v>
      </c>
      <c r="L345" s="25">
        <f t="shared" si="419"/>
        <v>0</v>
      </c>
      <c r="M345" s="23">
        <f t="shared" si="420"/>
        <v>0</v>
      </c>
      <c r="N345" s="24">
        <f t="shared" si="421"/>
        <v>0</v>
      </c>
      <c r="O345" s="25">
        <f t="shared" si="422"/>
        <v>0</v>
      </c>
      <c r="P345" s="23">
        <f t="shared" si="423"/>
        <v>0</v>
      </c>
      <c r="Q345" s="24">
        <f t="shared" si="424"/>
        <v>0</v>
      </c>
      <c r="R345" s="25">
        <f t="shared" si="425"/>
        <v>0</v>
      </c>
      <c r="S345" s="23">
        <f t="shared" si="426"/>
        <v>0</v>
      </c>
      <c r="T345" s="24">
        <f t="shared" si="427"/>
        <v>0</v>
      </c>
      <c r="U345" s="25">
        <f t="shared" si="428"/>
        <v>0</v>
      </c>
      <c r="V345" s="23">
        <f t="shared" si="429"/>
        <v>0</v>
      </c>
      <c r="W345" s="24">
        <f t="shared" si="430"/>
        <v>0</v>
      </c>
      <c r="X345" s="25">
        <f t="shared" si="431"/>
        <v>0</v>
      </c>
      <c r="Y345" s="23">
        <f t="shared" si="432"/>
        <v>0</v>
      </c>
      <c r="Z345" s="24">
        <f t="shared" si="433"/>
        <v>0</v>
      </c>
      <c r="AA345" s="25">
        <f t="shared" si="434"/>
        <v>0</v>
      </c>
      <c r="AB345" s="23">
        <f t="shared" si="435"/>
        <v>0</v>
      </c>
      <c r="AC345" s="24">
        <f t="shared" si="436"/>
        <v>0</v>
      </c>
      <c r="AD345" s="25">
        <f t="shared" si="437"/>
        <v>0</v>
      </c>
      <c r="AE345" s="23">
        <f t="shared" si="438"/>
        <v>0</v>
      </c>
      <c r="AF345" s="24">
        <f t="shared" si="439"/>
        <v>0</v>
      </c>
      <c r="AG345" s="25">
        <f t="shared" si="440"/>
        <v>0</v>
      </c>
      <c r="AH345" s="33"/>
    </row>
    <row r="346" spans="1:34" ht="18" customHeight="1" thickTop="1" thickBot="1" x14ac:dyDescent="0.3">
      <c r="A346" s="23">
        <v>251</v>
      </c>
      <c r="B346" s="28">
        <f t="shared" si="442"/>
        <v>0</v>
      </c>
      <c r="C346" s="60">
        <f t="shared" si="411"/>
        <v>0</v>
      </c>
      <c r="D346" s="23">
        <f t="shared" si="412"/>
        <v>0</v>
      </c>
      <c r="E346" s="24">
        <f t="shared" si="413"/>
        <v>0</v>
      </c>
      <c r="F346" s="25">
        <f t="shared" si="441"/>
        <v>0</v>
      </c>
      <c r="G346" s="23">
        <f t="shared" si="414"/>
        <v>0</v>
      </c>
      <c r="H346" s="24">
        <f t="shared" si="415"/>
        <v>0</v>
      </c>
      <c r="I346" s="25">
        <f t="shared" si="416"/>
        <v>0</v>
      </c>
      <c r="J346" s="23">
        <f t="shared" si="417"/>
        <v>0</v>
      </c>
      <c r="K346" s="24">
        <f t="shared" si="418"/>
        <v>0</v>
      </c>
      <c r="L346" s="25">
        <f t="shared" si="419"/>
        <v>0</v>
      </c>
      <c r="M346" s="23">
        <f t="shared" si="420"/>
        <v>0</v>
      </c>
      <c r="N346" s="24">
        <f t="shared" si="421"/>
        <v>0</v>
      </c>
      <c r="O346" s="25">
        <f t="shared" si="422"/>
        <v>0</v>
      </c>
      <c r="P346" s="23">
        <f t="shared" si="423"/>
        <v>0</v>
      </c>
      <c r="Q346" s="24">
        <f t="shared" si="424"/>
        <v>0</v>
      </c>
      <c r="R346" s="25">
        <f t="shared" si="425"/>
        <v>0</v>
      </c>
      <c r="S346" s="23">
        <f t="shared" si="426"/>
        <v>0</v>
      </c>
      <c r="T346" s="24">
        <f t="shared" si="427"/>
        <v>0</v>
      </c>
      <c r="U346" s="25">
        <f t="shared" si="428"/>
        <v>0</v>
      </c>
      <c r="V346" s="23">
        <f t="shared" si="429"/>
        <v>0</v>
      </c>
      <c r="W346" s="24">
        <f t="shared" si="430"/>
        <v>0</v>
      </c>
      <c r="X346" s="25">
        <f t="shared" si="431"/>
        <v>0</v>
      </c>
      <c r="Y346" s="23">
        <f t="shared" si="432"/>
        <v>0</v>
      </c>
      <c r="Z346" s="24">
        <f t="shared" si="433"/>
        <v>0</v>
      </c>
      <c r="AA346" s="25">
        <f t="shared" si="434"/>
        <v>0</v>
      </c>
      <c r="AB346" s="23">
        <f t="shared" si="435"/>
        <v>0</v>
      </c>
      <c r="AC346" s="24">
        <f t="shared" si="436"/>
        <v>0</v>
      </c>
      <c r="AD346" s="25">
        <f t="shared" si="437"/>
        <v>0</v>
      </c>
      <c r="AE346" s="23">
        <f t="shared" si="438"/>
        <v>0</v>
      </c>
      <c r="AF346" s="24">
        <f t="shared" si="439"/>
        <v>0</v>
      </c>
      <c r="AG346" s="25">
        <f t="shared" si="440"/>
        <v>0</v>
      </c>
      <c r="AH346" s="29"/>
    </row>
    <row r="347" spans="1:34" ht="18" customHeight="1" thickTop="1" thickBot="1" x14ac:dyDescent="0.3">
      <c r="A347" s="27">
        <v>252</v>
      </c>
      <c r="B347" s="28">
        <f t="shared" si="442"/>
        <v>0</v>
      </c>
      <c r="C347" s="60">
        <f t="shared" si="411"/>
        <v>0</v>
      </c>
      <c r="D347" s="23">
        <f t="shared" si="412"/>
        <v>0</v>
      </c>
      <c r="E347" s="24">
        <f t="shared" si="413"/>
        <v>0</v>
      </c>
      <c r="F347" s="25">
        <f t="shared" si="441"/>
        <v>0</v>
      </c>
      <c r="G347" s="23">
        <f t="shared" si="414"/>
        <v>0</v>
      </c>
      <c r="H347" s="24">
        <f t="shared" si="415"/>
        <v>0</v>
      </c>
      <c r="I347" s="25">
        <f t="shared" si="416"/>
        <v>0</v>
      </c>
      <c r="J347" s="23">
        <f t="shared" si="417"/>
        <v>0</v>
      </c>
      <c r="K347" s="24">
        <f t="shared" si="418"/>
        <v>0</v>
      </c>
      <c r="L347" s="25">
        <f t="shared" si="419"/>
        <v>0</v>
      </c>
      <c r="M347" s="23">
        <f t="shared" si="420"/>
        <v>0</v>
      </c>
      <c r="N347" s="24">
        <f t="shared" si="421"/>
        <v>0</v>
      </c>
      <c r="O347" s="25">
        <f t="shared" si="422"/>
        <v>0</v>
      </c>
      <c r="P347" s="23">
        <f t="shared" si="423"/>
        <v>0</v>
      </c>
      <c r="Q347" s="24">
        <f t="shared" si="424"/>
        <v>0</v>
      </c>
      <c r="R347" s="25">
        <f t="shared" si="425"/>
        <v>0</v>
      </c>
      <c r="S347" s="23">
        <f t="shared" si="426"/>
        <v>0</v>
      </c>
      <c r="T347" s="24">
        <f t="shared" si="427"/>
        <v>0</v>
      </c>
      <c r="U347" s="25">
        <f t="shared" si="428"/>
        <v>0</v>
      </c>
      <c r="V347" s="23">
        <f t="shared" si="429"/>
        <v>0</v>
      </c>
      <c r="W347" s="24">
        <f t="shared" si="430"/>
        <v>0</v>
      </c>
      <c r="X347" s="25">
        <f t="shared" si="431"/>
        <v>0</v>
      </c>
      <c r="Y347" s="23">
        <f t="shared" si="432"/>
        <v>0</v>
      </c>
      <c r="Z347" s="24">
        <f t="shared" si="433"/>
        <v>0</v>
      </c>
      <c r="AA347" s="25">
        <f t="shared" si="434"/>
        <v>0</v>
      </c>
      <c r="AB347" s="23">
        <f t="shared" si="435"/>
        <v>0</v>
      </c>
      <c r="AC347" s="24">
        <f t="shared" si="436"/>
        <v>0</v>
      </c>
      <c r="AD347" s="25">
        <f t="shared" si="437"/>
        <v>0</v>
      </c>
      <c r="AE347" s="23">
        <f t="shared" si="438"/>
        <v>0</v>
      </c>
      <c r="AF347" s="24">
        <f t="shared" si="439"/>
        <v>0</v>
      </c>
      <c r="AG347" s="25">
        <f t="shared" si="440"/>
        <v>0</v>
      </c>
      <c r="AH347" s="31"/>
    </row>
    <row r="348" spans="1:34" ht="18" customHeight="1" thickTop="1" thickBot="1" x14ac:dyDescent="0.3">
      <c r="A348" s="23">
        <v>253</v>
      </c>
      <c r="B348" s="28">
        <f t="shared" si="442"/>
        <v>0</v>
      </c>
      <c r="C348" s="60">
        <f t="shared" si="411"/>
        <v>0</v>
      </c>
      <c r="D348" s="23">
        <f t="shared" si="412"/>
        <v>0</v>
      </c>
      <c r="E348" s="24">
        <f t="shared" si="413"/>
        <v>0</v>
      </c>
      <c r="F348" s="25">
        <f t="shared" si="441"/>
        <v>0</v>
      </c>
      <c r="G348" s="23">
        <f t="shared" si="414"/>
        <v>0</v>
      </c>
      <c r="H348" s="24">
        <f t="shared" si="415"/>
        <v>0</v>
      </c>
      <c r="I348" s="25">
        <f t="shared" si="416"/>
        <v>0</v>
      </c>
      <c r="J348" s="23">
        <f t="shared" si="417"/>
        <v>0</v>
      </c>
      <c r="K348" s="24">
        <f t="shared" si="418"/>
        <v>0</v>
      </c>
      <c r="L348" s="25">
        <f t="shared" si="419"/>
        <v>0</v>
      </c>
      <c r="M348" s="23">
        <f t="shared" si="420"/>
        <v>0</v>
      </c>
      <c r="N348" s="24">
        <f t="shared" si="421"/>
        <v>0</v>
      </c>
      <c r="O348" s="25">
        <f t="shared" si="422"/>
        <v>0</v>
      </c>
      <c r="P348" s="23">
        <f t="shared" si="423"/>
        <v>0</v>
      </c>
      <c r="Q348" s="24">
        <f t="shared" si="424"/>
        <v>0</v>
      </c>
      <c r="R348" s="25">
        <f t="shared" si="425"/>
        <v>0</v>
      </c>
      <c r="S348" s="23">
        <f t="shared" si="426"/>
        <v>0</v>
      </c>
      <c r="T348" s="24">
        <f t="shared" si="427"/>
        <v>0</v>
      </c>
      <c r="U348" s="25">
        <f t="shared" si="428"/>
        <v>0</v>
      </c>
      <c r="V348" s="23">
        <f t="shared" si="429"/>
        <v>0</v>
      </c>
      <c r="W348" s="24">
        <f t="shared" si="430"/>
        <v>0</v>
      </c>
      <c r="X348" s="25">
        <f t="shared" si="431"/>
        <v>0</v>
      </c>
      <c r="Y348" s="23">
        <f t="shared" si="432"/>
        <v>0</v>
      </c>
      <c r="Z348" s="24">
        <f t="shared" si="433"/>
        <v>0</v>
      </c>
      <c r="AA348" s="25">
        <f t="shared" si="434"/>
        <v>0</v>
      </c>
      <c r="AB348" s="23">
        <f t="shared" si="435"/>
        <v>0</v>
      </c>
      <c r="AC348" s="24">
        <f t="shared" si="436"/>
        <v>0</v>
      </c>
      <c r="AD348" s="25">
        <f t="shared" si="437"/>
        <v>0</v>
      </c>
      <c r="AE348" s="23">
        <f t="shared" si="438"/>
        <v>0</v>
      </c>
      <c r="AF348" s="24">
        <f t="shared" si="439"/>
        <v>0</v>
      </c>
      <c r="AG348" s="25">
        <f t="shared" si="440"/>
        <v>0</v>
      </c>
      <c r="AH348" s="33"/>
    </row>
    <row r="349" spans="1:34" ht="18" customHeight="1" thickTop="1" thickBot="1" x14ac:dyDescent="0.3">
      <c r="A349" s="27">
        <v>254</v>
      </c>
      <c r="B349" s="28">
        <f t="shared" si="442"/>
        <v>0</v>
      </c>
      <c r="C349" s="60">
        <f t="shared" si="411"/>
        <v>0</v>
      </c>
      <c r="D349" s="23">
        <f t="shared" si="412"/>
        <v>0</v>
      </c>
      <c r="E349" s="24">
        <f t="shared" si="413"/>
        <v>0</v>
      </c>
      <c r="F349" s="25">
        <f t="shared" si="441"/>
        <v>0</v>
      </c>
      <c r="G349" s="23">
        <f t="shared" si="414"/>
        <v>0</v>
      </c>
      <c r="H349" s="24">
        <f t="shared" si="415"/>
        <v>0</v>
      </c>
      <c r="I349" s="25">
        <f t="shared" si="416"/>
        <v>0</v>
      </c>
      <c r="J349" s="23">
        <f t="shared" si="417"/>
        <v>0</v>
      </c>
      <c r="K349" s="24">
        <f t="shared" si="418"/>
        <v>0</v>
      </c>
      <c r="L349" s="25">
        <f t="shared" si="419"/>
        <v>0</v>
      </c>
      <c r="M349" s="23">
        <f t="shared" si="420"/>
        <v>0</v>
      </c>
      <c r="N349" s="24">
        <f t="shared" si="421"/>
        <v>0</v>
      </c>
      <c r="O349" s="25">
        <f t="shared" si="422"/>
        <v>0</v>
      </c>
      <c r="P349" s="23">
        <f t="shared" si="423"/>
        <v>0</v>
      </c>
      <c r="Q349" s="24">
        <f t="shared" si="424"/>
        <v>0</v>
      </c>
      <c r="R349" s="25">
        <f t="shared" si="425"/>
        <v>0</v>
      </c>
      <c r="S349" s="23">
        <f t="shared" si="426"/>
        <v>0</v>
      </c>
      <c r="T349" s="24">
        <f t="shared" si="427"/>
        <v>0</v>
      </c>
      <c r="U349" s="25">
        <f t="shared" si="428"/>
        <v>0</v>
      </c>
      <c r="V349" s="23">
        <f t="shared" si="429"/>
        <v>0</v>
      </c>
      <c r="W349" s="24">
        <f t="shared" si="430"/>
        <v>0</v>
      </c>
      <c r="X349" s="25">
        <f t="shared" si="431"/>
        <v>0</v>
      </c>
      <c r="Y349" s="23">
        <f t="shared" si="432"/>
        <v>0</v>
      </c>
      <c r="Z349" s="24">
        <f t="shared" si="433"/>
        <v>0</v>
      </c>
      <c r="AA349" s="25">
        <f t="shared" si="434"/>
        <v>0</v>
      </c>
      <c r="AB349" s="23">
        <f t="shared" si="435"/>
        <v>0</v>
      </c>
      <c r="AC349" s="24">
        <f t="shared" si="436"/>
        <v>0</v>
      </c>
      <c r="AD349" s="25">
        <f t="shared" si="437"/>
        <v>0</v>
      </c>
      <c r="AE349" s="23">
        <f t="shared" si="438"/>
        <v>0</v>
      </c>
      <c r="AF349" s="24">
        <f t="shared" si="439"/>
        <v>0</v>
      </c>
      <c r="AG349" s="25">
        <f t="shared" si="440"/>
        <v>0</v>
      </c>
      <c r="AH349" s="29"/>
    </row>
    <row r="350" spans="1:34" ht="18" customHeight="1" thickTop="1" thickBot="1" x14ac:dyDescent="0.3">
      <c r="A350" s="23">
        <v>255</v>
      </c>
      <c r="B350" s="28">
        <f t="shared" si="442"/>
        <v>0</v>
      </c>
      <c r="C350" s="60">
        <f t="shared" si="411"/>
        <v>0</v>
      </c>
      <c r="D350" s="23">
        <f t="shared" si="412"/>
        <v>0</v>
      </c>
      <c r="E350" s="24">
        <f t="shared" si="413"/>
        <v>0</v>
      </c>
      <c r="F350" s="25">
        <f t="shared" si="441"/>
        <v>0</v>
      </c>
      <c r="G350" s="23">
        <f t="shared" si="414"/>
        <v>0</v>
      </c>
      <c r="H350" s="24">
        <f t="shared" si="415"/>
        <v>0</v>
      </c>
      <c r="I350" s="25">
        <f t="shared" si="416"/>
        <v>0</v>
      </c>
      <c r="J350" s="23">
        <f t="shared" si="417"/>
        <v>0</v>
      </c>
      <c r="K350" s="24">
        <f t="shared" si="418"/>
        <v>0</v>
      </c>
      <c r="L350" s="25">
        <f t="shared" si="419"/>
        <v>0</v>
      </c>
      <c r="M350" s="23">
        <f t="shared" si="420"/>
        <v>0</v>
      </c>
      <c r="N350" s="24">
        <f t="shared" si="421"/>
        <v>0</v>
      </c>
      <c r="O350" s="25">
        <f t="shared" si="422"/>
        <v>0</v>
      </c>
      <c r="P350" s="23">
        <f t="shared" si="423"/>
        <v>0</v>
      </c>
      <c r="Q350" s="24">
        <f t="shared" si="424"/>
        <v>0</v>
      </c>
      <c r="R350" s="25">
        <f t="shared" si="425"/>
        <v>0</v>
      </c>
      <c r="S350" s="23">
        <f t="shared" si="426"/>
        <v>0</v>
      </c>
      <c r="T350" s="24">
        <f t="shared" si="427"/>
        <v>0</v>
      </c>
      <c r="U350" s="25">
        <f t="shared" si="428"/>
        <v>0</v>
      </c>
      <c r="V350" s="23">
        <f t="shared" si="429"/>
        <v>0</v>
      </c>
      <c r="W350" s="24">
        <f t="shared" si="430"/>
        <v>0</v>
      </c>
      <c r="X350" s="25">
        <f t="shared" si="431"/>
        <v>0</v>
      </c>
      <c r="Y350" s="23">
        <f t="shared" si="432"/>
        <v>0</v>
      </c>
      <c r="Z350" s="24">
        <f t="shared" si="433"/>
        <v>0</v>
      </c>
      <c r="AA350" s="25">
        <f t="shared" si="434"/>
        <v>0</v>
      </c>
      <c r="AB350" s="23">
        <f t="shared" si="435"/>
        <v>0</v>
      </c>
      <c r="AC350" s="24">
        <f t="shared" si="436"/>
        <v>0</v>
      </c>
      <c r="AD350" s="25">
        <f t="shared" si="437"/>
        <v>0</v>
      </c>
      <c r="AE350" s="23">
        <f t="shared" si="438"/>
        <v>0</v>
      </c>
      <c r="AF350" s="24">
        <f t="shared" si="439"/>
        <v>0</v>
      </c>
      <c r="AG350" s="25">
        <f t="shared" si="440"/>
        <v>0</v>
      </c>
      <c r="AH350" s="31"/>
    </row>
    <row r="351" spans="1:34" ht="18" customHeight="1" thickTop="1" thickBot="1" x14ac:dyDescent="0.3">
      <c r="A351" s="27">
        <v>256</v>
      </c>
      <c r="B351" s="28">
        <f t="shared" si="442"/>
        <v>0</v>
      </c>
      <c r="C351" s="60">
        <f t="shared" si="411"/>
        <v>0</v>
      </c>
      <c r="D351" s="23">
        <f t="shared" si="412"/>
        <v>0</v>
      </c>
      <c r="E351" s="24">
        <f t="shared" si="413"/>
        <v>0</v>
      </c>
      <c r="F351" s="25">
        <f t="shared" si="441"/>
        <v>0</v>
      </c>
      <c r="G351" s="23">
        <f t="shared" si="414"/>
        <v>0</v>
      </c>
      <c r="H351" s="24">
        <f t="shared" si="415"/>
        <v>0</v>
      </c>
      <c r="I351" s="25">
        <f t="shared" si="416"/>
        <v>0</v>
      </c>
      <c r="J351" s="23">
        <f t="shared" si="417"/>
        <v>0</v>
      </c>
      <c r="K351" s="24">
        <f t="shared" si="418"/>
        <v>0</v>
      </c>
      <c r="L351" s="25">
        <f t="shared" si="419"/>
        <v>0</v>
      </c>
      <c r="M351" s="23">
        <f t="shared" si="420"/>
        <v>0</v>
      </c>
      <c r="N351" s="24">
        <f t="shared" si="421"/>
        <v>0</v>
      </c>
      <c r="O351" s="25">
        <f t="shared" si="422"/>
        <v>0</v>
      </c>
      <c r="P351" s="23">
        <f t="shared" si="423"/>
        <v>0</v>
      </c>
      <c r="Q351" s="24">
        <f t="shared" si="424"/>
        <v>0</v>
      </c>
      <c r="R351" s="25">
        <f t="shared" si="425"/>
        <v>0</v>
      </c>
      <c r="S351" s="23">
        <f t="shared" si="426"/>
        <v>0</v>
      </c>
      <c r="T351" s="24">
        <f t="shared" si="427"/>
        <v>0</v>
      </c>
      <c r="U351" s="25">
        <f t="shared" si="428"/>
        <v>0</v>
      </c>
      <c r="V351" s="23">
        <f t="shared" si="429"/>
        <v>0</v>
      </c>
      <c r="W351" s="24">
        <f t="shared" si="430"/>
        <v>0</v>
      </c>
      <c r="X351" s="25">
        <f t="shared" si="431"/>
        <v>0</v>
      </c>
      <c r="Y351" s="23">
        <f t="shared" si="432"/>
        <v>0</v>
      </c>
      <c r="Z351" s="24">
        <f t="shared" si="433"/>
        <v>0</v>
      </c>
      <c r="AA351" s="25">
        <f t="shared" si="434"/>
        <v>0</v>
      </c>
      <c r="AB351" s="23">
        <f t="shared" si="435"/>
        <v>0</v>
      </c>
      <c r="AC351" s="24">
        <f t="shared" si="436"/>
        <v>0</v>
      </c>
      <c r="AD351" s="25">
        <f t="shared" si="437"/>
        <v>0</v>
      </c>
      <c r="AE351" s="23">
        <f t="shared" si="438"/>
        <v>0</v>
      </c>
      <c r="AF351" s="24">
        <f t="shared" si="439"/>
        <v>0</v>
      </c>
      <c r="AG351" s="25">
        <f t="shared" si="440"/>
        <v>0</v>
      </c>
      <c r="AH351" s="29"/>
    </row>
    <row r="352" spans="1:34" ht="18" customHeight="1" thickTop="1" thickBot="1" x14ac:dyDescent="0.3">
      <c r="A352" s="23">
        <v>257</v>
      </c>
      <c r="B352" s="28">
        <f t="shared" si="442"/>
        <v>0</v>
      </c>
      <c r="C352" s="60">
        <f t="shared" si="411"/>
        <v>0</v>
      </c>
      <c r="D352" s="23">
        <f t="shared" si="412"/>
        <v>0</v>
      </c>
      <c r="E352" s="24">
        <f t="shared" si="413"/>
        <v>0</v>
      </c>
      <c r="F352" s="25">
        <f t="shared" si="441"/>
        <v>0</v>
      </c>
      <c r="G352" s="23">
        <f t="shared" si="414"/>
        <v>0</v>
      </c>
      <c r="H352" s="24">
        <f t="shared" si="415"/>
        <v>0</v>
      </c>
      <c r="I352" s="25">
        <f t="shared" si="416"/>
        <v>0</v>
      </c>
      <c r="J352" s="23">
        <f t="shared" si="417"/>
        <v>0</v>
      </c>
      <c r="K352" s="24">
        <f t="shared" si="418"/>
        <v>0</v>
      </c>
      <c r="L352" s="25">
        <f t="shared" si="419"/>
        <v>0</v>
      </c>
      <c r="M352" s="23">
        <f t="shared" si="420"/>
        <v>0</v>
      </c>
      <c r="N352" s="24">
        <f t="shared" si="421"/>
        <v>0</v>
      </c>
      <c r="O352" s="25">
        <f t="shared" si="422"/>
        <v>0</v>
      </c>
      <c r="P352" s="23">
        <f t="shared" si="423"/>
        <v>0</v>
      </c>
      <c r="Q352" s="24">
        <f t="shared" si="424"/>
        <v>0</v>
      </c>
      <c r="R352" s="25">
        <f t="shared" si="425"/>
        <v>0</v>
      </c>
      <c r="S352" s="23">
        <f t="shared" si="426"/>
        <v>0</v>
      </c>
      <c r="T352" s="24">
        <f t="shared" si="427"/>
        <v>0</v>
      </c>
      <c r="U352" s="25">
        <f t="shared" si="428"/>
        <v>0</v>
      </c>
      <c r="V352" s="23">
        <f t="shared" si="429"/>
        <v>0</v>
      </c>
      <c r="W352" s="24">
        <f t="shared" si="430"/>
        <v>0</v>
      </c>
      <c r="X352" s="25">
        <f t="shared" si="431"/>
        <v>0</v>
      </c>
      <c r="Y352" s="23">
        <f t="shared" si="432"/>
        <v>0</v>
      </c>
      <c r="Z352" s="24">
        <f t="shared" si="433"/>
        <v>0</v>
      </c>
      <c r="AA352" s="25">
        <f t="shared" si="434"/>
        <v>0</v>
      </c>
      <c r="AB352" s="23">
        <f t="shared" si="435"/>
        <v>0</v>
      </c>
      <c r="AC352" s="24">
        <f t="shared" si="436"/>
        <v>0</v>
      </c>
      <c r="AD352" s="25">
        <f t="shared" si="437"/>
        <v>0</v>
      </c>
      <c r="AE352" s="23">
        <f t="shared" si="438"/>
        <v>0</v>
      </c>
      <c r="AF352" s="24">
        <f t="shared" si="439"/>
        <v>0</v>
      </c>
      <c r="AG352" s="25">
        <f t="shared" si="440"/>
        <v>0</v>
      </c>
      <c r="AH352" s="31"/>
    </row>
    <row r="353" spans="1:34" ht="18" customHeight="1" thickTop="1" thickBot="1" x14ac:dyDescent="0.3">
      <c r="A353" s="27">
        <v>258</v>
      </c>
      <c r="B353" s="28">
        <f t="shared" si="442"/>
        <v>0</v>
      </c>
      <c r="C353" s="60">
        <f t="shared" si="411"/>
        <v>0</v>
      </c>
      <c r="D353" s="23">
        <f t="shared" si="412"/>
        <v>0</v>
      </c>
      <c r="E353" s="24">
        <f t="shared" si="413"/>
        <v>0</v>
      </c>
      <c r="F353" s="25">
        <f t="shared" si="441"/>
        <v>0</v>
      </c>
      <c r="G353" s="23">
        <f t="shared" si="414"/>
        <v>0</v>
      </c>
      <c r="H353" s="24">
        <f t="shared" si="415"/>
        <v>0</v>
      </c>
      <c r="I353" s="25">
        <f t="shared" si="416"/>
        <v>0</v>
      </c>
      <c r="J353" s="23">
        <f t="shared" si="417"/>
        <v>0</v>
      </c>
      <c r="K353" s="24">
        <f t="shared" si="418"/>
        <v>0</v>
      </c>
      <c r="L353" s="25">
        <f t="shared" si="419"/>
        <v>0</v>
      </c>
      <c r="M353" s="23">
        <f t="shared" si="420"/>
        <v>0</v>
      </c>
      <c r="N353" s="24">
        <f t="shared" si="421"/>
        <v>0</v>
      </c>
      <c r="O353" s="25">
        <f t="shared" si="422"/>
        <v>0</v>
      </c>
      <c r="P353" s="23">
        <f t="shared" si="423"/>
        <v>0</v>
      </c>
      <c r="Q353" s="24">
        <f t="shared" si="424"/>
        <v>0</v>
      </c>
      <c r="R353" s="25">
        <f t="shared" si="425"/>
        <v>0</v>
      </c>
      <c r="S353" s="23">
        <f t="shared" si="426"/>
        <v>0</v>
      </c>
      <c r="T353" s="24">
        <f t="shared" si="427"/>
        <v>0</v>
      </c>
      <c r="U353" s="25">
        <f t="shared" si="428"/>
        <v>0</v>
      </c>
      <c r="V353" s="23">
        <f t="shared" si="429"/>
        <v>0</v>
      </c>
      <c r="W353" s="24">
        <f t="shared" si="430"/>
        <v>0</v>
      </c>
      <c r="X353" s="25">
        <f t="shared" si="431"/>
        <v>0</v>
      </c>
      <c r="Y353" s="23">
        <f t="shared" si="432"/>
        <v>0</v>
      </c>
      <c r="Z353" s="24">
        <f t="shared" si="433"/>
        <v>0</v>
      </c>
      <c r="AA353" s="25">
        <f t="shared" si="434"/>
        <v>0</v>
      </c>
      <c r="AB353" s="23">
        <f t="shared" si="435"/>
        <v>0</v>
      </c>
      <c r="AC353" s="24">
        <f t="shared" si="436"/>
        <v>0</v>
      </c>
      <c r="AD353" s="25">
        <f t="shared" si="437"/>
        <v>0</v>
      </c>
      <c r="AE353" s="23">
        <f t="shared" si="438"/>
        <v>0</v>
      </c>
      <c r="AF353" s="24">
        <f t="shared" si="439"/>
        <v>0</v>
      </c>
      <c r="AG353" s="25">
        <f t="shared" si="440"/>
        <v>0</v>
      </c>
      <c r="AH353" s="31"/>
    </row>
    <row r="354" spans="1:34" ht="18" customHeight="1" thickTop="1" thickBot="1" x14ac:dyDescent="0.3">
      <c r="A354" s="23">
        <v>259</v>
      </c>
      <c r="B354" s="28">
        <f t="shared" si="442"/>
        <v>0</v>
      </c>
      <c r="C354" s="60">
        <f t="shared" si="411"/>
        <v>0</v>
      </c>
      <c r="D354" s="23">
        <f t="shared" si="412"/>
        <v>0</v>
      </c>
      <c r="E354" s="24">
        <f t="shared" si="413"/>
        <v>0</v>
      </c>
      <c r="F354" s="25">
        <f t="shared" si="441"/>
        <v>0</v>
      </c>
      <c r="G354" s="23">
        <f t="shared" si="414"/>
        <v>0</v>
      </c>
      <c r="H354" s="24">
        <f t="shared" si="415"/>
        <v>0</v>
      </c>
      <c r="I354" s="25">
        <f t="shared" si="416"/>
        <v>0</v>
      </c>
      <c r="J354" s="23">
        <f t="shared" si="417"/>
        <v>0</v>
      </c>
      <c r="K354" s="24">
        <f t="shared" si="418"/>
        <v>0</v>
      </c>
      <c r="L354" s="25">
        <f t="shared" si="419"/>
        <v>0</v>
      </c>
      <c r="M354" s="23">
        <f t="shared" si="420"/>
        <v>0</v>
      </c>
      <c r="N354" s="24">
        <f t="shared" si="421"/>
        <v>0</v>
      </c>
      <c r="O354" s="25">
        <f t="shared" si="422"/>
        <v>0</v>
      </c>
      <c r="P354" s="23">
        <f t="shared" si="423"/>
        <v>0</v>
      </c>
      <c r="Q354" s="24">
        <f t="shared" si="424"/>
        <v>0</v>
      </c>
      <c r="R354" s="25">
        <f t="shared" si="425"/>
        <v>0</v>
      </c>
      <c r="S354" s="23">
        <f t="shared" si="426"/>
        <v>0</v>
      </c>
      <c r="T354" s="24">
        <f t="shared" si="427"/>
        <v>0</v>
      </c>
      <c r="U354" s="25">
        <f t="shared" si="428"/>
        <v>0</v>
      </c>
      <c r="V354" s="23">
        <f t="shared" si="429"/>
        <v>0</v>
      </c>
      <c r="W354" s="24">
        <f t="shared" si="430"/>
        <v>0</v>
      </c>
      <c r="X354" s="25">
        <f t="shared" si="431"/>
        <v>0</v>
      </c>
      <c r="Y354" s="23">
        <f t="shared" si="432"/>
        <v>0</v>
      </c>
      <c r="Z354" s="24">
        <f t="shared" si="433"/>
        <v>0</v>
      </c>
      <c r="AA354" s="25">
        <f t="shared" si="434"/>
        <v>0</v>
      </c>
      <c r="AB354" s="23">
        <f t="shared" si="435"/>
        <v>0</v>
      </c>
      <c r="AC354" s="24">
        <f t="shared" si="436"/>
        <v>0</v>
      </c>
      <c r="AD354" s="25">
        <f t="shared" si="437"/>
        <v>0</v>
      </c>
      <c r="AE354" s="23">
        <f t="shared" si="438"/>
        <v>0</v>
      </c>
      <c r="AF354" s="24">
        <f t="shared" si="439"/>
        <v>0</v>
      </c>
      <c r="AG354" s="25">
        <f t="shared" si="440"/>
        <v>0</v>
      </c>
      <c r="AH354" s="31"/>
    </row>
    <row r="355" spans="1:34" ht="18" customHeight="1" thickTop="1" thickBot="1" x14ac:dyDescent="0.3">
      <c r="A355" s="27">
        <v>260</v>
      </c>
      <c r="B355" s="28">
        <f t="shared" si="442"/>
        <v>0</v>
      </c>
      <c r="C355" s="60">
        <f t="shared" si="411"/>
        <v>0</v>
      </c>
      <c r="D355" s="23">
        <f t="shared" si="412"/>
        <v>0</v>
      </c>
      <c r="E355" s="24">
        <f t="shared" si="413"/>
        <v>0</v>
      </c>
      <c r="F355" s="25">
        <f t="shared" si="441"/>
        <v>0</v>
      </c>
      <c r="G355" s="23">
        <f t="shared" si="414"/>
        <v>0</v>
      </c>
      <c r="H355" s="24">
        <f t="shared" si="415"/>
        <v>0</v>
      </c>
      <c r="I355" s="25">
        <f t="shared" si="416"/>
        <v>0</v>
      </c>
      <c r="J355" s="23">
        <f t="shared" si="417"/>
        <v>0</v>
      </c>
      <c r="K355" s="24">
        <f t="shared" si="418"/>
        <v>0</v>
      </c>
      <c r="L355" s="25">
        <f t="shared" si="419"/>
        <v>0</v>
      </c>
      <c r="M355" s="23">
        <f t="shared" si="420"/>
        <v>0</v>
      </c>
      <c r="N355" s="24">
        <f t="shared" si="421"/>
        <v>0</v>
      </c>
      <c r="O355" s="25">
        <f t="shared" si="422"/>
        <v>0</v>
      </c>
      <c r="P355" s="23">
        <f t="shared" si="423"/>
        <v>0</v>
      </c>
      <c r="Q355" s="24">
        <f t="shared" si="424"/>
        <v>0</v>
      </c>
      <c r="R355" s="25">
        <f t="shared" si="425"/>
        <v>0</v>
      </c>
      <c r="S355" s="23">
        <f t="shared" si="426"/>
        <v>0</v>
      </c>
      <c r="T355" s="24">
        <f t="shared" si="427"/>
        <v>0</v>
      </c>
      <c r="U355" s="25">
        <f t="shared" si="428"/>
        <v>0</v>
      </c>
      <c r="V355" s="23">
        <f t="shared" si="429"/>
        <v>0</v>
      </c>
      <c r="W355" s="24">
        <f t="shared" si="430"/>
        <v>0</v>
      </c>
      <c r="X355" s="25">
        <f t="shared" si="431"/>
        <v>0</v>
      </c>
      <c r="Y355" s="23">
        <f t="shared" si="432"/>
        <v>0</v>
      </c>
      <c r="Z355" s="24">
        <f t="shared" si="433"/>
        <v>0</v>
      </c>
      <c r="AA355" s="25">
        <f t="shared" si="434"/>
        <v>0</v>
      </c>
      <c r="AB355" s="23">
        <f t="shared" si="435"/>
        <v>0</v>
      </c>
      <c r="AC355" s="24">
        <f t="shared" si="436"/>
        <v>0</v>
      </c>
      <c r="AD355" s="25">
        <f t="shared" si="437"/>
        <v>0</v>
      </c>
      <c r="AE355" s="23">
        <f t="shared" si="438"/>
        <v>0</v>
      </c>
      <c r="AF355" s="24">
        <f t="shared" si="439"/>
        <v>0</v>
      </c>
      <c r="AG355" s="25">
        <f t="shared" si="440"/>
        <v>0</v>
      </c>
      <c r="AH355" s="34"/>
    </row>
    <row r="356" spans="1:34" ht="7.95" customHeight="1" thickTop="1" x14ac:dyDescent="0.25">
      <c r="A356" s="212" t="s">
        <v>2</v>
      </c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</row>
    <row r="357" spans="1:34" x14ac:dyDescent="0.25">
      <c r="A357" s="213"/>
      <c r="B357" s="213"/>
      <c r="C357" s="213" t="s">
        <v>18</v>
      </c>
      <c r="D357" s="213"/>
      <c r="E357" s="213"/>
      <c r="F357" s="214" t="s">
        <v>19</v>
      </c>
      <c r="G357" s="214"/>
      <c r="H357" s="214"/>
      <c r="I357" s="214"/>
      <c r="J357" s="35"/>
      <c r="K357" s="214" t="s">
        <v>20</v>
      </c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  <c r="Y357" s="214"/>
      <c r="Z357" s="214"/>
      <c r="AA357" s="214"/>
      <c r="AB357" s="214"/>
      <c r="AC357" s="35"/>
      <c r="AD357" s="35"/>
      <c r="AE357" s="214" t="s">
        <v>55</v>
      </c>
      <c r="AF357" s="214"/>
      <c r="AG357" s="214"/>
    </row>
    <row r="358" spans="1:34" ht="13.95" customHeight="1" x14ac:dyDescent="0.25">
      <c r="A358" s="214" t="s">
        <v>21</v>
      </c>
      <c r="B358" s="214"/>
      <c r="C358" s="213">
        <f>'الفترة الاولى'!$CA$10</f>
        <v>0</v>
      </c>
      <c r="D358" s="213"/>
      <c r="E358" s="213"/>
      <c r="F358" s="214"/>
      <c r="G358" s="214"/>
      <c r="H358" s="214"/>
      <c r="I358" s="214"/>
      <c r="J358" s="35"/>
      <c r="K358" s="220" t="s">
        <v>52</v>
      </c>
      <c r="L358" s="215"/>
      <c r="M358" s="215"/>
      <c r="N358" s="222" t="str">
        <f>'الفترة الاولى'!$CA$16</f>
        <v>أ. فهيم عبدالمجيد بوازويتة</v>
      </c>
      <c r="O358" s="222"/>
      <c r="P358" s="222"/>
      <c r="Q358" s="222"/>
      <c r="R358" s="222"/>
      <c r="S358" s="222"/>
      <c r="T358" s="222"/>
      <c r="U358" s="215" t="s">
        <v>53</v>
      </c>
      <c r="V358" s="215"/>
      <c r="W358" s="215"/>
      <c r="X358" s="215" t="str">
        <f>'الفترة الاولى'!$C$6</f>
        <v>سهول العلم للتعليم الخاص</v>
      </c>
      <c r="Y358" s="215"/>
      <c r="Z358" s="215"/>
      <c r="AA358" s="215"/>
      <c r="AB358" s="216"/>
      <c r="AC358" s="36"/>
      <c r="AD358" s="36"/>
      <c r="AE358" s="214" t="s">
        <v>2</v>
      </c>
      <c r="AF358" s="214"/>
      <c r="AG358" s="214"/>
    </row>
    <row r="359" spans="1:34" ht="15.6" customHeight="1" x14ac:dyDescent="0.25">
      <c r="A359" s="214" t="s">
        <v>22</v>
      </c>
      <c r="B359" s="214"/>
      <c r="C359" s="213">
        <f>'الفترة الاولى'!$CA$11</f>
        <v>0</v>
      </c>
      <c r="D359" s="213"/>
      <c r="E359" s="213"/>
      <c r="F359" s="214"/>
      <c r="G359" s="214"/>
      <c r="H359" s="214"/>
      <c r="I359" s="214"/>
      <c r="J359" s="35"/>
      <c r="K359" s="217" t="s">
        <v>54</v>
      </c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9"/>
      <c r="AC359" s="37"/>
      <c r="AD359" s="37"/>
      <c r="AE359" s="214"/>
      <c r="AF359" s="214"/>
      <c r="AG359" s="214"/>
    </row>
    <row r="360" spans="1:34" ht="13.95" customHeight="1" x14ac:dyDescent="0.25">
      <c r="A360" s="214" t="s">
        <v>23</v>
      </c>
      <c r="B360" s="214"/>
      <c r="C360" s="213">
        <f>'الفترة الاولى'!$CA$12</f>
        <v>0</v>
      </c>
      <c r="D360" s="213"/>
      <c r="E360" s="213"/>
      <c r="F360" s="214"/>
      <c r="G360" s="214"/>
      <c r="H360" s="214"/>
      <c r="I360" s="214"/>
      <c r="K360" s="220" t="s">
        <v>44</v>
      </c>
      <c r="L360" s="215"/>
      <c r="M360" s="221">
        <f ca="1">TODAY()</f>
        <v>46181</v>
      </c>
      <c r="N360" s="215"/>
      <c r="O360" s="215"/>
      <c r="P360" s="215"/>
      <c r="Q360" s="215"/>
      <c r="R360" s="215"/>
      <c r="S360" s="215"/>
      <c r="T360" s="215" t="s">
        <v>19</v>
      </c>
      <c r="U360" s="215"/>
      <c r="V360" s="215"/>
      <c r="W360" s="215"/>
      <c r="X360" s="215"/>
      <c r="Y360" s="215"/>
      <c r="Z360" s="215"/>
      <c r="AA360" s="215"/>
      <c r="AB360" s="38"/>
      <c r="AC360" s="36"/>
      <c r="AD360" s="36"/>
      <c r="AE360" s="214"/>
      <c r="AF360" s="214"/>
      <c r="AG360" s="214"/>
    </row>
    <row r="361" spans="1:34" ht="14.4" thickBot="1" x14ac:dyDescent="0.3">
      <c r="A361" s="214" t="s">
        <v>24</v>
      </c>
      <c r="B361" s="214"/>
      <c r="C361" s="213">
        <f>'الفترة الاولى'!$CA$13</f>
        <v>0</v>
      </c>
      <c r="D361" s="213"/>
      <c r="E361" s="213"/>
      <c r="F361" s="214"/>
      <c r="G361" s="214"/>
      <c r="H361" s="214"/>
      <c r="I361" s="214"/>
      <c r="K361" s="39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1"/>
      <c r="AC361" s="36"/>
      <c r="AD361" s="36"/>
      <c r="AE361" s="214"/>
      <c r="AF361" s="214"/>
      <c r="AG361" s="214"/>
    </row>
    <row r="362" spans="1:34" ht="6.75" customHeight="1" thickBot="1" x14ac:dyDescent="0.3">
      <c r="A362" s="209"/>
      <c r="B362" s="210"/>
      <c r="C362" s="210"/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  <c r="AA362" s="210"/>
      <c r="AB362" s="210"/>
      <c r="AC362" s="210"/>
      <c r="AD362" s="210"/>
      <c r="AE362" s="210"/>
      <c r="AF362" s="210"/>
      <c r="AG362" s="210"/>
      <c r="AH362" s="211"/>
    </row>
    <row r="363" spans="1:34" ht="18" customHeight="1" thickBot="1" x14ac:dyDescent="0.3">
      <c r="A363" s="23">
        <v>261</v>
      </c>
      <c r="B363" s="24">
        <f>IFERROR(VLOOKUP(A363,الاسماء,2,0),"")</f>
        <v>0</v>
      </c>
      <c r="C363" s="59">
        <f t="shared" ref="C363:C382" si="443">IFERROR(VLOOKUP(A363,الاسماء,3,0),"")</f>
        <v>0</v>
      </c>
      <c r="D363" s="23">
        <f t="shared" ref="D363:D382" si="444">IFERROR(VLOOKUP($C363,درجات,5,0),0)</f>
        <v>0</v>
      </c>
      <c r="E363" s="24">
        <f t="shared" ref="E363:E382" si="445">IFERROR(VLOOKUP($C363,درجات,43,0),0)</f>
        <v>0</v>
      </c>
      <c r="F363" s="25">
        <f>SUM(D363:E363)</f>
        <v>0</v>
      </c>
      <c r="G363" s="23">
        <f t="shared" ref="G363:G382" si="446">IFERROR(VLOOKUP($C363,درجات,8,0),0)</f>
        <v>0</v>
      </c>
      <c r="H363" s="24">
        <f t="shared" ref="H363:H382" si="447">IFERROR(VLOOKUP($C363,درجات,46,0),0)</f>
        <v>0</v>
      </c>
      <c r="I363" s="25">
        <f t="shared" ref="I363:I382" si="448">SUM(G363:H363)</f>
        <v>0</v>
      </c>
      <c r="J363" s="23">
        <f t="shared" ref="J363:J382" si="449">IFERROR(VLOOKUP($C363,درجات,11,0),0)</f>
        <v>0</v>
      </c>
      <c r="K363" s="24">
        <f t="shared" ref="K363:K382" si="450">IFERROR(VLOOKUP($C363,درجات,49,0),0)</f>
        <v>0</v>
      </c>
      <c r="L363" s="25">
        <f t="shared" ref="L363:L382" si="451">SUM(J363:K363)</f>
        <v>0</v>
      </c>
      <c r="M363" s="23">
        <f t="shared" ref="M363:M382" si="452">IFERROR(VLOOKUP($C363,درجات,14,0),0)</f>
        <v>0</v>
      </c>
      <c r="N363" s="24">
        <f t="shared" ref="N363:N382" si="453">IFERROR(VLOOKUP($C363,درجات,52,0),0)</f>
        <v>0</v>
      </c>
      <c r="O363" s="25">
        <f t="shared" ref="O363:O382" si="454">SUM(M363:N363)</f>
        <v>0</v>
      </c>
      <c r="P363" s="23">
        <f t="shared" ref="P363:P382" si="455">IFERROR(VLOOKUP($C363,درجات,17,0),0)</f>
        <v>0</v>
      </c>
      <c r="Q363" s="24">
        <f t="shared" ref="Q363:Q382" si="456">IFERROR(VLOOKUP($C363,درجات,55,0),0)</f>
        <v>0</v>
      </c>
      <c r="R363" s="25">
        <f t="shared" ref="R363:R382" si="457">SUM(P363:Q363)</f>
        <v>0</v>
      </c>
      <c r="S363" s="23">
        <f t="shared" ref="S363:S382" si="458">IFERROR(VLOOKUP($C363,درجات,20,0),0)</f>
        <v>0</v>
      </c>
      <c r="T363" s="24">
        <f t="shared" ref="T363:T382" si="459">IFERROR(VLOOKUP($C363,درجات,58,0),0)</f>
        <v>0</v>
      </c>
      <c r="U363" s="25">
        <f t="shared" ref="U363:U382" si="460">SUM(S363:T363)</f>
        <v>0</v>
      </c>
      <c r="V363" s="23">
        <f t="shared" ref="V363:V382" si="461">IFERROR(VLOOKUP($C363,درجات,23,0),0)</f>
        <v>0</v>
      </c>
      <c r="W363" s="24">
        <f t="shared" ref="W363:W382" si="462">IFERROR(VLOOKUP($C363,درجات,61,0),0)</f>
        <v>0</v>
      </c>
      <c r="X363" s="25">
        <f t="shared" ref="X363:X382" si="463">SUM(V363:W363)</f>
        <v>0</v>
      </c>
      <c r="Y363" s="23">
        <f t="shared" ref="Y363:Y382" si="464">IFERROR(VLOOKUP($C363,درجات,26,0),0)</f>
        <v>0</v>
      </c>
      <c r="Z363" s="24">
        <f t="shared" ref="Z363:Z382" si="465">IFERROR(VLOOKUP($C363,درجات,64,0),0)</f>
        <v>0</v>
      </c>
      <c r="AA363" s="25">
        <f t="shared" ref="AA363:AA382" si="466">SUM(Y363:Z363)</f>
        <v>0</v>
      </c>
      <c r="AB363" s="23">
        <f t="shared" ref="AB363:AB382" si="467">IFERROR(VLOOKUP($C363,درجات,29,0),0)</f>
        <v>0</v>
      </c>
      <c r="AC363" s="24">
        <f t="shared" ref="AC363:AC382" si="468">IFERROR(VLOOKUP($C363,درجات,67,0),0)</f>
        <v>0</v>
      </c>
      <c r="AD363" s="25">
        <f t="shared" ref="AD363:AD382" si="469">SUM(AB363:AC363)</f>
        <v>0</v>
      </c>
      <c r="AE363" s="23">
        <f t="shared" ref="AE363:AE382" si="470">IFERROR(VLOOKUP($C363,درجات,32,0),0)</f>
        <v>0</v>
      </c>
      <c r="AF363" s="24">
        <f t="shared" ref="AF363:AF382" si="471">IFERROR(VLOOKUP($C363,درجات,70,0),0)</f>
        <v>0</v>
      </c>
      <c r="AG363" s="25">
        <f t="shared" ref="AG363:AG382" si="472">SUM(AE363:AF363)</f>
        <v>0</v>
      </c>
      <c r="AH363" s="26"/>
    </row>
    <row r="364" spans="1:34" ht="18" customHeight="1" thickTop="1" thickBot="1" x14ac:dyDescent="0.3">
      <c r="A364" s="27">
        <v>262</v>
      </c>
      <c r="B364" s="28">
        <f>IFERROR(VLOOKUP(A364,الاسماء,2,0),0)</f>
        <v>0</v>
      </c>
      <c r="C364" s="60">
        <f t="shared" si="443"/>
        <v>0</v>
      </c>
      <c r="D364" s="23">
        <f t="shared" si="444"/>
        <v>0</v>
      </c>
      <c r="E364" s="24">
        <f t="shared" si="445"/>
        <v>0</v>
      </c>
      <c r="F364" s="25">
        <f t="shared" ref="F364:F382" si="473">SUM(D364:E364)</f>
        <v>0</v>
      </c>
      <c r="G364" s="23">
        <f t="shared" si="446"/>
        <v>0</v>
      </c>
      <c r="H364" s="24">
        <f t="shared" si="447"/>
        <v>0</v>
      </c>
      <c r="I364" s="25">
        <f t="shared" si="448"/>
        <v>0</v>
      </c>
      <c r="J364" s="23">
        <f t="shared" si="449"/>
        <v>0</v>
      </c>
      <c r="K364" s="24">
        <f t="shared" si="450"/>
        <v>0</v>
      </c>
      <c r="L364" s="25">
        <f t="shared" si="451"/>
        <v>0</v>
      </c>
      <c r="M364" s="23">
        <f t="shared" si="452"/>
        <v>0</v>
      </c>
      <c r="N364" s="24">
        <f t="shared" si="453"/>
        <v>0</v>
      </c>
      <c r="O364" s="25">
        <f t="shared" si="454"/>
        <v>0</v>
      </c>
      <c r="P364" s="23">
        <f t="shared" si="455"/>
        <v>0</v>
      </c>
      <c r="Q364" s="24">
        <f t="shared" si="456"/>
        <v>0</v>
      </c>
      <c r="R364" s="25">
        <f t="shared" si="457"/>
        <v>0</v>
      </c>
      <c r="S364" s="23">
        <f t="shared" si="458"/>
        <v>0</v>
      </c>
      <c r="T364" s="24">
        <f t="shared" si="459"/>
        <v>0</v>
      </c>
      <c r="U364" s="25">
        <f t="shared" si="460"/>
        <v>0</v>
      </c>
      <c r="V364" s="23">
        <f t="shared" si="461"/>
        <v>0</v>
      </c>
      <c r="W364" s="24">
        <f t="shared" si="462"/>
        <v>0</v>
      </c>
      <c r="X364" s="25">
        <f t="shared" si="463"/>
        <v>0</v>
      </c>
      <c r="Y364" s="23">
        <f t="shared" si="464"/>
        <v>0</v>
      </c>
      <c r="Z364" s="24">
        <f t="shared" si="465"/>
        <v>0</v>
      </c>
      <c r="AA364" s="25">
        <f t="shared" si="466"/>
        <v>0</v>
      </c>
      <c r="AB364" s="23">
        <f t="shared" si="467"/>
        <v>0</v>
      </c>
      <c r="AC364" s="24">
        <f t="shared" si="468"/>
        <v>0</v>
      </c>
      <c r="AD364" s="25">
        <f t="shared" si="469"/>
        <v>0</v>
      </c>
      <c r="AE364" s="23">
        <f t="shared" si="470"/>
        <v>0</v>
      </c>
      <c r="AF364" s="24">
        <f t="shared" si="471"/>
        <v>0</v>
      </c>
      <c r="AG364" s="25">
        <f t="shared" si="472"/>
        <v>0</v>
      </c>
      <c r="AH364" s="29"/>
    </row>
    <row r="365" spans="1:34" ht="18" customHeight="1" thickTop="1" thickBot="1" x14ac:dyDescent="0.3">
      <c r="A365" s="23">
        <v>263</v>
      </c>
      <c r="B365" s="28">
        <f t="shared" ref="B365:B382" si="474">IFERROR(VLOOKUP(A365,الاسماء,2,0),"")</f>
        <v>0</v>
      </c>
      <c r="C365" s="60">
        <f t="shared" si="443"/>
        <v>0</v>
      </c>
      <c r="D365" s="23">
        <f t="shared" si="444"/>
        <v>0</v>
      </c>
      <c r="E365" s="24">
        <f t="shared" si="445"/>
        <v>0</v>
      </c>
      <c r="F365" s="25">
        <f t="shared" si="473"/>
        <v>0</v>
      </c>
      <c r="G365" s="23">
        <f t="shared" si="446"/>
        <v>0</v>
      </c>
      <c r="H365" s="24">
        <f t="shared" si="447"/>
        <v>0</v>
      </c>
      <c r="I365" s="25">
        <f t="shared" si="448"/>
        <v>0</v>
      </c>
      <c r="J365" s="23">
        <f t="shared" si="449"/>
        <v>0</v>
      </c>
      <c r="K365" s="24">
        <f t="shared" si="450"/>
        <v>0</v>
      </c>
      <c r="L365" s="25">
        <f t="shared" si="451"/>
        <v>0</v>
      </c>
      <c r="M365" s="23">
        <f t="shared" si="452"/>
        <v>0</v>
      </c>
      <c r="N365" s="24">
        <f t="shared" si="453"/>
        <v>0</v>
      </c>
      <c r="O365" s="25">
        <f t="shared" si="454"/>
        <v>0</v>
      </c>
      <c r="P365" s="23">
        <f t="shared" si="455"/>
        <v>0</v>
      </c>
      <c r="Q365" s="24">
        <f t="shared" si="456"/>
        <v>0</v>
      </c>
      <c r="R365" s="25">
        <f t="shared" si="457"/>
        <v>0</v>
      </c>
      <c r="S365" s="23">
        <f t="shared" si="458"/>
        <v>0</v>
      </c>
      <c r="T365" s="24">
        <f t="shared" si="459"/>
        <v>0</v>
      </c>
      <c r="U365" s="25">
        <f t="shared" si="460"/>
        <v>0</v>
      </c>
      <c r="V365" s="23">
        <f t="shared" si="461"/>
        <v>0</v>
      </c>
      <c r="W365" s="24">
        <f t="shared" si="462"/>
        <v>0</v>
      </c>
      <c r="X365" s="25">
        <f t="shared" si="463"/>
        <v>0</v>
      </c>
      <c r="Y365" s="23">
        <f t="shared" si="464"/>
        <v>0</v>
      </c>
      <c r="Z365" s="24">
        <f t="shared" si="465"/>
        <v>0</v>
      </c>
      <c r="AA365" s="25">
        <f t="shared" si="466"/>
        <v>0</v>
      </c>
      <c r="AB365" s="23">
        <f t="shared" si="467"/>
        <v>0</v>
      </c>
      <c r="AC365" s="24">
        <f t="shared" si="468"/>
        <v>0</v>
      </c>
      <c r="AD365" s="25">
        <f t="shared" si="469"/>
        <v>0</v>
      </c>
      <c r="AE365" s="23">
        <f t="shared" si="470"/>
        <v>0</v>
      </c>
      <c r="AF365" s="24">
        <f t="shared" si="471"/>
        <v>0</v>
      </c>
      <c r="AG365" s="25">
        <f t="shared" si="472"/>
        <v>0</v>
      </c>
      <c r="AH365" s="30"/>
    </row>
    <row r="366" spans="1:34" ht="18" customHeight="1" thickTop="1" thickBot="1" x14ac:dyDescent="0.3">
      <c r="A366" s="27">
        <v>264</v>
      </c>
      <c r="B366" s="28">
        <f t="shared" si="474"/>
        <v>0</v>
      </c>
      <c r="C366" s="60">
        <f t="shared" si="443"/>
        <v>0</v>
      </c>
      <c r="D366" s="23">
        <f t="shared" si="444"/>
        <v>0</v>
      </c>
      <c r="E366" s="24">
        <f t="shared" si="445"/>
        <v>0</v>
      </c>
      <c r="F366" s="25">
        <f t="shared" si="473"/>
        <v>0</v>
      </c>
      <c r="G366" s="23">
        <f t="shared" si="446"/>
        <v>0</v>
      </c>
      <c r="H366" s="24">
        <f t="shared" si="447"/>
        <v>0</v>
      </c>
      <c r="I366" s="25">
        <f t="shared" si="448"/>
        <v>0</v>
      </c>
      <c r="J366" s="23">
        <f t="shared" si="449"/>
        <v>0</v>
      </c>
      <c r="K366" s="24">
        <f t="shared" si="450"/>
        <v>0</v>
      </c>
      <c r="L366" s="25">
        <f t="shared" si="451"/>
        <v>0</v>
      </c>
      <c r="M366" s="23">
        <f t="shared" si="452"/>
        <v>0</v>
      </c>
      <c r="N366" s="24">
        <f t="shared" si="453"/>
        <v>0</v>
      </c>
      <c r="O366" s="25">
        <f t="shared" si="454"/>
        <v>0</v>
      </c>
      <c r="P366" s="23">
        <f t="shared" si="455"/>
        <v>0</v>
      </c>
      <c r="Q366" s="24">
        <f t="shared" si="456"/>
        <v>0</v>
      </c>
      <c r="R366" s="25">
        <f t="shared" si="457"/>
        <v>0</v>
      </c>
      <c r="S366" s="23">
        <f t="shared" si="458"/>
        <v>0</v>
      </c>
      <c r="T366" s="24">
        <f t="shared" si="459"/>
        <v>0</v>
      </c>
      <c r="U366" s="25">
        <f t="shared" si="460"/>
        <v>0</v>
      </c>
      <c r="V366" s="23">
        <f t="shared" si="461"/>
        <v>0</v>
      </c>
      <c r="W366" s="24">
        <f t="shared" si="462"/>
        <v>0</v>
      </c>
      <c r="X366" s="25">
        <f t="shared" si="463"/>
        <v>0</v>
      </c>
      <c r="Y366" s="23">
        <f t="shared" si="464"/>
        <v>0</v>
      </c>
      <c r="Z366" s="24">
        <f t="shared" si="465"/>
        <v>0</v>
      </c>
      <c r="AA366" s="25">
        <f t="shared" si="466"/>
        <v>0</v>
      </c>
      <c r="AB366" s="23">
        <f t="shared" si="467"/>
        <v>0</v>
      </c>
      <c r="AC366" s="24">
        <f t="shared" si="468"/>
        <v>0</v>
      </c>
      <c r="AD366" s="25">
        <f t="shared" si="469"/>
        <v>0</v>
      </c>
      <c r="AE366" s="23">
        <f t="shared" si="470"/>
        <v>0</v>
      </c>
      <c r="AF366" s="24">
        <f t="shared" si="471"/>
        <v>0</v>
      </c>
      <c r="AG366" s="25">
        <f t="shared" si="472"/>
        <v>0</v>
      </c>
      <c r="AH366" s="30"/>
    </row>
    <row r="367" spans="1:34" ht="18" customHeight="1" thickTop="1" thickBot="1" x14ac:dyDescent="0.3">
      <c r="A367" s="23">
        <v>265</v>
      </c>
      <c r="B367" s="28">
        <f t="shared" si="474"/>
        <v>0</v>
      </c>
      <c r="C367" s="60">
        <f t="shared" si="443"/>
        <v>0</v>
      </c>
      <c r="D367" s="23">
        <f t="shared" si="444"/>
        <v>0</v>
      </c>
      <c r="E367" s="24">
        <f t="shared" si="445"/>
        <v>0</v>
      </c>
      <c r="F367" s="25">
        <f t="shared" si="473"/>
        <v>0</v>
      </c>
      <c r="G367" s="23">
        <f t="shared" si="446"/>
        <v>0</v>
      </c>
      <c r="H367" s="24">
        <f t="shared" si="447"/>
        <v>0</v>
      </c>
      <c r="I367" s="25">
        <f t="shared" si="448"/>
        <v>0</v>
      </c>
      <c r="J367" s="23">
        <f t="shared" si="449"/>
        <v>0</v>
      </c>
      <c r="K367" s="24">
        <f t="shared" si="450"/>
        <v>0</v>
      </c>
      <c r="L367" s="25">
        <f t="shared" si="451"/>
        <v>0</v>
      </c>
      <c r="M367" s="23">
        <f t="shared" si="452"/>
        <v>0</v>
      </c>
      <c r="N367" s="24">
        <f t="shared" si="453"/>
        <v>0</v>
      </c>
      <c r="O367" s="25">
        <f t="shared" si="454"/>
        <v>0</v>
      </c>
      <c r="P367" s="23">
        <f t="shared" si="455"/>
        <v>0</v>
      </c>
      <c r="Q367" s="24">
        <f t="shared" si="456"/>
        <v>0</v>
      </c>
      <c r="R367" s="25">
        <f t="shared" si="457"/>
        <v>0</v>
      </c>
      <c r="S367" s="23">
        <f t="shared" si="458"/>
        <v>0</v>
      </c>
      <c r="T367" s="24">
        <f t="shared" si="459"/>
        <v>0</v>
      </c>
      <c r="U367" s="25">
        <f t="shared" si="460"/>
        <v>0</v>
      </c>
      <c r="V367" s="23">
        <f t="shared" si="461"/>
        <v>0</v>
      </c>
      <c r="W367" s="24">
        <f t="shared" si="462"/>
        <v>0</v>
      </c>
      <c r="X367" s="25">
        <f t="shared" si="463"/>
        <v>0</v>
      </c>
      <c r="Y367" s="23">
        <f t="shared" si="464"/>
        <v>0</v>
      </c>
      <c r="Z367" s="24">
        <f t="shared" si="465"/>
        <v>0</v>
      </c>
      <c r="AA367" s="25">
        <f t="shared" si="466"/>
        <v>0</v>
      </c>
      <c r="AB367" s="23">
        <f t="shared" si="467"/>
        <v>0</v>
      </c>
      <c r="AC367" s="24">
        <f t="shared" si="468"/>
        <v>0</v>
      </c>
      <c r="AD367" s="25">
        <f t="shared" si="469"/>
        <v>0</v>
      </c>
      <c r="AE367" s="23">
        <f t="shared" si="470"/>
        <v>0</v>
      </c>
      <c r="AF367" s="24">
        <f t="shared" si="471"/>
        <v>0</v>
      </c>
      <c r="AG367" s="25">
        <f t="shared" si="472"/>
        <v>0</v>
      </c>
      <c r="AH367" s="30"/>
    </row>
    <row r="368" spans="1:34" ht="18" customHeight="1" thickTop="1" thickBot="1" x14ac:dyDescent="0.3">
      <c r="A368" s="27">
        <v>266</v>
      </c>
      <c r="B368" s="28">
        <f t="shared" si="474"/>
        <v>0</v>
      </c>
      <c r="C368" s="60">
        <f t="shared" si="443"/>
        <v>0</v>
      </c>
      <c r="D368" s="23">
        <f t="shared" si="444"/>
        <v>0</v>
      </c>
      <c r="E368" s="24">
        <f t="shared" si="445"/>
        <v>0</v>
      </c>
      <c r="F368" s="25">
        <f t="shared" si="473"/>
        <v>0</v>
      </c>
      <c r="G368" s="23">
        <f t="shared" si="446"/>
        <v>0</v>
      </c>
      <c r="H368" s="24">
        <f t="shared" si="447"/>
        <v>0</v>
      </c>
      <c r="I368" s="25">
        <f t="shared" si="448"/>
        <v>0</v>
      </c>
      <c r="J368" s="23">
        <f t="shared" si="449"/>
        <v>0</v>
      </c>
      <c r="K368" s="24">
        <f t="shared" si="450"/>
        <v>0</v>
      </c>
      <c r="L368" s="25">
        <f t="shared" si="451"/>
        <v>0</v>
      </c>
      <c r="M368" s="23">
        <f t="shared" si="452"/>
        <v>0</v>
      </c>
      <c r="N368" s="24">
        <f t="shared" si="453"/>
        <v>0</v>
      </c>
      <c r="O368" s="25">
        <f t="shared" si="454"/>
        <v>0</v>
      </c>
      <c r="P368" s="23">
        <f t="shared" si="455"/>
        <v>0</v>
      </c>
      <c r="Q368" s="24">
        <f t="shared" si="456"/>
        <v>0</v>
      </c>
      <c r="R368" s="25">
        <f t="shared" si="457"/>
        <v>0</v>
      </c>
      <c r="S368" s="23">
        <f t="shared" si="458"/>
        <v>0</v>
      </c>
      <c r="T368" s="24">
        <f t="shared" si="459"/>
        <v>0</v>
      </c>
      <c r="U368" s="25">
        <f t="shared" si="460"/>
        <v>0</v>
      </c>
      <c r="V368" s="23">
        <f t="shared" si="461"/>
        <v>0</v>
      </c>
      <c r="W368" s="24">
        <f t="shared" si="462"/>
        <v>0</v>
      </c>
      <c r="X368" s="25">
        <f t="shared" si="463"/>
        <v>0</v>
      </c>
      <c r="Y368" s="23">
        <f t="shared" si="464"/>
        <v>0</v>
      </c>
      <c r="Z368" s="24">
        <f t="shared" si="465"/>
        <v>0</v>
      </c>
      <c r="AA368" s="25">
        <f t="shared" si="466"/>
        <v>0</v>
      </c>
      <c r="AB368" s="23">
        <f t="shared" si="467"/>
        <v>0</v>
      </c>
      <c r="AC368" s="24">
        <f t="shared" si="468"/>
        <v>0</v>
      </c>
      <c r="AD368" s="25">
        <f t="shared" si="469"/>
        <v>0</v>
      </c>
      <c r="AE368" s="23">
        <f t="shared" si="470"/>
        <v>0</v>
      </c>
      <c r="AF368" s="24">
        <f t="shared" si="471"/>
        <v>0</v>
      </c>
      <c r="AG368" s="25">
        <f t="shared" si="472"/>
        <v>0</v>
      </c>
      <c r="AH368" s="31"/>
    </row>
    <row r="369" spans="1:34" ht="18" customHeight="1" thickTop="1" thickBot="1" x14ac:dyDescent="0.3">
      <c r="A369" s="23">
        <v>267</v>
      </c>
      <c r="B369" s="28">
        <f t="shared" si="474"/>
        <v>0</v>
      </c>
      <c r="C369" s="60">
        <f t="shared" si="443"/>
        <v>0</v>
      </c>
      <c r="D369" s="23">
        <f t="shared" si="444"/>
        <v>0</v>
      </c>
      <c r="E369" s="24">
        <f t="shared" si="445"/>
        <v>0</v>
      </c>
      <c r="F369" s="25">
        <f t="shared" si="473"/>
        <v>0</v>
      </c>
      <c r="G369" s="23">
        <f t="shared" si="446"/>
        <v>0</v>
      </c>
      <c r="H369" s="24">
        <f t="shared" si="447"/>
        <v>0</v>
      </c>
      <c r="I369" s="25">
        <f t="shared" si="448"/>
        <v>0</v>
      </c>
      <c r="J369" s="23">
        <f t="shared" si="449"/>
        <v>0</v>
      </c>
      <c r="K369" s="24">
        <f t="shared" si="450"/>
        <v>0</v>
      </c>
      <c r="L369" s="25">
        <f t="shared" si="451"/>
        <v>0</v>
      </c>
      <c r="M369" s="23">
        <f t="shared" si="452"/>
        <v>0</v>
      </c>
      <c r="N369" s="24">
        <f t="shared" si="453"/>
        <v>0</v>
      </c>
      <c r="O369" s="25">
        <f t="shared" si="454"/>
        <v>0</v>
      </c>
      <c r="P369" s="23">
        <f t="shared" si="455"/>
        <v>0</v>
      </c>
      <c r="Q369" s="24">
        <f t="shared" si="456"/>
        <v>0</v>
      </c>
      <c r="R369" s="25">
        <f t="shared" si="457"/>
        <v>0</v>
      </c>
      <c r="S369" s="23">
        <f t="shared" si="458"/>
        <v>0</v>
      </c>
      <c r="T369" s="24">
        <f t="shared" si="459"/>
        <v>0</v>
      </c>
      <c r="U369" s="25">
        <f t="shared" si="460"/>
        <v>0</v>
      </c>
      <c r="V369" s="23">
        <f t="shared" si="461"/>
        <v>0</v>
      </c>
      <c r="W369" s="24">
        <f t="shared" si="462"/>
        <v>0</v>
      </c>
      <c r="X369" s="25">
        <f t="shared" si="463"/>
        <v>0</v>
      </c>
      <c r="Y369" s="23">
        <f t="shared" si="464"/>
        <v>0</v>
      </c>
      <c r="Z369" s="24">
        <f t="shared" si="465"/>
        <v>0</v>
      </c>
      <c r="AA369" s="25">
        <f t="shared" si="466"/>
        <v>0</v>
      </c>
      <c r="AB369" s="23">
        <f t="shared" si="467"/>
        <v>0</v>
      </c>
      <c r="AC369" s="24">
        <f t="shared" si="468"/>
        <v>0</v>
      </c>
      <c r="AD369" s="25">
        <f t="shared" si="469"/>
        <v>0</v>
      </c>
      <c r="AE369" s="23">
        <f t="shared" si="470"/>
        <v>0</v>
      </c>
      <c r="AF369" s="24">
        <f t="shared" si="471"/>
        <v>0</v>
      </c>
      <c r="AG369" s="25">
        <f t="shared" si="472"/>
        <v>0</v>
      </c>
      <c r="AH369" s="32"/>
    </row>
    <row r="370" spans="1:34" ht="18" customHeight="1" thickTop="1" thickBot="1" x14ac:dyDescent="0.3">
      <c r="A370" s="27">
        <v>268</v>
      </c>
      <c r="B370" s="28">
        <f t="shared" si="474"/>
        <v>0</v>
      </c>
      <c r="C370" s="60">
        <f t="shared" si="443"/>
        <v>0</v>
      </c>
      <c r="D370" s="23">
        <f t="shared" si="444"/>
        <v>0</v>
      </c>
      <c r="E370" s="24">
        <f t="shared" si="445"/>
        <v>0</v>
      </c>
      <c r="F370" s="25">
        <f t="shared" si="473"/>
        <v>0</v>
      </c>
      <c r="G370" s="23">
        <f t="shared" si="446"/>
        <v>0</v>
      </c>
      <c r="H370" s="24">
        <f t="shared" si="447"/>
        <v>0</v>
      </c>
      <c r="I370" s="25">
        <f t="shared" si="448"/>
        <v>0</v>
      </c>
      <c r="J370" s="23">
        <f t="shared" si="449"/>
        <v>0</v>
      </c>
      <c r="K370" s="24">
        <f t="shared" si="450"/>
        <v>0</v>
      </c>
      <c r="L370" s="25">
        <f t="shared" si="451"/>
        <v>0</v>
      </c>
      <c r="M370" s="23">
        <f t="shared" si="452"/>
        <v>0</v>
      </c>
      <c r="N370" s="24">
        <f t="shared" si="453"/>
        <v>0</v>
      </c>
      <c r="O370" s="25">
        <f t="shared" si="454"/>
        <v>0</v>
      </c>
      <c r="P370" s="23">
        <f t="shared" si="455"/>
        <v>0</v>
      </c>
      <c r="Q370" s="24">
        <f t="shared" si="456"/>
        <v>0</v>
      </c>
      <c r="R370" s="25">
        <f t="shared" si="457"/>
        <v>0</v>
      </c>
      <c r="S370" s="23">
        <f t="shared" si="458"/>
        <v>0</v>
      </c>
      <c r="T370" s="24">
        <f t="shared" si="459"/>
        <v>0</v>
      </c>
      <c r="U370" s="25">
        <f t="shared" si="460"/>
        <v>0</v>
      </c>
      <c r="V370" s="23">
        <f t="shared" si="461"/>
        <v>0</v>
      </c>
      <c r="W370" s="24">
        <f t="shared" si="462"/>
        <v>0</v>
      </c>
      <c r="X370" s="25">
        <f t="shared" si="463"/>
        <v>0</v>
      </c>
      <c r="Y370" s="23">
        <f t="shared" si="464"/>
        <v>0</v>
      </c>
      <c r="Z370" s="24">
        <f t="shared" si="465"/>
        <v>0</v>
      </c>
      <c r="AA370" s="25">
        <f t="shared" si="466"/>
        <v>0</v>
      </c>
      <c r="AB370" s="23">
        <f t="shared" si="467"/>
        <v>0</v>
      </c>
      <c r="AC370" s="24">
        <f t="shared" si="468"/>
        <v>0</v>
      </c>
      <c r="AD370" s="25">
        <f t="shared" si="469"/>
        <v>0</v>
      </c>
      <c r="AE370" s="23">
        <f t="shared" si="470"/>
        <v>0</v>
      </c>
      <c r="AF370" s="24">
        <f t="shared" si="471"/>
        <v>0</v>
      </c>
      <c r="AG370" s="25">
        <f t="shared" si="472"/>
        <v>0</v>
      </c>
      <c r="AH370" s="29"/>
    </row>
    <row r="371" spans="1:34" ht="18" customHeight="1" thickTop="1" thickBot="1" x14ac:dyDescent="0.3">
      <c r="A371" s="23">
        <v>269</v>
      </c>
      <c r="B371" s="28">
        <f t="shared" si="474"/>
        <v>0</v>
      </c>
      <c r="C371" s="60">
        <f t="shared" si="443"/>
        <v>0</v>
      </c>
      <c r="D371" s="23">
        <f t="shared" si="444"/>
        <v>0</v>
      </c>
      <c r="E371" s="24">
        <f t="shared" si="445"/>
        <v>0</v>
      </c>
      <c r="F371" s="25">
        <f t="shared" si="473"/>
        <v>0</v>
      </c>
      <c r="G371" s="23">
        <f t="shared" si="446"/>
        <v>0</v>
      </c>
      <c r="H371" s="24">
        <f t="shared" si="447"/>
        <v>0</v>
      </c>
      <c r="I371" s="25">
        <f t="shared" si="448"/>
        <v>0</v>
      </c>
      <c r="J371" s="23">
        <f t="shared" si="449"/>
        <v>0</v>
      </c>
      <c r="K371" s="24">
        <f t="shared" si="450"/>
        <v>0</v>
      </c>
      <c r="L371" s="25">
        <f t="shared" si="451"/>
        <v>0</v>
      </c>
      <c r="M371" s="23">
        <f t="shared" si="452"/>
        <v>0</v>
      </c>
      <c r="N371" s="24">
        <f t="shared" si="453"/>
        <v>0</v>
      </c>
      <c r="O371" s="25">
        <f t="shared" si="454"/>
        <v>0</v>
      </c>
      <c r="P371" s="23">
        <f t="shared" si="455"/>
        <v>0</v>
      </c>
      <c r="Q371" s="24">
        <f t="shared" si="456"/>
        <v>0</v>
      </c>
      <c r="R371" s="25">
        <f t="shared" si="457"/>
        <v>0</v>
      </c>
      <c r="S371" s="23">
        <f t="shared" si="458"/>
        <v>0</v>
      </c>
      <c r="T371" s="24">
        <f t="shared" si="459"/>
        <v>0</v>
      </c>
      <c r="U371" s="25">
        <f t="shared" si="460"/>
        <v>0</v>
      </c>
      <c r="V371" s="23">
        <f t="shared" si="461"/>
        <v>0</v>
      </c>
      <c r="W371" s="24">
        <f t="shared" si="462"/>
        <v>0</v>
      </c>
      <c r="X371" s="25">
        <f t="shared" si="463"/>
        <v>0</v>
      </c>
      <c r="Y371" s="23">
        <f t="shared" si="464"/>
        <v>0</v>
      </c>
      <c r="Z371" s="24">
        <f t="shared" si="465"/>
        <v>0</v>
      </c>
      <c r="AA371" s="25">
        <f t="shared" si="466"/>
        <v>0</v>
      </c>
      <c r="AB371" s="23">
        <f t="shared" si="467"/>
        <v>0</v>
      </c>
      <c r="AC371" s="24">
        <f t="shared" si="468"/>
        <v>0</v>
      </c>
      <c r="AD371" s="25">
        <f t="shared" si="469"/>
        <v>0</v>
      </c>
      <c r="AE371" s="23">
        <f t="shared" si="470"/>
        <v>0</v>
      </c>
      <c r="AF371" s="24">
        <f t="shared" si="471"/>
        <v>0</v>
      </c>
      <c r="AG371" s="25">
        <f t="shared" si="472"/>
        <v>0</v>
      </c>
      <c r="AH371" s="31"/>
    </row>
    <row r="372" spans="1:34" ht="18" customHeight="1" thickTop="1" thickBot="1" x14ac:dyDescent="0.3">
      <c r="A372" s="27">
        <v>270</v>
      </c>
      <c r="B372" s="28">
        <f t="shared" si="474"/>
        <v>0</v>
      </c>
      <c r="C372" s="60">
        <f t="shared" si="443"/>
        <v>0</v>
      </c>
      <c r="D372" s="23">
        <f t="shared" si="444"/>
        <v>0</v>
      </c>
      <c r="E372" s="24">
        <f t="shared" si="445"/>
        <v>0</v>
      </c>
      <c r="F372" s="25">
        <f t="shared" si="473"/>
        <v>0</v>
      </c>
      <c r="G372" s="23">
        <f t="shared" si="446"/>
        <v>0</v>
      </c>
      <c r="H372" s="24">
        <f t="shared" si="447"/>
        <v>0</v>
      </c>
      <c r="I372" s="25">
        <f t="shared" si="448"/>
        <v>0</v>
      </c>
      <c r="J372" s="23">
        <f t="shared" si="449"/>
        <v>0</v>
      </c>
      <c r="K372" s="24">
        <f t="shared" si="450"/>
        <v>0</v>
      </c>
      <c r="L372" s="25">
        <f t="shared" si="451"/>
        <v>0</v>
      </c>
      <c r="M372" s="23">
        <f t="shared" si="452"/>
        <v>0</v>
      </c>
      <c r="N372" s="24">
        <f t="shared" si="453"/>
        <v>0</v>
      </c>
      <c r="O372" s="25">
        <f t="shared" si="454"/>
        <v>0</v>
      </c>
      <c r="P372" s="23">
        <f t="shared" si="455"/>
        <v>0</v>
      </c>
      <c r="Q372" s="24">
        <f t="shared" si="456"/>
        <v>0</v>
      </c>
      <c r="R372" s="25">
        <f t="shared" si="457"/>
        <v>0</v>
      </c>
      <c r="S372" s="23">
        <f t="shared" si="458"/>
        <v>0</v>
      </c>
      <c r="T372" s="24">
        <f t="shared" si="459"/>
        <v>0</v>
      </c>
      <c r="U372" s="25">
        <f t="shared" si="460"/>
        <v>0</v>
      </c>
      <c r="V372" s="23">
        <f t="shared" si="461"/>
        <v>0</v>
      </c>
      <c r="W372" s="24">
        <f t="shared" si="462"/>
        <v>0</v>
      </c>
      <c r="X372" s="25">
        <f t="shared" si="463"/>
        <v>0</v>
      </c>
      <c r="Y372" s="23">
        <f t="shared" si="464"/>
        <v>0</v>
      </c>
      <c r="Z372" s="24">
        <f t="shared" si="465"/>
        <v>0</v>
      </c>
      <c r="AA372" s="25">
        <f t="shared" si="466"/>
        <v>0</v>
      </c>
      <c r="AB372" s="23">
        <f t="shared" si="467"/>
        <v>0</v>
      </c>
      <c r="AC372" s="24">
        <f t="shared" si="468"/>
        <v>0</v>
      </c>
      <c r="AD372" s="25">
        <f t="shared" si="469"/>
        <v>0</v>
      </c>
      <c r="AE372" s="23">
        <f t="shared" si="470"/>
        <v>0</v>
      </c>
      <c r="AF372" s="24">
        <f t="shared" si="471"/>
        <v>0</v>
      </c>
      <c r="AG372" s="25">
        <f t="shared" si="472"/>
        <v>0</v>
      </c>
      <c r="AH372" s="33"/>
    </row>
    <row r="373" spans="1:34" ht="18" customHeight="1" thickTop="1" thickBot="1" x14ac:dyDescent="0.3">
      <c r="A373" s="23">
        <v>271</v>
      </c>
      <c r="B373" s="28">
        <f t="shared" si="474"/>
        <v>0</v>
      </c>
      <c r="C373" s="60">
        <f t="shared" si="443"/>
        <v>0</v>
      </c>
      <c r="D373" s="23">
        <f t="shared" si="444"/>
        <v>0</v>
      </c>
      <c r="E373" s="24">
        <f t="shared" si="445"/>
        <v>0</v>
      </c>
      <c r="F373" s="25">
        <f t="shared" si="473"/>
        <v>0</v>
      </c>
      <c r="G373" s="23">
        <f t="shared" si="446"/>
        <v>0</v>
      </c>
      <c r="H373" s="24">
        <f t="shared" si="447"/>
        <v>0</v>
      </c>
      <c r="I373" s="25">
        <f t="shared" si="448"/>
        <v>0</v>
      </c>
      <c r="J373" s="23">
        <f t="shared" si="449"/>
        <v>0</v>
      </c>
      <c r="K373" s="24">
        <f t="shared" si="450"/>
        <v>0</v>
      </c>
      <c r="L373" s="25">
        <f t="shared" si="451"/>
        <v>0</v>
      </c>
      <c r="M373" s="23">
        <f t="shared" si="452"/>
        <v>0</v>
      </c>
      <c r="N373" s="24">
        <f t="shared" si="453"/>
        <v>0</v>
      </c>
      <c r="O373" s="25">
        <f t="shared" si="454"/>
        <v>0</v>
      </c>
      <c r="P373" s="23">
        <f t="shared" si="455"/>
        <v>0</v>
      </c>
      <c r="Q373" s="24">
        <f t="shared" si="456"/>
        <v>0</v>
      </c>
      <c r="R373" s="25">
        <f t="shared" si="457"/>
        <v>0</v>
      </c>
      <c r="S373" s="23">
        <f t="shared" si="458"/>
        <v>0</v>
      </c>
      <c r="T373" s="24">
        <f t="shared" si="459"/>
        <v>0</v>
      </c>
      <c r="U373" s="25">
        <f t="shared" si="460"/>
        <v>0</v>
      </c>
      <c r="V373" s="23">
        <f t="shared" si="461"/>
        <v>0</v>
      </c>
      <c r="W373" s="24">
        <f t="shared" si="462"/>
        <v>0</v>
      </c>
      <c r="X373" s="25">
        <f t="shared" si="463"/>
        <v>0</v>
      </c>
      <c r="Y373" s="23">
        <f t="shared" si="464"/>
        <v>0</v>
      </c>
      <c r="Z373" s="24">
        <f t="shared" si="465"/>
        <v>0</v>
      </c>
      <c r="AA373" s="25">
        <f t="shared" si="466"/>
        <v>0</v>
      </c>
      <c r="AB373" s="23">
        <f t="shared" si="467"/>
        <v>0</v>
      </c>
      <c r="AC373" s="24">
        <f t="shared" si="468"/>
        <v>0</v>
      </c>
      <c r="AD373" s="25">
        <f t="shared" si="469"/>
        <v>0</v>
      </c>
      <c r="AE373" s="23">
        <f t="shared" si="470"/>
        <v>0</v>
      </c>
      <c r="AF373" s="24">
        <f t="shared" si="471"/>
        <v>0</v>
      </c>
      <c r="AG373" s="25">
        <f t="shared" si="472"/>
        <v>0</v>
      </c>
      <c r="AH373" s="29"/>
    </row>
    <row r="374" spans="1:34" ht="18" customHeight="1" thickTop="1" thickBot="1" x14ac:dyDescent="0.3">
      <c r="A374" s="27">
        <v>272</v>
      </c>
      <c r="B374" s="28">
        <f t="shared" si="474"/>
        <v>0</v>
      </c>
      <c r="C374" s="60">
        <f t="shared" si="443"/>
        <v>0</v>
      </c>
      <c r="D374" s="23">
        <f t="shared" si="444"/>
        <v>0</v>
      </c>
      <c r="E374" s="24">
        <f t="shared" si="445"/>
        <v>0</v>
      </c>
      <c r="F374" s="25">
        <f t="shared" si="473"/>
        <v>0</v>
      </c>
      <c r="G374" s="23">
        <f t="shared" si="446"/>
        <v>0</v>
      </c>
      <c r="H374" s="24">
        <f t="shared" si="447"/>
        <v>0</v>
      </c>
      <c r="I374" s="25">
        <f t="shared" si="448"/>
        <v>0</v>
      </c>
      <c r="J374" s="23">
        <f t="shared" si="449"/>
        <v>0</v>
      </c>
      <c r="K374" s="24">
        <f t="shared" si="450"/>
        <v>0</v>
      </c>
      <c r="L374" s="25">
        <f t="shared" si="451"/>
        <v>0</v>
      </c>
      <c r="M374" s="23">
        <f t="shared" si="452"/>
        <v>0</v>
      </c>
      <c r="N374" s="24">
        <f t="shared" si="453"/>
        <v>0</v>
      </c>
      <c r="O374" s="25">
        <f t="shared" si="454"/>
        <v>0</v>
      </c>
      <c r="P374" s="23">
        <f t="shared" si="455"/>
        <v>0</v>
      </c>
      <c r="Q374" s="24">
        <f t="shared" si="456"/>
        <v>0</v>
      </c>
      <c r="R374" s="25">
        <f t="shared" si="457"/>
        <v>0</v>
      </c>
      <c r="S374" s="23">
        <f t="shared" si="458"/>
        <v>0</v>
      </c>
      <c r="T374" s="24">
        <f t="shared" si="459"/>
        <v>0</v>
      </c>
      <c r="U374" s="25">
        <f t="shared" si="460"/>
        <v>0</v>
      </c>
      <c r="V374" s="23">
        <f t="shared" si="461"/>
        <v>0</v>
      </c>
      <c r="W374" s="24">
        <f t="shared" si="462"/>
        <v>0</v>
      </c>
      <c r="X374" s="25">
        <f t="shared" si="463"/>
        <v>0</v>
      </c>
      <c r="Y374" s="23">
        <f t="shared" si="464"/>
        <v>0</v>
      </c>
      <c r="Z374" s="24">
        <f t="shared" si="465"/>
        <v>0</v>
      </c>
      <c r="AA374" s="25">
        <f t="shared" si="466"/>
        <v>0</v>
      </c>
      <c r="AB374" s="23">
        <f t="shared" si="467"/>
        <v>0</v>
      </c>
      <c r="AC374" s="24">
        <f t="shared" si="468"/>
        <v>0</v>
      </c>
      <c r="AD374" s="25">
        <f t="shared" si="469"/>
        <v>0</v>
      </c>
      <c r="AE374" s="23">
        <f t="shared" si="470"/>
        <v>0</v>
      </c>
      <c r="AF374" s="24">
        <f t="shared" si="471"/>
        <v>0</v>
      </c>
      <c r="AG374" s="25">
        <f t="shared" si="472"/>
        <v>0</v>
      </c>
      <c r="AH374" s="31"/>
    </row>
    <row r="375" spans="1:34" ht="18" customHeight="1" thickTop="1" thickBot="1" x14ac:dyDescent="0.3">
      <c r="A375" s="23">
        <v>273</v>
      </c>
      <c r="B375" s="28">
        <f t="shared" si="474"/>
        <v>0</v>
      </c>
      <c r="C375" s="60">
        <f t="shared" si="443"/>
        <v>0</v>
      </c>
      <c r="D375" s="23">
        <f t="shared" si="444"/>
        <v>0</v>
      </c>
      <c r="E375" s="24">
        <f t="shared" si="445"/>
        <v>0</v>
      </c>
      <c r="F375" s="25">
        <f t="shared" si="473"/>
        <v>0</v>
      </c>
      <c r="G375" s="23">
        <f t="shared" si="446"/>
        <v>0</v>
      </c>
      <c r="H375" s="24">
        <f t="shared" si="447"/>
        <v>0</v>
      </c>
      <c r="I375" s="25">
        <f t="shared" si="448"/>
        <v>0</v>
      </c>
      <c r="J375" s="23">
        <f t="shared" si="449"/>
        <v>0</v>
      </c>
      <c r="K375" s="24">
        <f t="shared" si="450"/>
        <v>0</v>
      </c>
      <c r="L375" s="25">
        <f t="shared" si="451"/>
        <v>0</v>
      </c>
      <c r="M375" s="23">
        <f t="shared" si="452"/>
        <v>0</v>
      </c>
      <c r="N375" s="24">
        <f t="shared" si="453"/>
        <v>0</v>
      </c>
      <c r="O375" s="25">
        <f t="shared" si="454"/>
        <v>0</v>
      </c>
      <c r="P375" s="23">
        <f t="shared" si="455"/>
        <v>0</v>
      </c>
      <c r="Q375" s="24">
        <f t="shared" si="456"/>
        <v>0</v>
      </c>
      <c r="R375" s="25">
        <f t="shared" si="457"/>
        <v>0</v>
      </c>
      <c r="S375" s="23">
        <f t="shared" si="458"/>
        <v>0</v>
      </c>
      <c r="T375" s="24">
        <f t="shared" si="459"/>
        <v>0</v>
      </c>
      <c r="U375" s="25">
        <f t="shared" si="460"/>
        <v>0</v>
      </c>
      <c r="V375" s="23">
        <f t="shared" si="461"/>
        <v>0</v>
      </c>
      <c r="W375" s="24">
        <f t="shared" si="462"/>
        <v>0</v>
      </c>
      <c r="X375" s="25">
        <f t="shared" si="463"/>
        <v>0</v>
      </c>
      <c r="Y375" s="23">
        <f t="shared" si="464"/>
        <v>0</v>
      </c>
      <c r="Z375" s="24">
        <f t="shared" si="465"/>
        <v>0</v>
      </c>
      <c r="AA375" s="25">
        <f t="shared" si="466"/>
        <v>0</v>
      </c>
      <c r="AB375" s="23">
        <f t="shared" si="467"/>
        <v>0</v>
      </c>
      <c r="AC375" s="24">
        <f t="shared" si="468"/>
        <v>0</v>
      </c>
      <c r="AD375" s="25">
        <f t="shared" si="469"/>
        <v>0</v>
      </c>
      <c r="AE375" s="23">
        <f t="shared" si="470"/>
        <v>0</v>
      </c>
      <c r="AF375" s="24">
        <f t="shared" si="471"/>
        <v>0</v>
      </c>
      <c r="AG375" s="25">
        <f t="shared" si="472"/>
        <v>0</v>
      </c>
      <c r="AH375" s="33"/>
    </row>
    <row r="376" spans="1:34" ht="18" customHeight="1" thickTop="1" thickBot="1" x14ac:dyDescent="0.3">
      <c r="A376" s="27">
        <v>274</v>
      </c>
      <c r="B376" s="28">
        <f t="shared" si="474"/>
        <v>0</v>
      </c>
      <c r="C376" s="60">
        <f t="shared" si="443"/>
        <v>0</v>
      </c>
      <c r="D376" s="23">
        <f t="shared" si="444"/>
        <v>0</v>
      </c>
      <c r="E376" s="24">
        <f t="shared" si="445"/>
        <v>0</v>
      </c>
      <c r="F376" s="25">
        <f t="shared" si="473"/>
        <v>0</v>
      </c>
      <c r="G376" s="23">
        <f t="shared" si="446"/>
        <v>0</v>
      </c>
      <c r="H376" s="24">
        <f t="shared" si="447"/>
        <v>0</v>
      </c>
      <c r="I376" s="25">
        <f t="shared" si="448"/>
        <v>0</v>
      </c>
      <c r="J376" s="23">
        <f t="shared" si="449"/>
        <v>0</v>
      </c>
      <c r="K376" s="24">
        <f t="shared" si="450"/>
        <v>0</v>
      </c>
      <c r="L376" s="25">
        <f t="shared" si="451"/>
        <v>0</v>
      </c>
      <c r="M376" s="23">
        <f t="shared" si="452"/>
        <v>0</v>
      </c>
      <c r="N376" s="24">
        <f t="shared" si="453"/>
        <v>0</v>
      </c>
      <c r="O376" s="25">
        <f t="shared" si="454"/>
        <v>0</v>
      </c>
      <c r="P376" s="23">
        <f t="shared" si="455"/>
        <v>0</v>
      </c>
      <c r="Q376" s="24">
        <f t="shared" si="456"/>
        <v>0</v>
      </c>
      <c r="R376" s="25">
        <f t="shared" si="457"/>
        <v>0</v>
      </c>
      <c r="S376" s="23">
        <f t="shared" si="458"/>
        <v>0</v>
      </c>
      <c r="T376" s="24">
        <f t="shared" si="459"/>
        <v>0</v>
      </c>
      <c r="U376" s="25">
        <f t="shared" si="460"/>
        <v>0</v>
      </c>
      <c r="V376" s="23">
        <f t="shared" si="461"/>
        <v>0</v>
      </c>
      <c r="W376" s="24">
        <f t="shared" si="462"/>
        <v>0</v>
      </c>
      <c r="X376" s="25">
        <f t="shared" si="463"/>
        <v>0</v>
      </c>
      <c r="Y376" s="23">
        <f t="shared" si="464"/>
        <v>0</v>
      </c>
      <c r="Z376" s="24">
        <f t="shared" si="465"/>
        <v>0</v>
      </c>
      <c r="AA376" s="25">
        <f t="shared" si="466"/>
        <v>0</v>
      </c>
      <c r="AB376" s="23">
        <f t="shared" si="467"/>
        <v>0</v>
      </c>
      <c r="AC376" s="24">
        <f t="shared" si="468"/>
        <v>0</v>
      </c>
      <c r="AD376" s="25">
        <f t="shared" si="469"/>
        <v>0</v>
      </c>
      <c r="AE376" s="23">
        <f t="shared" si="470"/>
        <v>0</v>
      </c>
      <c r="AF376" s="24">
        <f t="shared" si="471"/>
        <v>0</v>
      </c>
      <c r="AG376" s="25">
        <f t="shared" si="472"/>
        <v>0</v>
      </c>
      <c r="AH376" s="29"/>
    </row>
    <row r="377" spans="1:34" ht="18" customHeight="1" thickTop="1" thickBot="1" x14ac:dyDescent="0.3">
      <c r="A377" s="23">
        <v>275</v>
      </c>
      <c r="B377" s="28">
        <f t="shared" si="474"/>
        <v>0</v>
      </c>
      <c r="C377" s="60">
        <f t="shared" si="443"/>
        <v>0</v>
      </c>
      <c r="D377" s="23">
        <f t="shared" si="444"/>
        <v>0</v>
      </c>
      <c r="E377" s="24">
        <f t="shared" si="445"/>
        <v>0</v>
      </c>
      <c r="F377" s="25">
        <f t="shared" si="473"/>
        <v>0</v>
      </c>
      <c r="G377" s="23">
        <f t="shared" si="446"/>
        <v>0</v>
      </c>
      <c r="H377" s="24">
        <f t="shared" si="447"/>
        <v>0</v>
      </c>
      <c r="I377" s="25">
        <f t="shared" si="448"/>
        <v>0</v>
      </c>
      <c r="J377" s="23">
        <f t="shared" si="449"/>
        <v>0</v>
      </c>
      <c r="K377" s="24">
        <f t="shared" si="450"/>
        <v>0</v>
      </c>
      <c r="L377" s="25">
        <f t="shared" si="451"/>
        <v>0</v>
      </c>
      <c r="M377" s="23">
        <f t="shared" si="452"/>
        <v>0</v>
      </c>
      <c r="N377" s="24">
        <f t="shared" si="453"/>
        <v>0</v>
      </c>
      <c r="O377" s="25">
        <f t="shared" si="454"/>
        <v>0</v>
      </c>
      <c r="P377" s="23">
        <f t="shared" si="455"/>
        <v>0</v>
      </c>
      <c r="Q377" s="24">
        <f t="shared" si="456"/>
        <v>0</v>
      </c>
      <c r="R377" s="25">
        <f t="shared" si="457"/>
        <v>0</v>
      </c>
      <c r="S377" s="23">
        <f t="shared" si="458"/>
        <v>0</v>
      </c>
      <c r="T377" s="24">
        <f t="shared" si="459"/>
        <v>0</v>
      </c>
      <c r="U377" s="25">
        <f t="shared" si="460"/>
        <v>0</v>
      </c>
      <c r="V377" s="23">
        <f t="shared" si="461"/>
        <v>0</v>
      </c>
      <c r="W377" s="24">
        <f t="shared" si="462"/>
        <v>0</v>
      </c>
      <c r="X377" s="25">
        <f t="shared" si="463"/>
        <v>0</v>
      </c>
      <c r="Y377" s="23">
        <f t="shared" si="464"/>
        <v>0</v>
      </c>
      <c r="Z377" s="24">
        <f t="shared" si="465"/>
        <v>0</v>
      </c>
      <c r="AA377" s="25">
        <f t="shared" si="466"/>
        <v>0</v>
      </c>
      <c r="AB377" s="23">
        <f t="shared" si="467"/>
        <v>0</v>
      </c>
      <c r="AC377" s="24">
        <f t="shared" si="468"/>
        <v>0</v>
      </c>
      <c r="AD377" s="25">
        <f t="shared" si="469"/>
        <v>0</v>
      </c>
      <c r="AE377" s="23">
        <f t="shared" si="470"/>
        <v>0</v>
      </c>
      <c r="AF377" s="24">
        <f t="shared" si="471"/>
        <v>0</v>
      </c>
      <c r="AG377" s="25">
        <f t="shared" si="472"/>
        <v>0</v>
      </c>
      <c r="AH377" s="31"/>
    </row>
    <row r="378" spans="1:34" ht="18" customHeight="1" thickTop="1" thickBot="1" x14ac:dyDescent="0.3">
      <c r="A378" s="27">
        <v>276</v>
      </c>
      <c r="B378" s="28">
        <f t="shared" si="474"/>
        <v>0</v>
      </c>
      <c r="C378" s="60">
        <f t="shared" si="443"/>
        <v>0</v>
      </c>
      <c r="D378" s="23">
        <f t="shared" si="444"/>
        <v>0</v>
      </c>
      <c r="E378" s="24">
        <f t="shared" si="445"/>
        <v>0</v>
      </c>
      <c r="F378" s="25">
        <f t="shared" si="473"/>
        <v>0</v>
      </c>
      <c r="G378" s="23">
        <f t="shared" si="446"/>
        <v>0</v>
      </c>
      <c r="H378" s="24">
        <f t="shared" si="447"/>
        <v>0</v>
      </c>
      <c r="I378" s="25">
        <f t="shared" si="448"/>
        <v>0</v>
      </c>
      <c r="J378" s="23">
        <f t="shared" si="449"/>
        <v>0</v>
      </c>
      <c r="K378" s="24">
        <f t="shared" si="450"/>
        <v>0</v>
      </c>
      <c r="L378" s="25">
        <f t="shared" si="451"/>
        <v>0</v>
      </c>
      <c r="M378" s="23">
        <f t="shared" si="452"/>
        <v>0</v>
      </c>
      <c r="N378" s="24">
        <f t="shared" si="453"/>
        <v>0</v>
      </c>
      <c r="O378" s="25">
        <f t="shared" si="454"/>
        <v>0</v>
      </c>
      <c r="P378" s="23">
        <f t="shared" si="455"/>
        <v>0</v>
      </c>
      <c r="Q378" s="24">
        <f t="shared" si="456"/>
        <v>0</v>
      </c>
      <c r="R378" s="25">
        <f t="shared" si="457"/>
        <v>0</v>
      </c>
      <c r="S378" s="23">
        <f t="shared" si="458"/>
        <v>0</v>
      </c>
      <c r="T378" s="24">
        <f t="shared" si="459"/>
        <v>0</v>
      </c>
      <c r="U378" s="25">
        <f t="shared" si="460"/>
        <v>0</v>
      </c>
      <c r="V378" s="23">
        <f t="shared" si="461"/>
        <v>0</v>
      </c>
      <c r="W378" s="24">
        <f t="shared" si="462"/>
        <v>0</v>
      </c>
      <c r="X378" s="25">
        <f t="shared" si="463"/>
        <v>0</v>
      </c>
      <c r="Y378" s="23">
        <f t="shared" si="464"/>
        <v>0</v>
      </c>
      <c r="Z378" s="24">
        <f t="shared" si="465"/>
        <v>0</v>
      </c>
      <c r="AA378" s="25">
        <f t="shared" si="466"/>
        <v>0</v>
      </c>
      <c r="AB378" s="23">
        <f t="shared" si="467"/>
        <v>0</v>
      </c>
      <c r="AC378" s="24">
        <f t="shared" si="468"/>
        <v>0</v>
      </c>
      <c r="AD378" s="25">
        <f t="shared" si="469"/>
        <v>0</v>
      </c>
      <c r="AE378" s="23">
        <f t="shared" si="470"/>
        <v>0</v>
      </c>
      <c r="AF378" s="24">
        <f t="shared" si="471"/>
        <v>0</v>
      </c>
      <c r="AG378" s="25">
        <f t="shared" si="472"/>
        <v>0</v>
      </c>
      <c r="AH378" s="29"/>
    </row>
    <row r="379" spans="1:34" ht="18" customHeight="1" thickTop="1" thickBot="1" x14ac:dyDescent="0.3">
      <c r="A379" s="23">
        <v>277</v>
      </c>
      <c r="B379" s="28">
        <f t="shared" si="474"/>
        <v>0</v>
      </c>
      <c r="C379" s="60">
        <f t="shared" si="443"/>
        <v>0</v>
      </c>
      <c r="D379" s="23">
        <f t="shared" si="444"/>
        <v>0</v>
      </c>
      <c r="E379" s="24">
        <f t="shared" si="445"/>
        <v>0</v>
      </c>
      <c r="F379" s="25">
        <f t="shared" si="473"/>
        <v>0</v>
      </c>
      <c r="G379" s="23">
        <f t="shared" si="446"/>
        <v>0</v>
      </c>
      <c r="H379" s="24">
        <f t="shared" si="447"/>
        <v>0</v>
      </c>
      <c r="I379" s="25">
        <f t="shared" si="448"/>
        <v>0</v>
      </c>
      <c r="J379" s="23">
        <f t="shared" si="449"/>
        <v>0</v>
      </c>
      <c r="K379" s="24">
        <f t="shared" si="450"/>
        <v>0</v>
      </c>
      <c r="L379" s="25">
        <f t="shared" si="451"/>
        <v>0</v>
      </c>
      <c r="M379" s="23">
        <f t="shared" si="452"/>
        <v>0</v>
      </c>
      <c r="N379" s="24">
        <f t="shared" si="453"/>
        <v>0</v>
      </c>
      <c r="O379" s="25">
        <f t="shared" si="454"/>
        <v>0</v>
      </c>
      <c r="P379" s="23">
        <f t="shared" si="455"/>
        <v>0</v>
      </c>
      <c r="Q379" s="24">
        <f t="shared" si="456"/>
        <v>0</v>
      </c>
      <c r="R379" s="25">
        <f t="shared" si="457"/>
        <v>0</v>
      </c>
      <c r="S379" s="23">
        <f t="shared" si="458"/>
        <v>0</v>
      </c>
      <c r="T379" s="24">
        <f t="shared" si="459"/>
        <v>0</v>
      </c>
      <c r="U379" s="25">
        <f t="shared" si="460"/>
        <v>0</v>
      </c>
      <c r="V379" s="23">
        <f t="shared" si="461"/>
        <v>0</v>
      </c>
      <c r="W379" s="24">
        <f t="shared" si="462"/>
        <v>0</v>
      </c>
      <c r="X379" s="25">
        <f t="shared" si="463"/>
        <v>0</v>
      </c>
      <c r="Y379" s="23">
        <f t="shared" si="464"/>
        <v>0</v>
      </c>
      <c r="Z379" s="24">
        <f t="shared" si="465"/>
        <v>0</v>
      </c>
      <c r="AA379" s="25">
        <f t="shared" si="466"/>
        <v>0</v>
      </c>
      <c r="AB379" s="23">
        <f t="shared" si="467"/>
        <v>0</v>
      </c>
      <c r="AC379" s="24">
        <f t="shared" si="468"/>
        <v>0</v>
      </c>
      <c r="AD379" s="25">
        <f t="shared" si="469"/>
        <v>0</v>
      </c>
      <c r="AE379" s="23">
        <f t="shared" si="470"/>
        <v>0</v>
      </c>
      <c r="AF379" s="24">
        <f t="shared" si="471"/>
        <v>0</v>
      </c>
      <c r="AG379" s="25">
        <f t="shared" si="472"/>
        <v>0</v>
      </c>
      <c r="AH379" s="31"/>
    </row>
    <row r="380" spans="1:34" ht="18" customHeight="1" thickTop="1" thickBot="1" x14ac:dyDescent="0.3">
      <c r="A380" s="27">
        <v>278</v>
      </c>
      <c r="B380" s="28">
        <f t="shared" si="474"/>
        <v>0</v>
      </c>
      <c r="C380" s="60">
        <f t="shared" si="443"/>
        <v>0</v>
      </c>
      <c r="D380" s="23">
        <f t="shared" si="444"/>
        <v>0</v>
      </c>
      <c r="E380" s="24">
        <f t="shared" si="445"/>
        <v>0</v>
      </c>
      <c r="F380" s="25">
        <f t="shared" si="473"/>
        <v>0</v>
      </c>
      <c r="G380" s="23">
        <f t="shared" si="446"/>
        <v>0</v>
      </c>
      <c r="H380" s="24">
        <f t="shared" si="447"/>
        <v>0</v>
      </c>
      <c r="I380" s="25">
        <f t="shared" si="448"/>
        <v>0</v>
      </c>
      <c r="J380" s="23">
        <f t="shared" si="449"/>
        <v>0</v>
      </c>
      <c r="K380" s="24">
        <f t="shared" si="450"/>
        <v>0</v>
      </c>
      <c r="L380" s="25">
        <f t="shared" si="451"/>
        <v>0</v>
      </c>
      <c r="M380" s="23">
        <f t="shared" si="452"/>
        <v>0</v>
      </c>
      <c r="N380" s="24">
        <f t="shared" si="453"/>
        <v>0</v>
      </c>
      <c r="O380" s="25">
        <f t="shared" si="454"/>
        <v>0</v>
      </c>
      <c r="P380" s="23">
        <f t="shared" si="455"/>
        <v>0</v>
      </c>
      <c r="Q380" s="24">
        <f t="shared" si="456"/>
        <v>0</v>
      </c>
      <c r="R380" s="25">
        <f t="shared" si="457"/>
        <v>0</v>
      </c>
      <c r="S380" s="23">
        <f t="shared" si="458"/>
        <v>0</v>
      </c>
      <c r="T380" s="24">
        <f t="shared" si="459"/>
        <v>0</v>
      </c>
      <c r="U380" s="25">
        <f t="shared" si="460"/>
        <v>0</v>
      </c>
      <c r="V380" s="23">
        <f t="shared" si="461"/>
        <v>0</v>
      </c>
      <c r="W380" s="24">
        <f t="shared" si="462"/>
        <v>0</v>
      </c>
      <c r="X380" s="25">
        <f t="shared" si="463"/>
        <v>0</v>
      </c>
      <c r="Y380" s="23">
        <f t="shared" si="464"/>
        <v>0</v>
      </c>
      <c r="Z380" s="24">
        <f t="shared" si="465"/>
        <v>0</v>
      </c>
      <c r="AA380" s="25">
        <f t="shared" si="466"/>
        <v>0</v>
      </c>
      <c r="AB380" s="23">
        <f t="shared" si="467"/>
        <v>0</v>
      </c>
      <c r="AC380" s="24">
        <f t="shared" si="468"/>
        <v>0</v>
      </c>
      <c r="AD380" s="25">
        <f t="shared" si="469"/>
        <v>0</v>
      </c>
      <c r="AE380" s="23">
        <f t="shared" si="470"/>
        <v>0</v>
      </c>
      <c r="AF380" s="24">
        <f t="shared" si="471"/>
        <v>0</v>
      </c>
      <c r="AG380" s="25">
        <f t="shared" si="472"/>
        <v>0</v>
      </c>
      <c r="AH380" s="31"/>
    </row>
    <row r="381" spans="1:34" ht="18" customHeight="1" thickTop="1" thickBot="1" x14ac:dyDescent="0.3">
      <c r="A381" s="23">
        <v>279</v>
      </c>
      <c r="B381" s="28">
        <f t="shared" si="474"/>
        <v>0</v>
      </c>
      <c r="C381" s="60">
        <f t="shared" si="443"/>
        <v>0</v>
      </c>
      <c r="D381" s="23">
        <f t="shared" si="444"/>
        <v>0</v>
      </c>
      <c r="E381" s="24">
        <f t="shared" si="445"/>
        <v>0</v>
      </c>
      <c r="F381" s="25">
        <f t="shared" si="473"/>
        <v>0</v>
      </c>
      <c r="G381" s="23">
        <f t="shared" si="446"/>
        <v>0</v>
      </c>
      <c r="H381" s="24">
        <f t="shared" si="447"/>
        <v>0</v>
      </c>
      <c r="I381" s="25">
        <f t="shared" si="448"/>
        <v>0</v>
      </c>
      <c r="J381" s="23">
        <f t="shared" si="449"/>
        <v>0</v>
      </c>
      <c r="K381" s="24">
        <f t="shared" si="450"/>
        <v>0</v>
      </c>
      <c r="L381" s="25">
        <f t="shared" si="451"/>
        <v>0</v>
      </c>
      <c r="M381" s="23">
        <f t="shared" si="452"/>
        <v>0</v>
      </c>
      <c r="N381" s="24">
        <f t="shared" si="453"/>
        <v>0</v>
      </c>
      <c r="O381" s="25">
        <f t="shared" si="454"/>
        <v>0</v>
      </c>
      <c r="P381" s="23">
        <f t="shared" si="455"/>
        <v>0</v>
      </c>
      <c r="Q381" s="24">
        <f t="shared" si="456"/>
        <v>0</v>
      </c>
      <c r="R381" s="25">
        <f t="shared" si="457"/>
        <v>0</v>
      </c>
      <c r="S381" s="23">
        <f t="shared" si="458"/>
        <v>0</v>
      </c>
      <c r="T381" s="24">
        <f t="shared" si="459"/>
        <v>0</v>
      </c>
      <c r="U381" s="25">
        <f t="shared" si="460"/>
        <v>0</v>
      </c>
      <c r="V381" s="23">
        <f t="shared" si="461"/>
        <v>0</v>
      </c>
      <c r="W381" s="24">
        <f t="shared" si="462"/>
        <v>0</v>
      </c>
      <c r="X381" s="25">
        <f t="shared" si="463"/>
        <v>0</v>
      </c>
      <c r="Y381" s="23">
        <f t="shared" si="464"/>
        <v>0</v>
      </c>
      <c r="Z381" s="24">
        <f t="shared" si="465"/>
        <v>0</v>
      </c>
      <c r="AA381" s="25">
        <f t="shared" si="466"/>
        <v>0</v>
      </c>
      <c r="AB381" s="23">
        <f t="shared" si="467"/>
        <v>0</v>
      </c>
      <c r="AC381" s="24">
        <f t="shared" si="468"/>
        <v>0</v>
      </c>
      <c r="AD381" s="25">
        <f t="shared" si="469"/>
        <v>0</v>
      </c>
      <c r="AE381" s="23">
        <f t="shared" si="470"/>
        <v>0</v>
      </c>
      <c r="AF381" s="24">
        <f t="shared" si="471"/>
        <v>0</v>
      </c>
      <c r="AG381" s="25">
        <f t="shared" si="472"/>
        <v>0</v>
      </c>
      <c r="AH381" s="31"/>
    </row>
    <row r="382" spans="1:34" ht="18" customHeight="1" thickTop="1" thickBot="1" x14ac:dyDescent="0.3">
      <c r="A382" s="23">
        <v>280</v>
      </c>
      <c r="B382" s="28">
        <f t="shared" si="474"/>
        <v>0</v>
      </c>
      <c r="C382" s="60">
        <f t="shared" si="443"/>
        <v>0</v>
      </c>
      <c r="D382" s="23">
        <f t="shared" si="444"/>
        <v>0</v>
      </c>
      <c r="E382" s="24">
        <f t="shared" si="445"/>
        <v>0</v>
      </c>
      <c r="F382" s="25">
        <f t="shared" si="473"/>
        <v>0</v>
      </c>
      <c r="G382" s="23">
        <f t="shared" si="446"/>
        <v>0</v>
      </c>
      <c r="H382" s="24">
        <f t="shared" si="447"/>
        <v>0</v>
      </c>
      <c r="I382" s="25">
        <f t="shared" si="448"/>
        <v>0</v>
      </c>
      <c r="J382" s="23">
        <f t="shared" si="449"/>
        <v>0</v>
      </c>
      <c r="K382" s="24">
        <f t="shared" si="450"/>
        <v>0</v>
      </c>
      <c r="L382" s="25">
        <f t="shared" si="451"/>
        <v>0</v>
      </c>
      <c r="M382" s="23">
        <f t="shared" si="452"/>
        <v>0</v>
      </c>
      <c r="N382" s="24">
        <f t="shared" si="453"/>
        <v>0</v>
      </c>
      <c r="O382" s="25">
        <f t="shared" si="454"/>
        <v>0</v>
      </c>
      <c r="P382" s="23">
        <f t="shared" si="455"/>
        <v>0</v>
      </c>
      <c r="Q382" s="24">
        <f t="shared" si="456"/>
        <v>0</v>
      </c>
      <c r="R382" s="25">
        <f t="shared" si="457"/>
        <v>0</v>
      </c>
      <c r="S382" s="23">
        <f t="shared" si="458"/>
        <v>0</v>
      </c>
      <c r="T382" s="24">
        <f t="shared" si="459"/>
        <v>0</v>
      </c>
      <c r="U382" s="25">
        <f t="shared" si="460"/>
        <v>0</v>
      </c>
      <c r="V382" s="23">
        <f t="shared" si="461"/>
        <v>0</v>
      </c>
      <c r="W382" s="24">
        <f t="shared" si="462"/>
        <v>0</v>
      </c>
      <c r="X382" s="25">
        <f t="shared" si="463"/>
        <v>0</v>
      </c>
      <c r="Y382" s="23">
        <f t="shared" si="464"/>
        <v>0</v>
      </c>
      <c r="Z382" s="24">
        <f t="shared" si="465"/>
        <v>0</v>
      </c>
      <c r="AA382" s="25">
        <f t="shared" si="466"/>
        <v>0</v>
      </c>
      <c r="AB382" s="23">
        <f t="shared" si="467"/>
        <v>0</v>
      </c>
      <c r="AC382" s="24">
        <f t="shared" si="468"/>
        <v>0</v>
      </c>
      <c r="AD382" s="25">
        <f t="shared" si="469"/>
        <v>0</v>
      </c>
      <c r="AE382" s="23">
        <f t="shared" si="470"/>
        <v>0</v>
      </c>
      <c r="AF382" s="24">
        <f t="shared" si="471"/>
        <v>0</v>
      </c>
      <c r="AG382" s="25">
        <f t="shared" si="472"/>
        <v>0</v>
      </c>
      <c r="AH382" s="34"/>
    </row>
    <row r="383" spans="1:34" ht="7.95" customHeight="1" thickTop="1" x14ac:dyDescent="0.25">
      <c r="A383" s="212" t="s">
        <v>2</v>
      </c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212"/>
    </row>
    <row r="384" spans="1:34" x14ac:dyDescent="0.25">
      <c r="A384" s="213"/>
      <c r="B384" s="213"/>
      <c r="C384" s="213" t="s">
        <v>18</v>
      </c>
      <c r="D384" s="213"/>
      <c r="E384" s="213"/>
      <c r="F384" s="214" t="s">
        <v>19</v>
      </c>
      <c r="G384" s="214"/>
      <c r="H384" s="214"/>
      <c r="I384" s="214"/>
      <c r="J384" s="35"/>
      <c r="K384" s="214" t="s">
        <v>20</v>
      </c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  <c r="Y384" s="214"/>
      <c r="Z384" s="214"/>
      <c r="AA384" s="214"/>
      <c r="AB384" s="214"/>
      <c r="AC384" s="35"/>
      <c r="AD384" s="35"/>
      <c r="AE384" s="214" t="s">
        <v>55</v>
      </c>
      <c r="AF384" s="214"/>
      <c r="AG384" s="214"/>
    </row>
    <row r="385" spans="1:34" ht="13.95" customHeight="1" x14ac:dyDescent="0.25">
      <c r="A385" s="214" t="s">
        <v>21</v>
      </c>
      <c r="B385" s="214"/>
      <c r="C385" s="213">
        <f>'الفترة الاولى'!$CA$10</f>
        <v>0</v>
      </c>
      <c r="D385" s="213"/>
      <c r="E385" s="213"/>
      <c r="F385" s="214"/>
      <c r="G385" s="214"/>
      <c r="H385" s="214"/>
      <c r="I385" s="214"/>
      <c r="J385" s="35"/>
      <c r="K385" s="220" t="s">
        <v>52</v>
      </c>
      <c r="L385" s="215"/>
      <c r="M385" s="215"/>
      <c r="N385" s="222" t="str">
        <f>'الفترة الاولى'!$CA$16</f>
        <v>أ. فهيم عبدالمجيد بوازويتة</v>
      </c>
      <c r="O385" s="222"/>
      <c r="P385" s="222"/>
      <c r="Q385" s="222"/>
      <c r="R385" s="222"/>
      <c r="S385" s="222"/>
      <c r="T385" s="222"/>
      <c r="U385" s="215" t="s">
        <v>53</v>
      </c>
      <c r="V385" s="215"/>
      <c r="W385" s="215"/>
      <c r="X385" s="215" t="str">
        <f>'الفترة الاولى'!$C$6</f>
        <v>سهول العلم للتعليم الخاص</v>
      </c>
      <c r="Y385" s="215"/>
      <c r="Z385" s="215"/>
      <c r="AA385" s="215"/>
      <c r="AB385" s="216"/>
      <c r="AC385" s="36"/>
      <c r="AD385" s="36"/>
      <c r="AE385" s="214" t="s">
        <v>2</v>
      </c>
      <c r="AF385" s="214"/>
      <c r="AG385" s="214"/>
    </row>
    <row r="386" spans="1:34" ht="15.6" customHeight="1" x14ac:dyDescent="0.25">
      <c r="A386" s="214" t="s">
        <v>22</v>
      </c>
      <c r="B386" s="214"/>
      <c r="C386" s="213">
        <f>'الفترة الاولى'!$CA$11</f>
        <v>0</v>
      </c>
      <c r="D386" s="213"/>
      <c r="E386" s="213"/>
      <c r="F386" s="214"/>
      <c r="G386" s="214"/>
      <c r="H386" s="214"/>
      <c r="I386" s="214"/>
      <c r="J386" s="35"/>
      <c r="K386" s="217" t="s">
        <v>54</v>
      </c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9"/>
      <c r="AC386" s="37"/>
      <c r="AD386" s="37"/>
      <c r="AE386" s="214"/>
      <c r="AF386" s="214"/>
      <c r="AG386" s="214"/>
    </row>
    <row r="387" spans="1:34" ht="13.95" customHeight="1" x14ac:dyDescent="0.25">
      <c r="A387" s="214" t="s">
        <v>23</v>
      </c>
      <c r="B387" s="214"/>
      <c r="C387" s="213">
        <f>'الفترة الاولى'!$CA$12</f>
        <v>0</v>
      </c>
      <c r="D387" s="213"/>
      <c r="E387" s="213"/>
      <c r="F387" s="214"/>
      <c r="G387" s="214"/>
      <c r="H387" s="214"/>
      <c r="I387" s="214"/>
      <c r="K387" s="220" t="s">
        <v>44</v>
      </c>
      <c r="L387" s="215"/>
      <c r="M387" s="221">
        <f ca="1">TODAY()</f>
        <v>46181</v>
      </c>
      <c r="N387" s="215"/>
      <c r="O387" s="215"/>
      <c r="P387" s="215"/>
      <c r="Q387" s="215"/>
      <c r="R387" s="215"/>
      <c r="S387" s="215"/>
      <c r="T387" s="215" t="s">
        <v>19</v>
      </c>
      <c r="U387" s="215"/>
      <c r="V387" s="215"/>
      <c r="W387" s="215"/>
      <c r="X387" s="215"/>
      <c r="Y387" s="215"/>
      <c r="Z387" s="215"/>
      <c r="AA387" s="215"/>
      <c r="AB387" s="38"/>
      <c r="AC387" s="36"/>
      <c r="AD387" s="36"/>
      <c r="AE387" s="214"/>
      <c r="AF387" s="214"/>
      <c r="AG387" s="214"/>
    </row>
    <row r="388" spans="1:34" ht="14.4" thickBot="1" x14ac:dyDescent="0.3">
      <c r="A388" s="214" t="s">
        <v>24</v>
      </c>
      <c r="B388" s="214"/>
      <c r="C388" s="213">
        <f>'الفترة الاولى'!$CA$13</f>
        <v>0</v>
      </c>
      <c r="D388" s="213"/>
      <c r="E388" s="213"/>
      <c r="F388" s="214"/>
      <c r="G388" s="214"/>
      <c r="H388" s="214"/>
      <c r="I388" s="214"/>
      <c r="K388" s="39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1"/>
      <c r="AC388" s="36"/>
      <c r="AD388" s="36"/>
      <c r="AE388" s="214"/>
      <c r="AF388" s="214"/>
      <c r="AG388" s="214"/>
    </row>
    <row r="389" spans="1:34" ht="6.75" customHeight="1" thickBot="1" x14ac:dyDescent="0.3">
      <c r="A389" s="209"/>
      <c r="B389" s="210"/>
      <c r="C389" s="210"/>
      <c r="D389" s="210"/>
      <c r="E389" s="21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  <c r="AA389" s="210"/>
      <c r="AB389" s="210"/>
      <c r="AC389" s="210"/>
      <c r="AD389" s="210"/>
      <c r="AE389" s="210"/>
      <c r="AF389" s="210"/>
      <c r="AG389" s="210"/>
      <c r="AH389" s="211"/>
    </row>
    <row r="390" spans="1:34" ht="18" customHeight="1" thickBot="1" x14ac:dyDescent="0.3">
      <c r="A390" s="23">
        <v>281</v>
      </c>
      <c r="B390" s="24">
        <f>IFERROR(VLOOKUP(A390,الاسماء,2,0),"")</f>
        <v>0</v>
      </c>
      <c r="C390" s="59">
        <f t="shared" ref="C390:C409" si="475">IFERROR(VLOOKUP(A390,الاسماء,3,0),"")</f>
        <v>0</v>
      </c>
      <c r="D390" s="23">
        <f t="shared" ref="D390:D409" si="476">IFERROR(VLOOKUP($C390,درجات,5,0),0)</f>
        <v>0</v>
      </c>
      <c r="E390" s="24">
        <f t="shared" ref="E390:E409" si="477">IFERROR(VLOOKUP($C390,درجات,43,0),0)</f>
        <v>0</v>
      </c>
      <c r="F390" s="25">
        <f>SUM(D390:E390)</f>
        <v>0</v>
      </c>
      <c r="G390" s="23">
        <f t="shared" ref="G390:G409" si="478">IFERROR(VLOOKUP($C390,درجات,8,0),0)</f>
        <v>0</v>
      </c>
      <c r="H390" s="24">
        <f t="shared" ref="H390:H409" si="479">IFERROR(VLOOKUP($C390,درجات,46,0),0)</f>
        <v>0</v>
      </c>
      <c r="I390" s="25">
        <f t="shared" ref="I390:I409" si="480">SUM(G390:H390)</f>
        <v>0</v>
      </c>
      <c r="J390" s="23">
        <f t="shared" ref="J390:J409" si="481">IFERROR(VLOOKUP($C390,درجات,11,0),0)</f>
        <v>0</v>
      </c>
      <c r="K390" s="24">
        <f t="shared" ref="K390:K409" si="482">IFERROR(VLOOKUP($C390,درجات,49,0),0)</f>
        <v>0</v>
      </c>
      <c r="L390" s="25">
        <f t="shared" ref="L390:L409" si="483">SUM(J390:K390)</f>
        <v>0</v>
      </c>
      <c r="M390" s="23">
        <f t="shared" ref="M390:M409" si="484">IFERROR(VLOOKUP($C390,درجات,14,0),0)</f>
        <v>0</v>
      </c>
      <c r="N390" s="24">
        <f t="shared" ref="N390:N409" si="485">IFERROR(VLOOKUP($C390,درجات,52,0),0)</f>
        <v>0</v>
      </c>
      <c r="O390" s="25">
        <f t="shared" ref="O390:O409" si="486">SUM(M390:N390)</f>
        <v>0</v>
      </c>
      <c r="P390" s="23">
        <f t="shared" ref="P390:P409" si="487">IFERROR(VLOOKUP($C390,درجات,17,0),0)</f>
        <v>0</v>
      </c>
      <c r="Q390" s="24">
        <f t="shared" ref="Q390:Q409" si="488">IFERROR(VLOOKUP($C390,درجات,55,0),0)</f>
        <v>0</v>
      </c>
      <c r="R390" s="25">
        <f t="shared" ref="R390:R409" si="489">SUM(P390:Q390)</f>
        <v>0</v>
      </c>
      <c r="S390" s="23">
        <f t="shared" ref="S390:S409" si="490">IFERROR(VLOOKUP($C390,درجات,20,0),0)</f>
        <v>0</v>
      </c>
      <c r="T390" s="24">
        <f t="shared" ref="T390:T409" si="491">IFERROR(VLOOKUP($C390,درجات,58,0),0)</f>
        <v>0</v>
      </c>
      <c r="U390" s="25">
        <f t="shared" ref="U390:U409" si="492">SUM(S390:T390)</f>
        <v>0</v>
      </c>
      <c r="V390" s="23">
        <f t="shared" ref="V390:V409" si="493">IFERROR(VLOOKUP($C390,درجات,23,0),0)</f>
        <v>0</v>
      </c>
      <c r="W390" s="24">
        <f t="shared" ref="W390:W409" si="494">IFERROR(VLOOKUP($C390,درجات,61,0),0)</f>
        <v>0</v>
      </c>
      <c r="X390" s="25">
        <f t="shared" ref="X390:X409" si="495">SUM(V390:W390)</f>
        <v>0</v>
      </c>
      <c r="Y390" s="23">
        <f t="shared" ref="Y390:Y409" si="496">IFERROR(VLOOKUP($C390,درجات,26,0),0)</f>
        <v>0</v>
      </c>
      <c r="Z390" s="24">
        <f t="shared" ref="Z390:Z409" si="497">IFERROR(VLOOKUP($C390,درجات,64,0),0)</f>
        <v>0</v>
      </c>
      <c r="AA390" s="25">
        <f t="shared" ref="AA390:AA409" si="498">SUM(Y390:Z390)</f>
        <v>0</v>
      </c>
      <c r="AB390" s="23">
        <f t="shared" ref="AB390:AB409" si="499">IFERROR(VLOOKUP($C390,درجات,29,0),0)</f>
        <v>0</v>
      </c>
      <c r="AC390" s="24">
        <f t="shared" ref="AC390:AC409" si="500">IFERROR(VLOOKUP($C390,درجات,67,0),0)</f>
        <v>0</v>
      </c>
      <c r="AD390" s="25">
        <f t="shared" ref="AD390:AD409" si="501">SUM(AB390:AC390)</f>
        <v>0</v>
      </c>
      <c r="AE390" s="23">
        <f t="shared" ref="AE390:AE409" si="502">IFERROR(VLOOKUP($C390,درجات,32,0),0)</f>
        <v>0</v>
      </c>
      <c r="AF390" s="24">
        <f t="shared" ref="AF390:AF409" si="503">IFERROR(VLOOKUP($C390,درجات,70,0),0)</f>
        <v>0</v>
      </c>
      <c r="AG390" s="25">
        <f t="shared" ref="AG390:AG409" si="504">SUM(AE390:AF390)</f>
        <v>0</v>
      </c>
      <c r="AH390" s="26"/>
    </row>
    <row r="391" spans="1:34" ht="18" customHeight="1" thickTop="1" thickBot="1" x14ac:dyDescent="0.3">
      <c r="A391" s="27">
        <v>282</v>
      </c>
      <c r="B391" s="28">
        <f>IFERROR(VLOOKUP(A391,الاسماء,2,0),0)</f>
        <v>0</v>
      </c>
      <c r="C391" s="60">
        <f t="shared" si="475"/>
        <v>0</v>
      </c>
      <c r="D391" s="23">
        <f t="shared" si="476"/>
        <v>0</v>
      </c>
      <c r="E391" s="24">
        <f t="shared" si="477"/>
        <v>0</v>
      </c>
      <c r="F391" s="25">
        <f t="shared" ref="F391:F409" si="505">SUM(D391:E391)</f>
        <v>0</v>
      </c>
      <c r="G391" s="23">
        <f t="shared" si="478"/>
        <v>0</v>
      </c>
      <c r="H391" s="24">
        <f t="shared" si="479"/>
        <v>0</v>
      </c>
      <c r="I391" s="25">
        <f t="shared" si="480"/>
        <v>0</v>
      </c>
      <c r="J391" s="23">
        <f t="shared" si="481"/>
        <v>0</v>
      </c>
      <c r="K391" s="24">
        <f t="shared" si="482"/>
        <v>0</v>
      </c>
      <c r="L391" s="25">
        <f t="shared" si="483"/>
        <v>0</v>
      </c>
      <c r="M391" s="23">
        <f t="shared" si="484"/>
        <v>0</v>
      </c>
      <c r="N391" s="24">
        <f t="shared" si="485"/>
        <v>0</v>
      </c>
      <c r="O391" s="25">
        <f t="shared" si="486"/>
        <v>0</v>
      </c>
      <c r="P391" s="23">
        <f t="shared" si="487"/>
        <v>0</v>
      </c>
      <c r="Q391" s="24">
        <f t="shared" si="488"/>
        <v>0</v>
      </c>
      <c r="R391" s="25">
        <f t="shared" si="489"/>
        <v>0</v>
      </c>
      <c r="S391" s="23">
        <f t="shared" si="490"/>
        <v>0</v>
      </c>
      <c r="T391" s="24">
        <f t="shared" si="491"/>
        <v>0</v>
      </c>
      <c r="U391" s="25">
        <f t="shared" si="492"/>
        <v>0</v>
      </c>
      <c r="V391" s="23">
        <f t="shared" si="493"/>
        <v>0</v>
      </c>
      <c r="W391" s="24">
        <f t="shared" si="494"/>
        <v>0</v>
      </c>
      <c r="X391" s="25">
        <f t="shared" si="495"/>
        <v>0</v>
      </c>
      <c r="Y391" s="23">
        <f t="shared" si="496"/>
        <v>0</v>
      </c>
      <c r="Z391" s="24">
        <f t="shared" si="497"/>
        <v>0</v>
      </c>
      <c r="AA391" s="25">
        <f t="shared" si="498"/>
        <v>0</v>
      </c>
      <c r="AB391" s="23">
        <f t="shared" si="499"/>
        <v>0</v>
      </c>
      <c r="AC391" s="24">
        <f t="shared" si="500"/>
        <v>0</v>
      </c>
      <c r="AD391" s="25">
        <f t="shared" si="501"/>
        <v>0</v>
      </c>
      <c r="AE391" s="23">
        <f t="shared" si="502"/>
        <v>0</v>
      </c>
      <c r="AF391" s="24">
        <f t="shared" si="503"/>
        <v>0</v>
      </c>
      <c r="AG391" s="25">
        <f t="shared" si="504"/>
        <v>0</v>
      </c>
      <c r="AH391" s="29"/>
    </row>
    <row r="392" spans="1:34" ht="18" customHeight="1" thickTop="1" thickBot="1" x14ac:dyDescent="0.3">
      <c r="A392" s="23">
        <v>283</v>
      </c>
      <c r="B392" s="28">
        <f t="shared" ref="B392:B409" si="506">IFERROR(VLOOKUP(A392,الاسماء,2,0),"")</f>
        <v>0</v>
      </c>
      <c r="C392" s="60">
        <f t="shared" si="475"/>
        <v>0</v>
      </c>
      <c r="D392" s="23">
        <f t="shared" si="476"/>
        <v>0</v>
      </c>
      <c r="E392" s="24">
        <f t="shared" si="477"/>
        <v>0</v>
      </c>
      <c r="F392" s="25">
        <f t="shared" si="505"/>
        <v>0</v>
      </c>
      <c r="G392" s="23">
        <f t="shared" si="478"/>
        <v>0</v>
      </c>
      <c r="H392" s="24">
        <f t="shared" si="479"/>
        <v>0</v>
      </c>
      <c r="I392" s="25">
        <f t="shared" si="480"/>
        <v>0</v>
      </c>
      <c r="J392" s="23">
        <f t="shared" si="481"/>
        <v>0</v>
      </c>
      <c r="K392" s="24">
        <f t="shared" si="482"/>
        <v>0</v>
      </c>
      <c r="L392" s="25">
        <f t="shared" si="483"/>
        <v>0</v>
      </c>
      <c r="M392" s="23">
        <f t="shared" si="484"/>
        <v>0</v>
      </c>
      <c r="N392" s="24">
        <f t="shared" si="485"/>
        <v>0</v>
      </c>
      <c r="O392" s="25">
        <f t="shared" si="486"/>
        <v>0</v>
      </c>
      <c r="P392" s="23">
        <f t="shared" si="487"/>
        <v>0</v>
      </c>
      <c r="Q392" s="24">
        <f t="shared" si="488"/>
        <v>0</v>
      </c>
      <c r="R392" s="25">
        <f t="shared" si="489"/>
        <v>0</v>
      </c>
      <c r="S392" s="23">
        <f t="shared" si="490"/>
        <v>0</v>
      </c>
      <c r="T392" s="24">
        <f t="shared" si="491"/>
        <v>0</v>
      </c>
      <c r="U392" s="25">
        <f t="shared" si="492"/>
        <v>0</v>
      </c>
      <c r="V392" s="23">
        <f t="shared" si="493"/>
        <v>0</v>
      </c>
      <c r="W392" s="24">
        <f t="shared" si="494"/>
        <v>0</v>
      </c>
      <c r="X392" s="25">
        <f t="shared" si="495"/>
        <v>0</v>
      </c>
      <c r="Y392" s="23">
        <f t="shared" si="496"/>
        <v>0</v>
      </c>
      <c r="Z392" s="24">
        <f t="shared" si="497"/>
        <v>0</v>
      </c>
      <c r="AA392" s="25">
        <f t="shared" si="498"/>
        <v>0</v>
      </c>
      <c r="AB392" s="23">
        <f t="shared" si="499"/>
        <v>0</v>
      </c>
      <c r="AC392" s="24">
        <f t="shared" si="500"/>
        <v>0</v>
      </c>
      <c r="AD392" s="25">
        <f t="shared" si="501"/>
        <v>0</v>
      </c>
      <c r="AE392" s="23">
        <f t="shared" si="502"/>
        <v>0</v>
      </c>
      <c r="AF392" s="24">
        <f t="shared" si="503"/>
        <v>0</v>
      </c>
      <c r="AG392" s="25">
        <f t="shared" si="504"/>
        <v>0</v>
      </c>
      <c r="AH392" s="30"/>
    </row>
    <row r="393" spans="1:34" ht="18" customHeight="1" thickTop="1" thickBot="1" x14ac:dyDescent="0.3">
      <c r="A393" s="27">
        <v>284</v>
      </c>
      <c r="B393" s="28">
        <f t="shared" si="506"/>
        <v>0</v>
      </c>
      <c r="C393" s="60">
        <f t="shared" si="475"/>
        <v>0</v>
      </c>
      <c r="D393" s="23">
        <f t="shared" si="476"/>
        <v>0</v>
      </c>
      <c r="E393" s="24">
        <f t="shared" si="477"/>
        <v>0</v>
      </c>
      <c r="F393" s="25">
        <f t="shared" si="505"/>
        <v>0</v>
      </c>
      <c r="G393" s="23">
        <f t="shared" si="478"/>
        <v>0</v>
      </c>
      <c r="H393" s="24">
        <f t="shared" si="479"/>
        <v>0</v>
      </c>
      <c r="I393" s="25">
        <f t="shared" si="480"/>
        <v>0</v>
      </c>
      <c r="J393" s="23">
        <f t="shared" si="481"/>
        <v>0</v>
      </c>
      <c r="K393" s="24">
        <f t="shared" si="482"/>
        <v>0</v>
      </c>
      <c r="L393" s="25">
        <f t="shared" si="483"/>
        <v>0</v>
      </c>
      <c r="M393" s="23">
        <f t="shared" si="484"/>
        <v>0</v>
      </c>
      <c r="N393" s="24">
        <f t="shared" si="485"/>
        <v>0</v>
      </c>
      <c r="O393" s="25">
        <f t="shared" si="486"/>
        <v>0</v>
      </c>
      <c r="P393" s="23">
        <f t="shared" si="487"/>
        <v>0</v>
      </c>
      <c r="Q393" s="24">
        <f t="shared" si="488"/>
        <v>0</v>
      </c>
      <c r="R393" s="25">
        <f t="shared" si="489"/>
        <v>0</v>
      </c>
      <c r="S393" s="23">
        <f t="shared" si="490"/>
        <v>0</v>
      </c>
      <c r="T393" s="24">
        <f t="shared" si="491"/>
        <v>0</v>
      </c>
      <c r="U393" s="25">
        <f t="shared" si="492"/>
        <v>0</v>
      </c>
      <c r="V393" s="23">
        <f t="shared" si="493"/>
        <v>0</v>
      </c>
      <c r="W393" s="24">
        <f t="shared" si="494"/>
        <v>0</v>
      </c>
      <c r="X393" s="25">
        <f t="shared" si="495"/>
        <v>0</v>
      </c>
      <c r="Y393" s="23">
        <f t="shared" si="496"/>
        <v>0</v>
      </c>
      <c r="Z393" s="24">
        <f t="shared" si="497"/>
        <v>0</v>
      </c>
      <c r="AA393" s="25">
        <f t="shared" si="498"/>
        <v>0</v>
      </c>
      <c r="AB393" s="23">
        <f t="shared" si="499"/>
        <v>0</v>
      </c>
      <c r="AC393" s="24">
        <f t="shared" si="500"/>
        <v>0</v>
      </c>
      <c r="AD393" s="25">
        <f t="shared" si="501"/>
        <v>0</v>
      </c>
      <c r="AE393" s="23">
        <f t="shared" si="502"/>
        <v>0</v>
      </c>
      <c r="AF393" s="24">
        <f t="shared" si="503"/>
        <v>0</v>
      </c>
      <c r="AG393" s="25">
        <f t="shared" si="504"/>
        <v>0</v>
      </c>
      <c r="AH393" s="30"/>
    </row>
    <row r="394" spans="1:34" ht="18" customHeight="1" thickTop="1" thickBot="1" x14ac:dyDescent="0.3">
      <c r="A394" s="23">
        <v>285</v>
      </c>
      <c r="B394" s="28">
        <f t="shared" si="506"/>
        <v>0</v>
      </c>
      <c r="C394" s="60">
        <f t="shared" si="475"/>
        <v>0</v>
      </c>
      <c r="D394" s="23">
        <f t="shared" si="476"/>
        <v>0</v>
      </c>
      <c r="E394" s="24">
        <f t="shared" si="477"/>
        <v>0</v>
      </c>
      <c r="F394" s="25">
        <f t="shared" si="505"/>
        <v>0</v>
      </c>
      <c r="G394" s="23">
        <f t="shared" si="478"/>
        <v>0</v>
      </c>
      <c r="H394" s="24">
        <f t="shared" si="479"/>
        <v>0</v>
      </c>
      <c r="I394" s="25">
        <f t="shared" si="480"/>
        <v>0</v>
      </c>
      <c r="J394" s="23">
        <f t="shared" si="481"/>
        <v>0</v>
      </c>
      <c r="K394" s="24">
        <f t="shared" si="482"/>
        <v>0</v>
      </c>
      <c r="L394" s="25">
        <f t="shared" si="483"/>
        <v>0</v>
      </c>
      <c r="M394" s="23">
        <f t="shared" si="484"/>
        <v>0</v>
      </c>
      <c r="N394" s="24">
        <f t="shared" si="485"/>
        <v>0</v>
      </c>
      <c r="O394" s="25">
        <f t="shared" si="486"/>
        <v>0</v>
      </c>
      <c r="P394" s="23">
        <f t="shared" si="487"/>
        <v>0</v>
      </c>
      <c r="Q394" s="24">
        <f t="shared" si="488"/>
        <v>0</v>
      </c>
      <c r="R394" s="25">
        <f t="shared" si="489"/>
        <v>0</v>
      </c>
      <c r="S394" s="23">
        <f t="shared" si="490"/>
        <v>0</v>
      </c>
      <c r="T394" s="24">
        <f t="shared" si="491"/>
        <v>0</v>
      </c>
      <c r="U394" s="25">
        <f t="shared" si="492"/>
        <v>0</v>
      </c>
      <c r="V394" s="23">
        <f t="shared" si="493"/>
        <v>0</v>
      </c>
      <c r="W394" s="24">
        <f t="shared" si="494"/>
        <v>0</v>
      </c>
      <c r="X394" s="25">
        <f t="shared" si="495"/>
        <v>0</v>
      </c>
      <c r="Y394" s="23">
        <f t="shared" si="496"/>
        <v>0</v>
      </c>
      <c r="Z394" s="24">
        <f t="shared" si="497"/>
        <v>0</v>
      </c>
      <c r="AA394" s="25">
        <f t="shared" si="498"/>
        <v>0</v>
      </c>
      <c r="AB394" s="23">
        <f t="shared" si="499"/>
        <v>0</v>
      </c>
      <c r="AC394" s="24">
        <f t="shared" si="500"/>
        <v>0</v>
      </c>
      <c r="AD394" s="25">
        <f t="shared" si="501"/>
        <v>0</v>
      </c>
      <c r="AE394" s="23">
        <f t="shared" si="502"/>
        <v>0</v>
      </c>
      <c r="AF394" s="24">
        <f t="shared" si="503"/>
        <v>0</v>
      </c>
      <c r="AG394" s="25">
        <f t="shared" si="504"/>
        <v>0</v>
      </c>
      <c r="AH394" s="30"/>
    </row>
    <row r="395" spans="1:34" ht="18" customHeight="1" thickTop="1" thickBot="1" x14ac:dyDescent="0.3">
      <c r="A395" s="27">
        <v>286</v>
      </c>
      <c r="B395" s="28">
        <f t="shared" si="506"/>
        <v>0</v>
      </c>
      <c r="C395" s="60">
        <f t="shared" si="475"/>
        <v>0</v>
      </c>
      <c r="D395" s="23">
        <f t="shared" si="476"/>
        <v>0</v>
      </c>
      <c r="E395" s="24">
        <f t="shared" si="477"/>
        <v>0</v>
      </c>
      <c r="F395" s="25">
        <f t="shared" si="505"/>
        <v>0</v>
      </c>
      <c r="G395" s="23">
        <f t="shared" si="478"/>
        <v>0</v>
      </c>
      <c r="H395" s="24">
        <f t="shared" si="479"/>
        <v>0</v>
      </c>
      <c r="I395" s="25">
        <f t="shared" si="480"/>
        <v>0</v>
      </c>
      <c r="J395" s="23">
        <f t="shared" si="481"/>
        <v>0</v>
      </c>
      <c r="K395" s="24">
        <f t="shared" si="482"/>
        <v>0</v>
      </c>
      <c r="L395" s="25">
        <f t="shared" si="483"/>
        <v>0</v>
      </c>
      <c r="M395" s="23">
        <f t="shared" si="484"/>
        <v>0</v>
      </c>
      <c r="N395" s="24">
        <f t="shared" si="485"/>
        <v>0</v>
      </c>
      <c r="O395" s="25">
        <f t="shared" si="486"/>
        <v>0</v>
      </c>
      <c r="P395" s="23">
        <f t="shared" si="487"/>
        <v>0</v>
      </c>
      <c r="Q395" s="24">
        <f t="shared" si="488"/>
        <v>0</v>
      </c>
      <c r="R395" s="25">
        <f t="shared" si="489"/>
        <v>0</v>
      </c>
      <c r="S395" s="23">
        <f t="shared" si="490"/>
        <v>0</v>
      </c>
      <c r="T395" s="24">
        <f t="shared" si="491"/>
        <v>0</v>
      </c>
      <c r="U395" s="25">
        <f t="shared" si="492"/>
        <v>0</v>
      </c>
      <c r="V395" s="23">
        <f t="shared" si="493"/>
        <v>0</v>
      </c>
      <c r="W395" s="24">
        <f t="shared" si="494"/>
        <v>0</v>
      </c>
      <c r="X395" s="25">
        <f t="shared" si="495"/>
        <v>0</v>
      </c>
      <c r="Y395" s="23">
        <f t="shared" si="496"/>
        <v>0</v>
      </c>
      <c r="Z395" s="24">
        <f t="shared" si="497"/>
        <v>0</v>
      </c>
      <c r="AA395" s="25">
        <f t="shared" si="498"/>
        <v>0</v>
      </c>
      <c r="AB395" s="23">
        <f t="shared" si="499"/>
        <v>0</v>
      </c>
      <c r="AC395" s="24">
        <f t="shared" si="500"/>
        <v>0</v>
      </c>
      <c r="AD395" s="25">
        <f t="shared" si="501"/>
        <v>0</v>
      </c>
      <c r="AE395" s="23">
        <f t="shared" si="502"/>
        <v>0</v>
      </c>
      <c r="AF395" s="24">
        <f t="shared" si="503"/>
        <v>0</v>
      </c>
      <c r="AG395" s="25">
        <f t="shared" si="504"/>
        <v>0</v>
      </c>
      <c r="AH395" s="31"/>
    </row>
    <row r="396" spans="1:34" ht="18" customHeight="1" thickTop="1" thickBot="1" x14ac:dyDescent="0.3">
      <c r="A396" s="23">
        <v>287</v>
      </c>
      <c r="B396" s="28">
        <f t="shared" si="506"/>
        <v>0</v>
      </c>
      <c r="C396" s="60">
        <f t="shared" si="475"/>
        <v>0</v>
      </c>
      <c r="D396" s="23">
        <f t="shared" si="476"/>
        <v>0</v>
      </c>
      <c r="E396" s="24">
        <f t="shared" si="477"/>
        <v>0</v>
      </c>
      <c r="F396" s="25">
        <f t="shared" si="505"/>
        <v>0</v>
      </c>
      <c r="G396" s="23">
        <f t="shared" si="478"/>
        <v>0</v>
      </c>
      <c r="H396" s="24">
        <f t="shared" si="479"/>
        <v>0</v>
      </c>
      <c r="I396" s="25">
        <f t="shared" si="480"/>
        <v>0</v>
      </c>
      <c r="J396" s="23">
        <f t="shared" si="481"/>
        <v>0</v>
      </c>
      <c r="K396" s="24">
        <f t="shared" si="482"/>
        <v>0</v>
      </c>
      <c r="L396" s="25">
        <f t="shared" si="483"/>
        <v>0</v>
      </c>
      <c r="M396" s="23">
        <f t="shared" si="484"/>
        <v>0</v>
      </c>
      <c r="N396" s="24">
        <f t="shared" si="485"/>
        <v>0</v>
      </c>
      <c r="O396" s="25">
        <f t="shared" si="486"/>
        <v>0</v>
      </c>
      <c r="P396" s="23">
        <f t="shared" si="487"/>
        <v>0</v>
      </c>
      <c r="Q396" s="24">
        <f t="shared" si="488"/>
        <v>0</v>
      </c>
      <c r="R396" s="25">
        <f t="shared" si="489"/>
        <v>0</v>
      </c>
      <c r="S396" s="23">
        <f t="shared" si="490"/>
        <v>0</v>
      </c>
      <c r="T396" s="24">
        <f t="shared" si="491"/>
        <v>0</v>
      </c>
      <c r="U396" s="25">
        <f t="shared" si="492"/>
        <v>0</v>
      </c>
      <c r="V396" s="23">
        <f t="shared" si="493"/>
        <v>0</v>
      </c>
      <c r="W396" s="24">
        <f t="shared" si="494"/>
        <v>0</v>
      </c>
      <c r="X396" s="25">
        <f t="shared" si="495"/>
        <v>0</v>
      </c>
      <c r="Y396" s="23">
        <f t="shared" si="496"/>
        <v>0</v>
      </c>
      <c r="Z396" s="24">
        <f t="shared" si="497"/>
        <v>0</v>
      </c>
      <c r="AA396" s="25">
        <f t="shared" si="498"/>
        <v>0</v>
      </c>
      <c r="AB396" s="23">
        <f t="shared" si="499"/>
        <v>0</v>
      </c>
      <c r="AC396" s="24">
        <f t="shared" si="500"/>
        <v>0</v>
      </c>
      <c r="AD396" s="25">
        <f t="shared" si="501"/>
        <v>0</v>
      </c>
      <c r="AE396" s="23">
        <f t="shared" si="502"/>
        <v>0</v>
      </c>
      <c r="AF396" s="24">
        <f t="shared" si="503"/>
        <v>0</v>
      </c>
      <c r="AG396" s="25">
        <f t="shared" si="504"/>
        <v>0</v>
      </c>
      <c r="AH396" s="32"/>
    </row>
    <row r="397" spans="1:34" ht="18" customHeight="1" thickTop="1" thickBot="1" x14ac:dyDescent="0.3">
      <c r="A397" s="27">
        <v>288</v>
      </c>
      <c r="B397" s="28">
        <f t="shared" si="506"/>
        <v>0</v>
      </c>
      <c r="C397" s="60">
        <f t="shared" si="475"/>
        <v>0</v>
      </c>
      <c r="D397" s="23">
        <f t="shared" si="476"/>
        <v>0</v>
      </c>
      <c r="E397" s="24">
        <f t="shared" si="477"/>
        <v>0</v>
      </c>
      <c r="F397" s="25">
        <f t="shared" si="505"/>
        <v>0</v>
      </c>
      <c r="G397" s="23">
        <f t="shared" si="478"/>
        <v>0</v>
      </c>
      <c r="H397" s="24">
        <f t="shared" si="479"/>
        <v>0</v>
      </c>
      <c r="I397" s="25">
        <f t="shared" si="480"/>
        <v>0</v>
      </c>
      <c r="J397" s="23">
        <f t="shared" si="481"/>
        <v>0</v>
      </c>
      <c r="K397" s="24">
        <f t="shared" si="482"/>
        <v>0</v>
      </c>
      <c r="L397" s="25">
        <f t="shared" si="483"/>
        <v>0</v>
      </c>
      <c r="M397" s="23">
        <f t="shared" si="484"/>
        <v>0</v>
      </c>
      <c r="N397" s="24">
        <f t="shared" si="485"/>
        <v>0</v>
      </c>
      <c r="O397" s="25">
        <f t="shared" si="486"/>
        <v>0</v>
      </c>
      <c r="P397" s="23">
        <f t="shared" si="487"/>
        <v>0</v>
      </c>
      <c r="Q397" s="24">
        <f t="shared" si="488"/>
        <v>0</v>
      </c>
      <c r="R397" s="25">
        <f t="shared" si="489"/>
        <v>0</v>
      </c>
      <c r="S397" s="23">
        <f t="shared" si="490"/>
        <v>0</v>
      </c>
      <c r="T397" s="24">
        <f t="shared" si="491"/>
        <v>0</v>
      </c>
      <c r="U397" s="25">
        <f t="shared" si="492"/>
        <v>0</v>
      </c>
      <c r="V397" s="23">
        <f t="shared" si="493"/>
        <v>0</v>
      </c>
      <c r="W397" s="24">
        <f t="shared" si="494"/>
        <v>0</v>
      </c>
      <c r="X397" s="25">
        <f t="shared" si="495"/>
        <v>0</v>
      </c>
      <c r="Y397" s="23">
        <f t="shared" si="496"/>
        <v>0</v>
      </c>
      <c r="Z397" s="24">
        <f t="shared" si="497"/>
        <v>0</v>
      </c>
      <c r="AA397" s="25">
        <f t="shared" si="498"/>
        <v>0</v>
      </c>
      <c r="AB397" s="23">
        <f t="shared" si="499"/>
        <v>0</v>
      </c>
      <c r="AC397" s="24">
        <f t="shared" si="500"/>
        <v>0</v>
      </c>
      <c r="AD397" s="25">
        <f t="shared" si="501"/>
        <v>0</v>
      </c>
      <c r="AE397" s="23">
        <f t="shared" si="502"/>
        <v>0</v>
      </c>
      <c r="AF397" s="24">
        <f t="shared" si="503"/>
        <v>0</v>
      </c>
      <c r="AG397" s="25">
        <f t="shared" si="504"/>
        <v>0</v>
      </c>
      <c r="AH397" s="29"/>
    </row>
    <row r="398" spans="1:34" ht="18" customHeight="1" thickTop="1" thickBot="1" x14ac:dyDescent="0.3">
      <c r="A398" s="23">
        <v>289</v>
      </c>
      <c r="B398" s="28">
        <f t="shared" si="506"/>
        <v>0</v>
      </c>
      <c r="C398" s="60">
        <f t="shared" si="475"/>
        <v>0</v>
      </c>
      <c r="D398" s="23">
        <f t="shared" si="476"/>
        <v>0</v>
      </c>
      <c r="E398" s="24">
        <f t="shared" si="477"/>
        <v>0</v>
      </c>
      <c r="F398" s="25">
        <f t="shared" si="505"/>
        <v>0</v>
      </c>
      <c r="G398" s="23">
        <f t="shared" si="478"/>
        <v>0</v>
      </c>
      <c r="H398" s="24">
        <f t="shared" si="479"/>
        <v>0</v>
      </c>
      <c r="I398" s="25">
        <f t="shared" si="480"/>
        <v>0</v>
      </c>
      <c r="J398" s="23">
        <f t="shared" si="481"/>
        <v>0</v>
      </c>
      <c r="K398" s="24">
        <f t="shared" si="482"/>
        <v>0</v>
      </c>
      <c r="L398" s="25">
        <f t="shared" si="483"/>
        <v>0</v>
      </c>
      <c r="M398" s="23">
        <f t="shared" si="484"/>
        <v>0</v>
      </c>
      <c r="N398" s="24">
        <f t="shared" si="485"/>
        <v>0</v>
      </c>
      <c r="O398" s="25">
        <f t="shared" si="486"/>
        <v>0</v>
      </c>
      <c r="P398" s="23">
        <f t="shared" si="487"/>
        <v>0</v>
      </c>
      <c r="Q398" s="24">
        <f t="shared" si="488"/>
        <v>0</v>
      </c>
      <c r="R398" s="25">
        <f t="shared" si="489"/>
        <v>0</v>
      </c>
      <c r="S398" s="23">
        <f t="shared" si="490"/>
        <v>0</v>
      </c>
      <c r="T398" s="24">
        <f t="shared" si="491"/>
        <v>0</v>
      </c>
      <c r="U398" s="25">
        <f t="shared" si="492"/>
        <v>0</v>
      </c>
      <c r="V398" s="23">
        <f t="shared" si="493"/>
        <v>0</v>
      </c>
      <c r="W398" s="24">
        <f t="shared" si="494"/>
        <v>0</v>
      </c>
      <c r="X398" s="25">
        <f t="shared" si="495"/>
        <v>0</v>
      </c>
      <c r="Y398" s="23">
        <f t="shared" si="496"/>
        <v>0</v>
      </c>
      <c r="Z398" s="24">
        <f t="shared" si="497"/>
        <v>0</v>
      </c>
      <c r="AA398" s="25">
        <f t="shared" si="498"/>
        <v>0</v>
      </c>
      <c r="AB398" s="23">
        <f t="shared" si="499"/>
        <v>0</v>
      </c>
      <c r="AC398" s="24">
        <f t="shared" si="500"/>
        <v>0</v>
      </c>
      <c r="AD398" s="25">
        <f t="shared" si="501"/>
        <v>0</v>
      </c>
      <c r="AE398" s="23">
        <f t="shared" si="502"/>
        <v>0</v>
      </c>
      <c r="AF398" s="24">
        <f t="shared" si="503"/>
        <v>0</v>
      </c>
      <c r="AG398" s="25">
        <f t="shared" si="504"/>
        <v>0</v>
      </c>
      <c r="AH398" s="31"/>
    </row>
    <row r="399" spans="1:34" ht="18" customHeight="1" thickTop="1" thickBot="1" x14ac:dyDescent="0.3">
      <c r="A399" s="27">
        <v>290</v>
      </c>
      <c r="B399" s="28">
        <f t="shared" si="506"/>
        <v>0</v>
      </c>
      <c r="C399" s="60">
        <f t="shared" si="475"/>
        <v>0</v>
      </c>
      <c r="D399" s="23">
        <f t="shared" si="476"/>
        <v>0</v>
      </c>
      <c r="E399" s="24">
        <f t="shared" si="477"/>
        <v>0</v>
      </c>
      <c r="F399" s="25">
        <f t="shared" si="505"/>
        <v>0</v>
      </c>
      <c r="G399" s="23">
        <f t="shared" si="478"/>
        <v>0</v>
      </c>
      <c r="H399" s="24">
        <f t="shared" si="479"/>
        <v>0</v>
      </c>
      <c r="I399" s="25">
        <f t="shared" si="480"/>
        <v>0</v>
      </c>
      <c r="J399" s="23">
        <f t="shared" si="481"/>
        <v>0</v>
      </c>
      <c r="K399" s="24">
        <f t="shared" si="482"/>
        <v>0</v>
      </c>
      <c r="L399" s="25">
        <f t="shared" si="483"/>
        <v>0</v>
      </c>
      <c r="M399" s="23">
        <f t="shared" si="484"/>
        <v>0</v>
      </c>
      <c r="N399" s="24">
        <f t="shared" si="485"/>
        <v>0</v>
      </c>
      <c r="O399" s="25">
        <f t="shared" si="486"/>
        <v>0</v>
      </c>
      <c r="P399" s="23">
        <f t="shared" si="487"/>
        <v>0</v>
      </c>
      <c r="Q399" s="24">
        <f t="shared" si="488"/>
        <v>0</v>
      </c>
      <c r="R399" s="25">
        <f t="shared" si="489"/>
        <v>0</v>
      </c>
      <c r="S399" s="23">
        <f t="shared" si="490"/>
        <v>0</v>
      </c>
      <c r="T399" s="24">
        <f t="shared" si="491"/>
        <v>0</v>
      </c>
      <c r="U399" s="25">
        <f t="shared" si="492"/>
        <v>0</v>
      </c>
      <c r="V399" s="23">
        <f t="shared" si="493"/>
        <v>0</v>
      </c>
      <c r="W399" s="24">
        <f t="shared" si="494"/>
        <v>0</v>
      </c>
      <c r="X399" s="25">
        <f t="shared" si="495"/>
        <v>0</v>
      </c>
      <c r="Y399" s="23">
        <f t="shared" si="496"/>
        <v>0</v>
      </c>
      <c r="Z399" s="24">
        <f t="shared" si="497"/>
        <v>0</v>
      </c>
      <c r="AA399" s="25">
        <f t="shared" si="498"/>
        <v>0</v>
      </c>
      <c r="AB399" s="23">
        <f t="shared" si="499"/>
        <v>0</v>
      </c>
      <c r="AC399" s="24">
        <f t="shared" si="500"/>
        <v>0</v>
      </c>
      <c r="AD399" s="25">
        <f t="shared" si="501"/>
        <v>0</v>
      </c>
      <c r="AE399" s="23">
        <f t="shared" si="502"/>
        <v>0</v>
      </c>
      <c r="AF399" s="24">
        <f t="shared" si="503"/>
        <v>0</v>
      </c>
      <c r="AG399" s="25">
        <f t="shared" si="504"/>
        <v>0</v>
      </c>
      <c r="AH399" s="33"/>
    </row>
    <row r="400" spans="1:34" ht="18" customHeight="1" thickTop="1" thickBot="1" x14ac:dyDescent="0.3">
      <c r="A400" s="23">
        <v>291</v>
      </c>
      <c r="B400" s="28">
        <f t="shared" si="506"/>
        <v>0</v>
      </c>
      <c r="C400" s="60">
        <f t="shared" si="475"/>
        <v>0</v>
      </c>
      <c r="D400" s="23">
        <f t="shared" si="476"/>
        <v>0</v>
      </c>
      <c r="E400" s="24">
        <f t="shared" si="477"/>
        <v>0</v>
      </c>
      <c r="F400" s="25">
        <f t="shared" si="505"/>
        <v>0</v>
      </c>
      <c r="G400" s="23">
        <f t="shared" si="478"/>
        <v>0</v>
      </c>
      <c r="H400" s="24">
        <f t="shared" si="479"/>
        <v>0</v>
      </c>
      <c r="I400" s="25">
        <f t="shared" si="480"/>
        <v>0</v>
      </c>
      <c r="J400" s="23">
        <f t="shared" si="481"/>
        <v>0</v>
      </c>
      <c r="K400" s="24">
        <f t="shared" si="482"/>
        <v>0</v>
      </c>
      <c r="L400" s="25">
        <f t="shared" si="483"/>
        <v>0</v>
      </c>
      <c r="M400" s="23">
        <f t="shared" si="484"/>
        <v>0</v>
      </c>
      <c r="N400" s="24">
        <f t="shared" si="485"/>
        <v>0</v>
      </c>
      <c r="O400" s="25">
        <f t="shared" si="486"/>
        <v>0</v>
      </c>
      <c r="P400" s="23">
        <f t="shared" si="487"/>
        <v>0</v>
      </c>
      <c r="Q400" s="24">
        <f t="shared" si="488"/>
        <v>0</v>
      </c>
      <c r="R400" s="25">
        <f t="shared" si="489"/>
        <v>0</v>
      </c>
      <c r="S400" s="23">
        <f t="shared" si="490"/>
        <v>0</v>
      </c>
      <c r="T400" s="24">
        <f t="shared" si="491"/>
        <v>0</v>
      </c>
      <c r="U400" s="25">
        <f t="shared" si="492"/>
        <v>0</v>
      </c>
      <c r="V400" s="23">
        <f t="shared" si="493"/>
        <v>0</v>
      </c>
      <c r="W400" s="24">
        <f t="shared" si="494"/>
        <v>0</v>
      </c>
      <c r="X400" s="25">
        <f t="shared" si="495"/>
        <v>0</v>
      </c>
      <c r="Y400" s="23">
        <f t="shared" si="496"/>
        <v>0</v>
      </c>
      <c r="Z400" s="24">
        <f t="shared" si="497"/>
        <v>0</v>
      </c>
      <c r="AA400" s="25">
        <f t="shared" si="498"/>
        <v>0</v>
      </c>
      <c r="AB400" s="23">
        <f t="shared" si="499"/>
        <v>0</v>
      </c>
      <c r="AC400" s="24">
        <f t="shared" si="500"/>
        <v>0</v>
      </c>
      <c r="AD400" s="25">
        <f t="shared" si="501"/>
        <v>0</v>
      </c>
      <c r="AE400" s="23">
        <f t="shared" si="502"/>
        <v>0</v>
      </c>
      <c r="AF400" s="24">
        <f t="shared" si="503"/>
        <v>0</v>
      </c>
      <c r="AG400" s="25">
        <f t="shared" si="504"/>
        <v>0</v>
      </c>
      <c r="AH400" s="29"/>
    </row>
    <row r="401" spans="1:34" ht="18" customHeight="1" thickTop="1" thickBot="1" x14ac:dyDescent="0.3">
      <c r="A401" s="27">
        <v>292</v>
      </c>
      <c r="B401" s="28">
        <f t="shared" si="506"/>
        <v>0</v>
      </c>
      <c r="C401" s="60">
        <f t="shared" si="475"/>
        <v>0</v>
      </c>
      <c r="D401" s="23">
        <f t="shared" si="476"/>
        <v>0</v>
      </c>
      <c r="E401" s="24">
        <f t="shared" si="477"/>
        <v>0</v>
      </c>
      <c r="F401" s="25">
        <f t="shared" si="505"/>
        <v>0</v>
      </c>
      <c r="G401" s="23">
        <f t="shared" si="478"/>
        <v>0</v>
      </c>
      <c r="H401" s="24">
        <f t="shared" si="479"/>
        <v>0</v>
      </c>
      <c r="I401" s="25">
        <f t="shared" si="480"/>
        <v>0</v>
      </c>
      <c r="J401" s="23">
        <f t="shared" si="481"/>
        <v>0</v>
      </c>
      <c r="K401" s="24">
        <f t="shared" si="482"/>
        <v>0</v>
      </c>
      <c r="L401" s="25">
        <f t="shared" si="483"/>
        <v>0</v>
      </c>
      <c r="M401" s="23">
        <f t="shared" si="484"/>
        <v>0</v>
      </c>
      <c r="N401" s="24">
        <f t="shared" si="485"/>
        <v>0</v>
      </c>
      <c r="O401" s="25">
        <f t="shared" si="486"/>
        <v>0</v>
      </c>
      <c r="P401" s="23">
        <f t="shared" si="487"/>
        <v>0</v>
      </c>
      <c r="Q401" s="24">
        <f t="shared" si="488"/>
        <v>0</v>
      </c>
      <c r="R401" s="25">
        <f t="shared" si="489"/>
        <v>0</v>
      </c>
      <c r="S401" s="23">
        <f t="shared" si="490"/>
        <v>0</v>
      </c>
      <c r="T401" s="24">
        <f t="shared" si="491"/>
        <v>0</v>
      </c>
      <c r="U401" s="25">
        <f t="shared" si="492"/>
        <v>0</v>
      </c>
      <c r="V401" s="23">
        <f t="shared" si="493"/>
        <v>0</v>
      </c>
      <c r="W401" s="24">
        <f t="shared" si="494"/>
        <v>0</v>
      </c>
      <c r="X401" s="25">
        <f t="shared" si="495"/>
        <v>0</v>
      </c>
      <c r="Y401" s="23">
        <f t="shared" si="496"/>
        <v>0</v>
      </c>
      <c r="Z401" s="24">
        <f t="shared" si="497"/>
        <v>0</v>
      </c>
      <c r="AA401" s="25">
        <f t="shared" si="498"/>
        <v>0</v>
      </c>
      <c r="AB401" s="23">
        <f t="shared" si="499"/>
        <v>0</v>
      </c>
      <c r="AC401" s="24">
        <f t="shared" si="500"/>
        <v>0</v>
      </c>
      <c r="AD401" s="25">
        <f t="shared" si="501"/>
        <v>0</v>
      </c>
      <c r="AE401" s="23">
        <f t="shared" si="502"/>
        <v>0</v>
      </c>
      <c r="AF401" s="24">
        <f t="shared" si="503"/>
        <v>0</v>
      </c>
      <c r="AG401" s="25">
        <f t="shared" si="504"/>
        <v>0</v>
      </c>
      <c r="AH401" s="31"/>
    </row>
    <row r="402" spans="1:34" ht="18" customHeight="1" thickTop="1" thickBot="1" x14ac:dyDescent="0.3">
      <c r="A402" s="23">
        <v>293</v>
      </c>
      <c r="B402" s="28">
        <f t="shared" si="506"/>
        <v>0</v>
      </c>
      <c r="C402" s="60">
        <f t="shared" si="475"/>
        <v>0</v>
      </c>
      <c r="D402" s="23">
        <f t="shared" si="476"/>
        <v>0</v>
      </c>
      <c r="E402" s="24">
        <f t="shared" si="477"/>
        <v>0</v>
      </c>
      <c r="F402" s="25">
        <f t="shared" si="505"/>
        <v>0</v>
      </c>
      <c r="G402" s="23">
        <f t="shared" si="478"/>
        <v>0</v>
      </c>
      <c r="H402" s="24">
        <f t="shared" si="479"/>
        <v>0</v>
      </c>
      <c r="I402" s="25">
        <f t="shared" si="480"/>
        <v>0</v>
      </c>
      <c r="J402" s="23">
        <f t="shared" si="481"/>
        <v>0</v>
      </c>
      <c r="K402" s="24">
        <f t="shared" si="482"/>
        <v>0</v>
      </c>
      <c r="L402" s="25">
        <f t="shared" si="483"/>
        <v>0</v>
      </c>
      <c r="M402" s="23">
        <f t="shared" si="484"/>
        <v>0</v>
      </c>
      <c r="N402" s="24">
        <f t="shared" si="485"/>
        <v>0</v>
      </c>
      <c r="O402" s="25">
        <f t="shared" si="486"/>
        <v>0</v>
      </c>
      <c r="P402" s="23">
        <f t="shared" si="487"/>
        <v>0</v>
      </c>
      <c r="Q402" s="24">
        <f t="shared" si="488"/>
        <v>0</v>
      </c>
      <c r="R402" s="25">
        <f t="shared" si="489"/>
        <v>0</v>
      </c>
      <c r="S402" s="23">
        <f t="shared" si="490"/>
        <v>0</v>
      </c>
      <c r="T402" s="24">
        <f t="shared" si="491"/>
        <v>0</v>
      </c>
      <c r="U402" s="25">
        <f t="shared" si="492"/>
        <v>0</v>
      </c>
      <c r="V402" s="23">
        <f t="shared" si="493"/>
        <v>0</v>
      </c>
      <c r="W402" s="24">
        <f t="shared" si="494"/>
        <v>0</v>
      </c>
      <c r="X402" s="25">
        <f t="shared" si="495"/>
        <v>0</v>
      </c>
      <c r="Y402" s="23">
        <f t="shared" si="496"/>
        <v>0</v>
      </c>
      <c r="Z402" s="24">
        <f t="shared" si="497"/>
        <v>0</v>
      </c>
      <c r="AA402" s="25">
        <f t="shared" si="498"/>
        <v>0</v>
      </c>
      <c r="AB402" s="23">
        <f t="shared" si="499"/>
        <v>0</v>
      </c>
      <c r="AC402" s="24">
        <f t="shared" si="500"/>
        <v>0</v>
      </c>
      <c r="AD402" s="25">
        <f t="shared" si="501"/>
        <v>0</v>
      </c>
      <c r="AE402" s="23">
        <f t="shared" si="502"/>
        <v>0</v>
      </c>
      <c r="AF402" s="24">
        <f t="shared" si="503"/>
        <v>0</v>
      </c>
      <c r="AG402" s="25">
        <f t="shared" si="504"/>
        <v>0</v>
      </c>
      <c r="AH402" s="33"/>
    </row>
    <row r="403" spans="1:34" ht="18" customHeight="1" thickTop="1" thickBot="1" x14ac:dyDescent="0.3">
      <c r="A403" s="27">
        <v>294</v>
      </c>
      <c r="B403" s="28">
        <f t="shared" si="506"/>
        <v>0</v>
      </c>
      <c r="C403" s="60">
        <f t="shared" si="475"/>
        <v>0</v>
      </c>
      <c r="D403" s="23">
        <f t="shared" si="476"/>
        <v>0</v>
      </c>
      <c r="E403" s="24">
        <f t="shared" si="477"/>
        <v>0</v>
      </c>
      <c r="F403" s="25">
        <f t="shared" si="505"/>
        <v>0</v>
      </c>
      <c r="G403" s="23">
        <f t="shared" si="478"/>
        <v>0</v>
      </c>
      <c r="H403" s="24">
        <f t="shared" si="479"/>
        <v>0</v>
      </c>
      <c r="I403" s="25">
        <f t="shared" si="480"/>
        <v>0</v>
      </c>
      <c r="J403" s="23">
        <f t="shared" si="481"/>
        <v>0</v>
      </c>
      <c r="K403" s="24">
        <f t="shared" si="482"/>
        <v>0</v>
      </c>
      <c r="L403" s="25">
        <f t="shared" si="483"/>
        <v>0</v>
      </c>
      <c r="M403" s="23">
        <f t="shared" si="484"/>
        <v>0</v>
      </c>
      <c r="N403" s="24">
        <f t="shared" si="485"/>
        <v>0</v>
      </c>
      <c r="O403" s="25">
        <f t="shared" si="486"/>
        <v>0</v>
      </c>
      <c r="P403" s="23">
        <f t="shared" si="487"/>
        <v>0</v>
      </c>
      <c r="Q403" s="24">
        <f t="shared" si="488"/>
        <v>0</v>
      </c>
      <c r="R403" s="25">
        <f t="shared" si="489"/>
        <v>0</v>
      </c>
      <c r="S403" s="23">
        <f t="shared" si="490"/>
        <v>0</v>
      </c>
      <c r="T403" s="24">
        <f t="shared" si="491"/>
        <v>0</v>
      </c>
      <c r="U403" s="25">
        <f t="shared" si="492"/>
        <v>0</v>
      </c>
      <c r="V403" s="23">
        <f t="shared" si="493"/>
        <v>0</v>
      </c>
      <c r="W403" s="24">
        <f t="shared" si="494"/>
        <v>0</v>
      </c>
      <c r="X403" s="25">
        <f t="shared" si="495"/>
        <v>0</v>
      </c>
      <c r="Y403" s="23">
        <f t="shared" si="496"/>
        <v>0</v>
      </c>
      <c r="Z403" s="24">
        <f t="shared" si="497"/>
        <v>0</v>
      </c>
      <c r="AA403" s="25">
        <f t="shared" si="498"/>
        <v>0</v>
      </c>
      <c r="AB403" s="23">
        <f t="shared" si="499"/>
        <v>0</v>
      </c>
      <c r="AC403" s="24">
        <f t="shared" si="500"/>
        <v>0</v>
      </c>
      <c r="AD403" s="25">
        <f t="shared" si="501"/>
        <v>0</v>
      </c>
      <c r="AE403" s="23">
        <f t="shared" si="502"/>
        <v>0</v>
      </c>
      <c r="AF403" s="24">
        <f t="shared" si="503"/>
        <v>0</v>
      </c>
      <c r="AG403" s="25">
        <f t="shared" si="504"/>
        <v>0</v>
      </c>
      <c r="AH403" s="29"/>
    </row>
    <row r="404" spans="1:34" ht="18" customHeight="1" thickTop="1" thickBot="1" x14ac:dyDescent="0.3">
      <c r="A404" s="23">
        <v>295</v>
      </c>
      <c r="B404" s="28">
        <f t="shared" si="506"/>
        <v>0</v>
      </c>
      <c r="C404" s="60">
        <f t="shared" si="475"/>
        <v>0</v>
      </c>
      <c r="D404" s="23">
        <f t="shared" si="476"/>
        <v>0</v>
      </c>
      <c r="E404" s="24">
        <f t="shared" si="477"/>
        <v>0</v>
      </c>
      <c r="F404" s="25">
        <f t="shared" si="505"/>
        <v>0</v>
      </c>
      <c r="G404" s="23">
        <f t="shared" si="478"/>
        <v>0</v>
      </c>
      <c r="H404" s="24">
        <f t="shared" si="479"/>
        <v>0</v>
      </c>
      <c r="I404" s="25">
        <f t="shared" si="480"/>
        <v>0</v>
      </c>
      <c r="J404" s="23">
        <f t="shared" si="481"/>
        <v>0</v>
      </c>
      <c r="K404" s="24">
        <f t="shared" si="482"/>
        <v>0</v>
      </c>
      <c r="L404" s="25">
        <f t="shared" si="483"/>
        <v>0</v>
      </c>
      <c r="M404" s="23">
        <f t="shared" si="484"/>
        <v>0</v>
      </c>
      <c r="N404" s="24">
        <f t="shared" si="485"/>
        <v>0</v>
      </c>
      <c r="O404" s="25">
        <f t="shared" si="486"/>
        <v>0</v>
      </c>
      <c r="P404" s="23">
        <f t="shared" si="487"/>
        <v>0</v>
      </c>
      <c r="Q404" s="24">
        <f t="shared" si="488"/>
        <v>0</v>
      </c>
      <c r="R404" s="25">
        <f t="shared" si="489"/>
        <v>0</v>
      </c>
      <c r="S404" s="23">
        <f t="shared" si="490"/>
        <v>0</v>
      </c>
      <c r="T404" s="24">
        <f t="shared" si="491"/>
        <v>0</v>
      </c>
      <c r="U404" s="25">
        <f t="shared" si="492"/>
        <v>0</v>
      </c>
      <c r="V404" s="23">
        <f t="shared" si="493"/>
        <v>0</v>
      </c>
      <c r="W404" s="24">
        <f t="shared" si="494"/>
        <v>0</v>
      </c>
      <c r="X404" s="25">
        <f t="shared" si="495"/>
        <v>0</v>
      </c>
      <c r="Y404" s="23">
        <f t="shared" si="496"/>
        <v>0</v>
      </c>
      <c r="Z404" s="24">
        <f t="shared" si="497"/>
        <v>0</v>
      </c>
      <c r="AA404" s="25">
        <f t="shared" si="498"/>
        <v>0</v>
      </c>
      <c r="AB404" s="23">
        <f t="shared" si="499"/>
        <v>0</v>
      </c>
      <c r="AC404" s="24">
        <f t="shared" si="500"/>
        <v>0</v>
      </c>
      <c r="AD404" s="25">
        <f t="shared" si="501"/>
        <v>0</v>
      </c>
      <c r="AE404" s="23">
        <f t="shared" si="502"/>
        <v>0</v>
      </c>
      <c r="AF404" s="24">
        <f t="shared" si="503"/>
        <v>0</v>
      </c>
      <c r="AG404" s="25">
        <f t="shared" si="504"/>
        <v>0</v>
      </c>
      <c r="AH404" s="31"/>
    </row>
    <row r="405" spans="1:34" ht="18" customHeight="1" thickTop="1" thickBot="1" x14ac:dyDescent="0.3">
      <c r="A405" s="27">
        <v>296</v>
      </c>
      <c r="B405" s="28">
        <f t="shared" si="506"/>
        <v>0</v>
      </c>
      <c r="C405" s="60">
        <f t="shared" si="475"/>
        <v>0</v>
      </c>
      <c r="D405" s="23">
        <f t="shared" si="476"/>
        <v>0</v>
      </c>
      <c r="E405" s="24">
        <f t="shared" si="477"/>
        <v>0</v>
      </c>
      <c r="F405" s="25">
        <f t="shared" si="505"/>
        <v>0</v>
      </c>
      <c r="G405" s="23">
        <f t="shared" si="478"/>
        <v>0</v>
      </c>
      <c r="H405" s="24">
        <f t="shared" si="479"/>
        <v>0</v>
      </c>
      <c r="I405" s="25">
        <f t="shared" si="480"/>
        <v>0</v>
      </c>
      <c r="J405" s="23">
        <f t="shared" si="481"/>
        <v>0</v>
      </c>
      <c r="K405" s="24">
        <f t="shared" si="482"/>
        <v>0</v>
      </c>
      <c r="L405" s="25">
        <f t="shared" si="483"/>
        <v>0</v>
      </c>
      <c r="M405" s="23">
        <f t="shared" si="484"/>
        <v>0</v>
      </c>
      <c r="N405" s="24">
        <f t="shared" si="485"/>
        <v>0</v>
      </c>
      <c r="O405" s="25">
        <f t="shared" si="486"/>
        <v>0</v>
      </c>
      <c r="P405" s="23">
        <f t="shared" si="487"/>
        <v>0</v>
      </c>
      <c r="Q405" s="24">
        <f t="shared" si="488"/>
        <v>0</v>
      </c>
      <c r="R405" s="25">
        <f t="shared" si="489"/>
        <v>0</v>
      </c>
      <c r="S405" s="23">
        <f t="shared" si="490"/>
        <v>0</v>
      </c>
      <c r="T405" s="24">
        <f t="shared" si="491"/>
        <v>0</v>
      </c>
      <c r="U405" s="25">
        <f t="shared" si="492"/>
        <v>0</v>
      </c>
      <c r="V405" s="23">
        <f t="shared" si="493"/>
        <v>0</v>
      </c>
      <c r="W405" s="24">
        <f t="shared" si="494"/>
        <v>0</v>
      </c>
      <c r="X405" s="25">
        <f t="shared" si="495"/>
        <v>0</v>
      </c>
      <c r="Y405" s="23">
        <f t="shared" si="496"/>
        <v>0</v>
      </c>
      <c r="Z405" s="24">
        <f t="shared" si="497"/>
        <v>0</v>
      </c>
      <c r="AA405" s="25">
        <f t="shared" si="498"/>
        <v>0</v>
      </c>
      <c r="AB405" s="23">
        <f t="shared" si="499"/>
        <v>0</v>
      </c>
      <c r="AC405" s="24">
        <f t="shared" si="500"/>
        <v>0</v>
      </c>
      <c r="AD405" s="25">
        <f t="shared" si="501"/>
        <v>0</v>
      </c>
      <c r="AE405" s="23">
        <f t="shared" si="502"/>
        <v>0</v>
      </c>
      <c r="AF405" s="24">
        <f t="shared" si="503"/>
        <v>0</v>
      </c>
      <c r="AG405" s="25">
        <f t="shared" si="504"/>
        <v>0</v>
      </c>
      <c r="AH405" s="29"/>
    </row>
    <row r="406" spans="1:34" ht="18" customHeight="1" thickTop="1" thickBot="1" x14ac:dyDescent="0.3">
      <c r="A406" s="23">
        <v>297</v>
      </c>
      <c r="B406" s="28">
        <f t="shared" si="506"/>
        <v>0</v>
      </c>
      <c r="C406" s="60">
        <f t="shared" si="475"/>
        <v>0</v>
      </c>
      <c r="D406" s="23">
        <f t="shared" si="476"/>
        <v>0</v>
      </c>
      <c r="E406" s="24">
        <f t="shared" si="477"/>
        <v>0</v>
      </c>
      <c r="F406" s="25">
        <f t="shared" si="505"/>
        <v>0</v>
      </c>
      <c r="G406" s="23">
        <f t="shared" si="478"/>
        <v>0</v>
      </c>
      <c r="H406" s="24">
        <f t="shared" si="479"/>
        <v>0</v>
      </c>
      <c r="I406" s="25">
        <f t="shared" si="480"/>
        <v>0</v>
      </c>
      <c r="J406" s="23">
        <f t="shared" si="481"/>
        <v>0</v>
      </c>
      <c r="K406" s="24">
        <f t="shared" si="482"/>
        <v>0</v>
      </c>
      <c r="L406" s="25">
        <f t="shared" si="483"/>
        <v>0</v>
      </c>
      <c r="M406" s="23">
        <f t="shared" si="484"/>
        <v>0</v>
      </c>
      <c r="N406" s="24">
        <f t="shared" si="485"/>
        <v>0</v>
      </c>
      <c r="O406" s="25">
        <f t="shared" si="486"/>
        <v>0</v>
      </c>
      <c r="P406" s="23">
        <f t="shared" si="487"/>
        <v>0</v>
      </c>
      <c r="Q406" s="24">
        <f t="shared" si="488"/>
        <v>0</v>
      </c>
      <c r="R406" s="25">
        <f t="shared" si="489"/>
        <v>0</v>
      </c>
      <c r="S406" s="23">
        <f t="shared" si="490"/>
        <v>0</v>
      </c>
      <c r="T406" s="24">
        <f t="shared" si="491"/>
        <v>0</v>
      </c>
      <c r="U406" s="25">
        <f t="shared" si="492"/>
        <v>0</v>
      </c>
      <c r="V406" s="23">
        <f t="shared" si="493"/>
        <v>0</v>
      </c>
      <c r="W406" s="24">
        <f t="shared" si="494"/>
        <v>0</v>
      </c>
      <c r="X406" s="25">
        <f t="shared" si="495"/>
        <v>0</v>
      </c>
      <c r="Y406" s="23">
        <f t="shared" si="496"/>
        <v>0</v>
      </c>
      <c r="Z406" s="24">
        <f t="shared" si="497"/>
        <v>0</v>
      </c>
      <c r="AA406" s="25">
        <f t="shared" si="498"/>
        <v>0</v>
      </c>
      <c r="AB406" s="23">
        <f t="shared" si="499"/>
        <v>0</v>
      </c>
      <c r="AC406" s="24">
        <f t="shared" si="500"/>
        <v>0</v>
      </c>
      <c r="AD406" s="25">
        <f t="shared" si="501"/>
        <v>0</v>
      </c>
      <c r="AE406" s="23">
        <f t="shared" si="502"/>
        <v>0</v>
      </c>
      <c r="AF406" s="24">
        <f t="shared" si="503"/>
        <v>0</v>
      </c>
      <c r="AG406" s="25">
        <f t="shared" si="504"/>
        <v>0</v>
      </c>
      <c r="AH406" s="31"/>
    </row>
    <row r="407" spans="1:34" ht="18" customHeight="1" thickTop="1" thickBot="1" x14ac:dyDescent="0.3">
      <c r="A407" s="27">
        <v>298</v>
      </c>
      <c r="B407" s="28">
        <f t="shared" si="506"/>
        <v>0</v>
      </c>
      <c r="C407" s="60">
        <f t="shared" si="475"/>
        <v>0</v>
      </c>
      <c r="D407" s="23">
        <f t="shared" si="476"/>
        <v>0</v>
      </c>
      <c r="E407" s="24">
        <f t="shared" si="477"/>
        <v>0</v>
      </c>
      <c r="F407" s="25">
        <f t="shared" si="505"/>
        <v>0</v>
      </c>
      <c r="G407" s="23">
        <f t="shared" si="478"/>
        <v>0</v>
      </c>
      <c r="H407" s="24">
        <f t="shared" si="479"/>
        <v>0</v>
      </c>
      <c r="I407" s="25">
        <f t="shared" si="480"/>
        <v>0</v>
      </c>
      <c r="J407" s="23">
        <f t="shared" si="481"/>
        <v>0</v>
      </c>
      <c r="K407" s="24">
        <f t="shared" si="482"/>
        <v>0</v>
      </c>
      <c r="L407" s="25">
        <f t="shared" si="483"/>
        <v>0</v>
      </c>
      <c r="M407" s="23">
        <f t="shared" si="484"/>
        <v>0</v>
      </c>
      <c r="N407" s="24">
        <f t="shared" si="485"/>
        <v>0</v>
      </c>
      <c r="O407" s="25">
        <f t="shared" si="486"/>
        <v>0</v>
      </c>
      <c r="P407" s="23">
        <f t="shared" si="487"/>
        <v>0</v>
      </c>
      <c r="Q407" s="24">
        <f t="shared" si="488"/>
        <v>0</v>
      </c>
      <c r="R407" s="25">
        <f t="shared" si="489"/>
        <v>0</v>
      </c>
      <c r="S407" s="23">
        <f t="shared" si="490"/>
        <v>0</v>
      </c>
      <c r="T407" s="24">
        <f t="shared" si="491"/>
        <v>0</v>
      </c>
      <c r="U407" s="25">
        <f t="shared" si="492"/>
        <v>0</v>
      </c>
      <c r="V407" s="23">
        <f t="shared" si="493"/>
        <v>0</v>
      </c>
      <c r="W407" s="24">
        <f t="shared" si="494"/>
        <v>0</v>
      </c>
      <c r="X407" s="25">
        <f t="shared" si="495"/>
        <v>0</v>
      </c>
      <c r="Y407" s="23">
        <f t="shared" si="496"/>
        <v>0</v>
      </c>
      <c r="Z407" s="24">
        <f t="shared" si="497"/>
        <v>0</v>
      </c>
      <c r="AA407" s="25">
        <f t="shared" si="498"/>
        <v>0</v>
      </c>
      <c r="AB407" s="23">
        <f t="shared" si="499"/>
        <v>0</v>
      </c>
      <c r="AC407" s="24">
        <f t="shared" si="500"/>
        <v>0</v>
      </c>
      <c r="AD407" s="25">
        <f t="shared" si="501"/>
        <v>0</v>
      </c>
      <c r="AE407" s="23">
        <f t="shared" si="502"/>
        <v>0</v>
      </c>
      <c r="AF407" s="24">
        <f t="shared" si="503"/>
        <v>0</v>
      </c>
      <c r="AG407" s="25">
        <f t="shared" si="504"/>
        <v>0</v>
      </c>
      <c r="AH407" s="31"/>
    </row>
    <row r="408" spans="1:34" ht="18" customHeight="1" thickTop="1" thickBot="1" x14ac:dyDescent="0.3">
      <c r="A408" s="23">
        <v>299</v>
      </c>
      <c r="B408" s="28">
        <f t="shared" si="506"/>
        <v>0</v>
      </c>
      <c r="C408" s="60">
        <f t="shared" si="475"/>
        <v>0</v>
      </c>
      <c r="D408" s="23">
        <f t="shared" si="476"/>
        <v>0</v>
      </c>
      <c r="E408" s="24">
        <f t="shared" si="477"/>
        <v>0</v>
      </c>
      <c r="F408" s="25">
        <f t="shared" si="505"/>
        <v>0</v>
      </c>
      <c r="G408" s="23">
        <f t="shared" si="478"/>
        <v>0</v>
      </c>
      <c r="H408" s="24">
        <f t="shared" si="479"/>
        <v>0</v>
      </c>
      <c r="I408" s="25">
        <f t="shared" si="480"/>
        <v>0</v>
      </c>
      <c r="J408" s="23">
        <f t="shared" si="481"/>
        <v>0</v>
      </c>
      <c r="K408" s="24">
        <f t="shared" si="482"/>
        <v>0</v>
      </c>
      <c r="L408" s="25">
        <f t="shared" si="483"/>
        <v>0</v>
      </c>
      <c r="M408" s="23">
        <f t="shared" si="484"/>
        <v>0</v>
      </c>
      <c r="N408" s="24">
        <f t="shared" si="485"/>
        <v>0</v>
      </c>
      <c r="O408" s="25">
        <f t="shared" si="486"/>
        <v>0</v>
      </c>
      <c r="P408" s="23">
        <f t="shared" si="487"/>
        <v>0</v>
      </c>
      <c r="Q408" s="24">
        <f t="shared" si="488"/>
        <v>0</v>
      </c>
      <c r="R408" s="25">
        <f t="shared" si="489"/>
        <v>0</v>
      </c>
      <c r="S408" s="23">
        <f t="shared" si="490"/>
        <v>0</v>
      </c>
      <c r="T408" s="24">
        <f t="shared" si="491"/>
        <v>0</v>
      </c>
      <c r="U408" s="25">
        <f t="shared" si="492"/>
        <v>0</v>
      </c>
      <c r="V408" s="23">
        <f t="shared" si="493"/>
        <v>0</v>
      </c>
      <c r="W408" s="24">
        <f t="shared" si="494"/>
        <v>0</v>
      </c>
      <c r="X408" s="25">
        <f t="shared" si="495"/>
        <v>0</v>
      </c>
      <c r="Y408" s="23">
        <f t="shared" si="496"/>
        <v>0</v>
      </c>
      <c r="Z408" s="24">
        <f t="shared" si="497"/>
        <v>0</v>
      </c>
      <c r="AA408" s="25">
        <f t="shared" si="498"/>
        <v>0</v>
      </c>
      <c r="AB408" s="23">
        <f t="shared" si="499"/>
        <v>0</v>
      </c>
      <c r="AC408" s="24">
        <f t="shared" si="500"/>
        <v>0</v>
      </c>
      <c r="AD408" s="25">
        <f t="shared" si="501"/>
        <v>0</v>
      </c>
      <c r="AE408" s="23">
        <f t="shared" si="502"/>
        <v>0</v>
      </c>
      <c r="AF408" s="24">
        <f t="shared" si="503"/>
        <v>0</v>
      </c>
      <c r="AG408" s="25">
        <f t="shared" si="504"/>
        <v>0</v>
      </c>
      <c r="AH408" s="31"/>
    </row>
    <row r="409" spans="1:34" ht="18" customHeight="1" thickTop="1" thickBot="1" x14ac:dyDescent="0.3">
      <c r="A409" s="27">
        <v>300</v>
      </c>
      <c r="B409" s="28">
        <f t="shared" si="506"/>
        <v>0</v>
      </c>
      <c r="C409" s="60">
        <f t="shared" si="475"/>
        <v>0</v>
      </c>
      <c r="D409" s="23">
        <f t="shared" si="476"/>
        <v>0</v>
      </c>
      <c r="E409" s="24">
        <f t="shared" si="477"/>
        <v>0</v>
      </c>
      <c r="F409" s="25">
        <f t="shared" si="505"/>
        <v>0</v>
      </c>
      <c r="G409" s="23">
        <f t="shared" si="478"/>
        <v>0</v>
      </c>
      <c r="H409" s="24">
        <f t="shared" si="479"/>
        <v>0</v>
      </c>
      <c r="I409" s="25">
        <f t="shared" si="480"/>
        <v>0</v>
      </c>
      <c r="J409" s="23">
        <f t="shared" si="481"/>
        <v>0</v>
      </c>
      <c r="K409" s="24">
        <f t="shared" si="482"/>
        <v>0</v>
      </c>
      <c r="L409" s="25">
        <f t="shared" si="483"/>
        <v>0</v>
      </c>
      <c r="M409" s="23">
        <f t="shared" si="484"/>
        <v>0</v>
      </c>
      <c r="N409" s="24">
        <f t="shared" si="485"/>
        <v>0</v>
      </c>
      <c r="O409" s="25">
        <f t="shared" si="486"/>
        <v>0</v>
      </c>
      <c r="P409" s="23">
        <f t="shared" si="487"/>
        <v>0</v>
      </c>
      <c r="Q409" s="24">
        <f t="shared" si="488"/>
        <v>0</v>
      </c>
      <c r="R409" s="25">
        <f t="shared" si="489"/>
        <v>0</v>
      </c>
      <c r="S409" s="23">
        <f t="shared" si="490"/>
        <v>0</v>
      </c>
      <c r="T409" s="24">
        <f t="shared" si="491"/>
        <v>0</v>
      </c>
      <c r="U409" s="25">
        <f t="shared" si="492"/>
        <v>0</v>
      </c>
      <c r="V409" s="23">
        <f t="shared" si="493"/>
        <v>0</v>
      </c>
      <c r="W409" s="24">
        <f t="shared" si="494"/>
        <v>0</v>
      </c>
      <c r="X409" s="25">
        <f t="shared" si="495"/>
        <v>0</v>
      </c>
      <c r="Y409" s="23">
        <f t="shared" si="496"/>
        <v>0</v>
      </c>
      <c r="Z409" s="24">
        <f t="shared" si="497"/>
        <v>0</v>
      </c>
      <c r="AA409" s="25">
        <f t="shared" si="498"/>
        <v>0</v>
      </c>
      <c r="AB409" s="23">
        <f t="shared" si="499"/>
        <v>0</v>
      </c>
      <c r="AC409" s="24">
        <f t="shared" si="500"/>
        <v>0</v>
      </c>
      <c r="AD409" s="25">
        <f t="shared" si="501"/>
        <v>0</v>
      </c>
      <c r="AE409" s="23">
        <f t="shared" si="502"/>
        <v>0</v>
      </c>
      <c r="AF409" s="24">
        <f t="shared" si="503"/>
        <v>0</v>
      </c>
      <c r="AG409" s="25">
        <f t="shared" si="504"/>
        <v>0</v>
      </c>
      <c r="AH409" s="34"/>
    </row>
    <row r="410" spans="1:34" ht="7.95" customHeight="1" thickTop="1" x14ac:dyDescent="0.25">
      <c r="A410" s="212" t="s">
        <v>2</v>
      </c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212"/>
    </row>
    <row r="411" spans="1:34" x14ac:dyDescent="0.25">
      <c r="A411" s="213"/>
      <c r="B411" s="213"/>
      <c r="C411" s="213" t="s">
        <v>18</v>
      </c>
      <c r="D411" s="213"/>
      <c r="E411" s="213"/>
      <c r="F411" s="214" t="s">
        <v>19</v>
      </c>
      <c r="G411" s="214"/>
      <c r="H411" s="214"/>
      <c r="I411" s="214"/>
      <c r="J411" s="35"/>
      <c r="K411" s="214" t="s">
        <v>20</v>
      </c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  <c r="Y411" s="214"/>
      <c r="Z411" s="214"/>
      <c r="AA411" s="214"/>
      <c r="AB411" s="214"/>
      <c r="AC411" s="35"/>
      <c r="AD411" s="35"/>
      <c r="AE411" s="214" t="s">
        <v>55</v>
      </c>
      <c r="AF411" s="214"/>
      <c r="AG411" s="214"/>
    </row>
    <row r="412" spans="1:34" ht="13.95" customHeight="1" x14ac:dyDescent="0.25">
      <c r="A412" s="214" t="s">
        <v>21</v>
      </c>
      <c r="B412" s="214"/>
      <c r="C412" s="213">
        <f>'الفترة الاولى'!$CA$10</f>
        <v>0</v>
      </c>
      <c r="D412" s="213"/>
      <c r="E412" s="213"/>
      <c r="F412" s="214"/>
      <c r="G412" s="214"/>
      <c r="H412" s="214"/>
      <c r="I412" s="214"/>
      <c r="J412" s="35"/>
      <c r="K412" s="220" t="s">
        <v>52</v>
      </c>
      <c r="L412" s="215"/>
      <c r="M412" s="215"/>
      <c r="N412" s="222" t="str">
        <f>'الفترة الاولى'!$CA$16</f>
        <v>أ. فهيم عبدالمجيد بوازويتة</v>
      </c>
      <c r="O412" s="222"/>
      <c r="P412" s="222"/>
      <c r="Q412" s="222"/>
      <c r="R412" s="222"/>
      <c r="S412" s="222"/>
      <c r="T412" s="222"/>
      <c r="U412" s="215" t="s">
        <v>53</v>
      </c>
      <c r="V412" s="215"/>
      <c r="W412" s="215"/>
      <c r="X412" s="215" t="str">
        <f>'الفترة الاولى'!$C$6</f>
        <v>سهول العلم للتعليم الخاص</v>
      </c>
      <c r="Y412" s="215"/>
      <c r="Z412" s="215"/>
      <c r="AA412" s="215"/>
      <c r="AB412" s="216"/>
      <c r="AC412" s="36"/>
      <c r="AD412" s="36"/>
      <c r="AE412" s="214" t="s">
        <v>2</v>
      </c>
      <c r="AF412" s="214"/>
      <c r="AG412" s="214"/>
    </row>
    <row r="413" spans="1:34" ht="15.6" customHeight="1" x14ac:dyDescent="0.25">
      <c r="A413" s="214" t="s">
        <v>22</v>
      </c>
      <c r="B413" s="214"/>
      <c r="C413" s="213">
        <f>'الفترة الاولى'!$CA$11</f>
        <v>0</v>
      </c>
      <c r="D413" s="213"/>
      <c r="E413" s="213"/>
      <c r="F413" s="214"/>
      <c r="G413" s="214"/>
      <c r="H413" s="214"/>
      <c r="I413" s="214"/>
      <c r="J413" s="35"/>
      <c r="K413" s="217" t="s">
        <v>54</v>
      </c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9"/>
      <c r="AC413" s="37"/>
      <c r="AD413" s="37"/>
      <c r="AE413" s="214"/>
      <c r="AF413" s="214"/>
      <c r="AG413" s="214"/>
    </row>
    <row r="414" spans="1:34" ht="13.95" customHeight="1" x14ac:dyDescent="0.25">
      <c r="A414" s="214" t="s">
        <v>23</v>
      </c>
      <c r="B414" s="214"/>
      <c r="C414" s="213">
        <f>'الفترة الاولى'!$CA$12</f>
        <v>0</v>
      </c>
      <c r="D414" s="213"/>
      <c r="E414" s="213"/>
      <c r="F414" s="214"/>
      <c r="G414" s="214"/>
      <c r="H414" s="214"/>
      <c r="I414" s="214"/>
      <c r="K414" s="220" t="s">
        <v>44</v>
      </c>
      <c r="L414" s="215"/>
      <c r="M414" s="221">
        <f ca="1">TODAY()</f>
        <v>46181</v>
      </c>
      <c r="N414" s="215"/>
      <c r="O414" s="215"/>
      <c r="P414" s="215"/>
      <c r="Q414" s="215"/>
      <c r="R414" s="215"/>
      <c r="S414" s="215"/>
      <c r="T414" s="215" t="s">
        <v>19</v>
      </c>
      <c r="U414" s="215"/>
      <c r="V414" s="215"/>
      <c r="W414" s="215"/>
      <c r="X414" s="215"/>
      <c r="Y414" s="215"/>
      <c r="Z414" s="215"/>
      <c r="AA414" s="215"/>
      <c r="AB414" s="38"/>
      <c r="AC414" s="36"/>
      <c r="AD414" s="36"/>
      <c r="AE414" s="214"/>
      <c r="AF414" s="214"/>
      <c r="AG414" s="214"/>
    </row>
    <row r="415" spans="1:34" x14ac:dyDescent="0.25">
      <c r="A415" s="214" t="s">
        <v>24</v>
      </c>
      <c r="B415" s="214"/>
      <c r="C415" s="213">
        <f>'الفترة الاولى'!$CA$13</f>
        <v>0</v>
      </c>
      <c r="D415" s="213"/>
      <c r="E415" s="213"/>
      <c r="F415" s="214"/>
      <c r="G415" s="214"/>
      <c r="H415" s="214"/>
      <c r="I415" s="214"/>
      <c r="K415" s="39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1"/>
      <c r="AC415" s="36"/>
      <c r="AD415" s="36"/>
      <c r="AE415" s="214"/>
      <c r="AF415" s="214"/>
      <c r="AG415" s="214"/>
    </row>
  </sheetData>
  <sheetProtection selectLockedCells="1"/>
  <mergeCells count="457">
    <mergeCell ref="A1:AH1"/>
    <mergeCell ref="A2:AH2"/>
    <mergeCell ref="A3:AH3"/>
    <mergeCell ref="A412:B412"/>
    <mergeCell ref="C412:E412"/>
    <mergeCell ref="F412:I412"/>
    <mergeCell ref="K412:M412"/>
    <mergeCell ref="N412:T412"/>
    <mergeCell ref="U412:W412"/>
    <mergeCell ref="X412:AB412"/>
    <mergeCell ref="AE412:AG415"/>
    <mergeCell ref="A413:B413"/>
    <mergeCell ref="C413:E413"/>
    <mergeCell ref="F413:I413"/>
    <mergeCell ref="K413:AB413"/>
    <mergeCell ref="A414:B414"/>
    <mergeCell ref="C414:E414"/>
    <mergeCell ref="F414:I414"/>
    <mergeCell ref="K414:L414"/>
    <mergeCell ref="M414:S414"/>
    <mergeCell ref="T414:V414"/>
    <mergeCell ref="W414:AA414"/>
    <mergeCell ref="A415:B415"/>
    <mergeCell ref="C415:E415"/>
    <mergeCell ref="F415:I415"/>
    <mergeCell ref="T387:V387"/>
    <mergeCell ref="W387:AA387"/>
    <mergeCell ref="A388:B388"/>
    <mergeCell ref="C388:E388"/>
    <mergeCell ref="F388:I388"/>
    <mergeCell ref="A389:AH389"/>
    <mergeCell ref="A410:AG410"/>
    <mergeCell ref="A411:B411"/>
    <mergeCell ref="C411:E411"/>
    <mergeCell ref="F411:I411"/>
    <mergeCell ref="K411:AB411"/>
    <mergeCell ref="AE411:AG411"/>
    <mergeCell ref="A362:AH362"/>
    <mergeCell ref="A383:AG383"/>
    <mergeCell ref="A384:B384"/>
    <mergeCell ref="C384:E384"/>
    <mergeCell ref="F384:I384"/>
    <mergeCell ref="K384:AB384"/>
    <mergeCell ref="AE384:AG384"/>
    <mergeCell ref="A385:B385"/>
    <mergeCell ref="C385:E385"/>
    <mergeCell ref="F385:I385"/>
    <mergeCell ref="K385:M385"/>
    <mergeCell ref="N385:T385"/>
    <mergeCell ref="U385:W385"/>
    <mergeCell ref="X385:AB385"/>
    <mergeCell ref="AE385:AG388"/>
    <mergeCell ref="A386:B386"/>
    <mergeCell ref="C386:E386"/>
    <mergeCell ref="F386:I386"/>
    <mergeCell ref="K386:AB386"/>
    <mergeCell ref="A387:B387"/>
    <mergeCell ref="C387:E387"/>
    <mergeCell ref="F387:I387"/>
    <mergeCell ref="K387:L387"/>
    <mergeCell ref="M387:S387"/>
    <mergeCell ref="A358:B358"/>
    <mergeCell ref="C358:E358"/>
    <mergeCell ref="F358:I358"/>
    <mergeCell ref="K358:M358"/>
    <mergeCell ref="N358:T358"/>
    <mergeCell ref="U358:W358"/>
    <mergeCell ref="X358:AB358"/>
    <mergeCell ref="AE358:AG361"/>
    <mergeCell ref="A359:B359"/>
    <mergeCell ref="C359:E359"/>
    <mergeCell ref="F359:I359"/>
    <mergeCell ref="K359:AB359"/>
    <mergeCell ref="A360:B360"/>
    <mergeCell ref="C360:E360"/>
    <mergeCell ref="F360:I360"/>
    <mergeCell ref="K360:L360"/>
    <mergeCell ref="M360:S360"/>
    <mergeCell ref="T360:V360"/>
    <mergeCell ref="W360:AA360"/>
    <mergeCell ref="A361:B361"/>
    <mergeCell ref="C361:E361"/>
    <mergeCell ref="F361:I361"/>
    <mergeCell ref="T333:V333"/>
    <mergeCell ref="W333:AA333"/>
    <mergeCell ref="A334:B334"/>
    <mergeCell ref="C334:E334"/>
    <mergeCell ref="F334:I334"/>
    <mergeCell ref="A335:AH335"/>
    <mergeCell ref="A356:AG356"/>
    <mergeCell ref="A357:B357"/>
    <mergeCell ref="C357:E357"/>
    <mergeCell ref="F357:I357"/>
    <mergeCell ref="K357:AB357"/>
    <mergeCell ref="AE357:AG357"/>
    <mergeCell ref="A308:AH308"/>
    <mergeCell ref="A329:AG329"/>
    <mergeCell ref="A330:B330"/>
    <mergeCell ref="C330:E330"/>
    <mergeCell ref="F330:I330"/>
    <mergeCell ref="K330:AB330"/>
    <mergeCell ref="AE330:AG330"/>
    <mergeCell ref="A331:B331"/>
    <mergeCell ref="C331:E331"/>
    <mergeCell ref="F331:I331"/>
    <mergeCell ref="K331:M331"/>
    <mergeCell ref="N331:T331"/>
    <mergeCell ref="U331:W331"/>
    <mergeCell ref="X331:AB331"/>
    <mergeCell ref="AE331:AG334"/>
    <mergeCell ref="A332:B332"/>
    <mergeCell ref="C332:E332"/>
    <mergeCell ref="F332:I332"/>
    <mergeCell ref="K332:AB332"/>
    <mergeCell ref="A333:B333"/>
    <mergeCell ref="C333:E333"/>
    <mergeCell ref="F333:I333"/>
    <mergeCell ref="K333:L333"/>
    <mergeCell ref="M333:S333"/>
    <mergeCell ref="A304:B304"/>
    <mergeCell ref="C304:E304"/>
    <mergeCell ref="F304:I304"/>
    <mergeCell ref="K304:M304"/>
    <mergeCell ref="N304:T304"/>
    <mergeCell ref="U304:W304"/>
    <mergeCell ref="X304:AB304"/>
    <mergeCell ref="AE304:AG307"/>
    <mergeCell ref="A305:B305"/>
    <mergeCell ref="C305:E305"/>
    <mergeCell ref="F305:I305"/>
    <mergeCell ref="K305:AB305"/>
    <mergeCell ref="A306:B306"/>
    <mergeCell ref="C306:E306"/>
    <mergeCell ref="F306:I306"/>
    <mergeCell ref="K306:L306"/>
    <mergeCell ref="M306:S306"/>
    <mergeCell ref="T306:V306"/>
    <mergeCell ref="W306:AA306"/>
    <mergeCell ref="A307:B307"/>
    <mergeCell ref="C307:E307"/>
    <mergeCell ref="F307:I307"/>
    <mergeCell ref="T278:V278"/>
    <mergeCell ref="W278:AA278"/>
    <mergeCell ref="A279:B279"/>
    <mergeCell ref="C279:E279"/>
    <mergeCell ref="F279:I279"/>
    <mergeCell ref="A281:AH281"/>
    <mergeCell ref="A302:AG302"/>
    <mergeCell ref="A303:B303"/>
    <mergeCell ref="C303:E303"/>
    <mergeCell ref="F303:I303"/>
    <mergeCell ref="K303:AB303"/>
    <mergeCell ref="AE303:AG303"/>
    <mergeCell ref="A253:AH253"/>
    <mergeCell ref="A274:AG274"/>
    <mergeCell ref="A275:B275"/>
    <mergeCell ref="C275:E275"/>
    <mergeCell ref="F275:I275"/>
    <mergeCell ref="K275:AB275"/>
    <mergeCell ref="AE275:AG275"/>
    <mergeCell ref="A276:B276"/>
    <mergeCell ref="C276:E276"/>
    <mergeCell ref="F276:I276"/>
    <mergeCell ref="K276:M276"/>
    <mergeCell ref="N276:T276"/>
    <mergeCell ref="U276:W276"/>
    <mergeCell ref="X276:AB276"/>
    <mergeCell ref="AE276:AG279"/>
    <mergeCell ref="A277:B277"/>
    <mergeCell ref="C277:E277"/>
    <mergeCell ref="F277:I277"/>
    <mergeCell ref="K277:AB277"/>
    <mergeCell ref="A278:B278"/>
    <mergeCell ref="C278:E278"/>
    <mergeCell ref="F278:I278"/>
    <mergeCell ref="K278:L278"/>
    <mergeCell ref="M278:S278"/>
    <mergeCell ref="A249:B249"/>
    <mergeCell ref="C249:E249"/>
    <mergeCell ref="F249:I249"/>
    <mergeCell ref="K249:M249"/>
    <mergeCell ref="N249:T249"/>
    <mergeCell ref="U249:W249"/>
    <mergeCell ref="X249:AB249"/>
    <mergeCell ref="AE249:AG252"/>
    <mergeCell ref="A250:B250"/>
    <mergeCell ref="C250:E250"/>
    <mergeCell ref="F250:I250"/>
    <mergeCell ref="K250:AB250"/>
    <mergeCell ref="A251:B251"/>
    <mergeCell ref="C251:E251"/>
    <mergeCell ref="F251:I251"/>
    <mergeCell ref="K251:L251"/>
    <mergeCell ref="M251:S251"/>
    <mergeCell ref="T251:V251"/>
    <mergeCell ref="W251:AA251"/>
    <mergeCell ref="A252:B252"/>
    <mergeCell ref="C252:E252"/>
    <mergeCell ref="F252:I252"/>
    <mergeCell ref="T224:V224"/>
    <mergeCell ref="W224:AA224"/>
    <mergeCell ref="A225:B225"/>
    <mergeCell ref="C225:E225"/>
    <mergeCell ref="F225:I225"/>
    <mergeCell ref="A226:AH226"/>
    <mergeCell ref="A247:AG247"/>
    <mergeCell ref="A248:B248"/>
    <mergeCell ref="C248:E248"/>
    <mergeCell ref="F248:I248"/>
    <mergeCell ref="K248:AB248"/>
    <mergeCell ref="AE248:AG248"/>
    <mergeCell ref="A199:AH199"/>
    <mergeCell ref="A220:AG220"/>
    <mergeCell ref="A221:B221"/>
    <mergeCell ref="C221:E221"/>
    <mergeCell ref="F221:I221"/>
    <mergeCell ref="K221:AB221"/>
    <mergeCell ref="AE221:AG221"/>
    <mergeCell ref="A222:B222"/>
    <mergeCell ref="C222:E222"/>
    <mergeCell ref="F222:I222"/>
    <mergeCell ref="K222:M222"/>
    <mergeCell ref="N222:T222"/>
    <mergeCell ref="U222:W222"/>
    <mergeCell ref="X222:AB222"/>
    <mergeCell ref="AE222:AG225"/>
    <mergeCell ref="A223:B223"/>
    <mergeCell ref="C223:E223"/>
    <mergeCell ref="F223:I223"/>
    <mergeCell ref="K223:AB223"/>
    <mergeCell ref="A224:B224"/>
    <mergeCell ref="C224:E224"/>
    <mergeCell ref="F224:I224"/>
    <mergeCell ref="K224:L224"/>
    <mergeCell ref="M224:S224"/>
    <mergeCell ref="A195:B195"/>
    <mergeCell ref="C195:E195"/>
    <mergeCell ref="F195:I195"/>
    <mergeCell ref="K195:M195"/>
    <mergeCell ref="N195:T195"/>
    <mergeCell ref="U195:W195"/>
    <mergeCell ref="X195:AB195"/>
    <mergeCell ref="AE195:AG198"/>
    <mergeCell ref="A196:B196"/>
    <mergeCell ref="C196:E196"/>
    <mergeCell ref="F196:I196"/>
    <mergeCell ref="K196:AB196"/>
    <mergeCell ref="A197:B197"/>
    <mergeCell ref="C197:E197"/>
    <mergeCell ref="F197:I197"/>
    <mergeCell ref="K197:L197"/>
    <mergeCell ref="M197:S197"/>
    <mergeCell ref="T197:V197"/>
    <mergeCell ref="W197:AA197"/>
    <mergeCell ref="A198:B198"/>
    <mergeCell ref="C198:E198"/>
    <mergeCell ref="F198:I198"/>
    <mergeCell ref="T170:V170"/>
    <mergeCell ref="W170:AA170"/>
    <mergeCell ref="A171:B171"/>
    <mergeCell ref="C171:E171"/>
    <mergeCell ref="F171:I171"/>
    <mergeCell ref="A172:AH172"/>
    <mergeCell ref="A193:AG193"/>
    <mergeCell ref="A194:B194"/>
    <mergeCell ref="C194:E194"/>
    <mergeCell ref="F194:I194"/>
    <mergeCell ref="K194:AB194"/>
    <mergeCell ref="AE194:AG194"/>
    <mergeCell ref="A145:AH145"/>
    <mergeCell ref="A166:AG166"/>
    <mergeCell ref="A167:B167"/>
    <mergeCell ref="C167:E167"/>
    <mergeCell ref="F167:I167"/>
    <mergeCell ref="K167:AB167"/>
    <mergeCell ref="AE167:AG167"/>
    <mergeCell ref="A168:B168"/>
    <mergeCell ref="C168:E168"/>
    <mergeCell ref="F168:I168"/>
    <mergeCell ref="K168:M168"/>
    <mergeCell ref="N168:T168"/>
    <mergeCell ref="U168:W168"/>
    <mergeCell ref="X168:AB168"/>
    <mergeCell ref="AE168:AG171"/>
    <mergeCell ref="A169:B169"/>
    <mergeCell ref="C169:E169"/>
    <mergeCell ref="F169:I169"/>
    <mergeCell ref="K169:AB169"/>
    <mergeCell ref="A170:B170"/>
    <mergeCell ref="C170:E170"/>
    <mergeCell ref="F170:I170"/>
    <mergeCell ref="K170:L170"/>
    <mergeCell ref="M170:S170"/>
    <mergeCell ref="D6:AG6"/>
    <mergeCell ref="J5:O5"/>
    <mergeCell ref="R5:AG5"/>
    <mergeCell ref="A6:A9"/>
    <mergeCell ref="B6:B9"/>
    <mergeCell ref="C6:C9"/>
    <mergeCell ref="S7:T7"/>
    <mergeCell ref="V7:W7"/>
    <mergeCell ref="Y7:Z7"/>
    <mergeCell ref="AB7:AC7"/>
    <mergeCell ref="AE7:AF7"/>
    <mergeCell ref="A5:B5"/>
    <mergeCell ref="A4:AH4"/>
    <mergeCell ref="A10:AH10"/>
    <mergeCell ref="AH6:AH9"/>
    <mergeCell ref="A31:AG31"/>
    <mergeCell ref="A32:B32"/>
    <mergeCell ref="AE33:AG36"/>
    <mergeCell ref="D7:E7"/>
    <mergeCell ref="G7:H7"/>
    <mergeCell ref="J7:K7"/>
    <mergeCell ref="M7:N7"/>
    <mergeCell ref="P7:Q7"/>
    <mergeCell ref="C32:E32"/>
    <mergeCell ref="F32:I32"/>
    <mergeCell ref="AE32:AG32"/>
    <mergeCell ref="C33:E33"/>
    <mergeCell ref="C34:E34"/>
    <mergeCell ref="C35:E35"/>
    <mergeCell ref="C36:E36"/>
    <mergeCell ref="F33:I33"/>
    <mergeCell ref="F34:I34"/>
    <mergeCell ref="F35:I35"/>
    <mergeCell ref="F36:I36"/>
    <mergeCell ref="K32:AB32"/>
    <mergeCell ref="K33:M33"/>
    <mergeCell ref="U33:W33"/>
    <mergeCell ref="N33:T33"/>
    <mergeCell ref="W35:AA35"/>
    <mergeCell ref="A37:AH37"/>
    <mergeCell ref="A58:AG58"/>
    <mergeCell ref="A59:B59"/>
    <mergeCell ref="C59:E59"/>
    <mergeCell ref="F59:I59"/>
    <mergeCell ref="K59:AB59"/>
    <mergeCell ref="AE59:AG59"/>
    <mergeCell ref="A34:B34"/>
    <mergeCell ref="A35:B35"/>
    <mergeCell ref="A36:B36"/>
    <mergeCell ref="A33:B33"/>
    <mergeCell ref="X33:AB33"/>
    <mergeCell ref="K34:AB34"/>
    <mergeCell ref="K35:L35"/>
    <mergeCell ref="M35:S35"/>
    <mergeCell ref="T35:V35"/>
    <mergeCell ref="U60:W60"/>
    <mergeCell ref="X60:AB60"/>
    <mergeCell ref="AE60:AG63"/>
    <mergeCell ref="A61:B61"/>
    <mergeCell ref="C61:E61"/>
    <mergeCell ref="F61:I61"/>
    <mergeCell ref="K61:AB61"/>
    <mergeCell ref="A62:B62"/>
    <mergeCell ref="C62:E62"/>
    <mergeCell ref="F62:I62"/>
    <mergeCell ref="K62:L62"/>
    <mergeCell ref="M62:S62"/>
    <mergeCell ref="T62:V62"/>
    <mergeCell ref="W62:AA62"/>
    <mergeCell ref="A63:B63"/>
    <mergeCell ref="A60:B60"/>
    <mergeCell ref="C60:E60"/>
    <mergeCell ref="F60:I60"/>
    <mergeCell ref="K60:M60"/>
    <mergeCell ref="N60:T60"/>
    <mergeCell ref="C63:E63"/>
    <mergeCell ref="F63:I63"/>
    <mergeCell ref="A64:AH64"/>
    <mergeCell ref="A85:AG85"/>
    <mergeCell ref="A86:B86"/>
    <mergeCell ref="C86:E86"/>
    <mergeCell ref="F86:I86"/>
    <mergeCell ref="K86:AB86"/>
    <mergeCell ref="AE86:AG86"/>
    <mergeCell ref="U87:W87"/>
    <mergeCell ref="X87:AB87"/>
    <mergeCell ref="AE87:AG90"/>
    <mergeCell ref="A88:B88"/>
    <mergeCell ref="C88:E88"/>
    <mergeCell ref="F88:I88"/>
    <mergeCell ref="K88:AB88"/>
    <mergeCell ref="A89:B89"/>
    <mergeCell ref="C89:E89"/>
    <mergeCell ref="F89:I89"/>
    <mergeCell ref="K89:L89"/>
    <mergeCell ref="M89:S89"/>
    <mergeCell ref="T89:V89"/>
    <mergeCell ref="W89:AA89"/>
    <mergeCell ref="A90:B90"/>
    <mergeCell ref="A87:B87"/>
    <mergeCell ref="C87:E87"/>
    <mergeCell ref="N114:T114"/>
    <mergeCell ref="C117:E117"/>
    <mergeCell ref="F117:I117"/>
    <mergeCell ref="F87:I87"/>
    <mergeCell ref="K87:M87"/>
    <mergeCell ref="N87:T87"/>
    <mergeCell ref="C90:E90"/>
    <mergeCell ref="F90:I90"/>
    <mergeCell ref="A91:AH91"/>
    <mergeCell ref="A112:AG112"/>
    <mergeCell ref="A113:B113"/>
    <mergeCell ref="C113:E113"/>
    <mergeCell ref="F113:I113"/>
    <mergeCell ref="K113:AB113"/>
    <mergeCell ref="AE113:AG113"/>
    <mergeCell ref="A141:B141"/>
    <mergeCell ref="C141:E141"/>
    <mergeCell ref="F141:I141"/>
    <mergeCell ref="K141:M141"/>
    <mergeCell ref="N141:T141"/>
    <mergeCell ref="U114:W114"/>
    <mergeCell ref="X114:AB114"/>
    <mergeCell ref="AE114:AG117"/>
    <mergeCell ref="A115:B115"/>
    <mergeCell ref="C115:E115"/>
    <mergeCell ref="F115:I115"/>
    <mergeCell ref="K115:AB115"/>
    <mergeCell ref="A116:B116"/>
    <mergeCell ref="C116:E116"/>
    <mergeCell ref="F116:I116"/>
    <mergeCell ref="K116:L116"/>
    <mergeCell ref="M116:S116"/>
    <mergeCell ref="T116:V116"/>
    <mergeCell ref="W116:AA116"/>
    <mergeCell ref="A117:B117"/>
    <mergeCell ref="A114:B114"/>
    <mergeCell ref="C114:E114"/>
    <mergeCell ref="F114:I114"/>
    <mergeCell ref="K114:M114"/>
    <mergeCell ref="A118:AH118"/>
    <mergeCell ref="A139:AG139"/>
    <mergeCell ref="A140:B140"/>
    <mergeCell ref="C140:E140"/>
    <mergeCell ref="F140:I140"/>
    <mergeCell ref="K140:AB140"/>
    <mergeCell ref="AE140:AG140"/>
    <mergeCell ref="C144:E144"/>
    <mergeCell ref="F144:I144"/>
    <mergeCell ref="U141:W141"/>
    <mergeCell ref="X141:AB141"/>
    <mergeCell ref="AE141:AG144"/>
    <mergeCell ref="A142:B142"/>
    <mergeCell ref="C142:E142"/>
    <mergeCell ref="F142:I142"/>
    <mergeCell ref="K142:AB142"/>
    <mergeCell ref="A143:B143"/>
    <mergeCell ref="C143:E143"/>
    <mergeCell ref="F143:I143"/>
    <mergeCell ref="K143:L143"/>
    <mergeCell ref="M143:S143"/>
    <mergeCell ref="T143:V143"/>
    <mergeCell ref="W143:AA143"/>
    <mergeCell ref="A144:B144"/>
  </mergeCells>
  <printOptions horizontalCentered="1"/>
  <pageMargins left="0" right="0" top="0" bottom="0" header="0" footer="0"/>
  <pageSetup paperSize="9" scale="93" orientation="landscape" r:id="rId1"/>
  <headerFooter>
    <oddHeader xml:space="preserve">&amp;Lصفحة &amp;P من &amp;N
&amp;R&amp;D
</oddHeader>
  </headerFooter>
  <rowBreaks count="2" manualBreakCount="2">
    <brk id="117" max="33" man="1"/>
    <brk id="416" max="51" man="1"/>
  </rowBreaks>
  <colBreaks count="1" manualBreakCount="1"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35"/>
  <sheetViews>
    <sheetView showZeros="0" rightToLeft="1" tabSelected="1" view="pageBreakPreview" topLeftCell="A33" zoomScale="82" zoomScaleNormal="80" zoomScaleSheetLayoutView="82" workbookViewId="0">
      <selection activeCell="Z41" sqref="Z41"/>
    </sheetView>
  </sheetViews>
  <sheetFormatPr defaultColWidth="9" defaultRowHeight="13.8" x14ac:dyDescent="0.25"/>
  <cols>
    <col min="1" max="1" width="1.19921875" style="9" customWidth="1"/>
    <col min="2" max="2" width="11.296875" style="56" customWidth="1"/>
    <col min="3" max="3" width="3.796875" style="110" bestFit="1" customWidth="1"/>
    <col min="4" max="4" width="3.8984375" style="147" customWidth="1"/>
    <col min="5" max="5" width="3.796875" style="147" customWidth="1"/>
    <col min="6" max="6" width="3.796875" style="110" customWidth="1"/>
    <col min="7" max="9" width="4.796875" style="110" customWidth="1"/>
    <col min="10" max="10" width="1.796875" style="110" customWidth="1"/>
    <col min="11" max="11" width="5.296875" style="110" customWidth="1"/>
    <col min="12" max="15" width="4.69921875" style="110" customWidth="1"/>
    <col min="16" max="16" width="1.796875" style="110" customWidth="1"/>
    <col min="17" max="17" width="0.8984375" style="110" customWidth="1"/>
    <col min="18" max="18" width="1.19921875" style="110" customWidth="1"/>
    <col min="19" max="19" width="13.69921875" style="56" customWidth="1"/>
    <col min="20" max="20" width="2.796875" style="110" customWidth="1"/>
    <col min="21" max="21" width="3.8984375" style="147" customWidth="1"/>
    <col min="22" max="22" width="3.796875" style="147" customWidth="1"/>
    <col min="23" max="23" width="3.796875" style="110" customWidth="1"/>
    <col min="24" max="26" width="4.796875" style="110" customWidth="1"/>
    <col min="27" max="27" width="1.796875" style="110" customWidth="1"/>
    <col min="28" max="28" width="5.296875" style="110" customWidth="1"/>
    <col min="29" max="32" width="4.69921875" style="110" customWidth="1"/>
    <col min="33" max="33" width="1.19921875" style="110" customWidth="1"/>
    <col min="34" max="34" width="1" style="110" customWidth="1"/>
    <col min="35" max="35" width="1.19921875" style="110" customWidth="1"/>
    <col min="36" max="36" width="7.19921875" style="56" customWidth="1"/>
    <col min="37" max="37" width="2.796875" style="110" customWidth="1"/>
    <col min="38" max="38" width="3.8984375" style="147" customWidth="1"/>
    <col min="39" max="39" width="3.796875" style="147" customWidth="1"/>
    <col min="40" max="40" width="3.796875" style="110" customWidth="1"/>
    <col min="41" max="43" width="4.796875" style="110" customWidth="1"/>
    <col min="44" max="44" width="1.796875" style="110" customWidth="1"/>
    <col min="45" max="45" width="5.296875" style="110" customWidth="1"/>
    <col min="46" max="49" width="4.69921875" style="110" customWidth="1"/>
    <col min="50" max="50" width="1.19921875" style="110" customWidth="1"/>
    <col min="51" max="51" width="1.09765625" style="110" customWidth="1"/>
    <col min="52" max="52" width="1.19921875" style="110" customWidth="1"/>
    <col min="53" max="53" width="7.19921875" style="56" customWidth="1"/>
    <col min="54" max="54" width="2.796875" style="110" customWidth="1"/>
    <col min="55" max="55" width="3.8984375" style="147" customWidth="1"/>
    <col min="56" max="56" width="3.796875" style="147" customWidth="1"/>
    <col min="57" max="57" width="3.796875" style="110" customWidth="1"/>
    <col min="58" max="60" width="4.796875" style="110" customWidth="1"/>
    <col min="61" max="61" width="1.796875" style="110" customWidth="1"/>
    <col min="62" max="62" width="5.296875" style="110" customWidth="1"/>
    <col min="63" max="66" width="4.69921875" style="110" customWidth="1"/>
    <col min="67" max="67" width="4.09765625" style="9" customWidth="1"/>
    <col min="68" max="70" width="9" style="9"/>
    <col min="71" max="74" width="9" style="9" hidden="1" customWidth="1"/>
    <col min="75" max="16384" width="9" style="9"/>
  </cols>
  <sheetData>
    <row r="1" spans="1:74" ht="15" customHeight="1" thickTop="1" x14ac:dyDescent="0.25">
      <c r="A1" s="10"/>
      <c r="B1" s="316" t="s">
        <v>81</v>
      </c>
      <c r="C1" s="316"/>
      <c r="D1" s="316"/>
      <c r="E1" s="316"/>
      <c r="F1" s="316"/>
      <c r="G1" s="316"/>
      <c r="H1" s="316"/>
      <c r="I1" s="316"/>
      <c r="J1" s="314" t="s">
        <v>48</v>
      </c>
      <c r="K1" s="314"/>
      <c r="L1" s="314"/>
      <c r="M1" s="314"/>
      <c r="N1" s="108"/>
      <c r="O1" s="108">
        <v>6</v>
      </c>
      <c r="P1" s="109"/>
      <c r="R1" s="111"/>
      <c r="S1" s="314" t="s">
        <v>81</v>
      </c>
      <c r="T1" s="314"/>
      <c r="U1" s="314"/>
      <c r="V1" s="314"/>
      <c r="W1" s="314"/>
      <c r="X1" s="314"/>
      <c r="Y1" s="314"/>
      <c r="Z1" s="314"/>
      <c r="AA1" s="314" t="s">
        <v>48</v>
      </c>
      <c r="AB1" s="314"/>
      <c r="AC1" s="314"/>
      <c r="AD1" s="314"/>
      <c r="AE1" s="108"/>
      <c r="AF1" s="108">
        <v>6</v>
      </c>
      <c r="AG1" s="109"/>
      <c r="AI1" s="111"/>
      <c r="AJ1" s="314" t="s">
        <v>81</v>
      </c>
      <c r="AK1" s="314"/>
      <c r="AL1" s="314"/>
      <c r="AM1" s="314"/>
      <c r="AN1" s="314"/>
      <c r="AO1" s="314"/>
      <c r="AP1" s="314"/>
      <c r="AQ1" s="314"/>
      <c r="AR1" s="314" t="s">
        <v>48</v>
      </c>
      <c r="AS1" s="314"/>
      <c r="AT1" s="314"/>
      <c r="AU1" s="314"/>
      <c r="AV1" s="108"/>
      <c r="AW1" s="108">
        <f>AF1+5</f>
        <v>11</v>
      </c>
      <c r="AX1" s="109"/>
      <c r="AZ1" s="111"/>
      <c r="BA1" s="314" t="s">
        <v>81</v>
      </c>
      <c r="BB1" s="314"/>
      <c r="BC1" s="314"/>
      <c r="BD1" s="314"/>
      <c r="BE1" s="314"/>
      <c r="BF1" s="314"/>
      <c r="BG1" s="314"/>
      <c r="BH1" s="314"/>
      <c r="BI1" s="314" t="s">
        <v>48</v>
      </c>
      <c r="BJ1" s="314"/>
      <c r="BK1" s="314"/>
      <c r="BL1" s="314"/>
      <c r="BM1" s="108"/>
      <c r="BN1" s="108">
        <f>AW1+5</f>
        <v>16</v>
      </c>
      <c r="BO1" s="11"/>
      <c r="BV1" s="9">
        <f>SUM(F7:F16)</f>
        <v>336</v>
      </c>
    </row>
    <row r="2" spans="1:74" ht="15" customHeight="1" x14ac:dyDescent="0.25">
      <c r="A2" s="7"/>
      <c r="B2" s="164" t="str">
        <f>'الفترة الاولى'!$A$6</f>
        <v>المدرسة /</v>
      </c>
      <c r="C2" s="310" t="str">
        <f>'الفترة الاولى'!$C$6</f>
        <v>سهول العلم للتعليم الخاص</v>
      </c>
      <c r="D2" s="310"/>
      <c r="E2" s="310"/>
      <c r="F2" s="310"/>
      <c r="G2" s="310"/>
      <c r="H2" s="315" t="s">
        <v>47</v>
      </c>
      <c r="I2" s="315"/>
      <c r="J2" s="315" t="str">
        <f>VLOOKUP(O1,اسم,3,0)</f>
        <v>جمعة خيرى عبدالله الدرهوبي</v>
      </c>
      <c r="K2" s="315"/>
      <c r="L2" s="315"/>
      <c r="M2" s="315"/>
      <c r="N2" s="315"/>
      <c r="O2" s="315"/>
      <c r="P2" s="112"/>
      <c r="R2" s="113"/>
      <c r="S2" s="164" t="str">
        <f>'الفترة الاولى'!$A$6</f>
        <v>المدرسة /</v>
      </c>
      <c r="T2" s="310" t="str">
        <f>'الفترة الاولى'!$C$6</f>
        <v>سهول العلم للتعليم الخاص</v>
      </c>
      <c r="U2" s="310"/>
      <c r="V2" s="310"/>
      <c r="W2" s="310"/>
      <c r="X2" s="310"/>
      <c r="Y2" s="315" t="s">
        <v>47</v>
      </c>
      <c r="Z2" s="315"/>
      <c r="AA2" s="315" t="str">
        <f>VLOOKUP(AF1,اسم,3,0)</f>
        <v>جمعة خيرى عبدالله الدرهوبي</v>
      </c>
      <c r="AB2" s="315"/>
      <c r="AC2" s="315"/>
      <c r="AD2" s="315"/>
      <c r="AE2" s="315"/>
      <c r="AF2" s="315"/>
      <c r="AG2" s="112"/>
      <c r="AI2" s="113"/>
      <c r="AJ2" s="164" t="str">
        <f>'الفترة الاولى'!$A$6</f>
        <v>المدرسة /</v>
      </c>
      <c r="AK2" s="310" t="str">
        <f>'الفترة الاولى'!$C$6</f>
        <v>سهول العلم للتعليم الخاص</v>
      </c>
      <c r="AL2" s="310"/>
      <c r="AM2" s="310"/>
      <c r="AN2" s="310"/>
      <c r="AO2" s="310"/>
      <c r="AP2" s="315" t="s">
        <v>47</v>
      </c>
      <c r="AQ2" s="315"/>
      <c r="AR2" s="315" t="str">
        <f>VLOOKUP(AW1,اسم,3,0)</f>
        <v>ريناد محمد ابراهيم السلامي</v>
      </c>
      <c r="AS2" s="315"/>
      <c r="AT2" s="315"/>
      <c r="AU2" s="315"/>
      <c r="AV2" s="315"/>
      <c r="AW2" s="315"/>
      <c r="AX2" s="112"/>
      <c r="AZ2" s="113"/>
      <c r="BA2" s="164" t="str">
        <f>'الفترة الاولى'!$A$6</f>
        <v>المدرسة /</v>
      </c>
      <c r="BB2" s="310" t="str">
        <f>'الفترة الاولى'!$C$6</f>
        <v>سهول العلم للتعليم الخاص</v>
      </c>
      <c r="BC2" s="310"/>
      <c r="BD2" s="310"/>
      <c r="BE2" s="310"/>
      <c r="BF2" s="310"/>
      <c r="BG2" s="315" t="s">
        <v>47</v>
      </c>
      <c r="BH2" s="315"/>
      <c r="BI2" s="315" t="str">
        <f>VLOOKUP(BN1,اسم,3,0)</f>
        <v>مالك  علي حمد القبائلى</v>
      </c>
      <c r="BJ2" s="315"/>
      <c r="BK2" s="315"/>
      <c r="BL2" s="315"/>
      <c r="BM2" s="315"/>
      <c r="BN2" s="315"/>
      <c r="BO2" s="8"/>
      <c r="BV2" s="9">
        <f>BV1/2</f>
        <v>168</v>
      </c>
    </row>
    <row r="3" spans="1:74" ht="15" customHeight="1" thickBot="1" x14ac:dyDescent="0.3">
      <c r="A3" s="7"/>
      <c r="B3" s="309" t="s">
        <v>108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112"/>
      <c r="R3" s="113"/>
      <c r="S3" s="309" t="s">
        <v>108</v>
      </c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112"/>
      <c r="AI3" s="113"/>
      <c r="AJ3" s="309" t="s">
        <v>86</v>
      </c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112"/>
      <c r="AZ3" s="113"/>
      <c r="BA3" s="309" t="s">
        <v>86</v>
      </c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8"/>
    </row>
    <row r="4" spans="1:74" ht="18" customHeight="1" thickBot="1" x14ac:dyDescent="0.3">
      <c r="A4" s="7"/>
      <c r="B4" s="311" t="s">
        <v>67</v>
      </c>
      <c r="C4" s="293" t="s">
        <v>25</v>
      </c>
      <c r="D4" s="264" t="s">
        <v>26</v>
      </c>
      <c r="E4" s="264"/>
      <c r="F4" s="264" t="s">
        <v>27</v>
      </c>
      <c r="G4" s="264"/>
      <c r="H4" s="264"/>
      <c r="I4" s="264"/>
      <c r="J4" s="114"/>
      <c r="K4" s="287" t="s">
        <v>35</v>
      </c>
      <c r="L4" s="288"/>
      <c r="M4" s="288"/>
      <c r="N4" s="288"/>
      <c r="O4" s="289"/>
      <c r="P4" s="112"/>
      <c r="R4" s="113"/>
      <c r="S4" s="290" t="s">
        <v>67</v>
      </c>
      <c r="T4" s="293" t="s">
        <v>25</v>
      </c>
      <c r="U4" s="264" t="s">
        <v>26</v>
      </c>
      <c r="V4" s="264"/>
      <c r="W4" s="264" t="s">
        <v>27</v>
      </c>
      <c r="X4" s="264"/>
      <c r="Y4" s="264"/>
      <c r="Z4" s="264"/>
      <c r="AA4" s="114"/>
      <c r="AB4" s="287" t="s">
        <v>35</v>
      </c>
      <c r="AC4" s="288"/>
      <c r="AD4" s="288"/>
      <c r="AE4" s="288"/>
      <c r="AF4" s="289"/>
      <c r="AG4" s="112"/>
      <c r="AI4" s="113"/>
      <c r="AJ4" s="290" t="s">
        <v>67</v>
      </c>
      <c r="AK4" s="293" t="s">
        <v>25</v>
      </c>
      <c r="AL4" s="264" t="s">
        <v>26</v>
      </c>
      <c r="AM4" s="264"/>
      <c r="AN4" s="264" t="s">
        <v>27</v>
      </c>
      <c r="AO4" s="264"/>
      <c r="AP4" s="264"/>
      <c r="AQ4" s="264"/>
      <c r="AR4" s="114"/>
      <c r="AS4" s="287" t="s">
        <v>35</v>
      </c>
      <c r="AT4" s="288"/>
      <c r="AU4" s="288"/>
      <c r="AV4" s="288"/>
      <c r="AW4" s="289"/>
      <c r="AX4" s="112"/>
      <c r="AY4" s="115"/>
      <c r="AZ4" s="113"/>
      <c r="BA4" s="290" t="s">
        <v>67</v>
      </c>
      <c r="BB4" s="293" t="s">
        <v>25</v>
      </c>
      <c r="BC4" s="264" t="s">
        <v>26</v>
      </c>
      <c r="BD4" s="264"/>
      <c r="BE4" s="264" t="s">
        <v>27</v>
      </c>
      <c r="BF4" s="264"/>
      <c r="BG4" s="264"/>
      <c r="BH4" s="264"/>
      <c r="BI4" s="114"/>
      <c r="BJ4" s="287" t="s">
        <v>35</v>
      </c>
      <c r="BK4" s="288"/>
      <c r="BL4" s="288"/>
      <c r="BM4" s="288"/>
      <c r="BN4" s="289"/>
      <c r="BO4" s="8"/>
      <c r="BS4" s="9">
        <v>0</v>
      </c>
      <c r="BT4" s="9" t="s">
        <v>84</v>
      </c>
    </row>
    <row r="5" spans="1:74" ht="19.95" customHeight="1" x14ac:dyDescent="0.25">
      <c r="A5" s="7"/>
      <c r="B5" s="312"/>
      <c r="C5" s="294"/>
      <c r="D5" s="303" t="s">
        <v>28</v>
      </c>
      <c r="E5" s="303" t="s">
        <v>42</v>
      </c>
      <c r="F5" s="326" t="s">
        <v>79</v>
      </c>
      <c r="G5" s="307" t="s">
        <v>68</v>
      </c>
      <c r="H5" s="296" t="s">
        <v>29</v>
      </c>
      <c r="I5" s="296" t="s">
        <v>17</v>
      </c>
      <c r="J5" s="114"/>
      <c r="K5" s="116" t="s">
        <v>51</v>
      </c>
      <c r="L5" s="298" t="str">
        <f>LOOKUP(H17,$BS$4:$BT$8)</f>
        <v>جيد</v>
      </c>
      <c r="M5" s="298"/>
      <c r="N5" s="298"/>
      <c r="O5" s="299"/>
      <c r="P5" s="112"/>
      <c r="R5" s="113"/>
      <c r="S5" s="291"/>
      <c r="T5" s="294"/>
      <c r="U5" s="303" t="s">
        <v>28</v>
      </c>
      <c r="V5" s="303" t="s">
        <v>42</v>
      </c>
      <c r="W5" s="305" t="s">
        <v>69</v>
      </c>
      <c r="X5" s="307" t="s">
        <v>68</v>
      </c>
      <c r="Y5" s="296" t="s">
        <v>29</v>
      </c>
      <c r="Z5" s="296" t="s">
        <v>17</v>
      </c>
      <c r="AA5" s="114"/>
      <c r="AB5" s="116" t="s">
        <v>51</v>
      </c>
      <c r="AC5" s="298" t="str">
        <f>LOOKUP(Y17,$BS$4:$BT$8)</f>
        <v>جيد</v>
      </c>
      <c r="AD5" s="298"/>
      <c r="AE5" s="298"/>
      <c r="AF5" s="299"/>
      <c r="AG5" s="112"/>
      <c r="AI5" s="113"/>
      <c r="AJ5" s="291"/>
      <c r="AK5" s="294"/>
      <c r="AL5" s="303" t="s">
        <v>28</v>
      </c>
      <c r="AM5" s="303" t="s">
        <v>42</v>
      </c>
      <c r="AN5" s="305" t="s">
        <v>69</v>
      </c>
      <c r="AO5" s="307" t="s">
        <v>68</v>
      </c>
      <c r="AP5" s="296" t="s">
        <v>29</v>
      </c>
      <c r="AQ5" s="296" t="s">
        <v>17</v>
      </c>
      <c r="AR5" s="114"/>
      <c r="AS5" s="116" t="s">
        <v>51</v>
      </c>
      <c r="AT5" s="298" t="str">
        <f>LOOKUP(AP17,$BS$4:$BT$8)</f>
        <v>جيدجداً</v>
      </c>
      <c r="AU5" s="298"/>
      <c r="AV5" s="298"/>
      <c r="AW5" s="299"/>
      <c r="AX5" s="112"/>
      <c r="AY5" s="115"/>
      <c r="AZ5" s="113"/>
      <c r="BA5" s="291"/>
      <c r="BB5" s="294"/>
      <c r="BC5" s="303" t="s">
        <v>28</v>
      </c>
      <c r="BD5" s="303" t="s">
        <v>42</v>
      </c>
      <c r="BE5" s="305" t="s">
        <v>69</v>
      </c>
      <c r="BF5" s="307" t="s">
        <v>68</v>
      </c>
      <c r="BG5" s="296" t="s">
        <v>29</v>
      </c>
      <c r="BH5" s="296" t="s">
        <v>17</v>
      </c>
      <c r="BI5" s="114"/>
      <c r="BJ5" s="116" t="s">
        <v>51</v>
      </c>
      <c r="BK5" s="298" t="str">
        <f>LOOKUP(BG17,$BS$4:$BT$8)</f>
        <v>جيد</v>
      </c>
      <c r="BL5" s="298"/>
      <c r="BM5" s="298"/>
      <c r="BN5" s="299"/>
      <c r="BO5" s="8"/>
      <c r="BS5" s="9">
        <f>BV2*0.5</f>
        <v>84</v>
      </c>
      <c r="BT5" s="9" t="s">
        <v>14</v>
      </c>
    </row>
    <row r="6" spans="1:74" ht="19.95" customHeight="1" thickBot="1" x14ac:dyDescent="0.3">
      <c r="A6" s="7"/>
      <c r="B6" s="313"/>
      <c r="C6" s="295"/>
      <c r="D6" s="304"/>
      <c r="E6" s="304"/>
      <c r="F6" s="327"/>
      <c r="G6" s="308"/>
      <c r="H6" s="297"/>
      <c r="I6" s="297"/>
      <c r="J6" s="117"/>
      <c r="K6" s="300" t="str">
        <f>IF(L5&lt;&gt;"ضعيف","","يحتاج الى اهتمام في المواد ")</f>
        <v/>
      </c>
      <c r="L6" s="301"/>
      <c r="M6" s="301"/>
      <c r="N6" s="301"/>
      <c r="O6" s="302"/>
      <c r="P6" s="112"/>
      <c r="R6" s="113"/>
      <c r="S6" s="292"/>
      <c r="T6" s="295"/>
      <c r="U6" s="304"/>
      <c r="V6" s="304"/>
      <c r="W6" s="306"/>
      <c r="X6" s="308"/>
      <c r="Y6" s="297"/>
      <c r="Z6" s="297"/>
      <c r="AA6" s="117"/>
      <c r="AB6" s="300" t="str">
        <f>IF(AC5&lt;&gt;"ضعيف","","يحتاج الى اهتمام في المواد ")</f>
        <v/>
      </c>
      <c r="AC6" s="301"/>
      <c r="AD6" s="301"/>
      <c r="AE6" s="301"/>
      <c r="AF6" s="302"/>
      <c r="AG6" s="112"/>
      <c r="AI6" s="113"/>
      <c r="AJ6" s="292"/>
      <c r="AK6" s="295"/>
      <c r="AL6" s="304"/>
      <c r="AM6" s="304"/>
      <c r="AN6" s="306"/>
      <c r="AO6" s="308"/>
      <c r="AP6" s="297"/>
      <c r="AQ6" s="297"/>
      <c r="AR6" s="117"/>
      <c r="AS6" s="300" t="str">
        <f>IF(AT5&lt;&gt;"ضعيف","","يحتاج الى اهتمام في المواد ")</f>
        <v/>
      </c>
      <c r="AT6" s="301"/>
      <c r="AU6" s="301"/>
      <c r="AV6" s="301"/>
      <c r="AW6" s="302"/>
      <c r="AX6" s="112"/>
      <c r="AY6" s="115"/>
      <c r="AZ6" s="113"/>
      <c r="BA6" s="292"/>
      <c r="BB6" s="295"/>
      <c r="BC6" s="304"/>
      <c r="BD6" s="304"/>
      <c r="BE6" s="306"/>
      <c r="BF6" s="308"/>
      <c r="BG6" s="297"/>
      <c r="BH6" s="297"/>
      <c r="BI6" s="117"/>
      <c r="BJ6" s="300" t="str">
        <f>IF(BK5&lt;&gt;"ضعيف","","يحتاج الى اهتمام في المواد ")</f>
        <v/>
      </c>
      <c r="BK6" s="301"/>
      <c r="BL6" s="301"/>
      <c r="BM6" s="301"/>
      <c r="BN6" s="302"/>
      <c r="BO6" s="8"/>
      <c r="BS6" s="9">
        <f>BV2*0.65</f>
        <v>109.2</v>
      </c>
      <c r="BT6" s="9" t="s">
        <v>13</v>
      </c>
    </row>
    <row r="7" spans="1:74" ht="28.2" customHeight="1" thickBot="1" x14ac:dyDescent="0.3">
      <c r="A7" s="7"/>
      <c r="B7" s="70" t="str">
        <f>'الفترة الاولى'!$E$8</f>
        <v>التربية الإسلامية</v>
      </c>
      <c r="C7" s="118">
        <f>'الفترة الاولى'!$G$8</f>
        <v>2</v>
      </c>
      <c r="D7" s="119">
        <f>C7*40</f>
        <v>80</v>
      </c>
      <c r="E7" s="119">
        <f>D7*0.5</f>
        <v>40</v>
      </c>
      <c r="F7" s="120">
        <f>D7*0.3</f>
        <v>24</v>
      </c>
      <c r="G7" s="121">
        <f>D7*0.15</f>
        <v>12</v>
      </c>
      <c r="H7" s="122">
        <f>IFERROR(VLOOKUP(J2,بيان,2,0),0)</f>
        <v>10</v>
      </c>
      <c r="I7" s="122">
        <f>IFERROR(VLOOKUP(J1,بيان,6,0),0)</f>
        <v>0</v>
      </c>
      <c r="J7" s="114"/>
      <c r="K7" s="123" t="str">
        <f>IF(H7=0,"",IF(H7&lt;G7/2,B7,""))</f>
        <v/>
      </c>
      <c r="L7" s="124" t="str">
        <f>IF(H8=0,"",IF(H8&lt;G8/2,B8,""))</f>
        <v/>
      </c>
      <c r="M7" s="208" t="str">
        <f>IF(H9=0,"",IF(H9&lt;G9/2,B9,""))</f>
        <v/>
      </c>
      <c r="N7" s="124" t="str">
        <f>IF(H10=0,"",IF(H10&lt;G10/2,B10,""))</f>
        <v/>
      </c>
      <c r="O7" s="125" t="str">
        <f>IF(H11=0,"",IF(H11&lt;G11/2,B11,""))</f>
        <v/>
      </c>
      <c r="P7" s="112"/>
      <c r="R7" s="113"/>
      <c r="S7" s="126" t="str">
        <f>'الفترة الاولى'!$E$8</f>
        <v>التربية الإسلامية</v>
      </c>
      <c r="T7" s="118">
        <f>'الفترة الاولى'!$G$8</f>
        <v>2</v>
      </c>
      <c r="U7" s="119">
        <f>T7*40</f>
        <v>80</v>
      </c>
      <c r="V7" s="119">
        <f>U7*0.5</f>
        <v>40</v>
      </c>
      <c r="W7" s="120">
        <f>U7*0.3</f>
        <v>24</v>
      </c>
      <c r="X7" s="121">
        <f>U7*0.15</f>
        <v>12</v>
      </c>
      <c r="Y7" s="122">
        <f>IFERROR(VLOOKUP(AA2,بيان,2,0),0)</f>
        <v>10</v>
      </c>
      <c r="Z7" s="122">
        <f>IFERROR(VLOOKUP(AA2,بيان,3,0),0)</f>
        <v>11</v>
      </c>
      <c r="AA7" s="114"/>
      <c r="AB7" s="123" t="str">
        <f>IF(Y7=0,"",IF(Y7&lt;X7/2,S7,""))</f>
        <v/>
      </c>
      <c r="AC7" s="124" t="str">
        <f>IF(Y8=0,"",IF(Y8&lt;X8/2,S8,""))</f>
        <v/>
      </c>
      <c r="AD7" s="124" t="str">
        <f>IF(Y9=0,"",IF(Y9&lt;X9/2,S9,""))</f>
        <v/>
      </c>
      <c r="AE7" s="124" t="str">
        <f>IF(Y10=0,"",IF(Y10&lt;X10/2,S10,""))</f>
        <v/>
      </c>
      <c r="AF7" s="125" t="str">
        <f>IF(Y11=0,"",IF(Y11&lt;X11/2,S11,""))</f>
        <v/>
      </c>
      <c r="AG7" s="112"/>
      <c r="AI7" s="113"/>
      <c r="AJ7" s="126" t="str">
        <f>'الفترة الاولى'!$E$8</f>
        <v>التربية الإسلامية</v>
      </c>
      <c r="AK7" s="118">
        <f>'الفترة الاولى'!$G$8</f>
        <v>2</v>
      </c>
      <c r="AL7" s="119">
        <f>AK7*40</f>
        <v>80</v>
      </c>
      <c r="AM7" s="119">
        <f>AL7*0.5</f>
        <v>40</v>
      </c>
      <c r="AN7" s="120">
        <f>AL7*0.3</f>
        <v>24</v>
      </c>
      <c r="AO7" s="121">
        <f>AL7*0.15</f>
        <v>12</v>
      </c>
      <c r="AP7" s="122">
        <f>IFERROR(VLOOKUP(AR2,بيان,2,0),0)</f>
        <v>10</v>
      </c>
      <c r="AQ7" s="122">
        <f>IFERROR(VLOOKUP(AR2,بيان,3,0),0)</f>
        <v>11</v>
      </c>
      <c r="AR7" s="114"/>
      <c r="AS7" s="123" t="str">
        <f>IF(AP7=0,"",IF(AP7&lt;AO7/2,AJ7,""))</f>
        <v/>
      </c>
      <c r="AT7" s="124" t="str">
        <f>IF(AP8=0,"",IF(AP8&lt;AO8/2,AJ8,""))</f>
        <v/>
      </c>
      <c r="AU7" s="124" t="str">
        <f>IF(AP9=0,"",IF(AP9&lt;AO9/2,AJ9,""))</f>
        <v/>
      </c>
      <c r="AV7" s="124" t="str">
        <f>IF(AP10=0,"",IF(AP10&lt;AO10/2,AJ10,""))</f>
        <v/>
      </c>
      <c r="AW7" s="125" t="str">
        <f>IF(AP11=0,"",IF(AP11&lt;AO11/2,AJ11,""))</f>
        <v/>
      </c>
      <c r="AX7" s="112"/>
      <c r="AY7" s="127"/>
      <c r="AZ7" s="113"/>
      <c r="BA7" s="126" t="str">
        <f>'الفترة الاولى'!$E$8</f>
        <v>التربية الإسلامية</v>
      </c>
      <c r="BB7" s="118">
        <f>'الفترة الاولى'!$G$8</f>
        <v>2</v>
      </c>
      <c r="BC7" s="119">
        <f>BB7*40</f>
        <v>80</v>
      </c>
      <c r="BD7" s="119">
        <f>BC7*0.5</f>
        <v>40</v>
      </c>
      <c r="BE7" s="120">
        <f>BC7*0.3</f>
        <v>24</v>
      </c>
      <c r="BF7" s="121">
        <f>BC7*0.15</f>
        <v>12</v>
      </c>
      <c r="BG7" s="122">
        <f>IFERROR(VLOOKUP(BI2,بيان,2,0),0)</f>
        <v>11</v>
      </c>
      <c r="BH7" s="122">
        <f>IFERROR(VLOOKUP(BI2,بيان,3,0),0)</f>
        <v>11</v>
      </c>
      <c r="BI7" s="114"/>
      <c r="BJ7" s="123" t="str">
        <f>IF(BG7=0,"",IF(BG7&lt;BF7/2,BA7,""))</f>
        <v/>
      </c>
      <c r="BK7" s="124" t="str">
        <f>IF(BG8=0,"",IF(BG8&lt;BF8/2,BA8,""))</f>
        <v/>
      </c>
      <c r="BL7" s="124" t="str">
        <f>IF(BG9=0,"",IF(BG9&lt;BF9/2,BA9,""))</f>
        <v/>
      </c>
      <c r="BM7" s="124" t="str">
        <f>IF(BG10=0,"",IF(BG10&lt;BF10/2,BA10,""))</f>
        <v/>
      </c>
      <c r="BN7" s="125" t="str">
        <f>IF(BG11=0,"",IF(BG11&lt;BF11/2,BA11,""))</f>
        <v/>
      </c>
      <c r="BO7" s="8"/>
      <c r="BS7" s="9">
        <f>BV2*0.75</f>
        <v>126</v>
      </c>
      <c r="BT7" s="9" t="s">
        <v>46</v>
      </c>
    </row>
    <row r="8" spans="1:74" ht="28.2" customHeight="1" thickBot="1" x14ac:dyDescent="0.3">
      <c r="A8" s="7"/>
      <c r="B8" s="71" t="str">
        <f>'الفترة الاولى'!$H$8</f>
        <v>النحو والقراءة والنصوص</v>
      </c>
      <c r="C8" s="128">
        <f>'الفترة الاولى'!$J$8</f>
        <v>4</v>
      </c>
      <c r="D8" s="129">
        <f t="shared" ref="D8:D15" si="0">C8*40</f>
        <v>160</v>
      </c>
      <c r="E8" s="129">
        <f t="shared" ref="E8:E15" si="1">D8*0.5</f>
        <v>80</v>
      </c>
      <c r="F8" s="120">
        <f t="shared" ref="F8:F14" si="2">D8*0.3</f>
        <v>48</v>
      </c>
      <c r="G8" s="121">
        <f t="shared" ref="G8:G14" si="3">D8*0.15</f>
        <v>24</v>
      </c>
      <c r="H8" s="122">
        <f>IFERROR(VLOOKUP(J2,بيان,5,0),0)</f>
        <v>18</v>
      </c>
      <c r="I8" s="122">
        <f>IFERROR(VLOOKUP(J2,بيان,6,0),0)</f>
        <v>17</v>
      </c>
      <c r="J8" s="114"/>
      <c r="K8" s="130" t="str">
        <f>IF(H12=0,"",IF(H12&lt;G12/2,B12,""))</f>
        <v>الرياضيات</v>
      </c>
      <c r="L8" s="131" t="str">
        <f>IF(H13=0,"",IF(H13&lt;G13/2,B13,""))</f>
        <v/>
      </c>
      <c r="M8" s="131" t="str">
        <f>IF(H14=0,"",IF(H14&lt;G14/2,B14,""))</f>
        <v/>
      </c>
      <c r="N8" s="131" t="str">
        <f>IF(H15=0,"",IF(H15&lt;G15/2,B15,""))</f>
        <v/>
      </c>
      <c r="O8" s="132" t="str">
        <f>IF(H16=0,"",IF(H16&lt;G16/2,B16,""))</f>
        <v/>
      </c>
      <c r="P8" s="112"/>
      <c r="R8" s="113"/>
      <c r="S8" s="133" t="str">
        <f>'الفترة الاولى'!$H$8</f>
        <v>النحو والقراءة والنصوص</v>
      </c>
      <c r="T8" s="128">
        <f>'الفترة الاولى'!$J$8</f>
        <v>4</v>
      </c>
      <c r="U8" s="129">
        <f t="shared" ref="U8:U16" si="4">T8*40</f>
        <v>160</v>
      </c>
      <c r="V8" s="129">
        <f t="shared" ref="V8:V17" si="5">U8*0.5</f>
        <v>80</v>
      </c>
      <c r="W8" s="120">
        <f t="shared" ref="W8:W14" si="6">U8*0.3</f>
        <v>48</v>
      </c>
      <c r="X8" s="121">
        <f t="shared" ref="X8:X14" si="7">U8*0.15</f>
        <v>24</v>
      </c>
      <c r="Y8" s="122">
        <f>IFERROR(VLOOKUP(AA2,بيان,5,0),0)</f>
        <v>18</v>
      </c>
      <c r="Z8" s="122">
        <f>IFERROR(VLOOKUP(AA2,بيان,6,0),0)</f>
        <v>17</v>
      </c>
      <c r="AA8" s="114"/>
      <c r="AB8" s="130" t="str">
        <f>IF(Y12=0,"",IF(Y12&lt;X12/2,S12,""))</f>
        <v>الرياضيات</v>
      </c>
      <c r="AC8" s="131" t="str">
        <f>IF(Y13=0,"",IF(Y13&lt;X13/2,S13,""))</f>
        <v/>
      </c>
      <c r="AD8" s="131" t="str">
        <f>IF(Y14=0,"",IF(Y14&lt;X14/2,S14,""))</f>
        <v/>
      </c>
      <c r="AE8" s="131" t="str">
        <f>IF(Y15=0,"",IF(Y15&lt;X15/2,S15,""))</f>
        <v/>
      </c>
      <c r="AF8" s="132" t="str">
        <f>IF(Y16=0,"",IF(Y16&lt;X16/2,S16,""))</f>
        <v/>
      </c>
      <c r="AG8" s="112"/>
      <c r="AI8" s="113"/>
      <c r="AJ8" s="133" t="str">
        <f>'الفترة الاولى'!$H$8</f>
        <v>النحو والقراءة والنصوص</v>
      </c>
      <c r="AK8" s="128">
        <f>'الفترة الاولى'!$J$8</f>
        <v>4</v>
      </c>
      <c r="AL8" s="129">
        <f t="shared" ref="AL8:AL16" si="8">AK8*40</f>
        <v>160</v>
      </c>
      <c r="AM8" s="129">
        <f t="shared" ref="AM8:AM17" si="9">AL8*0.5</f>
        <v>80</v>
      </c>
      <c r="AN8" s="120">
        <f t="shared" ref="AN8:AN14" si="10">AL8*0.3</f>
        <v>48</v>
      </c>
      <c r="AO8" s="121">
        <f t="shared" ref="AO8:AO14" si="11">AL8*0.15</f>
        <v>24</v>
      </c>
      <c r="AP8" s="122">
        <f>IFERROR(VLOOKUP(AR2,بيان,5,0),0)</f>
        <v>18</v>
      </c>
      <c r="AQ8" s="122">
        <f>IFERROR(VLOOKUP(AR2,بيان,6,0),0)</f>
        <v>22</v>
      </c>
      <c r="AR8" s="114"/>
      <c r="AS8" s="130" t="str">
        <f>IF(AP12=0,"",IF(AP12&lt;AO12/2,AJ12,""))</f>
        <v/>
      </c>
      <c r="AT8" s="131" t="str">
        <f>IF(AP13=0,"",IF(AP13&lt;AO13/2,AJ13,""))</f>
        <v/>
      </c>
      <c r="AU8" s="131" t="str">
        <f>IF(AP14=0,"",IF(AP14&lt;AO14/2,AJ14,""))</f>
        <v/>
      </c>
      <c r="AV8" s="131" t="str">
        <f>IF(AP15=0,"",IF(AP15&lt;AO15/2,AJ15,""))</f>
        <v>الجغرافيا</v>
      </c>
      <c r="AW8" s="132" t="str">
        <f>IF(AP16=0,"",IF(AP16&lt;AO16/2,AJ16,""))</f>
        <v/>
      </c>
      <c r="AX8" s="112"/>
      <c r="AY8" s="134"/>
      <c r="AZ8" s="113"/>
      <c r="BA8" s="133" t="str">
        <f>'الفترة الاولى'!$H$8</f>
        <v>النحو والقراءة والنصوص</v>
      </c>
      <c r="BB8" s="128">
        <f>'الفترة الاولى'!$J$8</f>
        <v>4</v>
      </c>
      <c r="BC8" s="129">
        <f t="shared" ref="BC8:BC16" si="12">BB8*40</f>
        <v>160</v>
      </c>
      <c r="BD8" s="129">
        <f t="shared" ref="BD8:BD17" si="13">BC8*0.5</f>
        <v>80</v>
      </c>
      <c r="BE8" s="120">
        <f t="shared" ref="BE8:BE14" si="14">BC8*0.3</f>
        <v>48</v>
      </c>
      <c r="BF8" s="121">
        <f t="shared" ref="BF8:BF14" si="15">BC8*0.15</f>
        <v>24</v>
      </c>
      <c r="BG8" s="122">
        <f>IFERROR(VLOOKUP(BI2,بيان,5,0),0)</f>
        <v>19</v>
      </c>
      <c r="BH8" s="122">
        <f>IFERROR(VLOOKUP(BI2,بيان,6,0),0)</f>
        <v>18</v>
      </c>
      <c r="BI8" s="114"/>
      <c r="BJ8" s="130" t="str">
        <f>IF(BG12=0,"",IF(BG12&lt;BF12/2,BA12,""))</f>
        <v>الرياضيات</v>
      </c>
      <c r="BK8" s="131" t="str">
        <f>IF(BG13=0,"",IF(BG13&lt;BF13/2,BA13,""))</f>
        <v/>
      </c>
      <c r="BL8" s="131" t="str">
        <f>IF(BG14=0,"",IF(BG14&lt;BF14/2,BA14,""))</f>
        <v/>
      </c>
      <c r="BM8" s="131" t="str">
        <f>IF(BG15=0,"",IF(BG15&lt;BF15/2,BA15,""))</f>
        <v>الجغرافيا</v>
      </c>
      <c r="BN8" s="132" t="str">
        <f>IF(BG16=0,"",IF(BG16&lt;BF16/2,BA16,""))</f>
        <v/>
      </c>
      <c r="BO8" s="8"/>
      <c r="BS8" s="9">
        <f>BV2*0.85</f>
        <v>142.79999999999998</v>
      </c>
      <c r="BT8" s="9" t="s">
        <v>12</v>
      </c>
    </row>
    <row r="9" spans="1:74" ht="28.2" customHeight="1" thickBot="1" x14ac:dyDescent="0.3">
      <c r="A9" s="7"/>
      <c r="B9" s="70" t="str">
        <f>'الفترة الاولى'!$K$8</f>
        <v>الكتابة (الخط والاملاء والخط )</v>
      </c>
      <c r="C9" s="118">
        <f>'الفترة الاولى'!$M$8</f>
        <v>2</v>
      </c>
      <c r="D9" s="119">
        <f t="shared" si="0"/>
        <v>80</v>
      </c>
      <c r="E9" s="119">
        <f t="shared" si="1"/>
        <v>40</v>
      </c>
      <c r="F9" s="120">
        <f t="shared" si="2"/>
        <v>24</v>
      </c>
      <c r="G9" s="121">
        <f t="shared" si="3"/>
        <v>12</v>
      </c>
      <c r="H9" s="122">
        <f>IFERROR(VLOOKUP(J2,بيان,8,0),0)</f>
        <v>8</v>
      </c>
      <c r="I9" s="122">
        <f>IFERROR(VLOOKUP(J2,بيان,9,0),0)</f>
        <v>8</v>
      </c>
      <c r="J9" s="114"/>
      <c r="K9" s="135"/>
      <c r="L9" s="136"/>
      <c r="M9" s="136"/>
      <c r="N9" s="136"/>
      <c r="O9" s="137"/>
      <c r="P9" s="112"/>
      <c r="R9" s="113"/>
      <c r="S9" s="126" t="str">
        <f>'الفترة الاولى'!$K$8</f>
        <v>الكتابة (الخط والاملاء والخط )</v>
      </c>
      <c r="T9" s="118">
        <f>'الفترة الاولى'!$M$8</f>
        <v>2</v>
      </c>
      <c r="U9" s="119">
        <f t="shared" si="4"/>
        <v>80</v>
      </c>
      <c r="V9" s="119">
        <f t="shared" si="5"/>
        <v>40</v>
      </c>
      <c r="W9" s="120">
        <f t="shared" si="6"/>
        <v>24</v>
      </c>
      <c r="X9" s="121">
        <f t="shared" si="7"/>
        <v>12</v>
      </c>
      <c r="Y9" s="122">
        <f>IFERROR(VLOOKUP(AA2,بيان,8,0),0)</f>
        <v>8</v>
      </c>
      <c r="Z9" s="122">
        <f>IFERROR(VLOOKUP(AA2,بيان,9,0),0)</f>
        <v>8</v>
      </c>
      <c r="AA9" s="114"/>
      <c r="AB9" s="135"/>
      <c r="AC9" s="136"/>
      <c r="AD9" s="136"/>
      <c r="AE9" s="136"/>
      <c r="AF9" s="137"/>
      <c r="AG9" s="112"/>
      <c r="AI9" s="113"/>
      <c r="AJ9" s="126" t="str">
        <f>'الفترة الاولى'!$K$8</f>
        <v>الكتابة (الخط والاملاء والخط )</v>
      </c>
      <c r="AK9" s="118">
        <f>'الفترة الاولى'!$M$8</f>
        <v>2</v>
      </c>
      <c r="AL9" s="119">
        <f t="shared" si="8"/>
        <v>80</v>
      </c>
      <c r="AM9" s="119">
        <f t="shared" si="9"/>
        <v>40</v>
      </c>
      <c r="AN9" s="120">
        <f t="shared" si="10"/>
        <v>24</v>
      </c>
      <c r="AO9" s="121">
        <f t="shared" si="11"/>
        <v>12</v>
      </c>
      <c r="AP9" s="122">
        <f>IFERROR(VLOOKUP(AR2,بيان,8,0),0)</f>
        <v>7</v>
      </c>
      <c r="AQ9" s="122">
        <f>IFERROR(VLOOKUP(AR2,بيان,9,0),0)</f>
        <v>11</v>
      </c>
      <c r="AR9" s="114"/>
      <c r="AS9" s="135"/>
      <c r="AT9" s="136"/>
      <c r="AU9" s="136"/>
      <c r="AV9" s="136"/>
      <c r="AW9" s="137"/>
      <c r="AX9" s="112"/>
      <c r="AY9" s="138"/>
      <c r="AZ9" s="113"/>
      <c r="BA9" s="126" t="str">
        <f>'الفترة الاولى'!$K$8</f>
        <v>الكتابة (الخط والاملاء والخط )</v>
      </c>
      <c r="BB9" s="118">
        <f>'الفترة الاولى'!$M$8</f>
        <v>2</v>
      </c>
      <c r="BC9" s="119">
        <f t="shared" si="12"/>
        <v>80</v>
      </c>
      <c r="BD9" s="119">
        <f t="shared" si="13"/>
        <v>40</v>
      </c>
      <c r="BE9" s="120">
        <f t="shared" si="14"/>
        <v>24</v>
      </c>
      <c r="BF9" s="121">
        <f t="shared" si="15"/>
        <v>12</v>
      </c>
      <c r="BG9" s="122">
        <f>IFERROR(VLOOKUP(BI2,بيان,8,0),0)</f>
        <v>8</v>
      </c>
      <c r="BH9" s="122">
        <f>IFERROR(VLOOKUP(BI2,بيان,9,0),0)</f>
        <v>11</v>
      </c>
      <c r="BI9" s="114"/>
      <c r="BJ9" s="135"/>
      <c r="BK9" s="136"/>
      <c r="BL9" s="136"/>
      <c r="BM9" s="136"/>
      <c r="BN9" s="137"/>
      <c r="BO9" s="8"/>
    </row>
    <row r="10" spans="1:74" ht="28.2" customHeight="1" thickBot="1" x14ac:dyDescent="0.3">
      <c r="A10" s="7"/>
      <c r="B10" s="71" t="str">
        <f>'الفترة الاولى'!$N$8</f>
        <v>الإنجليزي</v>
      </c>
      <c r="C10" s="128">
        <f>'الفترة الاولى'!$P$8</f>
        <v>4</v>
      </c>
      <c r="D10" s="129">
        <f t="shared" si="0"/>
        <v>160</v>
      </c>
      <c r="E10" s="129">
        <f t="shared" si="1"/>
        <v>80</v>
      </c>
      <c r="F10" s="120">
        <f t="shared" si="2"/>
        <v>48</v>
      </c>
      <c r="G10" s="121">
        <f t="shared" si="3"/>
        <v>24</v>
      </c>
      <c r="H10" s="122">
        <f>IFERROR(VLOOKUP(J2,بيان,11,0),0)</f>
        <v>20</v>
      </c>
      <c r="I10" s="122">
        <f>IFERROR(VLOOKUP(J2,بيان,12,0),0)</f>
        <v>22</v>
      </c>
      <c r="J10" s="114"/>
      <c r="K10" s="269" t="s">
        <v>43</v>
      </c>
      <c r="L10" s="267"/>
      <c r="M10" s="267"/>
      <c r="N10" s="267"/>
      <c r="O10" s="268"/>
      <c r="P10" s="112"/>
      <c r="R10" s="113"/>
      <c r="S10" s="133" t="str">
        <f>'الفترة الاولى'!$N$8</f>
        <v>الإنجليزي</v>
      </c>
      <c r="T10" s="128">
        <f>'الفترة الاولى'!$P$8</f>
        <v>4</v>
      </c>
      <c r="U10" s="129">
        <f t="shared" si="4"/>
        <v>160</v>
      </c>
      <c r="V10" s="129">
        <f t="shared" si="5"/>
        <v>80</v>
      </c>
      <c r="W10" s="120">
        <f t="shared" si="6"/>
        <v>48</v>
      </c>
      <c r="X10" s="121">
        <f t="shared" si="7"/>
        <v>24</v>
      </c>
      <c r="Y10" s="122">
        <f>IFERROR(VLOOKUP(AA2,بيان,11,0),0)</f>
        <v>20</v>
      </c>
      <c r="Z10" s="122">
        <f>IFERROR(VLOOKUP(AA2,بيان,12,0),0)</f>
        <v>22</v>
      </c>
      <c r="AA10" s="114"/>
      <c r="AB10" s="269" t="s">
        <v>43</v>
      </c>
      <c r="AC10" s="267"/>
      <c r="AD10" s="267"/>
      <c r="AE10" s="267"/>
      <c r="AF10" s="268"/>
      <c r="AG10" s="112"/>
      <c r="AI10" s="113"/>
      <c r="AJ10" s="133" t="str">
        <f>'الفترة الاولى'!$N$8</f>
        <v>الإنجليزي</v>
      </c>
      <c r="AK10" s="128">
        <f>'الفترة الاولى'!$P$8</f>
        <v>4</v>
      </c>
      <c r="AL10" s="129">
        <f t="shared" si="8"/>
        <v>160</v>
      </c>
      <c r="AM10" s="129">
        <f t="shared" si="9"/>
        <v>80</v>
      </c>
      <c r="AN10" s="120">
        <f t="shared" si="10"/>
        <v>48</v>
      </c>
      <c r="AO10" s="121">
        <f t="shared" si="11"/>
        <v>24</v>
      </c>
      <c r="AP10" s="122">
        <f>IFERROR(VLOOKUP(AR2,بيان,11,0),0)</f>
        <v>22</v>
      </c>
      <c r="AQ10" s="122">
        <f>IFERROR(VLOOKUP(AR2,بيان,12,0),0)</f>
        <v>24</v>
      </c>
      <c r="AR10" s="114"/>
      <c r="AS10" s="269" t="s">
        <v>43</v>
      </c>
      <c r="AT10" s="267"/>
      <c r="AU10" s="267"/>
      <c r="AV10" s="267"/>
      <c r="AW10" s="268"/>
      <c r="AX10" s="112"/>
      <c r="AY10" s="138"/>
      <c r="AZ10" s="113"/>
      <c r="BA10" s="133" t="str">
        <f>'الفترة الاولى'!$N$8</f>
        <v>الإنجليزي</v>
      </c>
      <c r="BB10" s="128">
        <f>'الفترة الاولى'!$P$8</f>
        <v>4</v>
      </c>
      <c r="BC10" s="129">
        <f t="shared" si="12"/>
        <v>160</v>
      </c>
      <c r="BD10" s="129">
        <f t="shared" si="13"/>
        <v>80</v>
      </c>
      <c r="BE10" s="120">
        <f t="shared" si="14"/>
        <v>48</v>
      </c>
      <c r="BF10" s="121">
        <f t="shared" si="15"/>
        <v>24</v>
      </c>
      <c r="BG10" s="122">
        <f>IFERROR(VLOOKUP(BI2,بيان,11,0),0)</f>
        <v>22</v>
      </c>
      <c r="BH10" s="122">
        <f>IFERROR(VLOOKUP(BI2,بيان,12,0),0)</f>
        <v>24</v>
      </c>
      <c r="BI10" s="114"/>
      <c r="BJ10" s="269" t="s">
        <v>43</v>
      </c>
      <c r="BK10" s="267"/>
      <c r="BL10" s="267"/>
      <c r="BM10" s="267"/>
      <c r="BN10" s="268"/>
      <c r="BO10" s="8"/>
    </row>
    <row r="11" spans="1:74" ht="28.2" customHeight="1" thickBot="1" x14ac:dyDescent="0.3">
      <c r="A11" s="7"/>
      <c r="B11" s="70" t="str">
        <f>'الفترة الاولى'!$Q$8</f>
        <v>الحاسوب</v>
      </c>
      <c r="C11" s="118">
        <f>'الفترة الاولى'!$S$8</f>
        <v>2</v>
      </c>
      <c r="D11" s="119">
        <f t="shared" si="0"/>
        <v>80</v>
      </c>
      <c r="E11" s="119">
        <f t="shared" si="1"/>
        <v>40</v>
      </c>
      <c r="F11" s="120">
        <f t="shared" si="2"/>
        <v>24</v>
      </c>
      <c r="G11" s="121">
        <f t="shared" si="3"/>
        <v>12</v>
      </c>
      <c r="H11" s="139">
        <f>IFERROR(VLOOKUP(J2,بيان,14,0),0)</f>
        <v>12</v>
      </c>
      <c r="I11" s="122">
        <f>IFERROR(VLOOKUP(J2,بيان,15,0),0)</f>
        <v>11</v>
      </c>
      <c r="J11" s="114"/>
      <c r="K11" s="284" t="str">
        <f>'الفترة الاولى'!$CA$16</f>
        <v>أ. فهيم عبدالمجيد بوازويتة</v>
      </c>
      <c r="L11" s="285"/>
      <c r="M11" s="285"/>
      <c r="N11" s="285"/>
      <c r="O11" s="286"/>
      <c r="P11" s="112"/>
      <c r="R11" s="113"/>
      <c r="S11" s="126" t="str">
        <f>'الفترة الاولى'!$Q$8</f>
        <v>الحاسوب</v>
      </c>
      <c r="T11" s="118">
        <f>'الفترة الاولى'!$S$8</f>
        <v>2</v>
      </c>
      <c r="U11" s="119">
        <f t="shared" si="4"/>
        <v>80</v>
      </c>
      <c r="V11" s="119">
        <f t="shared" si="5"/>
        <v>40</v>
      </c>
      <c r="W11" s="120">
        <f t="shared" si="6"/>
        <v>24</v>
      </c>
      <c r="X11" s="121">
        <f t="shared" si="7"/>
        <v>12</v>
      </c>
      <c r="Y11" s="139">
        <f>IFERROR(VLOOKUP(AA2,بيان,14,0),0)</f>
        <v>12</v>
      </c>
      <c r="Z11" s="122">
        <f>IFERROR(VLOOKUP(AA2,بيان,15,0),0)</f>
        <v>11</v>
      </c>
      <c r="AA11" s="114"/>
      <c r="AB11" s="284" t="str">
        <f>'الفترة الاولى'!$CA$16</f>
        <v>أ. فهيم عبدالمجيد بوازويتة</v>
      </c>
      <c r="AC11" s="285"/>
      <c r="AD11" s="285"/>
      <c r="AE11" s="285"/>
      <c r="AF11" s="286"/>
      <c r="AG11" s="112"/>
      <c r="AI11" s="113"/>
      <c r="AJ11" s="126" t="str">
        <f>'الفترة الاولى'!$Q$8</f>
        <v>الحاسوب</v>
      </c>
      <c r="AK11" s="118">
        <f>'الفترة الاولى'!$S$8</f>
        <v>2</v>
      </c>
      <c r="AL11" s="119">
        <f t="shared" si="8"/>
        <v>80</v>
      </c>
      <c r="AM11" s="119">
        <f t="shared" si="9"/>
        <v>40</v>
      </c>
      <c r="AN11" s="120">
        <f t="shared" si="10"/>
        <v>24</v>
      </c>
      <c r="AO11" s="121">
        <f t="shared" si="11"/>
        <v>12</v>
      </c>
      <c r="AP11" s="139">
        <f>IFERROR(VLOOKUP(AR2,بيان,14,0),0)</f>
        <v>11</v>
      </c>
      <c r="AQ11" s="122">
        <f>IFERROR(VLOOKUP(AR2,بيان,15,0),0)</f>
        <v>12</v>
      </c>
      <c r="AR11" s="114"/>
      <c r="AS11" s="284" t="str">
        <f>'الفترة الاولى'!$CA$16</f>
        <v>أ. فهيم عبدالمجيد بوازويتة</v>
      </c>
      <c r="AT11" s="285"/>
      <c r="AU11" s="285"/>
      <c r="AV11" s="285"/>
      <c r="AW11" s="286"/>
      <c r="AX11" s="112"/>
      <c r="AY11" s="138"/>
      <c r="AZ11" s="113"/>
      <c r="BA11" s="126" t="str">
        <f>'الفترة الاولى'!$Q$8</f>
        <v>الحاسوب</v>
      </c>
      <c r="BB11" s="118">
        <f>'الفترة الاولى'!$S$8</f>
        <v>2</v>
      </c>
      <c r="BC11" s="119">
        <f t="shared" si="12"/>
        <v>80</v>
      </c>
      <c r="BD11" s="119">
        <f t="shared" si="13"/>
        <v>40</v>
      </c>
      <c r="BE11" s="120">
        <f t="shared" si="14"/>
        <v>24</v>
      </c>
      <c r="BF11" s="121">
        <f t="shared" si="15"/>
        <v>12</v>
      </c>
      <c r="BG11" s="139">
        <f>IFERROR(VLOOKUP(BI2,بيان,14,0),0)</f>
        <v>12</v>
      </c>
      <c r="BH11" s="122">
        <f>IFERROR(VLOOKUP(BI2,بيان,15,0),0)</f>
        <v>11</v>
      </c>
      <c r="BI11" s="114"/>
      <c r="BJ11" s="284" t="str">
        <f>'الفترة الاولى'!$CA$16</f>
        <v>أ. فهيم عبدالمجيد بوازويتة</v>
      </c>
      <c r="BK11" s="285"/>
      <c r="BL11" s="285"/>
      <c r="BM11" s="285"/>
      <c r="BN11" s="286"/>
      <c r="BO11" s="8"/>
      <c r="BV11" s="49"/>
    </row>
    <row r="12" spans="1:74" ht="28.2" customHeight="1" thickBot="1" x14ac:dyDescent="0.3">
      <c r="A12" s="7"/>
      <c r="B12" s="71" t="str">
        <f>'الفترة الاولى'!$T$8</f>
        <v>الرياضيات</v>
      </c>
      <c r="C12" s="128">
        <f>'الفترة الاولى'!$V$8</f>
        <v>5</v>
      </c>
      <c r="D12" s="129">
        <f t="shared" si="0"/>
        <v>200</v>
      </c>
      <c r="E12" s="129">
        <f t="shared" si="1"/>
        <v>100</v>
      </c>
      <c r="F12" s="120">
        <f t="shared" si="2"/>
        <v>60</v>
      </c>
      <c r="G12" s="121">
        <f t="shared" si="3"/>
        <v>30</v>
      </c>
      <c r="H12" s="122">
        <f>IFERROR(VLOOKUP(J2,بيان,17,0),0)</f>
        <v>13</v>
      </c>
      <c r="I12" s="122">
        <v>10</v>
      </c>
      <c r="J12" s="114"/>
      <c r="K12" s="140" t="s">
        <v>44</v>
      </c>
      <c r="L12" s="279"/>
      <c r="M12" s="279"/>
      <c r="N12" s="279"/>
      <c r="O12" s="280"/>
      <c r="P12" s="112"/>
      <c r="R12" s="113"/>
      <c r="S12" s="133" t="str">
        <f>'الفترة الاولى'!$T$8</f>
        <v>الرياضيات</v>
      </c>
      <c r="T12" s="128">
        <f>'الفترة الاولى'!$V$8</f>
        <v>5</v>
      </c>
      <c r="U12" s="129">
        <f t="shared" si="4"/>
        <v>200</v>
      </c>
      <c r="V12" s="129">
        <f t="shared" si="5"/>
        <v>100</v>
      </c>
      <c r="W12" s="120">
        <f t="shared" si="6"/>
        <v>60</v>
      </c>
      <c r="X12" s="121">
        <f t="shared" si="7"/>
        <v>30</v>
      </c>
      <c r="Y12" s="122">
        <f>IFERROR(VLOOKUP(AA2,بيان,17,0),0)</f>
        <v>13</v>
      </c>
      <c r="Z12" s="122">
        <f>IFERROR(VLOOKUP(AA2,بيان,18,0),0)</f>
        <v>17</v>
      </c>
      <c r="AA12" s="114"/>
      <c r="AB12" s="140" t="s">
        <v>44</v>
      </c>
      <c r="AC12" s="279">
        <f ca="1">TODAY()</f>
        <v>46181</v>
      </c>
      <c r="AD12" s="279"/>
      <c r="AE12" s="279"/>
      <c r="AF12" s="280"/>
      <c r="AG12" s="112"/>
      <c r="AI12" s="113"/>
      <c r="AJ12" s="133" t="str">
        <f>'الفترة الاولى'!$T$8</f>
        <v>الرياضيات</v>
      </c>
      <c r="AK12" s="128">
        <f>'الفترة الاولى'!$V$8</f>
        <v>5</v>
      </c>
      <c r="AL12" s="129">
        <f t="shared" si="8"/>
        <v>200</v>
      </c>
      <c r="AM12" s="129">
        <f t="shared" si="9"/>
        <v>100</v>
      </c>
      <c r="AN12" s="120">
        <f t="shared" si="10"/>
        <v>60</v>
      </c>
      <c r="AO12" s="121">
        <f t="shared" si="11"/>
        <v>30</v>
      </c>
      <c r="AP12" s="122">
        <f>IFERROR(VLOOKUP(AR2,بيان,17,0),0)</f>
        <v>18</v>
      </c>
      <c r="AQ12" s="122">
        <f>IFERROR(VLOOKUP(AR2,بيان,18,0),0)</f>
        <v>18</v>
      </c>
      <c r="AR12" s="114"/>
      <c r="AS12" s="140" t="s">
        <v>44</v>
      </c>
      <c r="AT12" s="279">
        <f ca="1">TODAY()</f>
        <v>46181</v>
      </c>
      <c r="AU12" s="279"/>
      <c r="AV12" s="279"/>
      <c r="AW12" s="280"/>
      <c r="AX12" s="112"/>
      <c r="AY12" s="138"/>
      <c r="AZ12" s="113"/>
      <c r="BA12" s="133" t="str">
        <f>'الفترة الاولى'!$T$8</f>
        <v>الرياضيات</v>
      </c>
      <c r="BB12" s="128">
        <f>'الفترة الاولى'!$V$8</f>
        <v>5</v>
      </c>
      <c r="BC12" s="129">
        <f t="shared" si="12"/>
        <v>200</v>
      </c>
      <c r="BD12" s="129">
        <f t="shared" si="13"/>
        <v>100</v>
      </c>
      <c r="BE12" s="120">
        <f t="shared" si="14"/>
        <v>60</v>
      </c>
      <c r="BF12" s="121">
        <f t="shared" si="15"/>
        <v>30</v>
      </c>
      <c r="BG12" s="122">
        <f>IFERROR(VLOOKUP(BI2,بيان,17,0),0)</f>
        <v>12</v>
      </c>
      <c r="BH12" s="122">
        <f>IFERROR(VLOOKUP(BI2,بيان,18,0),0)</f>
        <v>18</v>
      </c>
      <c r="BI12" s="114"/>
      <c r="BJ12" s="140" t="s">
        <v>44</v>
      </c>
      <c r="BK12" s="279">
        <f ca="1">TODAY()</f>
        <v>46181</v>
      </c>
      <c r="BL12" s="279"/>
      <c r="BM12" s="279"/>
      <c r="BN12" s="280"/>
      <c r="BO12" s="8"/>
    </row>
    <row r="13" spans="1:74" ht="28.2" customHeight="1" thickBot="1" x14ac:dyDescent="0.3">
      <c r="A13" s="7"/>
      <c r="B13" s="70" t="str">
        <f>'الفترة الاولى'!$W$8</f>
        <v>العلوم</v>
      </c>
      <c r="C13" s="118">
        <f>'الفترة الاولى'!$Y$8</f>
        <v>5</v>
      </c>
      <c r="D13" s="119">
        <f t="shared" si="0"/>
        <v>200</v>
      </c>
      <c r="E13" s="119">
        <f t="shared" si="1"/>
        <v>100</v>
      </c>
      <c r="F13" s="120">
        <f t="shared" si="2"/>
        <v>60</v>
      </c>
      <c r="G13" s="121">
        <f t="shared" si="3"/>
        <v>30</v>
      </c>
      <c r="H13" s="122">
        <f>IFERROR(VLOOKUP(J2,بيان,20,0),0)</f>
        <v>19</v>
      </c>
      <c r="I13" s="122">
        <f>IFERROR(VLOOKUP(J2,بيان,21,0),0)</f>
        <v>18</v>
      </c>
      <c r="J13" s="114"/>
      <c r="K13" s="281" t="s">
        <v>45</v>
      </c>
      <c r="L13" s="282"/>
      <c r="M13" s="282"/>
      <c r="N13" s="282"/>
      <c r="O13" s="283"/>
      <c r="P13" s="112"/>
      <c r="R13" s="113"/>
      <c r="S13" s="126" t="str">
        <f>'الفترة الاولى'!$W$8</f>
        <v>العلوم</v>
      </c>
      <c r="T13" s="118">
        <f>'الفترة الاولى'!$Y$8</f>
        <v>5</v>
      </c>
      <c r="U13" s="119">
        <f t="shared" si="4"/>
        <v>200</v>
      </c>
      <c r="V13" s="119">
        <f t="shared" si="5"/>
        <v>100</v>
      </c>
      <c r="W13" s="120">
        <f t="shared" si="6"/>
        <v>60</v>
      </c>
      <c r="X13" s="121">
        <f t="shared" si="7"/>
        <v>30</v>
      </c>
      <c r="Y13" s="122">
        <f>IFERROR(VLOOKUP(AA2,بيان,20,0),0)</f>
        <v>19</v>
      </c>
      <c r="Z13" s="122">
        <f>IFERROR(VLOOKUP(AA2,بيان,21,0),0)</f>
        <v>18</v>
      </c>
      <c r="AA13" s="114"/>
      <c r="AB13" s="281" t="s">
        <v>45</v>
      </c>
      <c r="AC13" s="282"/>
      <c r="AD13" s="282"/>
      <c r="AE13" s="282"/>
      <c r="AF13" s="283"/>
      <c r="AG13" s="112"/>
      <c r="AI13" s="113"/>
      <c r="AJ13" s="126" t="str">
        <f>'الفترة الاولى'!$W$8</f>
        <v>العلوم</v>
      </c>
      <c r="AK13" s="118">
        <f>'الفترة الاولى'!$Y$8</f>
        <v>5</v>
      </c>
      <c r="AL13" s="119">
        <f t="shared" si="8"/>
        <v>200</v>
      </c>
      <c r="AM13" s="119">
        <f t="shared" si="9"/>
        <v>100</v>
      </c>
      <c r="AN13" s="120">
        <f t="shared" si="10"/>
        <v>60</v>
      </c>
      <c r="AO13" s="121">
        <f t="shared" si="11"/>
        <v>30</v>
      </c>
      <c r="AP13" s="122">
        <f>IFERROR(VLOOKUP(AR2,بيان,20,0),0)</f>
        <v>26</v>
      </c>
      <c r="AQ13" s="122">
        <f>IFERROR(VLOOKUP(AR2,بيان,21,0),0)</f>
        <v>25</v>
      </c>
      <c r="AR13" s="114"/>
      <c r="AS13" s="281" t="s">
        <v>45</v>
      </c>
      <c r="AT13" s="282"/>
      <c r="AU13" s="282"/>
      <c r="AV13" s="282"/>
      <c r="AW13" s="283"/>
      <c r="AX13" s="112"/>
      <c r="AY13" s="138"/>
      <c r="AZ13" s="113"/>
      <c r="BA13" s="126" t="str">
        <f>'الفترة الاولى'!$W$8</f>
        <v>العلوم</v>
      </c>
      <c r="BB13" s="118">
        <f>'الفترة الاولى'!$Y$8</f>
        <v>5</v>
      </c>
      <c r="BC13" s="119">
        <f t="shared" si="12"/>
        <v>200</v>
      </c>
      <c r="BD13" s="119">
        <f t="shared" si="13"/>
        <v>100</v>
      </c>
      <c r="BE13" s="120">
        <f t="shared" si="14"/>
        <v>60</v>
      </c>
      <c r="BF13" s="121">
        <f t="shared" si="15"/>
        <v>30</v>
      </c>
      <c r="BG13" s="122">
        <f>IFERROR(VLOOKUP(BI2,بيان,20,0),0)</f>
        <v>17</v>
      </c>
      <c r="BH13" s="122">
        <f>IFERROR(VLOOKUP(BI2,بيان,21,0),0)</f>
        <v>21</v>
      </c>
      <c r="BI13" s="114"/>
      <c r="BJ13" s="281" t="s">
        <v>45</v>
      </c>
      <c r="BK13" s="282"/>
      <c r="BL13" s="282"/>
      <c r="BM13" s="282"/>
      <c r="BN13" s="283"/>
      <c r="BO13" s="8"/>
    </row>
    <row r="14" spans="1:74" ht="28.2" customHeight="1" thickBot="1" x14ac:dyDescent="0.3">
      <c r="A14" s="7"/>
      <c r="B14" s="71" t="str">
        <f>'الفترة الاولى'!$Z$8</f>
        <v>التاريخ</v>
      </c>
      <c r="C14" s="128">
        <f>'الفترة الاولى'!$AB$8</f>
        <v>2</v>
      </c>
      <c r="D14" s="129">
        <f t="shared" si="0"/>
        <v>80</v>
      </c>
      <c r="E14" s="129">
        <f t="shared" si="1"/>
        <v>40</v>
      </c>
      <c r="F14" s="120">
        <f t="shared" si="2"/>
        <v>24</v>
      </c>
      <c r="G14" s="121">
        <f t="shared" si="3"/>
        <v>12</v>
      </c>
      <c r="H14" s="122">
        <f>IFERROR(VLOOKUP(J2,بيان,23,0),0)</f>
        <v>9</v>
      </c>
      <c r="I14" s="122">
        <f>IFERROR(VLOOKUP(J2,بيان,24,0),0)</f>
        <v>11</v>
      </c>
      <c r="J14" s="114"/>
      <c r="K14" s="141" t="s">
        <v>50</v>
      </c>
      <c r="L14" s="325"/>
      <c r="M14" s="320"/>
      <c r="N14" s="320"/>
      <c r="O14" s="321"/>
      <c r="P14" s="112"/>
      <c r="R14" s="113"/>
      <c r="S14" s="133" t="str">
        <f>'الفترة الاولى'!$Z$8</f>
        <v>التاريخ</v>
      </c>
      <c r="T14" s="128">
        <f>'الفترة الاولى'!$AB$8</f>
        <v>2</v>
      </c>
      <c r="U14" s="129">
        <f t="shared" si="4"/>
        <v>80</v>
      </c>
      <c r="V14" s="129">
        <f t="shared" si="5"/>
        <v>40</v>
      </c>
      <c r="W14" s="120">
        <f t="shared" si="6"/>
        <v>24</v>
      </c>
      <c r="X14" s="121">
        <f t="shared" si="7"/>
        <v>12</v>
      </c>
      <c r="Y14" s="122">
        <f>IFERROR(VLOOKUP(AA2,بيان,23,0),0)</f>
        <v>9</v>
      </c>
      <c r="Z14" s="122">
        <f>IFERROR(VLOOKUP(AA2,بيان,24,0),0)</f>
        <v>11</v>
      </c>
      <c r="AA14" s="114"/>
      <c r="AB14" s="141" t="s">
        <v>50</v>
      </c>
      <c r="AC14" s="274" t="s">
        <v>111</v>
      </c>
      <c r="AD14" s="320"/>
      <c r="AE14" s="320"/>
      <c r="AF14" s="321"/>
      <c r="AG14" s="112"/>
      <c r="AI14" s="113"/>
      <c r="AJ14" s="133" t="str">
        <f>'الفترة الاولى'!$Z$8</f>
        <v>التاريخ</v>
      </c>
      <c r="AK14" s="128">
        <f>'الفترة الاولى'!$AB$8</f>
        <v>2</v>
      </c>
      <c r="AL14" s="129">
        <f t="shared" si="8"/>
        <v>80</v>
      </c>
      <c r="AM14" s="129">
        <f t="shared" si="9"/>
        <v>40</v>
      </c>
      <c r="AN14" s="120">
        <f t="shared" si="10"/>
        <v>24</v>
      </c>
      <c r="AO14" s="121">
        <f t="shared" si="11"/>
        <v>12</v>
      </c>
      <c r="AP14" s="122">
        <f>IFERROR(VLOOKUP(AR2,بيان,23,0),0)</f>
        <v>11</v>
      </c>
      <c r="AQ14" s="122">
        <f>IFERROR(VLOOKUP(AR2,بيان,24,0),0)</f>
        <v>10</v>
      </c>
      <c r="AR14" s="114"/>
      <c r="AS14" s="141" t="s">
        <v>50</v>
      </c>
      <c r="AT14" s="274" t="str">
        <f>IF(AQ17=0,"",LOOKUP(AQ17,$BS$4:$BT$8))</f>
        <v>ممتاز</v>
      </c>
      <c r="AU14" s="274"/>
      <c r="AV14" s="274"/>
      <c r="AW14" s="275"/>
      <c r="AX14" s="112"/>
      <c r="AY14" s="138"/>
      <c r="AZ14" s="113"/>
      <c r="BA14" s="133" t="str">
        <f>'الفترة الاولى'!$Z$8</f>
        <v>التاريخ</v>
      </c>
      <c r="BB14" s="128">
        <f>'الفترة الاولى'!$AB$8</f>
        <v>2</v>
      </c>
      <c r="BC14" s="129">
        <f t="shared" si="12"/>
        <v>80</v>
      </c>
      <c r="BD14" s="129">
        <f t="shared" si="13"/>
        <v>40</v>
      </c>
      <c r="BE14" s="120">
        <f t="shared" si="14"/>
        <v>24</v>
      </c>
      <c r="BF14" s="121">
        <f t="shared" si="15"/>
        <v>12</v>
      </c>
      <c r="BG14" s="122">
        <f>IFERROR(VLOOKUP(BI2,بيان,23,0),0)</f>
        <v>10</v>
      </c>
      <c r="BH14" s="122">
        <f>IFERROR(VLOOKUP(BI2,بيان,24,0),0)</f>
        <v>8</v>
      </c>
      <c r="BI14" s="114"/>
      <c r="BJ14" s="141" t="s">
        <v>50</v>
      </c>
      <c r="BK14" s="274" t="str">
        <f>IF(BH17=0,"",LOOKUP(BH17,$BS$4:$BT$8))</f>
        <v>جيدجداً</v>
      </c>
      <c r="BL14" s="274"/>
      <c r="BM14" s="274"/>
      <c r="BN14" s="275"/>
      <c r="BO14" s="8"/>
    </row>
    <row r="15" spans="1:74" ht="28.2" customHeight="1" thickBot="1" x14ac:dyDescent="0.3">
      <c r="A15" s="7"/>
      <c r="B15" s="70" t="str">
        <f>'الفترة الاولى'!$AC$8</f>
        <v>الجغرافيا</v>
      </c>
      <c r="C15" s="118">
        <f>'الفترة الاولى'!$AE$8</f>
        <v>2</v>
      </c>
      <c r="D15" s="119">
        <f t="shared" si="0"/>
        <v>80</v>
      </c>
      <c r="E15" s="119">
        <f t="shared" si="1"/>
        <v>40</v>
      </c>
      <c r="F15" s="120">
        <f>D14*0.3</f>
        <v>24</v>
      </c>
      <c r="G15" s="121">
        <f>D14*0.15</f>
        <v>12</v>
      </c>
      <c r="H15" s="122">
        <f>IFERROR(VLOOKUP(J2,بيان,26,0),0)</f>
        <v>10</v>
      </c>
      <c r="I15" s="122">
        <f>IFERROR(VLOOKUP(J2,بيان,27,0),0)</f>
        <v>11</v>
      </c>
      <c r="J15" s="114"/>
      <c r="K15" s="322" t="str">
        <f>IF(L14&lt;&gt;"ضعيف","","يحتاج الى اهتمام في المواد ")</f>
        <v/>
      </c>
      <c r="L15" s="323"/>
      <c r="M15" s="323"/>
      <c r="N15" s="323"/>
      <c r="O15" s="324"/>
      <c r="P15" s="112"/>
      <c r="R15" s="113"/>
      <c r="S15" s="126" t="str">
        <f>'الفترة الاولى'!$AC$8</f>
        <v>الجغرافيا</v>
      </c>
      <c r="T15" s="118">
        <f>'الفترة الاولى'!$AE$8</f>
        <v>2</v>
      </c>
      <c r="U15" s="119">
        <f t="shared" si="4"/>
        <v>80</v>
      </c>
      <c r="V15" s="119">
        <f t="shared" si="5"/>
        <v>40</v>
      </c>
      <c r="W15" s="120">
        <f>D14*0.3</f>
        <v>24</v>
      </c>
      <c r="X15" s="121">
        <f>U14*0.15</f>
        <v>12</v>
      </c>
      <c r="Y15" s="122">
        <f>IFERROR(VLOOKUP(AA2,بيان,26,0),0)</f>
        <v>10</v>
      </c>
      <c r="Z15" s="122">
        <f>IFERROR(VLOOKUP(AA2,بيان,27,0),0)</f>
        <v>11</v>
      </c>
      <c r="AA15" s="114"/>
      <c r="AB15" s="276" t="str">
        <f>IF(AC14&lt;&gt;"ضعيف","","يحتاج الى اهتمام في المواد ")</f>
        <v/>
      </c>
      <c r="AC15" s="277"/>
      <c r="AD15" s="277"/>
      <c r="AE15" s="277"/>
      <c r="AF15" s="278"/>
      <c r="AG15" s="112"/>
      <c r="AI15" s="113"/>
      <c r="AJ15" s="126" t="str">
        <f>'الفترة الاولى'!$AC$8</f>
        <v>الجغرافيا</v>
      </c>
      <c r="AK15" s="118">
        <f>'الفترة الاولى'!$AE$8</f>
        <v>2</v>
      </c>
      <c r="AL15" s="119">
        <f t="shared" si="8"/>
        <v>80</v>
      </c>
      <c r="AM15" s="119">
        <f t="shared" si="9"/>
        <v>40</v>
      </c>
      <c r="AN15" s="120">
        <f t="shared" ref="AN15:AN16" si="16">AL15*0.6</f>
        <v>48</v>
      </c>
      <c r="AO15" s="121">
        <f t="shared" ref="AO15:AO16" si="17">AL15*0.3</f>
        <v>24</v>
      </c>
      <c r="AP15" s="122">
        <f>IFERROR(VLOOKUP(AR2,بيان,26,0),0)</f>
        <v>11</v>
      </c>
      <c r="AQ15" s="122">
        <f>IFERROR(VLOOKUP(AR2,بيان,27,0),0)</f>
        <v>11</v>
      </c>
      <c r="AR15" s="114"/>
      <c r="AS15" s="276" t="str">
        <f>IF(AT14&lt;&gt;"ضعيف","","يحتاج الى اهتمام في المواد ")</f>
        <v/>
      </c>
      <c r="AT15" s="277"/>
      <c r="AU15" s="277"/>
      <c r="AV15" s="277"/>
      <c r="AW15" s="278"/>
      <c r="AX15" s="112"/>
      <c r="AY15" s="138"/>
      <c r="AZ15" s="113"/>
      <c r="BA15" s="126" t="str">
        <f>'الفترة الاولى'!$AC$8</f>
        <v>الجغرافيا</v>
      </c>
      <c r="BB15" s="118">
        <f>'الفترة الاولى'!$AE$8</f>
        <v>2</v>
      </c>
      <c r="BC15" s="119">
        <f t="shared" si="12"/>
        <v>80</v>
      </c>
      <c r="BD15" s="119">
        <f t="shared" si="13"/>
        <v>40</v>
      </c>
      <c r="BE15" s="120">
        <f t="shared" ref="BE15:BE16" si="18">BC15*0.6</f>
        <v>48</v>
      </c>
      <c r="BF15" s="121">
        <f t="shared" ref="BF15:BF16" si="19">BC15*0.3</f>
        <v>24</v>
      </c>
      <c r="BG15" s="122">
        <f>IFERROR(VLOOKUP(BI2,بيان,26,0),0)</f>
        <v>9</v>
      </c>
      <c r="BH15" s="122">
        <f>IFERROR(VLOOKUP(BI2,بيان,27,0),0)</f>
        <v>10</v>
      </c>
      <c r="BI15" s="114"/>
      <c r="BJ15" s="276" t="str">
        <f>IF(BK14&lt;&gt;"ضعيف","","يحتاج الى اهتمام في المواد ")</f>
        <v/>
      </c>
      <c r="BK15" s="277"/>
      <c r="BL15" s="277"/>
      <c r="BM15" s="277"/>
      <c r="BN15" s="278"/>
      <c r="BO15" s="8"/>
    </row>
    <row r="16" spans="1:74" ht="28.2" customHeight="1" thickBot="1" x14ac:dyDescent="0.3">
      <c r="A16" s="7"/>
      <c r="B16" s="70">
        <f>'الفترة الاولى'!$AF$8</f>
        <v>0</v>
      </c>
      <c r="C16" s="118">
        <f>'الفترة الاولى'!$AH$8</f>
        <v>0</v>
      </c>
      <c r="D16" s="119">
        <f t="shared" ref="D16" si="20">C16*40</f>
        <v>0</v>
      </c>
      <c r="E16" s="119">
        <f t="shared" ref="E16:E17" si="21">D16*0.5</f>
        <v>0</v>
      </c>
      <c r="F16" s="120">
        <f t="shared" ref="F16" si="22">D16*0.6</f>
        <v>0</v>
      </c>
      <c r="G16" s="121">
        <f t="shared" ref="G16" si="23">D16*0.3</f>
        <v>0</v>
      </c>
      <c r="H16" s="122">
        <f>IFERROR(VLOOKUP(J2,بيان,29,0),0)</f>
        <v>0</v>
      </c>
      <c r="I16" s="122">
        <f>IFERROR(VLOOKUP(J2,بيان,30,0),0)</f>
        <v>0</v>
      </c>
      <c r="J16" s="114"/>
      <c r="K16" s="142" t="str">
        <f>IF(I7=0,"",IF(I7&lt;G7/2,B7,""))</f>
        <v/>
      </c>
      <c r="L16" s="143" t="str">
        <f>IF(I8=0,"",IF(I8&lt;G8/2,B8,""))</f>
        <v/>
      </c>
      <c r="M16" s="143" t="str">
        <f>IF(I9=0,"",IF(I9&lt;G9/2,B9,""))</f>
        <v/>
      </c>
      <c r="N16" s="143" t="str">
        <f>IF(I10=0,"",IF(I10&lt;G10/2,B10,""))</f>
        <v/>
      </c>
      <c r="O16" s="144" t="str">
        <f>IF(I11=0,"",IF(I11&lt;G11/2,B11,""))</f>
        <v/>
      </c>
      <c r="P16" s="112"/>
      <c r="R16" s="113"/>
      <c r="S16" s="126">
        <f>'الفترة الاولى'!$AF$8</f>
        <v>0</v>
      </c>
      <c r="T16" s="118">
        <f>'الفترة الاولى'!$AH$8</f>
        <v>0</v>
      </c>
      <c r="U16" s="119">
        <f t="shared" si="4"/>
        <v>0</v>
      </c>
      <c r="V16" s="119">
        <f t="shared" si="5"/>
        <v>0</v>
      </c>
      <c r="W16" s="120">
        <f t="shared" ref="W16" si="24">U16*0.6</f>
        <v>0</v>
      </c>
      <c r="X16" s="121">
        <f t="shared" ref="X16" si="25">U16*0.3</f>
        <v>0</v>
      </c>
      <c r="Y16" s="122">
        <f>IFERROR(VLOOKUP(AA2,بيان,29,0),0)</f>
        <v>0</v>
      </c>
      <c r="Z16" s="122">
        <f>IFERROR(VLOOKUP(AA2,بيان,30,0),0)</f>
        <v>0</v>
      </c>
      <c r="AA16" s="114"/>
      <c r="AB16" s="142" t="str">
        <f>IF(Z7=0,"",IF(Z7&lt;X7/2,S7,""))</f>
        <v/>
      </c>
      <c r="AC16" s="143" t="str">
        <f>IF(Z8=0,"",IF(Z8&lt;X8/2,S8,""))</f>
        <v/>
      </c>
      <c r="AD16" s="143" t="str">
        <f>IF(Z9=0,"",IF(Z9&lt;X9/2,S9,""))</f>
        <v/>
      </c>
      <c r="AE16" s="143" t="str">
        <f>IF(Z10=0,"",IF(Z10&lt;X10/2,S10,""))</f>
        <v/>
      </c>
      <c r="AF16" s="144" t="str">
        <f>IF(Z11=0,"",IF(Z11&lt;X11/2,S11,""))</f>
        <v/>
      </c>
      <c r="AG16" s="112"/>
      <c r="AI16" s="113"/>
      <c r="AJ16" s="126">
        <f>'الفترة الاولى'!$AF$8</f>
        <v>0</v>
      </c>
      <c r="AK16" s="118">
        <f>'الفترة الاولى'!$AH$8</f>
        <v>0</v>
      </c>
      <c r="AL16" s="119">
        <f t="shared" si="8"/>
        <v>0</v>
      </c>
      <c r="AM16" s="119">
        <f t="shared" si="9"/>
        <v>0</v>
      </c>
      <c r="AN16" s="120">
        <f t="shared" si="16"/>
        <v>0</v>
      </c>
      <c r="AO16" s="121">
        <f t="shared" si="17"/>
        <v>0</v>
      </c>
      <c r="AP16" s="122">
        <f>IFERROR(VLOOKUP(AR2,بيان,29,0),0)</f>
        <v>0</v>
      </c>
      <c r="AQ16" s="122">
        <f>IFERROR(VLOOKUP(AR2,بيان,30,0),0)</f>
        <v>0</v>
      </c>
      <c r="AR16" s="114"/>
      <c r="AS16" s="142" t="str">
        <f>IF(AQ7=0,"",IF(AQ7&lt;AO7/2,AJ7,""))</f>
        <v/>
      </c>
      <c r="AT16" s="143" t="str">
        <f>IF(AQ8=0,"",IF(AQ8&lt;AO8/2,AJ8,""))</f>
        <v/>
      </c>
      <c r="AU16" s="143" t="str">
        <f>IF(AQ9=0,"",IF(AQ9&lt;AO9/2,AJ9,""))</f>
        <v/>
      </c>
      <c r="AV16" s="143" t="str">
        <f>IF(AQ10=0,"",IF(AQ10&lt;AO10/2,AJ10,""))</f>
        <v/>
      </c>
      <c r="AW16" s="144" t="str">
        <f>IF(AQ11=0,"",IF(AQ11&lt;AO11/2,AJ11,""))</f>
        <v/>
      </c>
      <c r="AX16" s="112"/>
      <c r="AY16" s="138"/>
      <c r="AZ16" s="113"/>
      <c r="BA16" s="126">
        <f>'الفترة الاولى'!$AF$8</f>
        <v>0</v>
      </c>
      <c r="BB16" s="118">
        <f>'الفترة الاولى'!$AH$8</f>
        <v>0</v>
      </c>
      <c r="BC16" s="119">
        <f t="shared" si="12"/>
        <v>0</v>
      </c>
      <c r="BD16" s="119">
        <f t="shared" si="13"/>
        <v>0</v>
      </c>
      <c r="BE16" s="120">
        <f t="shared" si="18"/>
        <v>0</v>
      </c>
      <c r="BF16" s="121">
        <f t="shared" si="19"/>
        <v>0</v>
      </c>
      <c r="BG16" s="122">
        <f>IFERROR(VLOOKUP(BI2,بيان,29,0),0)</f>
        <v>0</v>
      </c>
      <c r="BH16" s="122">
        <f>IFERROR(VLOOKUP(BI2,بيان,30,0),0)</f>
        <v>0</v>
      </c>
      <c r="BI16" s="114"/>
      <c r="BJ16" s="142" t="str">
        <f>IF(BH7=0,"",IF(BH7&lt;BF7/2,BA7,""))</f>
        <v/>
      </c>
      <c r="BK16" s="143" t="str">
        <f>IF(BH8=0,"",IF(BH8&lt;BF8/2,BA8,""))</f>
        <v/>
      </c>
      <c r="BL16" s="143" t="str">
        <f>IF(BH9=0,"",IF(BH9&lt;BF9/2,BA9,""))</f>
        <v/>
      </c>
      <c r="BM16" s="143" t="str">
        <f>IF(BH10=0,"",IF(BH10&lt;BF10/2,BA10,""))</f>
        <v/>
      </c>
      <c r="BN16" s="144" t="str">
        <f>IF(BH11=0,"",IF(BH11&lt;BF11/2,BA11,""))</f>
        <v/>
      </c>
      <c r="BO16" s="8"/>
    </row>
    <row r="17" spans="1:74" ht="28.2" customHeight="1" thickBot="1" x14ac:dyDescent="0.3">
      <c r="A17" s="7"/>
      <c r="B17" s="58" t="s">
        <v>9</v>
      </c>
      <c r="C17" s="145"/>
      <c r="D17" s="146">
        <f>SUM(D7:D16)</f>
        <v>1120</v>
      </c>
      <c r="E17" s="119">
        <f t="shared" si="21"/>
        <v>560</v>
      </c>
      <c r="F17" s="120"/>
      <c r="G17" s="121">
        <f>SUM(G7:G16)</f>
        <v>168</v>
      </c>
      <c r="H17" s="122">
        <f>SUM(H7:H16)</f>
        <v>119</v>
      </c>
      <c r="I17" s="122">
        <f>SUM(I7:I16)</f>
        <v>108</v>
      </c>
      <c r="J17" s="114"/>
      <c r="K17" s="142" t="str">
        <f>IF(I12=0,"",IF(I12&lt;G12/2,B12,""))</f>
        <v>الرياضيات</v>
      </c>
      <c r="L17" s="143" t="str">
        <f>IF(I13=0,"",IF(I13&lt;G13/2,B13,""))</f>
        <v/>
      </c>
      <c r="M17" s="143" t="str">
        <f>IF(I14=0,"",IF(I14&lt;G14/2,B14,""))</f>
        <v/>
      </c>
      <c r="N17" s="143" t="str">
        <f>IF(I15=0,"",IF(I15&lt;G15/2,B15,""))</f>
        <v/>
      </c>
      <c r="O17" s="144" t="str">
        <f>IF(I16=0,"",IF(I16&lt;G16/2,B16,""))</f>
        <v/>
      </c>
      <c r="P17" s="112"/>
      <c r="R17" s="113"/>
      <c r="S17" s="58" t="s">
        <v>9</v>
      </c>
      <c r="T17" s="145"/>
      <c r="U17" s="146">
        <f>SUM(U7:U16)</f>
        <v>1120</v>
      </c>
      <c r="V17" s="119">
        <f t="shared" si="5"/>
        <v>560</v>
      </c>
      <c r="W17" s="120"/>
      <c r="X17" s="121">
        <f>SUM(X7:X16)</f>
        <v>168</v>
      </c>
      <c r="Y17" s="122">
        <f>SUM(Y7:Y16)</f>
        <v>119</v>
      </c>
      <c r="Z17" s="122">
        <f>SUM(Z7:Z16)</f>
        <v>126</v>
      </c>
      <c r="AA17" s="114"/>
      <c r="AB17" s="142" t="str">
        <f>IF(Z12=0,"",IF(Z12&lt;X12/2,S12,""))</f>
        <v/>
      </c>
      <c r="AC17" s="143" t="str">
        <f>IF(Z13=0,"",IF(Z13&lt;X13/2,S13,""))</f>
        <v/>
      </c>
      <c r="AD17" s="143" t="str">
        <f>IF(Z14=0,"",IF(Z14&lt;X14/2,S14,""))</f>
        <v/>
      </c>
      <c r="AE17" s="143" t="str">
        <f>IF(Z15=0,"",IF(Z15&lt;X15/2,S15,""))</f>
        <v/>
      </c>
      <c r="AF17" s="144" t="str">
        <f>IF(Z16=0,"",IF(Z16&lt;X16/2,S16,""))</f>
        <v/>
      </c>
      <c r="AG17" s="112"/>
      <c r="AI17" s="113"/>
      <c r="AJ17" s="58" t="s">
        <v>9</v>
      </c>
      <c r="AK17" s="145"/>
      <c r="AL17" s="146">
        <f>SUM(AL7:AL16)</f>
        <v>1120</v>
      </c>
      <c r="AM17" s="119">
        <f t="shared" si="9"/>
        <v>560</v>
      </c>
      <c r="AN17" s="120"/>
      <c r="AO17" s="121">
        <f>SUM(AO7:AO16)</f>
        <v>180</v>
      </c>
      <c r="AP17" s="122">
        <f>SUM(AP7:AP16)</f>
        <v>134</v>
      </c>
      <c r="AQ17" s="122">
        <f>SUM(AQ7:AQ16)</f>
        <v>144</v>
      </c>
      <c r="AR17" s="114"/>
      <c r="AS17" s="142" t="str">
        <f>IF(AQ12=0,"",IF(AQ12&lt;AO12/2,AJ12,""))</f>
        <v/>
      </c>
      <c r="AT17" s="143" t="str">
        <f>IF(AQ13=0,"",IF(AQ13&lt;AO13/2,AJ13,""))</f>
        <v/>
      </c>
      <c r="AU17" s="143" t="str">
        <f>IF(AQ14=0,"",IF(AQ14&lt;AO14/2,AJ14,""))</f>
        <v/>
      </c>
      <c r="AV17" s="143" t="str">
        <f>IF(AQ15=0,"",IF(AQ15&lt;AO15/2,AJ15,""))</f>
        <v>الجغرافيا</v>
      </c>
      <c r="AW17" s="144" t="str">
        <f>IF(AQ16=0,"",IF(AQ16&lt;AO16/2,AJ16,""))</f>
        <v/>
      </c>
      <c r="AX17" s="112"/>
      <c r="AY17" s="138"/>
      <c r="AZ17" s="113"/>
      <c r="BA17" s="58" t="s">
        <v>9</v>
      </c>
      <c r="BB17" s="145"/>
      <c r="BC17" s="146">
        <f>SUM(BC7:BC16)</f>
        <v>1120</v>
      </c>
      <c r="BD17" s="119">
        <f t="shared" si="13"/>
        <v>560</v>
      </c>
      <c r="BE17" s="120"/>
      <c r="BF17" s="121">
        <f>SUM(BF7:BF16)</f>
        <v>180</v>
      </c>
      <c r="BG17" s="122">
        <f>SUM(BG7:BG16)</f>
        <v>120</v>
      </c>
      <c r="BH17" s="122">
        <f>SUM(BH7:BH16)</f>
        <v>132</v>
      </c>
      <c r="BI17" s="114"/>
      <c r="BJ17" s="142" t="str">
        <f>IF(BH12=0,"",IF(BH12&lt;BF12/2,BA12,""))</f>
        <v/>
      </c>
      <c r="BK17" s="143" t="str">
        <f>IF(BH13=0,"",IF(BH13&lt;BF13/2,BA13,""))</f>
        <v/>
      </c>
      <c r="BL17" s="143" t="str">
        <f>IF(BH14=0,"",IF(BH14&lt;BF14/2,BA14,""))</f>
        <v/>
      </c>
      <c r="BM17" s="143" t="str">
        <f>IF(BH15=0,"",IF(BH15&lt;BF15/2,BA15,""))</f>
        <v>الجغرافيا</v>
      </c>
      <c r="BN17" s="144" t="str">
        <f>IF(BH16=0,"",IF(BH16&lt;BF16/2,BA16,""))</f>
        <v/>
      </c>
      <c r="BO17" s="8"/>
    </row>
    <row r="18" spans="1:74" ht="19.95" customHeight="1" x14ac:dyDescent="0.25">
      <c r="A18" s="7"/>
      <c r="C18" s="114"/>
      <c r="F18" s="114"/>
      <c r="G18" s="114"/>
      <c r="H18" s="114"/>
      <c r="I18" s="114"/>
      <c r="J18" s="114"/>
      <c r="K18" s="148"/>
      <c r="L18" s="148"/>
      <c r="M18" s="148"/>
      <c r="N18" s="148"/>
      <c r="O18" s="148"/>
      <c r="P18" s="112"/>
      <c r="R18" s="113"/>
      <c r="T18" s="114"/>
      <c r="W18" s="114"/>
      <c r="X18" s="114"/>
      <c r="Y18" s="114"/>
      <c r="Z18" s="114"/>
      <c r="AA18" s="114"/>
      <c r="AB18" s="148"/>
      <c r="AC18" s="148"/>
      <c r="AD18" s="148"/>
      <c r="AE18" s="148"/>
      <c r="AF18" s="148"/>
      <c r="AG18" s="112"/>
      <c r="AI18" s="113"/>
      <c r="AK18" s="114"/>
      <c r="AN18" s="114"/>
      <c r="AO18" s="114"/>
      <c r="AP18" s="114"/>
      <c r="AQ18" s="114"/>
      <c r="AR18" s="114"/>
      <c r="AS18" s="148"/>
      <c r="AT18" s="148"/>
      <c r="AU18" s="148"/>
      <c r="AV18" s="148"/>
      <c r="AW18" s="148"/>
      <c r="AX18" s="112"/>
      <c r="AY18" s="138"/>
      <c r="AZ18" s="113"/>
      <c r="BB18" s="114"/>
      <c r="BE18" s="114"/>
      <c r="BF18" s="114"/>
      <c r="BG18" s="114"/>
      <c r="BH18" s="114"/>
      <c r="BI18" s="114"/>
      <c r="BJ18" s="148"/>
      <c r="BK18" s="148"/>
      <c r="BL18" s="148"/>
      <c r="BM18" s="148"/>
      <c r="BN18" s="148"/>
      <c r="BO18" s="8"/>
    </row>
    <row r="19" spans="1:74" ht="19.95" customHeight="1" thickBot="1" x14ac:dyDescent="0.3">
      <c r="A19" s="7"/>
      <c r="B19" s="270" t="s">
        <v>39</v>
      </c>
      <c r="C19" s="260" t="s">
        <v>40</v>
      </c>
      <c r="D19" s="260"/>
      <c r="E19" s="260"/>
      <c r="F19" s="260"/>
      <c r="G19" s="260"/>
      <c r="H19" s="260"/>
      <c r="I19" s="260"/>
      <c r="J19" s="114"/>
      <c r="K19" s="114"/>
      <c r="P19" s="112"/>
      <c r="R19" s="113"/>
      <c r="S19" s="270" t="s">
        <v>39</v>
      </c>
      <c r="T19" s="260" t="s">
        <v>40</v>
      </c>
      <c r="U19" s="260"/>
      <c r="V19" s="260"/>
      <c r="W19" s="260"/>
      <c r="X19" s="260"/>
      <c r="Y19" s="260"/>
      <c r="Z19" s="260"/>
      <c r="AA19" s="114"/>
      <c r="AB19" s="114"/>
      <c r="AG19" s="112"/>
      <c r="AI19" s="113"/>
      <c r="AJ19" s="270" t="s">
        <v>39</v>
      </c>
      <c r="AK19" s="260" t="s">
        <v>40</v>
      </c>
      <c r="AL19" s="260"/>
      <c r="AM19" s="260"/>
      <c r="AN19" s="260"/>
      <c r="AO19" s="260"/>
      <c r="AP19" s="260"/>
      <c r="AQ19" s="260"/>
      <c r="AR19" s="114"/>
      <c r="AS19" s="114"/>
      <c r="AX19" s="112"/>
      <c r="AY19" s="138"/>
      <c r="AZ19" s="113"/>
      <c r="BA19" s="270" t="s">
        <v>39</v>
      </c>
      <c r="BB19" s="260" t="s">
        <v>40</v>
      </c>
      <c r="BC19" s="260"/>
      <c r="BD19" s="260"/>
      <c r="BE19" s="260"/>
      <c r="BF19" s="260"/>
      <c r="BG19" s="260"/>
      <c r="BH19" s="260"/>
      <c r="BI19" s="114"/>
      <c r="BJ19" s="114"/>
      <c r="BO19" s="8"/>
    </row>
    <row r="20" spans="1:74" ht="19.95" customHeight="1" x14ac:dyDescent="0.25">
      <c r="A20" s="7"/>
      <c r="B20" s="270"/>
      <c r="C20" s="260" t="s">
        <v>41</v>
      </c>
      <c r="D20" s="260"/>
      <c r="E20" s="260"/>
      <c r="F20" s="260"/>
      <c r="G20" s="260"/>
      <c r="H20" s="260"/>
      <c r="I20" s="260"/>
      <c r="J20" s="114"/>
      <c r="K20" s="271" t="s">
        <v>36</v>
      </c>
      <c r="L20" s="272"/>
      <c r="M20" s="272"/>
      <c r="N20" s="273"/>
      <c r="P20" s="112"/>
      <c r="R20" s="113"/>
      <c r="S20" s="270"/>
      <c r="T20" s="260" t="s">
        <v>41</v>
      </c>
      <c r="U20" s="260"/>
      <c r="V20" s="260"/>
      <c r="W20" s="260"/>
      <c r="X20" s="260"/>
      <c r="Y20" s="260"/>
      <c r="Z20" s="260"/>
      <c r="AA20" s="114"/>
      <c r="AB20" s="271" t="s">
        <v>36</v>
      </c>
      <c r="AC20" s="272"/>
      <c r="AD20" s="272"/>
      <c r="AE20" s="273"/>
      <c r="AG20" s="112"/>
      <c r="AI20" s="113"/>
      <c r="AJ20" s="270"/>
      <c r="AK20" s="260" t="s">
        <v>41</v>
      </c>
      <c r="AL20" s="260"/>
      <c r="AM20" s="260"/>
      <c r="AN20" s="260"/>
      <c r="AO20" s="260"/>
      <c r="AP20" s="260"/>
      <c r="AQ20" s="260"/>
      <c r="AR20" s="114"/>
      <c r="AS20" s="271" t="s">
        <v>36</v>
      </c>
      <c r="AT20" s="272"/>
      <c r="AU20" s="272"/>
      <c r="AV20" s="273"/>
      <c r="AX20" s="112"/>
      <c r="AY20" s="138"/>
      <c r="AZ20" s="113"/>
      <c r="BA20" s="270"/>
      <c r="BB20" s="260" t="s">
        <v>41</v>
      </c>
      <c r="BC20" s="260"/>
      <c r="BD20" s="260"/>
      <c r="BE20" s="260"/>
      <c r="BF20" s="260"/>
      <c r="BG20" s="260"/>
      <c r="BH20" s="260"/>
      <c r="BI20" s="114"/>
      <c r="BJ20" s="271" t="s">
        <v>36</v>
      </c>
      <c r="BK20" s="272"/>
      <c r="BL20" s="272"/>
      <c r="BM20" s="273"/>
      <c r="BO20" s="8"/>
    </row>
    <row r="21" spans="1:74" ht="12" customHeight="1" thickBot="1" x14ac:dyDescent="0.3">
      <c r="A21" s="7"/>
      <c r="C21" s="114"/>
      <c r="F21" s="114"/>
      <c r="G21" s="114"/>
      <c r="H21" s="114"/>
      <c r="I21" s="114"/>
      <c r="J21" s="114"/>
      <c r="K21" s="266" t="s">
        <v>37</v>
      </c>
      <c r="L21" s="267"/>
      <c r="M21" s="267"/>
      <c r="N21" s="268"/>
      <c r="P21" s="112"/>
      <c r="R21" s="113"/>
      <c r="T21" s="114"/>
      <c r="W21" s="114"/>
      <c r="X21" s="114"/>
      <c r="Y21" s="114"/>
      <c r="Z21" s="114"/>
      <c r="AA21" s="114"/>
      <c r="AB21" s="266" t="s">
        <v>112</v>
      </c>
      <c r="AC21" s="267"/>
      <c r="AD21" s="267"/>
      <c r="AE21" s="268"/>
      <c r="AG21" s="112"/>
      <c r="AI21" s="113"/>
      <c r="AK21" s="114"/>
      <c r="AN21" s="114"/>
      <c r="AO21" s="114"/>
      <c r="AP21" s="114"/>
      <c r="AQ21" s="114"/>
      <c r="AR21" s="114"/>
      <c r="AS21" s="266" t="s">
        <v>37</v>
      </c>
      <c r="AT21" s="267"/>
      <c r="AU21" s="267"/>
      <c r="AV21" s="268"/>
      <c r="AX21" s="112"/>
      <c r="AY21" s="138"/>
      <c r="AZ21" s="113"/>
      <c r="BB21" s="114"/>
      <c r="BE21" s="114"/>
      <c r="BF21" s="114"/>
      <c r="BG21" s="114"/>
      <c r="BH21" s="114"/>
      <c r="BI21" s="114"/>
      <c r="BJ21" s="266" t="s">
        <v>37</v>
      </c>
      <c r="BK21" s="267"/>
      <c r="BL21" s="267"/>
      <c r="BM21" s="268"/>
      <c r="BO21" s="8"/>
    </row>
    <row r="22" spans="1:74" ht="20.100000000000001" customHeight="1" x14ac:dyDescent="0.25">
      <c r="A22" s="7"/>
      <c r="B22" s="262" t="s">
        <v>30</v>
      </c>
      <c r="C22" s="263"/>
      <c r="D22" s="264" t="s">
        <v>29</v>
      </c>
      <c r="E22" s="264"/>
      <c r="F22" s="264"/>
      <c r="G22" s="264" t="s">
        <v>31</v>
      </c>
      <c r="H22" s="264"/>
      <c r="I22" s="264"/>
      <c r="J22" s="114"/>
      <c r="K22" s="269"/>
      <c r="L22" s="267"/>
      <c r="M22" s="267"/>
      <c r="N22" s="268"/>
      <c r="O22" s="149"/>
      <c r="P22" s="112"/>
      <c r="R22" s="113"/>
      <c r="S22" s="265" t="s">
        <v>30</v>
      </c>
      <c r="T22" s="264"/>
      <c r="U22" s="264" t="s">
        <v>29</v>
      </c>
      <c r="V22" s="264"/>
      <c r="W22" s="264"/>
      <c r="X22" s="264" t="s">
        <v>31</v>
      </c>
      <c r="Y22" s="264"/>
      <c r="Z22" s="264"/>
      <c r="AA22" s="114"/>
      <c r="AB22" s="269"/>
      <c r="AC22" s="267"/>
      <c r="AD22" s="267"/>
      <c r="AE22" s="268"/>
      <c r="AF22" s="149"/>
      <c r="AG22" s="112"/>
      <c r="AH22" s="150"/>
      <c r="AI22" s="113"/>
      <c r="AJ22" s="265" t="s">
        <v>30</v>
      </c>
      <c r="AK22" s="264"/>
      <c r="AL22" s="264" t="s">
        <v>29</v>
      </c>
      <c r="AM22" s="264"/>
      <c r="AN22" s="264"/>
      <c r="AO22" s="264" t="s">
        <v>31</v>
      </c>
      <c r="AP22" s="264"/>
      <c r="AQ22" s="264"/>
      <c r="AR22" s="114"/>
      <c r="AS22" s="269"/>
      <c r="AT22" s="267"/>
      <c r="AU22" s="267"/>
      <c r="AV22" s="268"/>
      <c r="AW22" s="149"/>
      <c r="AX22" s="112"/>
      <c r="AY22" s="138"/>
      <c r="AZ22" s="113"/>
      <c r="BA22" s="265" t="s">
        <v>30</v>
      </c>
      <c r="BB22" s="264"/>
      <c r="BC22" s="264" t="s">
        <v>29</v>
      </c>
      <c r="BD22" s="264"/>
      <c r="BE22" s="264"/>
      <c r="BF22" s="264" t="s">
        <v>31</v>
      </c>
      <c r="BG22" s="264"/>
      <c r="BH22" s="264"/>
      <c r="BI22" s="114"/>
      <c r="BJ22" s="269"/>
      <c r="BK22" s="267"/>
      <c r="BL22" s="267"/>
      <c r="BM22" s="268"/>
      <c r="BN22" s="149"/>
      <c r="BO22" s="8"/>
    </row>
    <row r="23" spans="1:74" ht="19.95" customHeight="1" x14ac:dyDescent="0.25">
      <c r="A23" s="7"/>
      <c r="B23" s="258" t="s">
        <v>32</v>
      </c>
      <c r="C23" s="259"/>
      <c r="D23" s="260"/>
      <c r="E23" s="260"/>
      <c r="F23" s="260"/>
      <c r="G23" s="260"/>
      <c r="H23" s="260"/>
      <c r="I23" s="260"/>
      <c r="J23" s="114"/>
      <c r="K23" s="252" t="s">
        <v>38</v>
      </c>
      <c r="L23" s="253"/>
      <c r="M23" s="253"/>
      <c r="N23" s="254"/>
      <c r="O23" s="114"/>
      <c r="P23" s="112"/>
      <c r="R23" s="113"/>
      <c r="S23" s="261" t="s">
        <v>32</v>
      </c>
      <c r="T23" s="260"/>
      <c r="U23" s="260"/>
      <c r="V23" s="260"/>
      <c r="W23" s="260"/>
      <c r="X23" s="260"/>
      <c r="Y23" s="260"/>
      <c r="Z23" s="260"/>
      <c r="AA23" s="114"/>
      <c r="AB23" s="252" t="s">
        <v>38</v>
      </c>
      <c r="AC23" s="253"/>
      <c r="AD23" s="253"/>
      <c r="AE23" s="254"/>
      <c r="AF23" s="114"/>
      <c r="AG23" s="112"/>
      <c r="AH23" s="150"/>
      <c r="AI23" s="113"/>
      <c r="AJ23" s="261" t="s">
        <v>32</v>
      </c>
      <c r="AK23" s="260"/>
      <c r="AL23" s="260"/>
      <c r="AM23" s="260"/>
      <c r="AN23" s="260"/>
      <c r="AO23" s="260"/>
      <c r="AP23" s="260"/>
      <c r="AQ23" s="260"/>
      <c r="AR23" s="114"/>
      <c r="AS23" s="252" t="s">
        <v>38</v>
      </c>
      <c r="AT23" s="253"/>
      <c r="AU23" s="253"/>
      <c r="AV23" s="254"/>
      <c r="AW23" s="114"/>
      <c r="AX23" s="112"/>
      <c r="AY23" s="138"/>
      <c r="AZ23" s="113"/>
      <c r="BA23" s="261" t="s">
        <v>32</v>
      </c>
      <c r="BB23" s="260"/>
      <c r="BC23" s="260"/>
      <c r="BD23" s="260"/>
      <c r="BE23" s="260"/>
      <c r="BF23" s="260"/>
      <c r="BG23" s="260"/>
      <c r="BH23" s="260"/>
      <c r="BI23" s="114"/>
      <c r="BJ23" s="252" t="s">
        <v>38</v>
      </c>
      <c r="BK23" s="253"/>
      <c r="BL23" s="253"/>
      <c r="BM23" s="254"/>
      <c r="BN23" s="114"/>
      <c r="BO23" s="8"/>
    </row>
    <row r="24" spans="1:74" ht="19.95" customHeight="1" thickBot="1" x14ac:dyDescent="0.3">
      <c r="A24" s="7"/>
      <c r="B24" s="258" t="s">
        <v>33</v>
      </c>
      <c r="C24" s="259"/>
      <c r="D24" s="260"/>
      <c r="E24" s="260"/>
      <c r="F24" s="260"/>
      <c r="G24" s="260"/>
      <c r="H24" s="260"/>
      <c r="I24" s="260"/>
      <c r="J24" s="114"/>
      <c r="K24" s="255"/>
      <c r="L24" s="256"/>
      <c r="M24" s="256"/>
      <c r="N24" s="257"/>
      <c r="P24" s="112"/>
      <c r="R24" s="113"/>
      <c r="S24" s="261" t="s">
        <v>33</v>
      </c>
      <c r="T24" s="260"/>
      <c r="U24" s="260"/>
      <c r="V24" s="260"/>
      <c r="W24" s="260"/>
      <c r="X24" s="260"/>
      <c r="Y24" s="260"/>
      <c r="Z24" s="260"/>
      <c r="AA24" s="114"/>
      <c r="AB24" s="255"/>
      <c r="AC24" s="256"/>
      <c r="AD24" s="256"/>
      <c r="AE24" s="257"/>
      <c r="AG24" s="112"/>
      <c r="AH24" s="151"/>
      <c r="AI24" s="113"/>
      <c r="AJ24" s="261" t="s">
        <v>33</v>
      </c>
      <c r="AK24" s="260"/>
      <c r="AL24" s="260"/>
      <c r="AM24" s="260"/>
      <c r="AN24" s="260"/>
      <c r="AO24" s="260"/>
      <c r="AP24" s="260"/>
      <c r="AQ24" s="260"/>
      <c r="AR24" s="114"/>
      <c r="AS24" s="255"/>
      <c r="AT24" s="256"/>
      <c r="AU24" s="256"/>
      <c r="AV24" s="257"/>
      <c r="AX24" s="112"/>
      <c r="AY24" s="138"/>
      <c r="AZ24" s="113"/>
      <c r="BA24" s="261" t="s">
        <v>33</v>
      </c>
      <c r="BB24" s="260"/>
      <c r="BC24" s="260"/>
      <c r="BD24" s="260"/>
      <c r="BE24" s="260"/>
      <c r="BF24" s="260"/>
      <c r="BG24" s="260"/>
      <c r="BH24" s="260"/>
      <c r="BI24" s="114"/>
      <c r="BJ24" s="255"/>
      <c r="BK24" s="256"/>
      <c r="BL24" s="256"/>
      <c r="BM24" s="257"/>
      <c r="BO24" s="8"/>
    </row>
    <row r="25" spans="1:74" ht="19.95" customHeight="1" thickBot="1" x14ac:dyDescent="0.3">
      <c r="A25" s="7"/>
      <c r="B25" s="250" t="s">
        <v>34</v>
      </c>
      <c r="C25" s="251"/>
      <c r="D25" s="248"/>
      <c r="E25" s="248"/>
      <c r="F25" s="248"/>
      <c r="G25" s="248"/>
      <c r="H25" s="248"/>
      <c r="I25" s="248"/>
      <c r="J25" s="114"/>
      <c r="K25" s="148"/>
      <c r="L25" s="148"/>
      <c r="M25" s="148"/>
      <c r="N25" s="148"/>
      <c r="O25" s="148"/>
      <c r="P25" s="112"/>
      <c r="R25" s="113"/>
      <c r="S25" s="249" t="s">
        <v>34</v>
      </c>
      <c r="T25" s="248"/>
      <c r="U25" s="248"/>
      <c r="V25" s="248"/>
      <c r="W25" s="248"/>
      <c r="X25" s="248"/>
      <c r="Y25" s="248"/>
      <c r="Z25" s="248"/>
      <c r="AA25" s="114"/>
      <c r="AB25" s="148"/>
      <c r="AC25" s="148"/>
      <c r="AD25" s="148"/>
      <c r="AE25" s="148"/>
      <c r="AF25" s="148"/>
      <c r="AG25" s="112"/>
      <c r="AI25" s="113"/>
      <c r="AJ25" s="249" t="s">
        <v>34</v>
      </c>
      <c r="AK25" s="248"/>
      <c r="AL25" s="248"/>
      <c r="AM25" s="248"/>
      <c r="AN25" s="248"/>
      <c r="AO25" s="248"/>
      <c r="AP25" s="248"/>
      <c r="AQ25" s="248"/>
      <c r="AR25" s="114"/>
      <c r="AS25" s="148"/>
      <c r="AT25" s="148"/>
      <c r="AU25" s="148"/>
      <c r="AV25" s="148"/>
      <c r="AW25" s="148"/>
      <c r="AX25" s="112"/>
      <c r="AY25" s="138"/>
      <c r="AZ25" s="113"/>
      <c r="BA25" s="249" t="s">
        <v>34</v>
      </c>
      <c r="BB25" s="248"/>
      <c r="BC25" s="248"/>
      <c r="BD25" s="248"/>
      <c r="BE25" s="248"/>
      <c r="BF25" s="248"/>
      <c r="BG25" s="248"/>
      <c r="BH25" s="248"/>
      <c r="BI25" s="114"/>
      <c r="BJ25" s="148"/>
      <c r="BK25" s="148"/>
      <c r="BL25" s="148"/>
      <c r="BM25" s="148"/>
      <c r="BN25" s="148"/>
      <c r="BO25" s="8"/>
    </row>
    <row r="26" spans="1:74" ht="3" customHeight="1" thickBot="1" x14ac:dyDescent="0.3">
      <c r="A26" s="12"/>
      <c r="B26" s="57"/>
      <c r="C26" s="152"/>
      <c r="D26" s="153"/>
      <c r="E26" s="153"/>
      <c r="F26" s="152"/>
      <c r="G26" s="152"/>
      <c r="H26" s="152"/>
      <c r="I26" s="152"/>
      <c r="J26" s="152"/>
      <c r="K26" s="154"/>
      <c r="L26" s="154"/>
      <c r="M26" s="154"/>
      <c r="N26" s="154"/>
      <c r="O26" s="148"/>
      <c r="P26" s="155"/>
      <c r="R26" s="156"/>
      <c r="S26" s="57"/>
      <c r="T26" s="152"/>
      <c r="U26" s="153"/>
      <c r="V26" s="153"/>
      <c r="W26" s="152"/>
      <c r="X26" s="152"/>
      <c r="Y26" s="152"/>
      <c r="Z26" s="152"/>
      <c r="AA26" s="152"/>
      <c r="AB26" s="154"/>
      <c r="AC26" s="154"/>
      <c r="AD26" s="154"/>
      <c r="AE26" s="154"/>
      <c r="AF26" s="148"/>
      <c r="AG26" s="155"/>
      <c r="AI26" s="156"/>
      <c r="AJ26" s="57"/>
      <c r="AK26" s="152"/>
      <c r="AL26" s="153"/>
      <c r="AM26" s="153"/>
      <c r="AN26" s="152"/>
      <c r="AO26" s="152"/>
      <c r="AP26" s="152"/>
      <c r="AQ26" s="152"/>
      <c r="AR26" s="152"/>
      <c r="AS26" s="154"/>
      <c r="AT26" s="154"/>
      <c r="AU26" s="154"/>
      <c r="AV26" s="154"/>
      <c r="AW26" s="148"/>
      <c r="AX26" s="155"/>
      <c r="AY26" s="138"/>
      <c r="AZ26" s="156"/>
      <c r="BA26" s="57"/>
      <c r="BB26" s="152"/>
      <c r="BC26" s="153"/>
      <c r="BD26" s="153"/>
      <c r="BE26" s="152"/>
      <c r="BF26" s="152"/>
      <c r="BG26" s="152"/>
      <c r="BH26" s="152"/>
      <c r="BI26" s="152"/>
      <c r="BJ26" s="154"/>
      <c r="BK26" s="154"/>
      <c r="BL26" s="154"/>
      <c r="BM26" s="154"/>
      <c r="BN26" s="148"/>
      <c r="BO26" s="13"/>
    </row>
    <row r="27" spans="1:74" ht="6.6" customHeight="1" thickTop="1" thickBot="1" x14ac:dyDescent="0.3">
      <c r="O27" s="157"/>
      <c r="AF27" s="157"/>
      <c r="AW27" s="157"/>
      <c r="BN27" s="157"/>
    </row>
    <row r="28" spans="1:74" ht="15" customHeight="1" thickTop="1" x14ac:dyDescent="0.25">
      <c r="A28" s="10"/>
      <c r="B28" s="316" t="s">
        <v>81</v>
      </c>
      <c r="C28" s="316"/>
      <c r="D28" s="316"/>
      <c r="E28" s="316"/>
      <c r="F28" s="316"/>
      <c r="G28" s="316"/>
      <c r="H28" s="316"/>
      <c r="I28" s="316"/>
      <c r="J28" s="314" t="s">
        <v>48</v>
      </c>
      <c r="K28" s="314"/>
      <c r="L28" s="314"/>
      <c r="M28" s="314"/>
      <c r="N28" s="108"/>
      <c r="O28" s="108">
        <v>8</v>
      </c>
      <c r="P28" s="109"/>
      <c r="R28" s="111"/>
      <c r="S28" s="314" t="s">
        <v>81</v>
      </c>
      <c r="T28" s="314"/>
      <c r="U28" s="314"/>
      <c r="V28" s="314"/>
      <c r="W28" s="314"/>
      <c r="X28" s="314"/>
      <c r="Y28" s="314"/>
      <c r="Z28" s="314"/>
      <c r="AA28" s="314" t="s">
        <v>48</v>
      </c>
      <c r="AB28" s="314"/>
      <c r="AC28" s="314"/>
      <c r="AD28" s="314"/>
      <c r="AE28" s="108"/>
      <c r="AF28" s="108">
        <v>13</v>
      </c>
      <c r="AG28" s="109"/>
      <c r="AI28" s="111"/>
      <c r="AJ28" s="314" t="s">
        <v>81</v>
      </c>
      <c r="AK28" s="314"/>
      <c r="AL28" s="314"/>
      <c r="AM28" s="314"/>
      <c r="AN28" s="314"/>
      <c r="AO28" s="314"/>
      <c r="AP28" s="314"/>
      <c r="AQ28" s="314"/>
      <c r="AR28" s="314" t="s">
        <v>48</v>
      </c>
      <c r="AS28" s="314"/>
      <c r="AT28" s="314"/>
      <c r="AU28" s="314"/>
      <c r="AV28" s="108"/>
      <c r="AW28" s="108">
        <f>AF28+5</f>
        <v>18</v>
      </c>
      <c r="AX28" s="109"/>
      <c r="AZ28" s="111"/>
      <c r="BA28" s="314" t="s">
        <v>81</v>
      </c>
      <c r="BB28" s="314"/>
      <c r="BC28" s="314"/>
      <c r="BD28" s="314"/>
      <c r="BE28" s="314"/>
      <c r="BF28" s="314"/>
      <c r="BG28" s="314"/>
      <c r="BH28" s="314"/>
      <c r="BI28" s="314" t="s">
        <v>48</v>
      </c>
      <c r="BJ28" s="314"/>
      <c r="BK28" s="314"/>
      <c r="BL28" s="314"/>
      <c r="BM28" s="108"/>
      <c r="BN28" s="108">
        <f>AW28+5</f>
        <v>23</v>
      </c>
      <c r="BO28" s="11"/>
      <c r="BV28" s="9">
        <f>SUM(F34:F44)</f>
        <v>336</v>
      </c>
    </row>
    <row r="29" spans="1:74" ht="15" customHeight="1" x14ac:dyDescent="0.25">
      <c r="A29" s="7"/>
      <c r="B29" s="164" t="str">
        <f>'الفترة الاولى'!$A$6</f>
        <v>المدرسة /</v>
      </c>
      <c r="C29" s="310" t="str">
        <f>'الفترة الاولى'!$C$6</f>
        <v>سهول العلم للتعليم الخاص</v>
      </c>
      <c r="D29" s="310"/>
      <c r="E29" s="310"/>
      <c r="F29" s="310"/>
      <c r="G29" s="310"/>
      <c r="H29" s="315" t="s">
        <v>47</v>
      </c>
      <c r="I29" s="315"/>
      <c r="J29" s="315" t="str">
        <f>VLOOKUP(O28,اسم,3,0)</f>
        <v>رزان خليل محمد المغربي</v>
      </c>
      <c r="K29" s="315"/>
      <c r="L29" s="315"/>
      <c r="M29" s="315"/>
      <c r="N29" s="315"/>
      <c r="O29" s="315"/>
      <c r="P29" s="112"/>
      <c r="R29" s="113"/>
      <c r="S29" s="164" t="str">
        <f>'الفترة الاولى'!$A$6</f>
        <v>المدرسة /</v>
      </c>
      <c r="T29" s="310" t="str">
        <f>'الفترة الاولى'!$C$6</f>
        <v>سهول العلم للتعليم الخاص</v>
      </c>
      <c r="U29" s="310"/>
      <c r="V29" s="310"/>
      <c r="W29" s="310"/>
      <c r="X29" s="310"/>
      <c r="Y29" s="315" t="s">
        <v>47</v>
      </c>
      <c r="Z29" s="315"/>
      <c r="AA29" s="315" t="str">
        <f>VLOOKUP(AF28,اسم,3,0)</f>
        <v>عبدالله احمد سالم العزيبي</v>
      </c>
      <c r="AB29" s="315"/>
      <c r="AC29" s="315"/>
      <c r="AD29" s="315"/>
      <c r="AE29" s="315"/>
      <c r="AF29" s="315"/>
      <c r="AG29" s="112"/>
      <c r="AI29" s="113"/>
      <c r="AJ29" s="164" t="str">
        <f>'الفترة الاولى'!$A$6</f>
        <v>المدرسة /</v>
      </c>
      <c r="AK29" s="310" t="str">
        <f>'الفترة الاولى'!$C$6</f>
        <v>سهول العلم للتعليم الخاص</v>
      </c>
      <c r="AL29" s="310"/>
      <c r="AM29" s="310"/>
      <c r="AN29" s="310"/>
      <c r="AO29" s="310"/>
      <c r="AP29" s="315" t="s">
        <v>47</v>
      </c>
      <c r="AQ29" s="315"/>
      <c r="AR29" s="315" t="str">
        <f>VLOOKUP(AW28,اسم,3,0)</f>
        <v>محمد على عامر الخالقي</v>
      </c>
      <c r="AS29" s="315"/>
      <c r="AT29" s="315"/>
      <c r="AU29" s="315"/>
      <c r="AV29" s="315"/>
      <c r="AW29" s="315"/>
      <c r="AX29" s="112"/>
      <c r="AZ29" s="113"/>
      <c r="BA29" s="164" t="str">
        <f>'الفترة الاولى'!$A$6</f>
        <v>المدرسة /</v>
      </c>
      <c r="BB29" s="310" t="str">
        <f>'الفترة الاولى'!$C$6</f>
        <v>سهول العلم للتعليم الخاص</v>
      </c>
      <c r="BC29" s="310"/>
      <c r="BD29" s="310"/>
      <c r="BE29" s="310"/>
      <c r="BF29" s="310"/>
      <c r="BG29" s="315" t="s">
        <v>47</v>
      </c>
      <c r="BH29" s="315"/>
      <c r="BI29" s="315">
        <f>VLOOKUP(BN28,اسم,3,0)</f>
        <v>0</v>
      </c>
      <c r="BJ29" s="315"/>
      <c r="BK29" s="315"/>
      <c r="BL29" s="315"/>
      <c r="BM29" s="315"/>
      <c r="BN29" s="315"/>
      <c r="BO29" s="8"/>
      <c r="BV29" s="9">
        <f>BV28/2</f>
        <v>168</v>
      </c>
    </row>
    <row r="30" spans="1:74" ht="15" customHeight="1" thickBot="1" x14ac:dyDescent="0.3">
      <c r="A30" s="7"/>
      <c r="B30" s="309" t="s">
        <v>113</v>
      </c>
      <c r="C30" s="309"/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  <c r="P30" s="112"/>
      <c r="R30" s="113"/>
      <c r="S30" s="309" t="s">
        <v>86</v>
      </c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09"/>
      <c r="AE30" s="309"/>
      <c r="AF30" s="309"/>
      <c r="AG30" s="112"/>
      <c r="AI30" s="113"/>
      <c r="AJ30" s="309" t="s">
        <v>86</v>
      </c>
      <c r="AK30" s="309"/>
      <c r="AL30" s="309"/>
      <c r="AM30" s="309"/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112"/>
      <c r="AZ30" s="113"/>
      <c r="BA30" s="309" t="s">
        <v>86</v>
      </c>
      <c r="BB30" s="309"/>
      <c r="BC30" s="309"/>
      <c r="BD30" s="309"/>
      <c r="BE30" s="309"/>
      <c r="BF30" s="309"/>
      <c r="BG30" s="309"/>
      <c r="BH30" s="309"/>
      <c r="BI30" s="309"/>
      <c r="BJ30" s="309"/>
      <c r="BK30" s="309"/>
      <c r="BL30" s="309"/>
      <c r="BM30" s="309"/>
      <c r="BN30" s="309"/>
      <c r="BO30" s="8"/>
    </row>
    <row r="31" spans="1:74" ht="18" customHeight="1" thickBot="1" x14ac:dyDescent="0.3">
      <c r="A31" s="7"/>
      <c r="B31" s="311" t="s">
        <v>67</v>
      </c>
      <c r="C31" s="293" t="s">
        <v>25</v>
      </c>
      <c r="D31" s="264" t="s">
        <v>26</v>
      </c>
      <c r="E31" s="264"/>
      <c r="F31" s="264" t="s">
        <v>27</v>
      </c>
      <c r="G31" s="264"/>
      <c r="H31" s="264"/>
      <c r="I31" s="264"/>
      <c r="J31" s="114"/>
      <c r="K31" s="287" t="s">
        <v>35</v>
      </c>
      <c r="L31" s="288"/>
      <c r="M31" s="288"/>
      <c r="N31" s="288"/>
      <c r="O31" s="289"/>
      <c r="P31" s="112"/>
      <c r="R31" s="113"/>
      <c r="S31" s="290" t="s">
        <v>67</v>
      </c>
      <c r="T31" s="293" t="s">
        <v>25</v>
      </c>
      <c r="U31" s="264" t="s">
        <v>26</v>
      </c>
      <c r="V31" s="264"/>
      <c r="W31" s="264" t="s">
        <v>27</v>
      </c>
      <c r="X31" s="264"/>
      <c r="Y31" s="264"/>
      <c r="Z31" s="264"/>
      <c r="AA31" s="114"/>
      <c r="AB31" s="287" t="s">
        <v>35</v>
      </c>
      <c r="AC31" s="288"/>
      <c r="AD31" s="288"/>
      <c r="AE31" s="288"/>
      <c r="AF31" s="289"/>
      <c r="AG31" s="112"/>
      <c r="AI31" s="113"/>
      <c r="AJ31" s="290" t="s">
        <v>67</v>
      </c>
      <c r="AK31" s="293" t="s">
        <v>25</v>
      </c>
      <c r="AL31" s="264" t="s">
        <v>26</v>
      </c>
      <c r="AM31" s="264"/>
      <c r="AN31" s="264" t="s">
        <v>27</v>
      </c>
      <c r="AO31" s="264"/>
      <c r="AP31" s="264"/>
      <c r="AQ31" s="264"/>
      <c r="AR31" s="114"/>
      <c r="AS31" s="287" t="s">
        <v>35</v>
      </c>
      <c r="AT31" s="288"/>
      <c r="AU31" s="288"/>
      <c r="AV31" s="288"/>
      <c r="AW31" s="289"/>
      <c r="AX31" s="112"/>
      <c r="AY31" s="115"/>
      <c r="AZ31" s="113"/>
      <c r="BA31" s="290" t="s">
        <v>67</v>
      </c>
      <c r="BB31" s="293" t="s">
        <v>25</v>
      </c>
      <c r="BC31" s="264" t="s">
        <v>26</v>
      </c>
      <c r="BD31" s="264"/>
      <c r="BE31" s="264" t="s">
        <v>27</v>
      </c>
      <c r="BF31" s="264"/>
      <c r="BG31" s="264"/>
      <c r="BH31" s="264"/>
      <c r="BI31" s="114"/>
      <c r="BJ31" s="287" t="s">
        <v>35</v>
      </c>
      <c r="BK31" s="288"/>
      <c r="BL31" s="288"/>
      <c r="BM31" s="288"/>
      <c r="BN31" s="289"/>
      <c r="BO31" s="8"/>
      <c r="BS31" s="9">
        <v>0</v>
      </c>
      <c r="BT31" s="9" t="s">
        <v>49</v>
      </c>
    </row>
    <row r="32" spans="1:74" ht="19.2" customHeight="1" x14ac:dyDescent="0.25">
      <c r="A32" s="7"/>
      <c r="B32" s="312"/>
      <c r="C32" s="294"/>
      <c r="D32" s="303" t="s">
        <v>28</v>
      </c>
      <c r="E32" s="303" t="s">
        <v>42</v>
      </c>
      <c r="F32" s="305" t="s">
        <v>69</v>
      </c>
      <c r="G32" s="307" t="s">
        <v>68</v>
      </c>
      <c r="H32" s="296" t="s">
        <v>29</v>
      </c>
      <c r="I32" s="296" t="s">
        <v>17</v>
      </c>
      <c r="J32" s="114"/>
      <c r="K32" s="116" t="s">
        <v>51</v>
      </c>
      <c r="L32" s="298" t="str">
        <f>LOOKUP(H44,$BS$4:$BT$8)</f>
        <v>ممتاز</v>
      </c>
      <c r="M32" s="298"/>
      <c r="N32" s="298"/>
      <c r="O32" s="299"/>
      <c r="P32" s="112"/>
      <c r="R32" s="113"/>
      <c r="S32" s="291"/>
      <c r="T32" s="294"/>
      <c r="U32" s="303" t="s">
        <v>28</v>
      </c>
      <c r="V32" s="303" t="s">
        <v>42</v>
      </c>
      <c r="W32" s="305" t="s">
        <v>69</v>
      </c>
      <c r="X32" s="307" t="s">
        <v>68</v>
      </c>
      <c r="Y32" s="296" t="s">
        <v>29</v>
      </c>
      <c r="Z32" s="296" t="s">
        <v>17</v>
      </c>
      <c r="AA32" s="114"/>
      <c r="AB32" s="116" t="s">
        <v>51</v>
      </c>
      <c r="AC32" s="298" t="str">
        <f>LOOKUP(Y44,$BS$4:$BT$8)</f>
        <v>جيد</v>
      </c>
      <c r="AD32" s="298"/>
      <c r="AE32" s="298"/>
      <c r="AF32" s="299"/>
      <c r="AG32" s="112"/>
      <c r="AI32" s="113"/>
      <c r="AJ32" s="291"/>
      <c r="AK32" s="294"/>
      <c r="AL32" s="303" t="s">
        <v>28</v>
      </c>
      <c r="AM32" s="303" t="s">
        <v>42</v>
      </c>
      <c r="AN32" s="305" t="s">
        <v>69</v>
      </c>
      <c r="AO32" s="307" t="s">
        <v>68</v>
      </c>
      <c r="AP32" s="296" t="s">
        <v>29</v>
      </c>
      <c r="AQ32" s="296" t="s">
        <v>17</v>
      </c>
      <c r="AR32" s="114"/>
      <c r="AS32" s="116" t="s">
        <v>51</v>
      </c>
      <c r="AT32" s="298" t="str">
        <f>LOOKUP(AP44,$BS$4:$BT$8)</f>
        <v>جيدجداً</v>
      </c>
      <c r="AU32" s="298"/>
      <c r="AV32" s="298"/>
      <c r="AW32" s="299"/>
      <c r="AX32" s="112"/>
      <c r="AY32" s="115"/>
      <c r="AZ32" s="113"/>
      <c r="BA32" s="291"/>
      <c r="BB32" s="294"/>
      <c r="BC32" s="303" t="s">
        <v>28</v>
      </c>
      <c r="BD32" s="303" t="s">
        <v>42</v>
      </c>
      <c r="BE32" s="305" t="s">
        <v>69</v>
      </c>
      <c r="BF32" s="307" t="s">
        <v>68</v>
      </c>
      <c r="BG32" s="296" t="s">
        <v>29</v>
      </c>
      <c r="BH32" s="296" t="s">
        <v>17</v>
      </c>
      <c r="BI32" s="114"/>
      <c r="BJ32" s="116" t="s">
        <v>51</v>
      </c>
      <c r="BK32" s="298" t="str">
        <f>LOOKUP(BG44,$BS$4:$BT$8)</f>
        <v>ضعيف</v>
      </c>
      <c r="BL32" s="298"/>
      <c r="BM32" s="298"/>
      <c r="BN32" s="299"/>
      <c r="BO32" s="8"/>
      <c r="BS32" s="9">
        <f>BV29*0.5</f>
        <v>84</v>
      </c>
      <c r="BT32" s="9" t="s">
        <v>14</v>
      </c>
    </row>
    <row r="33" spans="1:74" ht="19.2" customHeight="1" thickBot="1" x14ac:dyDescent="0.3">
      <c r="A33" s="7"/>
      <c r="B33" s="313"/>
      <c r="C33" s="295"/>
      <c r="D33" s="304"/>
      <c r="E33" s="304"/>
      <c r="F33" s="306"/>
      <c r="G33" s="308"/>
      <c r="H33" s="297"/>
      <c r="I33" s="297"/>
      <c r="J33" s="117"/>
      <c r="K33" s="300" t="str">
        <f>IF(L32&lt;&gt;"ضعيف","","يحتاج الى اهتمام في المواد ")</f>
        <v/>
      </c>
      <c r="L33" s="301"/>
      <c r="M33" s="301"/>
      <c r="N33" s="301"/>
      <c r="O33" s="302"/>
      <c r="P33" s="112"/>
      <c r="R33" s="113"/>
      <c r="S33" s="292"/>
      <c r="T33" s="295"/>
      <c r="U33" s="304"/>
      <c r="V33" s="304"/>
      <c r="W33" s="306"/>
      <c r="X33" s="308"/>
      <c r="Y33" s="297"/>
      <c r="Z33" s="297"/>
      <c r="AA33" s="117"/>
      <c r="AB33" s="300" t="str">
        <f>IF(AC32&lt;&gt;"ضعيف","","يحتاج الى اهتمام في المواد ")</f>
        <v/>
      </c>
      <c r="AC33" s="301"/>
      <c r="AD33" s="301"/>
      <c r="AE33" s="301"/>
      <c r="AF33" s="302"/>
      <c r="AG33" s="112"/>
      <c r="AI33" s="113"/>
      <c r="AJ33" s="292"/>
      <c r="AK33" s="295"/>
      <c r="AL33" s="304"/>
      <c r="AM33" s="304"/>
      <c r="AN33" s="306"/>
      <c r="AO33" s="308"/>
      <c r="AP33" s="297"/>
      <c r="AQ33" s="297"/>
      <c r="AR33" s="117"/>
      <c r="AS33" s="300" t="str">
        <f>IF(AT32&lt;&gt;"ضعيف","","يحتاج الى اهتمام في المواد ")</f>
        <v/>
      </c>
      <c r="AT33" s="301"/>
      <c r="AU33" s="301"/>
      <c r="AV33" s="301"/>
      <c r="AW33" s="302"/>
      <c r="AX33" s="112"/>
      <c r="AY33" s="115"/>
      <c r="AZ33" s="113"/>
      <c r="BA33" s="292"/>
      <c r="BB33" s="295"/>
      <c r="BC33" s="304"/>
      <c r="BD33" s="304"/>
      <c r="BE33" s="306"/>
      <c r="BF33" s="308"/>
      <c r="BG33" s="297"/>
      <c r="BH33" s="297"/>
      <c r="BI33" s="117"/>
      <c r="BJ33" s="300" t="str">
        <f>IF(BK32&lt;&gt;"ضعيف","","يحتاج الى اهتمام في المواد ")</f>
        <v xml:space="preserve">يحتاج الى اهتمام في المواد </v>
      </c>
      <c r="BK33" s="301"/>
      <c r="BL33" s="301"/>
      <c r="BM33" s="301"/>
      <c r="BN33" s="302"/>
      <c r="BO33" s="8"/>
      <c r="BS33" s="9">
        <f>BV29*0.65</f>
        <v>109.2</v>
      </c>
      <c r="BT33" s="9" t="s">
        <v>13</v>
      </c>
    </row>
    <row r="34" spans="1:74" ht="28.95" customHeight="1" thickBot="1" x14ac:dyDescent="0.3">
      <c r="A34" s="7"/>
      <c r="B34" s="70" t="str">
        <f>'الفترة الاولى'!$E$8</f>
        <v>التربية الإسلامية</v>
      </c>
      <c r="C34" s="118">
        <f>'الفترة الاولى'!$G$8</f>
        <v>2</v>
      </c>
      <c r="D34" s="119">
        <f>C34*40</f>
        <v>80</v>
      </c>
      <c r="E34" s="119">
        <f>D34*0.5</f>
        <v>40</v>
      </c>
      <c r="F34" s="120">
        <f>D34*0.3</f>
        <v>24</v>
      </c>
      <c r="G34" s="121">
        <f>D34*0.15</f>
        <v>12</v>
      </c>
      <c r="H34" s="122">
        <f>IFERROR(VLOOKUP(J29,بيان,2,0),0)</f>
        <v>12</v>
      </c>
      <c r="I34" s="122">
        <f>IFERROR(VLOOKUP(J29,بيان,3,0),0)</f>
        <v>11</v>
      </c>
      <c r="J34" s="114"/>
      <c r="K34" s="123" t="str">
        <f>IF(H34=0,"",IF(H34&lt;G34/2,B34,""))</f>
        <v/>
      </c>
      <c r="L34" s="124" t="str">
        <f>IF(H35=0,"",IF(H35&lt;G35/2,B35,""))</f>
        <v/>
      </c>
      <c r="M34" s="124" t="str">
        <f>IF(H36=0,"",IF(H36&lt;G36/2,B36,""))</f>
        <v/>
      </c>
      <c r="N34" s="124" t="str">
        <f>IF(H37=0,"",IF(H37&lt;G37/2,B37,""))</f>
        <v/>
      </c>
      <c r="O34" s="125" t="str">
        <f>IF(H38=0,"",IF(H38&lt;G38/2,B38,""))</f>
        <v/>
      </c>
      <c r="P34" s="112"/>
      <c r="R34" s="113"/>
      <c r="S34" s="126" t="str">
        <f>'الفترة الاولى'!$E$8</f>
        <v>التربية الإسلامية</v>
      </c>
      <c r="T34" s="118">
        <f>'الفترة الاولى'!$G$8</f>
        <v>2</v>
      </c>
      <c r="U34" s="119">
        <f>T34*40</f>
        <v>80</v>
      </c>
      <c r="V34" s="119">
        <f>U34*0.5</f>
        <v>40</v>
      </c>
      <c r="W34" s="120">
        <f>U34*0.3</f>
        <v>24</v>
      </c>
      <c r="X34" s="121">
        <f>U34*0.15</f>
        <v>12</v>
      </c>
      <c r="Y34" s="122">
        <f>IFERROR(VLOOKUP(AA29,بيان,2,0),0)</f>
        <v>12</v>
      </c>
      <c r="Z34" s="122">
        <f>IFERROR(VLOOKUP(AA29,بيان,3,0),0)</f>
        <v>10</v>
      </c>
      <c r="AA34" s="114"/>
      <c r="AB34" s="123" t="str">
        <f>IF(Y34=0,"",IF(Y34&lt;X34/2,S34,""))</f>
        <v/>
      </c>
      <c r="AC34" s="124" t="str">
        <f>IF(Y35=0,"",IF(Y35&lt;X35/2,S35,""))</f>
        <v/>
      </c>
      <c r="AD34" s="124" t="str">
        <f>IF(Y36=0,"",IF(Y36&lt;X36/2,S36,""))</f>
        <v/>
      </c>
      <c r="AE34" s="124" t="str">
        <f>IF(Y37=0,"",IF(Y37&lt;X37/2,S37,""))</f>
        <v/>
      </c>
      <c r="AF34" s="125" t="str">
        <f>IF(Y38=0,"",IF(Y38&lt;X38/2,S38,""))</f>
        <v/>
      </c>
      <c r="AG34" s="112"/>
      <c r="AI34" s="113"/>
      <c r="AJ34" s="126" t="str">
        <f>'الفترة الاولى'!$E$8</f>
        <v>التربية الإسلامية</v>
      </c>
      <c r="AK34" s="118">
        <f>'الفترة الاولى'!$G$8</f>
        <v>2</v>
      </c>
      <c r="AL34" s="119">
        <f>AK34*40</f>
        <v>80</v>
      </c>
      <c r="AM34" s="119">
        <f>AL34*0.5</f>
        <v>40</v>
      </c>
      <c r="AN34" s="120">
        <f>AL34*0.3</f>
        <v>24</v>
      </c>
      <c r="AO34" s="121">
        <f>AL34*0.15</f>
        <v>12</v>
      </c>
      <c r="AP34" s="122">
        <f>IFERROR(VLOOKUP(AR29,بيان,2,0),0)</f>
        <v>12</v>
      </c>
      <c r="AQ34" s="122">
        <f>IFERROR(VLOOKUP(AR29,بيان,3,0),0)</f>
        <v>9</v>
      </c>
      <c r="AR34" s="114"/>
      <c r="AS34" s="123" t="str">
        <f>IF(AP34=0,"",IF(AP34&lt;AO34/2,AJ34,""))</f>
        <v/>
      </c>
      <c r="AT34" s="124" t="str">
        <f>IF(AP35=0,"",IF(AP35&lt;AO35/2,AJ35,""))</f>
        <v/>
      </c>
      <c r="AU34" s="124" t="str">
        <f>IF(AP36=0,"",IF(AP36&lt;AO36/2,AJ36,""))</f>
        <v/>
      </c>
      <c r="AV34" s="124" t="str">
        <f>IF(AP37=0,"",IF(AP37&lt;AO37/2,AJ37,""))</f>
        <v/>
      </c>
      <c r="AW34" s="125" t="str">
        <f>IF(AP38=0,"",IF(AP38&lt;AO38/2,AJ38,""))</f>
        <v/>
      </c>
      <c r="AX34" s="112"/>
      <c r="AY34" s="127"/>
      <c r="AZ34" s="113"/>
      <c r="BA34" s="126" t="str">
        <f>'الفترة الاولى'!$E$8</f>
        <v>التربية الإسلامية</v>
      </c>
      <c r="BB34" s="118">
        <f>'الفترة الاولى'!$G$8</f>
        <v>2</v>
      </c>
      <c r="BC34" s="119">
        <f>BB34*40</f>
        <v>80</v>
      </c>
      <c r="BD34" s="119">
        <f>BC34*0.5</f>
        <v>40</v>
      </c>
      <c r="BE34" s="120">
        <f>BC34*0.3</f>
        <v>24</v>
      </c>
      <c r="BF34" s="121">
        <f>BC34*0.15</f>
        <v>12</v>
      </c>
      <c r="BG34" s="122">
        <f>IFERROR(VLOOKUP(BI29,بيان,2,0),0)</f>
        <v>0</v>
      </c>
      <c r="BH34" s="122">
        <f>IFERROR(VLOOKUP(BI29,بيان,3,0),0)</f>
        <v>0</v>
      </c>
      <c r="BI34" s="114"/>
      <c r="BJ34" s="123" t="str">
        <f>IF(BG34=0,"",IF(BG34&lt;BF34/2,BA34,""))</f>
        <v/>
      </c>
      <c r="BK34" s="124" t="str">
        <f>IF(BG35=0,"",IF(BG35&lt;BF35/2,BA35,""))</f>
        <v/>
      </c>
      <c r="BL34" s="124" t="str">
        <f>IF(BG36=0,"",IF(BG36&lt;BF36/2,BA36,""))</f>
        <v/>
      </c>
      <c r="BM34" s="124" t="str">
        <f>IF(BG37=0,"",IF(BG37&lt;BF37/2,BA37,""))</f>
        <v/>
      </c>
      <c r="BN34" s="125" t="str">
        <f>IF(BG38=0,"",IF(BG38&lt;BF38/2,BA38,""))</f>
        <v/>
      </c>
      <c r="BO34" s="8"/>
      <c r="BS34" s="9">
        <f>BV29*0.75</f>
        <v>126</v>
      </c>
      <c r="BT34" s="9" t="s">
        <v>46</v>
      </c>
    </row>
    <row r="35" spans="1:74" ht="28.95" customHeight="1" thickBot="1" x14ac:dyDescent="0.3">
      <c r="A35" s="7"/>
      <c r="B35" s="71" t="str">
        <f>'الفترة الاولى'!$H$8</f>
        <v>النحو والقراءة والنصوص</v>
      </c>
      <c r="C35" s="128">
        <f>'الفترة الاولى'!$J$8</f>
        <v>4</v>
      </c>
      <c r="D35" s="129">
        <f t="shared" ref="D35:D43" si="26">C35*40</f>
        <v>160</v>
      </c>
      <c r="E35" s="129">
        <f t="shared" ref="E35:E44" si="27">D35*0.5</f>
        <v>80</v>
      </c>
      <c r="F35" s="120">
        <f t="shared" ref="F35:F41" si="28">D35*0.3</f>
        <v>48</v>
      </c>
      <c r="G35" s="121">
        <f t="shared" ref="G35:G41" si="29">D35*0.15</f>
        <v>24</v>
      </c>
      <c r="H35" s="122">
        <f>IFERROR(VLOOKUP(J29,بيان,5,0),0)</f>
        <v>22</v>
      </c>
      <c r="I35" s="122">
        <f>IFERROR(VLOOKUP(J29,بيان,6,0),0)</f>
        <v>23</v>
      </c>
      <c r="J35" s="114"/>
      <c r="K35" s="130" t="str">
        <f>IF(H39=0,"",IF(H39&lt;G39/2,B39,""))</f>
        <v/>
      </c>
      <c r="L35" s="131" t="str">
        <f>IF(H40=0,"",IF(H40&lt;G40/2,B40,""))</f>
        <v/>
      </c>
      <c r="M35" s="131" t="str">
        <f>IF(H41=0,"",IF(H41&lt;G41/2,B41,""))</f>
        <v/>
      </c>
      <c r="N35" s="131" t="str">
        <f>IF(H42=0,"",IF(H42&lt;G42/2,B42,""))</f>
        <v/>
      </c>
      <c r="O35" s="132" t="str">
        <f>IF(H43=0,"",IF(H43&lt;G43/2,B43,""))</f>
        <v/>
      </c>
      <c r="P35" s="112"/>
      <c r="R35" s="113"/>
      <c r="S35" s="133" t="str">
        <f>'الفترة الاولى'!$H$8</f>
        <v>النحو والقراءة والنصوص</v>
      </c>
      <c r="T35" s="128">
        <f>'الفترة الاولى'!$J$8</f>
        <v>4</v>
      </c>
      <c r="U35" s="129">
        <f t="shared" ref="U35:U43" si="30">T35*40</f>
        <v>160</v>
      </c>
      <c r="V35" s="129">
        <f t="shared" ref="V35:V44" si="31">U35*0.5</f>
        <v>80</v>
      </c>
      <c r="W35" s="120">
        <f t="shared" ref="W35:W41" si="32">U35*0.3</f>
        <v>48</v>
      </c>
      <c r="X35" s="121">
        <f t="shared" ref="X35:X41" si="33">U35*0.15</f>
        <v>24</v>
      </c>
      <c r="Y35" s="122">
        <f>IFERROR(VLOOKUP(AA29,بيان,5,0),0)</f>
        <v>16</v>
      </c>
      <c r="Z35" s="122">
        <f>IFERROR(VLOOKUP(AA29,بيان,6,0),0)</f>
        <v>12</v>
      </c>
      <c r="AA35" s="114"/>
      <c r="AB35" s="130" t="str">
        <f>IF(Y39=0,"",IF(Y39&lt;X39/2,S39,""))</f>
        <v>الرياضيات</v>
      </c>
      <c r="AC35" s="131" t="str">
        <f>IF(Y40=0,"",IF(Y40&lt;X40/2,S40,""))</f>
        <v/>
      </c>
      <c r="AD35" s="131" t="str">
        <f>IF(Y41=0,"",IF(Y41&lt;X41/2,S41,""))</f>
        <v/>
      </c>
      <c r="AE35" s="131" t="str">
        <f>IF(Y42=0,"",IF(Y42&lt;X42/2,S42,""))</f>
        <v/>
      </c>
      <c r="AF35" s="132" t="str">
        <f>IF(Y43=0,"",IF(Y43&lt;X43/2,S43,""))</f>
        <v/>
      </c>
      <c r="AG35" s="112"/>
      <c r="AI35" s="113"/>
      <c r="AJ35" s="133" t="str">
        <f>'الفترة الاولى'!$H$8</f>
        <v>النحو والقراءة والنصوص</v>
      </c>
      <c r="AK35" s="128">
        <f>'الفترة الاولى'!$J$8</f>
        <v>4</v>
      </c>
      <c r="AL35" s="129">
        <f t="shared" ref="AL35:AL43" si="34">AK35*40</f>
        <v>160</v>
      </c>
      <c r="AM35" s="129">
        <f t="shared" ref="AM35:AM44" si="35">AL35*0.5</f>
        <v>80</v>
      </c>
      <c r="AN35" s="120">
        <f t="shared" ref="AN35:AN41" si="36">AL35*0.3</f>
        <v>48</v>
      </c>
      <c r="AO35" s="121">
        <f t="shared" ref="AO35:AO41" si="37">AL35*0.15</f>
        <v>24</v>
      </c>
      <c r="AP35" s="122">
        <f>IFERROR(VLOOKUP(AR29,بيان,5,0),0)</f>
        <v>16</v>
      </c>
      <c r="AQ35" s="122">
        <f>IFERROR(VLOOKUP(AR29,بيان,6,0),0)</f>
        <v>18</v>
      </c>
      <c r="AR35" s="114"/>
      <c r="AS35" s="130" t="str">
        <f>IF(AP39=0,"",IF(AP39&lt;AO39/2,AJ39,""))</f>
        <v/>
      </c>
      <c r="AT35" s="131" t="str">
        <f>IF(AP40=0,"",IF(AP40&lt;AO40/2,AJ40,""))</f>
        <v/>
      </c>
      <c r="AU35" s="131" t="str">
        <f>IF(AP41=0,"",IF(AP41&lt;AO41/2,AJ41,""))</f>
        <v/>
      </c>
      <c r="AV35" s="131" t="str">
        <f>IF(AP42=0,"",IF(AP42&lt;AO42/2,AJ42,""))</f>
        <v>الجغرافيا</v>
      </c>
      <c r="AW35" s="132" t="str">
        <f>IF(AP43=0,"",IF(AP43&lt;AO43/2,AJ43,""))</f>
        <v/>
      </c>
      <c r="AX35" s="112"/>
      <c r="AY35" s="134"/>
      <c r="AZ35" s="113"/>
      <c r="BA35" s="133" t="str">
        <f>'الفترة الاولى'!$H$8</f>
        <v>النحو والقراءة والنصوص</v>
      </c>
      <c r="BB35" s="128">
        <f>'الفترة الاولى'!$J$8</f>
        <v>4</v>
      </c>
      <c r="BC35" s="129">
        <f t="shared" ref="BC35:BC43" si="38">BB35*40</f>
        <v>160</v>
      </c>
      <c r="BD35" s="129">
        <f t="shared" ref="BD35:BD44" si="39">BC35*0.5</f>
        <v>80</v>
      </c>
      <c r="BE35" s="120">
        <f t="shared" ref="BE35:BE41" si="40">BC35*0.3</f>
        <v>48</v>
      </c>
      <c r="BF35" s="121">
        <f t="shared" ref="BF35:BF41" si="41">BC35*0.15</f>
        <v>24</v>
      </c>
      <c r="BG35" s="122">
        <f>IFERROR(VLOOKUP(BI29,بيان,5,0),0)</f>
        <v>0</v>
      </c>
      <c r="BH35" s="122">
        <f>IFERROR(VLOOKUP(BI29,بيان,6,0),0)</f>
        <v>0</v>
      </c>
      <c r="BI35" s="114"/>
      <c r="BJ35" s="130" t="str">
        <f>IF(BG39=0,"",IF(BG39&lt;BF39/2,BA39,""))</f>
        <v/>
      </c>
      <c r="BK35" s="131" t="str">
        <f>IF(BG40=0,"",IF(BG40&lt;BF40/2,BA40,""))</f>
        <v/>
      </c>
      <c r="BL35" s="131" t="str">
        <f>IF(BG41=0,"",IF(BG41&lt;BF41/2,BA41,""))</f>
        <v/>
      </c>
      <c r="BM35" s="131" t="str">
        <f>IF(BG42=0,"",IF(BG42&lt;BF42/2,BA42,""))</f>
        <v/>
      </c>
      <c r="BN35" s="132" t="str">
        <f>IF(BG43=0,"",IF(BG43&lt;BF43/2,BA43,""))</f>
        <v/>
      </c>
      <c r="BO35" s="8"/>
      <c r="BS35" s="9">
        <f>BV29*0.85</f>
        <v>142.79999999999998</v>
      </c>
      <c r="BT35" s="9" t="s">
        <v>12</v>
      </c>
    </row>
    <row r="36" spans="1:74" ht="28.95" customHeight="1" thickBot="1" x14ac:dyDescent="0.3">
      <c r="A36" s="7"/>
      <c r="B36" s="70" t="str">
        <f>'الفترة الاولى'!$K$8</f>
        <v>الكتابة (الخط والاملاء والخط )</v>
      </c>
      <c r="C36" s="118">
        <f>'الفترة الاولى'!$M$8</f>
        <v>2</v>
      </c>
      <c r="D36" s="119">
        <f t="shared" si="26"/>
        <v>80</v>
      </c>
      <c r="E36" s="119">
        <f t="shared" si="27"/>
        <v>40</v>
      </c>
      <c r="F36" s="120">
        <f t="shared" si="28"/>
        <v>24</v>
      </c>
      <c r="G36" s="121">
        <f t="shared" si="29"/>
        <v>12</v>
      </c>
      <c r="H36" s="122">
        <f>IFERROR(VLOOKUP(J29,بيان,8,0),0)</f>
        <v>10</v>
      </c>
      <c r="I36" s="122">
        <f>IFERROR(VLOOKUP(J29,بيان,9,0),0)</f>
        <v>11</v>
      </c>
      <c r="J36" s="114"/>
      <c r="K36" s="135"/>
      <c r="L36" s="136"/>
      <c r="M36" s="136"/>
      <c r="N36" s="136"/>
      <c r="O36" s="137"/>
      <c r="P36" s="112"/>
      <c r="R36" s="113"/>
      <c r="S36" s="126" t="str">
        <f>'الفترة الاولى'!$K$8</f>
        <v>الكتابة (الخط والاملاء والخط )</v>
      </c>
      <c r="T36" s="118">
        <f>'الفترة الاولى'!$M$8</f>
        <v>2</v>
      </c>
      <c r="U36" s="119">
        <f t="shared" si="30"/>
        <v>80</v>
      </c>
      <c r="V36" s="119">
        <f t="shared" si="31"/>
        <v>40</v>
      </c>
      <c r="W36" s="120">
        <f t="shared" si="32"/>
        <v>24</v>
      </c>
      <c r="X36" s="121">
        <f t="shared" si="33"/>
        <v>12</v>
      </c>
      <c r="Y36" s="122">
        <f>IFERROR(VLOOKUP(AA29,بيان,8,0),0)</f>
        <v>7</v>
      </c>
      <c r="Z36" s="122">
        <f>IFERROR(VLOOKUP(AA29,بيان,9,0),0)</f>
        <v>8</v>
      </c>
      <c r="AA36" s="114"/>
      <c r="AB36" s="135"/>
      <c r="AC36" s="136"/>
      <c r="AD36" s="136"/>
      <c r="AE36" s="136"/>
      <c r="AF36" s="137"/>
      <c r="AG36" s="112"/>
      <c r="AI36" s="113"/>
      <c r="AJ36" s="126" t="str">
        <f>'الفترة الاولى'!$K$8</f>
        <v>الكتابة (الخط والاملاء والخط )</v>
      </c>
      <c r="AK36" s="118">
        <f>'الفترة الاولى'!$M$8</f>
        <v>2</v>
      </c>
      <c r="AL36" s="119">
        <f t="shared" si="34"/>
        <v>80</v>
      </c>
      <c r="AM36" s="119">
        <f t="shared" si="35"/>
        <v>40</v>
      </c>
      <c r="AN36" s="120">
        <f t="shared" si="36"/>
        <v>24</v>
      </c>
      <c r="AO36" s="121">
        <f t="shared" si="37"/>
        <v>12</v>
      </c>
      <c r="AP36" s="122">
        <f>IFERROR(VLOOKUP(AR29,بيان,8,0),0)</f>
        <v>7</v>
      </c>
      <c r="AQ36" s="122">
        <f>IFERROR(VLOOKUP(AR29,بيان,9,0),0)</f>
        <v>10</v>
      </c>
      <c r="AR36" s="114"/>
      <c r="AS36" s="135"/>
      <c r="AT36" s="136"/>
      <c r="AU36" s="136"/>
      <c r="AV36" s="136"/>
      <c r="AW36" s="137"/>
      <c r="AX36" s="112"/>
      <c r="AY36" s="138"/>
      <c r="AZ36" s="113"/>
      <c r="BA36" s="126" t="str">
        <f>'الفترة الاولى'!$K$8</f>
        <v>الكتابة (الخط والاملاء والخط )</v>
      </c>
      <c r="BB36" s="118">
        <f>'الفترة الاولى'!$M$8</f>
        <v>2</v>
      </c>
      <c r="BC36" s="119">
        <f t="shared" si="38"/>
        <v>80</v>
      </c>
      <c r="BD36" s="119">
        <f t="shared" si="39"/>
        <v>40</v>
      </c>
      <c r="BE36" s="120">
        <f t="shared" si="40"/>
        <v>24</v>
      </c>
      <c r="BF36" s="121">
        <f t="shared" si="41"/>
        <v>12</v>
      </c>
      <c r="BG36" s="122">
        <f>IFERROR(VLOOKUP(BI29,بيان,8,0),0)</f>
        <v>0</v>
      </c>
      <c r="BH36" s="122" t="str">
        <f>IFERROR(VLOOKUP(BI29,بيان,9,0),0)</f>
        <v xml:space="preserve">أقر أنا   </v>
      </c>
      <c r="BI36" s="114"/>
      <c r="BJ36" s="135"/>
      <c r="BK36" s="136"/>
      <c r="BL36" s="136"/>
      <c r="BM36" s="136"/>
      <c r="BN36" s="137"/>
      <c r="BO36" s="8"/>
    </row>
    <row r="37" spans="1:74" ht="28.95" customHeight="1" thickBot="1" x14ac:dyDescent="0.3">
      <c r="A37" s="7"/>
      <c r="B37" s="71" t="str">
        <f>'الفترة الاولى'!$N$8</f>
        <v>الإنجليزي</v>
      </c>
      <c r="C37" s="128">
        <f>'الفترة الاولى'!$P$8</f>
        <v>4</v>
      </c>
      <c r="D37" s="129">
        <f t="shared" si="26"/>
        <v>160</v>
      </c>
      <c r="E37" s="129">
        <f t="shared" si="27"/>
        <v>80</v>
      </c>
      <c r="F37" s="120">
        <f t="shared" si="28"/>
        <v>48</v>
      </c>
      <c r="G37" s="121">
        <f t="shared" si="29"/>
        <v>24</v>
      </c>
      <c r="H37" s="122">
        <f>IFERROR(VLOOKUP(J29,بيان,11,0),0)</f>
        <v>24</v>
      </c>
      <c r="I37" s="122">
        <f>IFERROR(VLOOKUP(J29,بيان,12,0),0)</f>
        <v>24</v>
      </c>
      <c r="J37" s="114"/>
      <c r="K37" s="269" t="s">
        <v>43</v>
      </c>
      <c r="L37" s="267"/>
      <c r="M37" s="267"/>
      <c r="N37" s="267"/>
      <c r="O37" s="268"/>
      <c r="P37" s="112"/>
      <c r="R37" s="113"/>
      <c r="S37" s="133" t="str">
        <f>'الفترة الاولى'!$N$8</f>
        <v>الإنجليزي</v>
      </c>
      <c r="T37" s="128">
        <f>'الفترة الاولى'!$P$8</f>
        <v>4</v>
      </c>
      <c r="U37" s="129">
        <f t="shared" si="30"/>
        <v>160</v>
      </c>
      <c r="V37" s="129">
        <f t="shared" si="31"/>
        <v>80</v>
      </c>
      <c r="W37" s="120">
        <f t="shared" si="32"/>
        <v>48</v>
      </c>
      <c r="X37" s="121">
        <f t="shared" si="33"/>
        <v>24</v>
      </c>
      <c r="Y37" s="122">
        <f>IFERROR(VLOOKUP(AA29,بيان,11,0),0)</f>
        <v>22</v>
      </c>
      <c r="Z37" s="122">
        <f>IFERROR(VLOOKUP(AA29,بيان,12,0),0)</f>
        <v>22</v>
      </c>
      <c r="AA37" s="114"/>
      <c r="AB37" s="269" t="s">
        <v>43</v>
      </c>
      <c r="AC37" s="267"/>
      <c r="AD37" s="267"/>
      <c r="AE37" s="267"/>
      <c r="AF37" s="268"/>
      <c r="AG37" s="112"/>
      <c r="AI37" s="113"/>
      <c r="AJ37" s="133" t="str">
        <f>'الفترة الاولى'!$N$8</f>
        <v>الإنجليزي</v>
      </c>
      <c r="AK37" s="128">
        <f>'الفترة الاولى'!$P$8</f>
        <v>4</v>
      </c>
      <c r="AL37" s="129">
        <f t="shared" si="34"/>
        <v>160</v>
      </c>
      <c r="AM37" s="129">
        <f t="shared" si="35"/>
        <v>80</v>
      </c>
      <c r="AN37" s="120">
        <f t="shared" si="36"/>
        <v>48</v>
      </c>
      <c r="AO37" s="121">
        <f t="shared" si="37"/>
        <v>24</v>
      </c>
      <c r="AP37" s="122">
        <f>IFERROR(VLOOKUP(AR29,بيان,11,0),0)</f>
        <v>19</v>
      </c>
      <c r="AQ37" s="122">
        <f>IFERROR(VLOOKUP(AR29,بيان,12,0),0)</f>
        <v>19</v>
      </c>
      <c r="AR37" s="114"/>
      <c r="AS37" s="269" t="s">
        <v>43</v>
      </c>
      <c r="AT37" s="267"/>
      <c r="AU37" s="267"/>
      <c r="AV37" s="267"/>
      <c r="AW37" s="268"/>
      <c r="AX37" s="112"/>
      <c r="AY37" s="138"/>
      <c r="AZ37" s="113"/>
      <c r="BA37" s="133" t="str">
        <f>'الفترة الاولى'!$N$8</f>
        <v>الإنجليزي</v>
      </c>
      <c r="BB37" s="128">
        <f>'الفترة الاولى'!$P$8</f>
        <v>4</v>
      </c>
      <c r="BC37" s="129">
        <f t="shared" si="38"/>
        <v>160</v>
      </c>
      <c r="BD37" s="129">
        <f t="shared" si="39"/>
        <v>80</v>
      </c>
      <c r="BE37" s="120">
        <f t="shared" si="40"/>
        <v>48</v>
      </c>
      <c r="BF37" s="121">
        <f t="shared" si="41"/>
        <v>24</v>
      </c>
      <c r="BG37" s="122">
        <f>IFERROR(VLOOKUP(BI29,بيان,11,0),0)</f>
        <v>0</v>
      </c>
      <c r="BH37" s="122" t="str">
        <f>IFERROR(VLOOKUP(BI29,بيان,12,0),0)</f>
        <v>أ. فهيم عبدالمجيد بوازويتة</v>
      </c>
      <c r="BI37" s="114"/>
      <c r="BJ37" s="269" t="s">
        <v>43</v>
      </c>
      <c r="BK37" s="267"/>
      <c r="BL37" s="267"/>
      <c r="BM37" s="267"/>
      <c r="BN37" s="268"/>
      <c r="BO37" s="8"/>
    </row>
    <row r="38" spans="1:74" ht="28.95" customHeight="1" thickBot="1" x14ac:dyDescent="0.3">
      <c r="A38" s="7"/>
      <c r="B38" s="70" t="str">
        <f>'الفترة الاولى'!$Q$8</f>
        <v>الحاسوب</v>
      </c>
      <c r="C38" s="118">
        <f>'الفترة الاولى'!$S$8</f>
        <v>2</v>
      </c>
      <c r="D38" s="119">
        <f t="shared" si="26"/>
        <v>80</v>
      </c>
      <c r="E38" s="119">
        <f t="shared" si="27"/>
        <v>40</v>
      </c>
      <c r="F38" s="120">
        <f t="shared" si="28"/>
        <v>24</v>
      </c>
      <c r="G38" s="121">
        <f t="shared" si="29"/>
        <v>12</v>
      </c>
      <c r="H38" s="139">
        <f>IFERROR(VLOOKUP(J29,بيان,14,0),0)</f>
        <v>12</v>
      </c>
      <c r="I38" s="122">
        <f>IFERROR(VLOOKUP(J29,بيان,15,0),0)</f>
        <v>12</v>
      </c>
      <c r="J38" s="114"/>
      <c r="K38" s="284" t="str">
        <f>'الفترة الاولى'!$CA$16</f>
        <v>أ. فهيم عبدالمجيد بوازويتة</v>
      </c>
      <c r="L38" s="285"/>
      <c r="M38" s="285"/>
      <c r="N38" s="285"/>
      <c r="O38" s="286"/>
      <c r="P38" s="112"/>
      <c r="R38" s="113"/>
      <c r="S38" s="126" t="str">
        <f>'الفترة الاولى'!$Q$8</f>
        <v>الحاسوب</v>
      </c>
      <c r="T38" s="118">
        <f>'الفترة الاولى'!$S$8</f>
        <v>2</v>
      </c>
      <c r="U38" s="119">
        <f t="shared" si="30"/>
        <v>80</v>
      </c>
      <c r="V38" s="119">
        <f t="shared" si="31"/>
        <v>40</v>
      </c>
      <c r="W38" s="120">
        <f t="shared" si="32"/>
        <v>24</v>
      </c>
      <c r="X38" s="121">
        <f t="shared" si="33"/>
        <v>12</v>
      </c>
      <c r="Y38" s="139">
        <f>IFERROR(VLOOKUP(AA29,بيان,14,0),0)</f>
        <v>12</v>
      </c>
      <c r="Z38" s="122">
        <f>IFERROR(VLOOKUP(AA29,بيان,15,0),0)</f>
        <v>11</v>
      </c>
      <c r="AA38" s="114"/>
      <c r="AB38" s="284" t="str">
        <f>'الفترة الاولى'!$CA$16</f>
        <v>أ. فهيم عبدالمجيد بوازويتة</v>
      </c>
      <c r="AC38" s="285"/>
      <c r="AD38" s="285"/>
      <c r="AE38" s="285"/>
      <c r="AF38" s="286"/>
      <c r="AG38" s="112"/>
      <c r="AI38" s="113"/>
      <c r="AJ38" s="126" t="str">
        <f>'الفترة الاولى'!$Q$8</f>
        <v>الحاسوب</v>
      </c>
      <c r="AK38" s="118">
        <f>'الفترة الاولى'!$S$8</f>
        <v>2</v>
      </c>
      <c r="AL38" s="119">
        <f t="shared" si="34"/>
        <v>80</v>
      </c>
      <c r="AM38" s="119">
        <f t="shared" si="35"/>
        <v>40</v>
      </c>
      <c r="AN38" s="120">
        <f t="shared" si="36"/>
        <v>24</v>
      </c>
      <c r="AO38" s="121">
        <f t="shared" si="37"/>
        <v>12</v>
      </c>
      <c r="AP38" s="139">
        <f>IFERROR(VLOOKUP(AR29,بيان,14,0),0)</f>
        <v>12</v>
      </c>
      <c r="AQ38" s="122">
        <f>IFERROR(VLOOKUP(AR29,بيان,15,0),0)</f>
        <v>10</v>
      </c>
      <c r="AR38" s="114"/>
      <c r="AS38" s="284" t="str">
        <f>'الفترة الاولى'!$CA$16</f>
        <v>أ. فهيم عبدالمجيد بوازويتة</v>
      </c>
      <c r="AT38" s="285"/>
      <c r="AU38" s="285"/>
      <c r="AV38" s="285"/>
      <c r="AW38" s="286"/>
      <c r="AX38" s="112"/>
      <c r="AY38" s="138"/>
      <c r="AZ38" s="113"/>
      <c r="BA38" s="126" t="str">
        <f>'الفترة الاولى'!$Q$8</f>
        <v>الحاسوب</v>
      </c>
      <c r="BB38" s="118">
        <f>'الفترة الاولى'!$S$8</f>
        <v>2</v>
      </c>
      <c r="BC38" s="119">
        <f t="shared" si="38"/>
        <v>80</v>
      </c>
      <c r="BD38" s="119">
        <f t="shared" si="39"/>
        <v>40</v>
      </c>
      <c r="BE38" s="120">
        <f t="shared" si="40"/>
        <v>24</v>
      </c>
      <c r="BF38" s="121">
        <f t="shared" si="41"/>
        <v>12</v>
      </c>
      <c r="BG38" s="139">
        <f>IFERROR(VLOOKUP(BI29,بيان,14,0),0)</f>
        <v>0</v>
      </c>
      <c r="BH38" s="122">
        <f>IFERROR(VLOOKUP(BI29,بيان,15,0),0)</f>
        <v>0</v>
      </c>
      <c r="BI38" s="114"/>
      <c r="BJ38" s="284" t="str">
        <f>'الفترة الاولى'!$CA$16</f>
        <v>أ. فهيم عبدالمجيد بوازويتة</v>
      </c>
      <c r="BK38" s="285"/>
      <c r="BL38" s="285"/>
      <c r="BM38" s="285"/>
      <c r="BN38" s="286"/>
      <c r="BO38" s="8"/>
      <c r="BV38" s="49"/>
    </row>
    <row r="39" spans="1:74" ht="28.95" customHeight="1" thickBot="1" x14ac:dyDescent="0.3">
      <c r="A39" s="7"/>
      <c r="B39" s="71" t="str">
        <f>'الفترة الاولى'!$T$8</f>
        <v>الرياضيات</v>
      </c>
      <c r="C39" s="128">
        <f>'الفترة الاولى'!$V$8</f>
        <v>5</v>
      </c>
      <c r="D39" s="129">
        <f t="shared" si="26"/>
        <v>200</v>
      </c>
      <c r="E39" s="129">
        <f t="shared" si="27"/>
        <v>100</v>
      </c>
      <c r="F39" s="120">
        <f t="shared" si="28"/>
        <v>60</v>
      </c>
      <c r="G39" s="121">
        <f t="shared" si="29"/>
        <v>30</v>
      </c>
      <c r="H39" s="122">
        <f>IFERROR(VLOOKUP(J29,بيان,17,0),0)</f>
        <v>22</v>
      </c>
      <c r="I39" s="122">
        <f>IFERROR(VLOOKUP(J29,بيان,18,0),0)</f>
        <v>22</v>
      </c>
      <c r="J39" s="114"/>
      <c r="K39" s="140" t="s">
        <v>44</v>
      </c>
      <c r="L39" s="279">
        <f ca="1">TODAY()</f>
        <v>46181</v>
      </c>
      <c r="M39" s="279"/>
      <c r="N39" s="279"/>
      <c r="O39" s="280"/>
      <c r="P39" s="112"/>
      <c r="R39" s="113"/>
      <c r="S39" s="133" t="str">
        <f>'الفترة الاولى'!$T$8</f>
        <v>الرياضيات</v>
      </c>
      <c r="T39" s="128">
        <f>'الفترة الاولى'!$V$8</f>
        <v>5</v>
      </c>
      <c r="U39" s="129">
        <f t="shared" si="30"/>
        <v>200</v>
      </c>
      <c r="V39" s="129">
        <f t="shared" si="31"/>
        <v>100</v>
      </c>
      <c r="W39" s="120">
        <f t="shared" si="32"/>
        <v>60</v>
      </c>
      <c r="X39" s="121">
        <f t="shared" si="33"/>
        <v>30</v>
      </c>
      <c r="Y39" s="122">
        <f>IFERROR(VLOOKUP(AA29,بيان,17,0),0)</f>
        <v>12</v>
      </c>
      <c r="Z39" s="122">
        <f>IFERROR(VLOOKUP(AA29,بيان,18,0),0)</f>
        <v>20</v>
      </c>
      <c r="AA39" s="114"/>
      <c r="AB39" s="140" t="s">
        <v>44</v>
      </c>
      <c r="AC39" s="279">
        <f ca="1">TODAY()</f>
        <v>46181</v>
      </c>
      <c r="AD39" s="279"/>
      <c r="AE39" s="279"/>
      <c r="AF39" s="280"/>
      <c r="AG39" s="112"/>
      <c r="AI39" s="113"/>
      <c r="AJ39" s="133" t="str">
        <f>'الفترة الاولى'!$T$8</f>
        <v>الرياضيات</v>
      </c>
      <c r="AK39" s="128">
        <f>'الفترة الاولى'!$V$8</f>
        <v>5</v>
      </c>
      <c r="AL39" s="129">
        <f t="shared" si="34"/>
        <v>200</v>
      </c>
      <c r="AM39" s="129">
        <f t="shared" si="35"/>
        <v>100</v>
      </c>
      <c r="AN39" s="120">
        <f t="shared" si="36"/>
        <v>60</v>
      </c>
      <c r="AO39" s="121">
        <f t="shared" si="37"/>
        <v>30</v>
      </c>
      <c r="AP39" s="122">
        <f>IFERROR(VLOOKUP(AR29,بيان,17,0),0)</f>
        <v>15</v>
      </c>
      <c r="AQ39" s="122">
        <f>IFERROR(VLOOKUP(AR29,بيان,18,0),0)</f>
        <v>12</v>
      </c>
      <c r="AR39" s="114"/>
      <c r="AS39" s="140" t="s">
        <v>44</v>
      </c>
      <c r="AT39" s="279">
        <f ca="1">TODAY()</f>
        <v>46181</v>
      </c>
      <c r="AU39" s="279"/>
      <c r="AV39" s="279"/>
      <c r="AW39" s="280"/>
      <c r="AX39" s="112"/>
      <c r="AY39" s="138"/>
      <c r="AZ39" s="113"/>
      <c r="BA39" s="133" t="str">
        <f>'الفترة الاولى'!$T$8</f>
        <v>الرياضيات</v>
      </c>
      <c r="BB39" s="128">
        <f>'الفترة الاولى'!$V$8</f>
        <v>5</v>
      </c>
      <c r="BC39" s="129">
        <f t="shared" si="38"/>
        <v>200</v>
      </c>
      <c r="BD39" s="129">
        <f t="shared" si="39"/>
        <v>100</v>
      </c>
      <c r="BE39" s="120">
        <f t="shared" si="40"/>
        <v>60</v>
      </c>
      <c r="BF39" s="121">
        <f t="shared" si="41"/>
        <v>30</v>
      </c>
      <c r="BG39" s="122">
        <f>IFERROR(VLOOKUP(BI29,بيان,17,0),0)</f>
        <v>0</v>
      </c>
      <c r="BH39" s="122">
        <f>IFERROR(VLOOKUP(BI29,بيان,18,0),0)</f>
        <v>0</v>
      </c>
      <c r="BI39" s="114"/>
      <c r="BJ39" s="140" t="s">
        <v>44</v>
      </c>
      <c r="BK39" s="279">
        <f ca="1">TODAY()</f>
        <v>46181</v>
      </c>
      <c r="BL39" s="279"/>
      <c r="BM39" s="279"/>
      <c r="BN39" s="280"/>
      <c r="BO39" s="8"/>
    </row>
    <row r="40" spans="1:74" ht="28.95" customHeight="1" thickBot="1" x14ac:dyDescent="0.3">
      <c r="A40" s="7"/>
      <c r="B40" s="70" t="str">
        <f>'الفترة الاولى'!$W$8</f>
        <v>العلوم</v>
      </c>
      <c r="C40" s="118">
        <f>'الفترة الاولى'!$Y$8</f>
        <v>5</v>
      </c>
      <c r="D40" s="119">
        <f t="shared" si="26"/>
        <v>200</v>
      </c>
      <c r="E40" s="119">
        <f t="shared" si="27"/>
        <v>100</v>
      </c>
      <c r="F40" s="120">
        <f t="shared" si="28"/>
        <v>60</v>
      </c>
      <c r="G40" s="121">
        <f t="shared" si="29"/>
        <v>30</v>
      </c>
      <c r="H40" s="122">
        <f>IFERROR(VLOOKUP(J29,بيان,20,0),0)</f>
        <v>26</v>
      </c>
      <c r="I40" s="122">
        <f>IFERROR(VLOOKUP(J29,بيان,21,0),0)</f>
        <v>28</v>
      </c>
      <c r="J40" s="114"/>
      <c r="K40" s="281" t="s">
        <v>45</v>
      </c>
      <c r="L40" s="282"/>
      <c r="M40" s="282"/>
      <c r="N40" s="282"/>
      <c r="O40" s="283"/>
      <c r="P40" s="112"/>
      <c r="R40" s="113"/>
      <c r="S40" s="126" t="str">
        <f>'الفترة الاولى'!$W$8</f>
        <v>العلوم</v>
      </c>
      <c r="T40" s="118">
        <f>'الفترة الاولى'!$Y$8</f>
        <v>5</v>
      </c>
      <c r="U40" s="119">
        <f t="shared" si="30"/>
        <v>200</v>
      </c>
      <c r="V40" s="119">
        <f t="shared" si="31"/>
        <v>100</v>
      </c>
      <c r="W40" s="120">
        <f t="shared" si="32"/>
        <v>60</v>
      </c>
      <c r="X40" s="121">
        <f t="shared" si="33"/>
        <v>30</v>
      </c>
      <c r="Y40" s="122">
        <f>IFERROR(VLOOKUP(AA29,بيان,20,0),0)</f>
        <v>20</v>
      </c>
      <c r="Z40" s="122">
        <f>IFERROR(VLOOKUP(AA29,بيان,21,0),0)</f>
        <v>20</v>
      </c>
      <c r="AA40" s="114"/>
      <c r="AB40" s="281" t="s">
        <v>45</v>
      </c>
      <c r="AC40" s="282"/>
      <c r="AD40" s="282"/>
      <c r="AE40" s="282"/>
      <c r="AF40" s="283"/>
      <c r="AG40" s="112"/>
      <c r="AI40" s="113"/>
      <c r="AJ40" s="126" t="str">
        <f>'الفترة الاولى'!$W$8</f>
        <v>العلوم</v>
      </c>
      <c r="AK40" s="118">
        <f>'الفترة الاولى'!$Y$8</f>
        <v>5</v>
      </c>
      <c r="AL40" s="119">
        <f t="shared" si="34"/>
        <v>200</v>
      </c>
      <c r="AM40" s="119">
        <f t="shared" si="35"/>
        <v>100</v>
      </c>
      <c r="AN40" s="120">
        <f t="shared" si="36"/>
        <v>60</v>
      </c>
      <c r="AO40" s="121">
        <f t="shared" si="37"/>
        <v>30</v>
      </c>
      <c r="AP40" s="122">
        <f>IFERROR(VLOOKUP(AR29,بيان,20,0),0)</f>
        <v>24</v>
      </c>
      <c r="AQ40" s="122">
        <f>IFERROR(VLOOKUP(AR29,بيان,21,0),0)</f>
        <v>23</v>
      </c>
      <c r="AR40" s="114"/>
      <c r="AS40" s="281" t="s">
        <v>45</v>
      </c>
      <c r="AT40" s="282"/>
      <c r="AU40" s="282"/>
      <c r="AV40" s="282"/>
      <c r="AW40" s="283"/>
      <c r="AX40" s="112"/>
      <c r="AY40" s="138"/>
      <c r="AZ40" s="113"/>
      <c r="BA40" s="126" t="str">
        <f>'الفترة الاولى'!$W$8</f>
        <v>العلوم</v>
      </c>
      <c r="BB40" s="118">
        <f>'الفترة الاولى'!$Y$8</f>
        <v>5</v>
      </c>
      <c r="BC40" s="119">
        <f t="shared" si="38"/>
        <v>200</v>
      </c>
      <c r="BD40" s="119">
        <f t="shared" si="39"/>
        <v>100</v>
      </c>
      <c r="BE40" s="120">
        <f t="shared" si="40"/>
        <v>60</v>
      </c>
      <c r="BF40" s="121">
        <f t="shared" si="41"/>
        <v>30</v>
      </c>
      <c r="BG40" s="122">
        <f>IFERROR(VLOOKUP(BI29,بيان,20,0),0)</f>
        <v>0</v>
      </c>
      <c r="BH40" s="122">
        <f>IFERROR(VLOOKUP(BI29,بيان,21,0),0)</f>
        <v>0</v>
      </c>
      <c r="BI40" s="114"/>
      <c r="BJ40" s="281" t="s">
        <v>45</v>
      </c>
      <c r="BK40" s="282"/>
      <c r="BL40" s="282"/>
      <c r="BM40" s="282"/>
      <c r="BN40" s="283"/>
      <c r="BO40" s="8"/>
    </row>
    <row r="41" spans="1:74" ht="28.95" customHeight="1" thickBot="1" x14ac:dyDescent="0.3">
      <c r="A41" s="7"/>
      <c r="B41" s="71" t="str">
        <f>'الفترة الاولى'!$Z$8</f>
        <v>التاريخ</v>
      </c>
      <c r="C41" s="128">
        <f>'الفترة الاولى'!$AB$8</f>
        <v>2</v>
      </c>
      <c r="D41" s="129">
        <f t="shared" si="26"/>
        <v>80</v>
      </c>
      <c r="E41" s="129">
        <f t="shared" si="27"/>
        <v>40</v>
      </c>
      <c r="F41" s="120">
        <f t="shared" si="28"/>
        <v>24</v>
      </c>
      <c r="G41" s="121">
        <f t="shared" si="29"/>
        <v>12</v>
      </c>
      <c r="H41" s="122">
        <f>IFERROR(VLOOKUP(J29,بيان,23,0),0)</f>
        <v>12</v>
      </c>
      <c r="I41" s="122">
        <f>IFERROR(VLOOKUP(J29,بيان,24,0),0)</f>
        <v>11</v>
      </c>
      <c r="J41" s="114"/>
      <c r="K41" s="141" t="s">
        <v>50</v>
      </c>
      <c r="L41" s="274" t="str">
        <f>IF(I44=0,"",LOOKUP(I44,$BS$4:$BT$8))</f>
        <v>ممتاز</v>
      </c>
      <c r="M41" s="274"/>
      <c r="N41" s="274"/>
      <c r="O41" s="275"/>
      <c r="P41" s="112"/>
      <c r="R41" s="113"/>
      <c r="S41" s="133" t="str">
        <f>'الفترة الاولى'!$Z$8</f>
        <v>التاريخ</v>
      </c>
      <c r="T41" s="128">
        <f>'الفترة الاولى'!$AB$8</f>
        <v>2</v>
      </c>
      <c r="U41" s="129">
        <f t="shared" si="30"/>
        <v>80</v>
      </c>
      <c r="V41" s="129">
        <f t="shared" si="31"/>
        <v>40</v>
      </c>
      <c r="W41" s="120">
        <f t="shared" si="32"/>
        <v>24</v>
      </c>
      <c r="X41" s="121">
        <f t="shared" si="33"/>
        <v>12</v>
      </c>
      <c r="Y41" s="122">
        <f>IFERROR(VLOOKUP(AA29,بيان,23,0),0)</f>
        <v>12</v>
      </c>
      <c r="Z41" s="122">
        <f>IFERROR(VLOOKUP(AA29,بيان,24,0),0)</f>
        <v>10</v>
      </c>
      <c r="AA41" s="114"/>
      <c r="AB41" s="141" t="s">
        <v>50</v>
      </c>
      <c r="AC41" s="274" t="str">
        <f>IF(Z44=0,"",LOOKUP(Z44,$BS$4:$BT$8))</f>
        <v>جيد</v>
      </c>
      <c r="AD41" s="274"/>
      <c r="AE41" s="274"/>
      <c r="AF41" s="275"/>
      <c r="AG41" s="112"/>
      <c r="AI41" s="113"/>
      <c r="AJ41" s="133" t="str">
        <f>'الفترة الاولى'!$Z$8</f>
        <v>التاريخ</v>
      </c>
      <c r="AK41" s="128">
        <f>'الفترة الاولى'!$AB$8</f>
        <v>2</v>
      </c>
      <c r="AL41" s="129">
        <f t="shared" si="34"/>
        <v>80</v>
      </c>
      <c r="AM41" s="129">
        <f t="shared" si="35"/>
        <v>40</v>
      </c>
      <c r="AN41" s="120">
        <f t="shared" si="36"/>
        <v>24</v>
      </c>
      <c r="AO41" s="121">
        <f t="shared" si="37"/>
        <v>12</v>
      </c>
      <c r="AP41" s="122">
        <f>IFERROR(VLOOKUP(AR29,بيان,23,0),0)</f>
        <v>12</v>
      </c>
      <c r="AQ41" s="122">
        <f>IFERROR(VLOOKUP(AR29,بيان,24,0),0)</f>
        <v>10</v>
      </c>
      <c r="AR41" s="114"/>
      <c r="AS41" s="141" t="s">
        <v>50</v>
      </c>
      <c r="AT41" s="274" t="str">
        <f>IF(AQ44=0,"",LOOKUP(AQ44,$BS$4:$BT$8))</f>
        <v>جيد</v>
      </c>
      <c r="AU41" s="274"/>
      <c r="AV41" s="274"/>
      <c r="AW41" s="275"/>
      <c r="AX41" s="112"/>
      <c r="AY41" s="138"/>
      <c r="AZ41" s="113"/>
      <c r="BA41" s="133" t="str">
        <f>'الفترة الاولى'!$Z$8</f>
        <v>التاريخ</v>
      </c>
      <c r="BB41" s="128">
        <f>'الفترة الاولى'!$AB$8</f>
        <v>2</v>
      </c>
      <c r="BC41" s="129">
        <f t="shared" si="38"/>
        <v>80</v>
      </c>
      <c r="BD41" s="129">
        <f t="shared" si="39"/>
        <v>40</v>
      </c>
      <c r="BE41" s="120">
        <f t="shared" si="40"/>
        <v>24</v>
      </c>
      <c r="BF41" s="121">
        <f t="shared" si="41"/>
        <v>12</v>
      </c>
      <c r="BG41" s="122">
        <f>IFERROR(VLOOKUP(BI29,بيان,23,0),0)</f>
        <v>0</v>
      </c>
      <c r="BH41" s="122">
        <f>IFERROR(VLOOKUP(BI29,بيان,24,0),0)</f>
        <v>0</v>
      </c>
      <c r="BI41" s="114"/>
      <c r="BJ41" s="141" t="s">
        <v>50</v>
      </c>
      <c r="BK41" s="274" t="str">
        <f>IF(BH44=0,"",LOOKUP(BH44,$BS$4:$BT$8))</f>
        <v/>
      </c>
      <c r="BL41" s="274"/>
      <c r="BM41" s="274"/>
      <c r="BN41" s="275"/>
      <c r="BO41" s="8"/>
    </row>
    <row r="42" spans="1:74" ht="28.95" customHeight="1" thickBot="1" x14ac:dyDescent="0.3">
      <c r="A42" s="7"/>
      <c r="B42" s="70" t="str">
        <f>'الفترة الاولى'!$AC$8</f>
        <v>الجغرافيا</v>
      </c>
      <c r="C42" s="118">
        <f>'الفترة الاولى'!$AE$8</f>
        <v>2</v>
      </c>
      <c r="D42" s="119">
        <f t="shared" si="26"/>
        <v>80</v>
      </c>
      <c r="E42" s="119">
        <f t="shared" si="27"/>
        <v>40</v>
      </c>
      <c r="F42" s="120">
        <f>D41*0.3</f>
        <v>24</v>
      </c>
      <c r="G42" s="121">
        <f>D41*0.15</f>
        <v>12</v>
      </c>
      <c r="H42" s="122">
        <f>IFERROR(VLOOKUP(J29,بيان,26,0),0)</f>
        <v>11</v>
      </c>
      <c r="I42" s="122">
        <f>IFERROR(VLOOKUP(J29,بيان,27,0),0)</f>
        <v>12</v>
      </c>
      <c r="J42" s="114"/>
      <c r="K42" s="276" t="str">
        <f>IF(L41&lt;&gt;"ضعيف","","يحتاج الى اهتمام في المواد ")</f>
        <v/>
      </c>
      <c r="L42" s="277"/>
      <c r="M42" s="277"/>
      <c r="N42" s="277"/>
      <c r="O42" s="278"/>
      <c r="P42" s="112"/>
      <c r="R42" s="113"/>
      <c r="S42" s="126" t="str">
        <f>'الفترة الاولى'!$AC$8</f>
        <v>الجغرافيا</v>
      </c>
      <c r="T42" s="118">
        <f>'الفترة الاولى'!$AE$8</f>
        <v>2</v>
      </c>
      <c r="U42" s="119">
        <f t="shared" si="30"/>
        <v>80</v>
      </c>
      <c r="V42" s="119">
        <f t="shared" si="31"/>
        <v>40</v>
      </c>
      <c r="W42" s="120">
        <f>U42*0.3</f>
        <v>24</v>
      </c>
      <c r="X42" s="121">
        <f>U42*0.15</f>
        <v>12</v>
      </c>
      <c r="Y42" s="122">
        <f>IFERROR(VLOOKUP(AA29,بيان,26,0),0)</f>
        <v>10</v>
      </c>
      <c r="Z42" s="122">
        <f>IFERROR(VLOOKUP(AA29,بيان,27,0),0)</f>
        <v>11</v>
      </c>
      <c r="AA42" s="114"/>
      <c r="AB42" s="276" t="str">
        <f>IF(AC41&lt;&gt;"ضعيف","","يحتاج الى اهتمام في المواد ")</f>
        <v/>
      </c>
      <c r="AC42" s="277"/>
      <c r="AD42" s="277"/>
      <c r="AE42" s="277"/>
      <c r="AF42" s="278"/>
      <c r="AG42" s="112"/>
      <c r="AI42" s="113"/>
      <c r="AJ42" s="126" t="str">
        <f>'الفترة الاولى'!$AC$8</f>
        <v>الجغرافيا</v>
      </c>
      <c r="AK42" s="118">
        <f>'الفترة الاولى'!$AE$8</f>
        <v>2</v>
      </c>
      <c r="AL42" s="119">
        <f t="shared" si="34"/>
        <v>80</v>
      </c>
      <c r="AM42" s="119">
        <f t="shared" si="35"/>
        <v>40</v>
      </c>
      <c r="AN42" s="120">
        <f t="shared" ref="AN42:AN43" si="42">AL42*0.6</f>
        <v>48</v>
      </c>
      <c r="AO42" s="121">
        <f t="shared" ref="AO42:AO43" si="43">AL42*0.3</f>
        <v>24</v>
      </c>
      <c r="AP42" s="122">
        <f>IFERROR(VLOOKUP(AR29,بيان,26,0),0)</f>
        <v>11</v>
      </c>
      <c r="AQ42" s="122">
        <f>IFERROR(VLOOKUP(AR29,بيان,27,0),0)</f>
        <v>9</v>
      </c>
      <c r="AR42" s="114"/>
      <c r="AS42" s="276" t="str">
        <f>IF(AT41&lt;&gt;"ضعيف","","يحتاج الى اهتمام في المواد ")</f>
        <v/>
      </c>
      <c r="AT42" s="277"/>
      <c r="AU42" s="277"/>
      <c r="AV42" s="277"/>
      <c r="AW42" s="278"/>
      <c r="AX42" s="112"/>
      <c r="AY42" s="138"/>
      <c r="AZ42" s="113"/>
      <c r="BA42" s="126" t="str">
        <f>'الفترة الاولى'!$AC$8</f>
        <v>الجغرافيا</v>
      </c>
      <c r="BB42" s="118">
        <f>'الفترة الاولى'!$AE$8</f>
        <v>2</v>
      </c>
      <c r="BC42" s="119">
        <f t="shared" si="38"/>
        <v>80</v>
      </c>
      <c r="BD42" s="119">
        <f t="shared" si="39"/>
        <v>40</v>
      </c>
      <c r="BE42" s="120">
        <f t="shared" ref="BE42:BE43" si="44">BC42*0.6</f>
        <v>48</v>
      </c>
      <c r="BF42" s="121">
        <f t="shared" ref="BF42:BF43" si="45">BC42*0.3</f>
        <v>24</v>
      </c>
      <c r="BG42" s="122">
        <f>IFERROR(VLOOKUP(BI29,بيان,26,0),0)</f>
        <v>0</v>
      </c>
      <c r="BH42" s="122">
        <f>IFERROR(VLOOKUP(BI29,بيان,27,0),0)</f>
        <v>0</v>
      </c>
      <c r="BI42" s="114"/>
      <c r="BJ42" s="276" t="str">
        <f>IF(BK41&lt;&gt;"ضعيف","","يحتاج الى اهتمام في المواد ")</f>
        <v/>
      </c>
      <c r="BK42" s="277"/>
      <c r="BL42" s="277"/>
      <c r="BM42" s="277"/>
      <c r="BN42" s="278"/>
      <c r="BO42" s="8"/>
    </row>
    <row r="43" spans="1:74" ht="28.95" customHeight="1" thickBot="1" x14ac:dyDescent="0.3">
      <c r="A43" s="7"/>
      <c r="B43" s="70">
        <f>'الفترة الاولى'!$AF$8</f>
        <v>0</v>
      </c>
      <c r="C43" s="118">
        <f>'الفترة الاولى'!$AH$8</f>
        <v>0</v>
      </c>
      <c r="D43" s="119">
        <f t="shared" si="26"/>
        <v>0</v>
      </c>
      <c r="E43" s="119">
        <f t="shared" si="27"/>
        <v>0</v>
      </c>
      <c r="F43" s="120">
        <f t="shared" ref="F43" si="46">D43*0.6</f>
        <v>0</v>
      </c>
      <c r="G43" s="121">
        <f t="shared" ref="G43" si="47">D43*0.3</f>
        <v>0</v>
      </c>
      <c r="H43" s="122">
        <f>IFERROR(VLOOKUP(J29,بيان,29,0),0)</f>
        <v>0</v>
      </c>
      <c r="I43" s="122">
        <f>IFERROR(VLOOKUP(J29,بيان,30,0),0)</f>
        <v>0</v>
      </c>
      <c r="J43" s="114"/>
      <c r="K43" s="142" t="str">
        <f>IF(I34=0,"",IF(I34&lt;G34/2,B34,""))</f>
        <v/>
      </c>
      <c r="L43" s="143" t="str">
        <f>IF(I35=0,"",IF(I35&lt;G35/2,B35,""))</f>
        <v/>
      </c>
      <c r="M43" s="143" t="str">
        <f>IF(I36=0,"",IF(I36&lt;G36/2,B36,""))</f>
        <v/>
      </c>
      <c r="N43" s="143" t="str">
        <f>IF(I37=0,"",IF(I37&lt;G37/2,B37,""))</f>
        <v/>
      </c>
      <c r="O43" s="144" t="str">
        <f>IF(I38=0,"",IF(I38&lt;G38/2,B38,""))</f>
        <v/>
      </c>
      <c r="P43" s="112"/>
      <c r="R43" s="113"/>
      <c r="S43" s="126">
        <f>'الفترة الاولى'!$AF$8</f>
        <v>0</v>
      </c>
      <c r="T43" s="118">
        <f>'الفترة الاولى'!$AH$8</f>
        <v>0</v>
      </c>
      <c r="U43" s="119">
        <f t="shared" si="30"/>
        <v>0</v>
      </c>
      <c r="V43" s="119">
        <f t="shared" si="31"/>
        <v>0</v>
      </c>
      <c r="W43" s="120">
        <f t="shared" ref="W43" si="48">U43*0.6</f>
        <v>0</v>
      </c>
      <c r="X43" s="121">
        <f t="shared" ref="X43" si="49">U43*0.3</f>
        <v>0</v>
      </c>
      <c r="Y43" s="122">
        <f>IFERROR(VLOOKUP(AA29,بيان,29,0),0)</f>
        <v>0</v>
      </c>
      <c r="Z43" s="122">
        <f>IFERROR(VLOOKUP(AA29,بيان,30,0),0)</f>
        <v>0</v>
      </c>
      <c r="AA43" s="114"/>
      <c r="AB43" s="142" t="str">
        <f>IF(Z34=0,"",IF(Z34&lt;X34/2,S34,""))</f>
        <v/>
      </c>
      <c r="AC43" s="143" t="str">
        <f>IF(Z35=0,"",IF(Z35&lt;X35/2,S35,""))</f>
        <v/>
      </c>
      <c r="AD43" s="143" t="str">
        <f>IF(Z36=0,"",IF(Z36&lt;X36/2,S36,""))</f>
        <v/>
      </c>
      <c r="AE43" s="143" t="str">
        <f>IF(Z37=0,"",IF(Z37&lt;X37/2,S37,""))</f>
        <v/>
      </c>
      <c r="AF43" s="144" t="str">
        <f>IF(Z38=0,"",IF(Z38&lt;X38/2,S38,""))</f>
        <v/>
      </c>
      <c r="AG43" s="112"/>
      <c r="AI43" s="113"/>
      <c r="AJ43" s="126">
        <f>'الفترة الاولى'!$AF$8</f>
        <v>0</v>
      </c>
      <c r="AK43" s="118">
        <f>'الفترة الاولى'!$AH$8</f>
        <v>0</v>
      </c>
      <c r="AL43" s="119">
        <f t="shared" si="34"/>
        <v>0</v>
      </c>
      <c r="AM43" s="119">
        <f t="shared" si="35"/>
        <v>0</v>
      </c>
      <c r="AN43" s="120">
        <f t="shared" si="42"/>
        <v>0</v>
      </c>
      <c r="AO43" s="121">
        <f t="shared" si="43"/>
        <v>0</v>
      </c>
      <c r="AP43" s="122">
        <f>IFERROR(VLOOKUP(AR29,بيان,29,0),0)</f>
        <v>0</v>
      </c>
      <c r="AQ43" s="122">
        <f>IFERROR(VLOOKUP(AR29,بيان,30,0),0)</f>
        <v>0</v>
      </c>
      <c r="AR43" s="114"/>
      <c r="AS43" s="142" t="str">
        <f>IF(AQ34=0,"",IF(AQ34&lt;AO34/2,AJ34,""))</f>
        <v/>
      </c>
      <c r="AT43" s="143" t="str">
        <f>IF(AQ35=0,"",IF(AQ35&lt;AO35/2,AJ35,""))</f>
        <v/>
      </c>
      <c r="AU43" s="143" t="str">
        <f>IF(AQ36=0,"",IF(AQ36&lt;AO36/2,AJ36,""))</f>
        <v/>
      </c>
      <c r="AV43" s="143" t="str">
        <f>IF(AQ37=0,"",IF(AQ37&lt;AO37/2,AJ37,""))</f>
        <v/>
      </c>
      <c r="AW43" s="144" t="str">
        <f>IF(AQ38=0,"",IF(AQ38&lt;AO38/2,AJ38,""))</f>
        <v/>
      </c>
      <c r="AX43" s="112"/>
      <c r="AY43" s="138"/>
      <c r="AZ43" s="113"/>
      <c r="BA43" s="126">
        <f>'الفترة الاولى'!$AF$8</f>
        <v>0</v>
      </c>
      <c r="BB43" s="118">
        <f>'الفترة الاولى'!$AH$8</f>
        <v>0</v>
      </c>
      <c r="BC43" s="119">
        <f t="shared" si="38"/>
        <v>0</v>
      </c>
      <c r="BD43" s="119">
        <f t="shared" si="39"/>
        <v>0</v>
      </c>
      <c r="BE43" s="120">
        <f t="shared" si="44"/>
        <v>0</v>
      </c>
      <c r="BF43" s="121">
        <f t="shared" si="45"/>
        <v>0</v>
      </c>
      <c r="BG43" s="122" t="str">
        <f>IFERROR(VLOOKUP(BI29,بيان,29,0),0)</f>
        <v xml:space="preserve"> </v>
      </c>
      <c r="BH43" s="122">
        <f>IFERROR(VLOOKUP(BI29,بيان,30,0),0)</f>
        <v>0</v>
      </c>
      <c r="BI43" s="114"/>
      <c r="BJ43" s="142" t="str">
        <f>IF(BH34=0,"",IF(BH34&lt;BF34/2,BA34,""))</f>
        <v/>
      </c>
      <c r="BK43" s="143" t="str">
        <f>IF(BH35=0,"",IF(BH35&lt;BF35/2,BA35,""))</f>
        <v/>
      </c>
      <c r="BL43" s="143" t="str">
        <f>IF(BH36=0,"",IF(BH36&lt;BF36/2,BA36,""))</f>
        <v/>
      </c>
      <c r="BM43" s="143" t="str">
        <f>IF(BH37=0,"",IF(BH37&lt;BF37/2,BA37,""))</f>
        <v/>
      </c>
      <c r="BN43" s="144" t="str">
        <f>IF(BH38=0,"",IF(BH38&lt;BF38/2,BA38,""))</f>
        <v/>
      </c>
      <c r="BO43" s="8"/>
    </row>
    <row r="44" spans="1:74" ht="28.95" customHeight="1" thickBot="1" x14ac:dyDescent="0.3">
      <c r="A44" s="7"/>
      <c r="B44" s="58" t="s">
        <v>9</v>
      </c>
      <c r="C44" s="145"/>
      <c r="D44" s="146">
        <f>SUM(D34:D43)</f>
        <v>1120</v>
      </c>
      <c r="E44" s="119">
        <f t="shared" si="27"/>
        <v>560</v>
      </c>
      <c r="F44" s="120"/>
      <c r="G44" s="121">
        <f>SUM(G34:G43)</f>
        <v>168</v>
      </c>
      <c r="H44" s="122">
        <f>SUM(H34:H43)</f>
        <v>151</v>
      </c>
      <c r="I44" s="122">
        <f>SUM(I34:I43)</f>
        <v>154</v>
      </c>
      <c r="J44" s="114"/>
      <c r="K44" s="142" t="str">
        <f>IF(I39=0,"",IF(I39&lt;G39/2,B39,""))</f>
        <v/>
      </c>
      <c r="L44" s="143" t="str">
        <f>IF(I40=0,"",IF(I40&lt;G40/2,B40,""))</f>
        <v/>
      </c>
      <c r="M44" s="143" t="str">
        <f>IF(I41=0,"",IF(I41&lt;G41/2,B41,""))</f>
        <v/>
      </c>
      <c r="N44" s="143" t="str">
        <f>IF(I42=0,"",IF(I42&lt;G42/2,B42,""))</f>
        <v/>
      </c>
      <c r="O44" s="144" t="str">
        <f>IF(I43=0,"",IF(I43&lt;G43/2,B43,""))</f>
        <v/>
      </c>
      <c r="P44" s="112"/>
      <c r="R44" s="113"/>
      <c r="S44" s="58" t="s">
        <v>9</v>
      </c>
      <c r="T44" s="145"/>
      <c r="U44" s="146">
        <f>SUM(U34:U43)</f>
        <v>1120</v>
      </c>
      <c r="V44" s="119">
        <f t="shared" si="31"/>
        <v>560</v>
      </c>
      <c r="W44" s="120"/>
      <c r="X44" s="121">
        <f>SUM(X34:X43)</f>
        <v>168</v>
      </c>
      <c r="Y44" s="122">
        <f>SUM(Y34:Y43)</f>
        <v>123</v>
      </c>
      <c r="Z44" s="122">
        <f>SUM(Z34:Z43)</f>
        <v>124</v>
      </c>
      <c r="AA44" s="114"/>
      <c r="AB44" s="142" t="str">
        <f>IF(Z39=0,"",IF(Z39&lt;X39/2,S39,""))</f>
        <v/>
      </c>
      <c r="AC44" s="143" t="str">
        <f>IF(Z40=0,"",IF(Z40&lt;X40/2,S40,""))</f>
        <v/>
      </c>
      <c r="AD44" s="143" t="str">
        <f>IF(Z41=0,"",IF(Z41&lt;X41/2,S41,""))</f>
        <v/>
      </c>
      <c r="AE44" s="143" t="str">
        <f>IF(Z42=0,"",IF(Z42&lt;X42/2,S42,""))</f>
        <v/>
      </c>
      <c r="AF44" s="144" t="str">
        <f>IF(Z43=0,"",IF(Z43&lt;X43/2,S43,""))</f>
        <v/>
      </c>
      <c r="AG44" s="112"/>
      <c r="AI44" s="113"/>
      <c r="AJ44" s="58" t="s">
        <v>9</v>
      </c>
      <c r="AK44" s="145"/>
      <c r="AL44" s="146">
        <f>SUM(AL34:AL43)</f>
        <v>1120</v>
      </c>
      <c r="AM44" s="119">
        <f t="shared" si="35"/>
        <v>560</v>
      </c>
      <c r="AN44" s="120"/>
      <c r="AO44" s="121">
        <f>SUM(AO34:AO43)</f>
        <v>180</v>
      </c>
      <c r="AP44" s="122">
        <f>SUM(AP34:AP43)</f>
        <v>128</v>
      </c>
      <c r="AQ44" s="122">
        <f>SUM(AQ34:AQ43)</f>
        <v>120</v>
      </c>
      <c r="AR44" s="114"/>
      <c r="AS44" s="142" t="str">
        <f>IF(AQ39=0,"",IF(AQ39&lt;AO39/2,AJ39,""))</f>
        <v>الرياضيات</v>
      </c>
      <c r="AT44" s="143" t="str">
        <f>IF(AQ40=0,"",IF(AQ40&lt;AO40/2,AJ40,""))</f>
        <v/>
      </c>
      <c r="AU44" s="143" t="str">
        <f>IF(AQ41=0,"",IF(AQ41&lt;AO41/2,AJ41,""))</f>
        <v/>
      </c>
      <c r="AV44" s="143" t="str">
        <f>IF(AQ42=0,"",IF(AQ42&lt;AO42/2,AJ42,""))</f>
        <v>الجغرافيا</v>
      </c>
      <c r="AW44" s="144" t="str">
        <f>IF(AQ43=0,"",IF(AQ43&lt;AO43/2,AJ43,""))</f>
        <v/>
      </c>
      <c r="AX44" s="112"/>
      <c r="AY44" s="138"/>
      <c r="AZ44" s="113"/>
      <c r="BA44" s="58" t="s">
        <v>9</v>
      </c>
      <c r="BB44" s="145"/>
      <c r="BC44" s="146">
        <f>SUM(BC34:BC43)</f>
        <v>1120</v>
      </c>
      <c r="BD44" s="119">
        <f t="shared" si="39"/>
        <v>560</v>
      </c>
      <c r="BE44" s="120"/>
      <c r="BF44" s="121">
        <f>SUM(BF34:BF43)</f>
        <v>180</v>
      </c>
      <c r="BG44" s="122">
        <f>SUM(BG34:BG43)</f>
        <v>0</v>
      </c>
      <c r="BH44" s="122">
        <f>SUM(BH34:BH43)</f>
        <v>0</v>
      </c>
      <c r="BI44" s="114"/>
      <c r="BJ44" s="142" t="str">
        <f>IF(BH39=0,"",IF(BH39&lt;BF39/2,BA39,""))</f>
        <v/>
      </c>
      <c r="BK44" s="143" t="str">
        <f>IF(BH40=0,"",IF(BH40&lt;BF40/2,BA40,""))</f>
        <v/>
      </c>
      <c r="BL44" s="143" t="str">
        <f>IF(BH41=0,"",IF(BH41&lt;BF41/2,BA41,""))</f>
        <v/>
      </c>
      <c r="BM44" s="143" t="str">
        <f>IF(BH42=0,"",IF(BH42&lt;BF42/2,BA42,""))</f>
        <v/>
      </c>
      <c r="BN44" s="144" t="str">
        <f>IF(BH43=0,"",IF(BH43&lt;BF43/2,BA43,""))</f>
        <v/>
      </c>
      <c r="BO44" s="8"/>
    </row>
    <row r="45" spans="1:74" ht="19.95" customHeight="1" x14ac:dyDescent="0.25">
      <c r="A45" s="7"/>
      <c r="C45" s="114"/>
      <c r="F45" s="114"/>
      <c r="G45" s="114"/>
      <c r="H45" s="114"/>
      <c r="I45" s="114"/>
      <c r="J45" s="114"/>
      <c r="K45" s="148"/>
      <c r="L45" s="148"/>
      <c r="M45" s="148"/>
      <c r="N45" s="148"/>
      <c r="O45" s="148"/>
      <c r="P45" s="112"/>
      <c r="R45" s="113"/>
      <c r="T45" s="114"/>
      <c r="W45" s="114"/>
      <c r="X45" s="114"/>
      <c r="Y45" s="114"/>
      <c r="Z45" s="114"/>
      <c r="AA45" s="114"/>
      <c r="AB45" s="148"/>
      <c r="AC45" s="148"/>
      <c r="AD45" s="148"/>
      <c r="AE45" s="148"/>
      <c r="AF45" s="148"/>
      <c r="AG45" s="112"/>
      <c r="AI45" s="113"/>
      <c r="AK45" s="114"/>
      <c r="AN45" s="114"/>
      <c r="AO45" s="114"/>
      <c r="AP45" s="114"/>
      <c r="AQ45" s="114"/>
      <c r="AR45" s="114"/>
      <c r="AS45" s="148"/>
      <c r="AT45" s="148"/>
      <c r="AU45" s="148"/>
      <c r="AV45" s="148"/>
      <c r="AW45" s="148"/>
      <c r="AX45" s="112"/>
      <c r="AY45" s="138"/>
      <c r="AZ45" s="113"/>
      <c r="BB45" s="114"/>
      <c r="BE45" s="114"/>
      <c r="BF45" s="114"/>
      <c r="BG45" s="114"/>
      <c r="BH45" s="114"/>
      <c r="BI45" s="114"/>
      <c r="BJ45" s="148"/>
      <c r="BK45" s="148"/>
      <c r="BL45" s="148"/>
      <c r="BM45" s="148"/>
      <c r="BN45" s="148"/>
      <c r="BO45" s="8"/>
    </row>
    <row r="46" spans="1:74" ht="14.25" customHeight="1" thickBot="1" x14ac:dyDescent="0.3">
      <c r="A46" s="7"/>
      <c r="B46" s="270" t="s">
        <v>39</v>
      </c>
      <c r="C46" s="260" t="s">
        <v>40</v>
      </c>
      <c r="D46" s="260"/>
      <c r="E46" s="260"/>
      <c r="F46" s="260"/>
      <c r="G46" s="260"/>
      <c r="H46" s="260"/>
      <c r="I46" s="260"/>
      <c r="J46" s="114"/>
      <c r="K46" s="114"/>
      <c r="P46" s="112"/>
      <c r="R46" s="113"/>
      <c r="S46" s="270" t="s">
        <v>39</v>
      </c>
      <c r="T46" s="260" t="s">
        <v>40</v>
      </c>
      <c r="U46" s="260"/>
      <c r="V46" s="260"/>
      <c r="W46" s="260"/>
      <c r="X46" s="260"/>
      <c r="Y46" s="260"/>
      <c r="Z46" s="260"/>
      <c r="AA46" s="114"/>
      <c r="AB46" s="114"/>
      <c r="AG46" s="112"/>
      <c r="AI46" s="113"/>
      <c r="AJ46" s="270" t="s">
        <v>39</v>
      </c>
      <c r="AK46" s="260" t="s">
        <v>40</v>
      </c>
      <c r="AL46" s="260"/>
      <c r="AM46" s="260"/>
      <c r="AN46" s="260"/>
      <c r="AO46" s="260"/>
      <c r="AP46" s="260"/>
      <c r="AQ46" s="260"/>
      <c r="AR46" s="114"/>
      <c r="AS46" s="114"/>
      <c r="AX46" s="112"/>
      <c r="AY46" s="138"/>
      <c r="AZ46" s="113"/>
      <c r="BA46" s="270" t="s">
        <v>39</v>
      </c>
      <c r="BB46" s="260" t="s">
        <v>40</v>
      </c>
      <c r="BC46" s="260"/>
      <c r="BD46" s="260"/>
      <c r="BE46" s="260"/>
      <c r="BF46" s="260"/>
      <c r="BG46" s="260"/>
      <c r="BH46" s="260"/>
      <c r="BI46" s="114"/>
      <c r="BJ46" s="114"/>
      <c r="BO46" s="8"/>
    </row>
    <row r="47" spans="1:74" ht="14.25" customHeight="1" x14ac:dyDescent="0.25">
      <c r="A47" s="7"/>
      <c r="B47" s="270"/>
      <c r="C47" s="260" t="s">
        <v>41</v>
      </c>
      <c r="D47" s="260"/>
      <c r="E47" s="260"/>
      <c r="F47" s="260"/>
      <c r="G47" s="260"/>
      <c r="H47" s="260"/>
      <c r="I47" s="260"/>
      <c r="J47" s="114"/>
      <c r="K47" s="271" t="s">
        <v>36</v>
      </c>
      <c r="L47" s="272"/>
      <c r="M47" s="272"/>
      <c r="N47" s="273"/>
      <c r="P47" s="112"/>
      <c r="R47" s="113"/>
      <c r="S47" s="270"/>
      <c r="T47" s="260" t="s">
        <v>41</v>
      </c>
      <c r="U47" s="260"/>
      <c r="V47" s="260"/>
      <c r="W47" s="260"/>
      <c r="X47" s="260"/>
      <c r="Y47" s="260"/>
      <c r="Z47" s="260"/>
      <c r="AA47" s="114"/>
      <c r="AB47" s="271" t="s">
        <v>36</v>
      </c>
      <c r="AC47" s="272"/>
      <c r="AD47" s="272"/>
      <c r="AE47" s="273"/>
      <c r="AG47" s="112"/>
      <c r="AI47" s="113"/>
      <c r="AJ47" s="270"/>
      <c r="AK47" s="260" t="s">
        <v>41</v>
      </c>
      <c r="AL47" s="260"/>
      <c r="AM47" s="260"/>
      <c r="AN47" s="260"/>
      <c r="AO47" s="260"/>
      <c r="AP47" s="260"/>
      <c r="AQ47" s="260"/>
      <c r="AR47" s="114"/>
      <c r="AS47" s="271" t="s">
        <v>36</v>
      </c>
      <c r="AT47" s="272"/>
      <c r="AU47" s="272"/>
      <c r="AV47" s="273"/>
      <c r="AX47" s="112"/>
      <c r="AY47" s="138"/>
      <c r="AZ47" s="113"/>
      <c r="BA47" s="270"/>
      <c r="BB47" s="260" t="s">
        <v>41</v>
      </c>
      <c r="BC47" s="260"/>
      <c r="BD47" s="260"/>
      <c r="BE47" s="260"/>
      <c r="BF47" s="260"/>
      <c r="BG47" s="260"/>
      <c r="BH47" s="260"/>
      <c r="BI47" s="114"/>
      <c r="BJ47" s="271" t="s">
        <v>36</v>
      </c>
      <c r="BK47" s="272"/>
      <c r="BL47" s="272"/>
      <c r="BM47" s="273"/>
      <c r="BO47" s="8"/>
    </row>
    <row r="48" spans="1:74" ht="12" customHeight="1" thickBot="1" x14ac:dyDescent="0.3">
      <c r="A48" s="7"/>
      <c r="C48" s="114"/>
      <c r="F48" s="114"/>
      <c r="G48" s="114"/>
      <c r="H48" s="114"/>
      <c r="I48" s="114"/>
      <c r="J48" s="114"/>
      <c r="K48" s="266" t="s">
        <v>37</v>
      </c>
      <c r="L48" s="267"/>
      <c r="M48" s="267"/>
      <c r="N48" s="268"/>
      <c r="P48" s="112"/>
      <c r="R48" s="113"/>
      <c r="T48" s="114"/>
      <c r="W48" s="114"/>
      <c r="X48" s="114"/>
      <c r="Y48" s="114"/>
      <c r="Z48" s="114"/>
      <c r="AA48" s="114"/>
      <c r="AB48" s="266" t="s">
        <v>112</v>
      </c>
      <c r="AC48" s="267"/>
      <c r="AD48" s="267"/>
      <c r="AE48" s="268"/>
      <c r="AG48" s="112"/>
      <c r="AI48" s="113"/>
      <c r="AK48" s="114"/>
      <c r="AN48" s="114"/>
      <c r="AO48" s="114"/>
      <c r="AP48" s="114"/>
      <c r="AQ48" s="114"/>
      <c r="AR48" s="114"/>
      <c r="AS48" s="266" t="s">
        <v>37</v>
      </c>
      <c r="AT48" s="267"/>
      <c r="AU48" s="267"/>
      <c r="AV48" s="268"/>
      <c r="AX48" s="112"/>
      <c r="AY48" s="138"/>
      <c r="AZ48" s="113"/>
      <c r="BB48" s="114"/>
      <c r="BE48" s="114"/>
      <c r="BF48" s="114"/>
      <c r="BG48" s="114"/>
      <c r="BH48" s="114"/>
      <c r="BI48" s="114"/>
      <c r="BJ48" s="266" t="s">
        <v>37</v>
      </c>
      <c r="BK48" s="267"/>
      <c r="BL48" s="267"/>
      <c r="BM48" s="268"/>
      <c r="BO48" s="8"/>
    </row>
    <row r="49" spans="1:74" ht="20.100000000000001" customHeight="1" x14ac:dyDescent="0.25">
      <c r="A49" s="7"/>
      <c r="B49" s="262" t="s">
        <v>30</v>
      </c>
      <c r="C49" s="263"/>
      <c r="D49" s="264" t="s">
        <v>29</v>
      </c>
      <c r="E49" s="264"/>
      <c r="F49" s="264"/>
      <c r="G49" s="264" t="s">
        <v>31</v>
      </c>
      <c r="H49" s="264"/>
      <c r="I49" s="264"/>
      <c r="J49" s="114"/>
      <c r="K49" s="269"/>
      <c r="L49" s="267"/>
      <c r="M49" s="267"/>
      <c r="N49" s="268"/>
      <c r="O49" s="149"/>
      <c r="P49" s="112"/>
      <c r="R49" s="113"/>
      <c r="S49" s="265" t="s">
        <v>30</v>
      </c>
      <c r="T49" s="264"/>
      <c r="U49" s="264" t="s">
        <v>29</v>
      </c>
      <c r="V49" s="264"/>
      <c r="W49" s="264"/>
      <c r="X49" s="264" t="s">
        <v>31</v>
      </c>
      <c r="Y49" s="264"/>
      <c r="Z49" s="264"/>
      <c r="AA49" s="114"/>
      <c r="AB49" s="269"/>
      <c r="AC49" s="267"/>
      <c r="AD49" s="267"/>
      <c r="AE49" s="268"/>
      <c r="AF49" s="149"/>
      <c r="AG49" s="112"/>
      <c r="AH49" s="150"/>
      <c r="AI49" s="113"/>
      <c r="AJ49" s="265" t="s">
        <v>30</v>
      </c>
      <c r="AK49" s="264"/>
      <c r="AL49" s="264" t="s">
        <v>29</v>
      </c>
      <c r="AM49" s="264"/>
      <c r="AN49" s="264"/>
      <c r="AO49" s="264" t="s">
        <v>31</v>
      </c>
      <c r="AP49" s="264"/>
      <c r="AQ49" s="264"/>
      <c r="AR49" s="114"/>
      <c r="AS49" s="269"/>
      <c r="AT49" s="267"/>
      <c r="AU49" s="267"/>
      <c r="AV49" s="268"/>
      <c r="AW49" s="149"/>
      <c r="AX49" s="112"/>
      <c r="AY49" s="138"/>
      <c r="AZ49" s="113"/>
      <c r="BA49" s="265" t="s">
        <v>30</v>
      </c>
      <c r="BB49" s="264"/>
      <c r="BC49" s="264" t="s">
        <v>29</v>
      </c>
      <c r="BD49" s="264"/>
      <c r="BE49" s="264"/>
      <c r="BF49" s="264" t="s">
        <v>31</v>
      </c>
      <c r="BG49" s="264"/>
      <c r="BH49" s="264"/>
      <c r="BI49" s="114"/>
      <c r="BJ49" s="269"/>
      <c r="BK49" s="267"/>
      <c r="BL49" s="267"/>
      <c r="BM49" s="268"/>
      <c r="BN49" s="149"/>
      <c r="BO49" s="8"/>
    </row>
    <row r="50" spans="1:74" ht="16.2" customHeight="1" x14ac:dyDescent="0.25">
      <c r="A50" s="7"/>
      <c r="B50" s="258" t="s">
        <v>32</v>
      </c>
      <c r="C50" s="259"/>
      <c r="D50" s="260"/>
      <c r="E50" s="260"/>
      <c r="F50" s="260"/>
      <c r="G50" s="260"/>
      <c r="H50" s="260"/>
      <c r="I50" s="260"/>
      <c r="J50" s="114"/>
      <c r="K50" s="252" t="s">
        <v>38</v>
      </c>
      <c r="L50" s="253"/>
      <c r="M50" s="253"/>
      <c r="N50" s="254"/>
      <c r="O50" s="114"/>
      <c r="P50" s="112"/>
      <c r="R50" s="113"/>
      <c r="S50" s="261" t="s">
        <v>32</v>
      </c>
      <c r="T50" s="260"/>
      <c r="U50" s="260"/>
      <c r="V50" s="260"/>
      <c r="W50" s="260"/>
      <c r="X50" s="260"/>
      <c r="Y50" s="260"/>
      <c r="Z50" s="260"/>
      <c r="AA50" s="114"/>
      <c r="AB50" s="252" t="s">
        <v>38</v>
      </c>
      <c r="AC50" s="253"/>
      <c r="AD50" s="253"/>
      <c r="AE50" s="254"/>
      <c r="AF50" s="114"/>
      <c r="AG50" s="112"/>
      <c r="AH50" s="150"/>
      <c r="AI50" s="113"/>
      <c r="AJ50" s="261" t="s">
        <v>32</v>
      </c>
      <c r="AK50" s="260"/>
      <c r="AL50" s="260"/>
      <c r="AM50" s="260"/>
      <c r="AN50" s="260"/>
      <c r="AO50" s="260"/>
      <c r="AP50" s="260"/>
      <c r="AQ50" s="260"/>
      <c r="AR50" s="114"/>
      <c r="AS50" s="252" t="s">
        <v>38</v>
      </c>
      <c r="AT50" s="253"/>
      <c r="AU50" s="253"/>
      <c r="AV50" s="254"/>
      <c r="AW50" s="114"/>
      <c r="AX50" s="112"/>
      <c r="AY50" s="138"/>
      <c r="AZ50" s="113"/>
      <c r="BA50" s="261" t="s">
        <v>32</v>
      </c>
      <c r="BB50" s="260"/>
      <c r="BC50" s="260"/>
      <c r="BD50" s="260"/>
      <c r="BE50" s="260"/>
      <c r="BF50" s="260"/>
      <c r="BG50" s="260"/>
      <c r="BH50" s="260"/>
      <c r="BI50" s="114"/>
      <c r="BJ50" s="252" t="s">
        <v>38</v>
      </c>
      <c r="BK50" s="253"/>
      <c r="BL50" s="253"/>
      <c r="BM50" s="254"/>
      <c r="BN50" s="114"/>
      <c r="BO50" s="8"/>
    </row>
    <row r="51" spans="1:74" ht="16.2" customHeight="1" thickBot="1" x14ac:dyDescent="0.3">
      <c r="A51" s="7"/>
      <c r="B51" s="258" t="s">
        <v>33</v>
      </c>
      <c r="C51" s="259"/>
      <c r="D51" s="260"/>
      <c r="E51" s="260"/>
      <c r="F51" s="260"/>
      <c r="G51" s="260"/>
      <c r="H51" s="260"/>
      <c r="I51" s="260"/>
      <c r="J51" s="114"/>
      <c r="K51" s="255"/>
      <c r="L51" s="256"/>
      <c r="M51" s="256"/>
      <c r="N51" s="257"/>
      <c r="P51" s="112"/>
      <c r="R51" s="113"/>
      <c r="S51" s="261" t="s">
        <v>33</v>
      </c>
      <c r="T51" s="260"/>
      <c r="U51" s="260"/>
      <c r="V51" s="260"/>
      <c r="W51" s="260"/>
      <c r="X51" s="260"/>
      <c r="Y51" s="260"/>
      <c r="Z51" s="260"/>
      <c r="AA51" s="114"/>
      <c r="AB51" s="255"/>
      <c r="AC51" s="256"/>
      <c r="AD51" s="256"/>
      <c r="AE51" s="257"/>
      <c r="AG51" s="112"/>
      <c r="AH51" s="151"/>
      <c r="AI51" s="113"/>
      <c r="AJ51" s="261" t="s">
        <v>33</v>
      </c>
      <c r="AK51" s="260"/>
      <c r="AL51" s="260"/>
      <c r="AM51" s="260"/>
      <c r="AN51" s="260"/>
      <c r="AO51" s="260"/>
      <c r="AP51" s="260"/>
      <c r="AQ51" s="260"/>
      <c r="AR51" s="114"/>
      <c r="AS51" s="255"/>
      <c r="AT51" s="256"/>
      <c r="AU51" s="256"/>
      <c r="AV51" s="257"/>
      <c r="AX51" s="112"/>
      <c r="AY51" s="138"/>
      <c r="AZ51" s="113"/>
      <c r="BA51" s="261" t="s">
        <v>33</v>
      </c>
      <c r="BB51" s="260"/>
      <c r="BC51" s="260"/>
      <c r="BD51" s="260"/>
      <c r="BE51" s="260"/>
      <c r="BF51" s="260"/>
      <c r="BG51" s="260"/>
      <c r="BH51" s="260"/>
      <c r="BI51" s="114"/>
      <c r="BJ51" s="255"/>
      <c r="BK51" s="256"/>
      <c r="BL51" s="256"/>
      <c r="BM51" s="257"/>
      <c r="BO51" s="8"/>
    </row>
    <row r="52" spans="1:74" ht="16.2" customHeight="1" thickBot="1" x14ac:dyDescent="0.3">
      <c r="A52" s="7"/>
      <c r="B52" s="250" t="s">
        <v>34</v>
      </c>
      <c r="C52" s="251"/>
      <c r="D52" s="248"/>
      <c r="E52" s="248"/>
      <c r="F52" s="248"/>
      <c r="G52" s="248"/>
      <c r="H52" s="248"/>
      <c r="I52" s="248"/>
      <c r="J52" s="114"/>
      <c r="K52" s="148"/>
      <c r="L52" s="148"/>
      <c r="M52" s="148"/>
      <c r="N52" s="148"/>
      <c r="O52" s="148"/>
      <c r="P52" s="112"/>
      <c r="R52" s="113"/>
      <c r="S52" s="249" t="s">
        <v>34</v>
      </c>
      <c r="T52" s="248"/>
      <c r="U52" s="248"/>
      <c r="V52" s="248"/>
      <c r="W52" s="248"/>
      <c r="X52" s="248"/>
      <c r="Y52" s="248"/>
      <c r="Z52" s="248"/>
      <c r="AA52" s="114"/>
      <c r="AB52" s="148"/>
      <c r="AC52" s="148"/>
      <c r="AD52" s="148"/>
      <c r="AE52" s="148"/>
      <c r="AF52" s="148"/>
      <c r="AG52" s="112"/>
      <c r="AI52" s="113"/>
      <c r="AJ52" s="249" t="s">
        <v>34</v>
      </c>
      <c r="AK52" s="248"/>
      <c r="AL52" s="248"/>
      <c r="AM52" s="248"/>
      <c r="AN52" s="248"/>
      <c r="AO52" s="248"/>
      <c r="AP52" s="248"/>
      <c r="AQ52" s="248"/>
      <c r="AR52" s="114"/>
      <c r="AS52" s="148"/>
      <c r="AT52" s="148"/>
      <c r="AU52" s="148"/>
      <c r="AV52" s="148"/>
      <c r="AW52" s="148"/>
      <c r="AX52" s="112"/>
      <c r="AY52" s="138"/>
      <c r="AZ52" s="113"/>
      <c r="BA52" s="249" t="s">
        <v>34</v>
      </c>
      <c r="BB52" s="248"/>
      <c r="BC52" s="248"/>
      <c r="BD52" s="248"/>
      <c r="BE52" s="248"/>
      <c r="BF52" s="248"/>
      <c r="BG52" s="248"/>
      <c r="BH52" s="248"/>
      <c r="BI52" s="114"/>
      <c r="BJ52" s="148"/>
      <c r="BK52" s="148"/>
      <c r="BL52" s="148"/>
      <c r="BM52" s="148"/>
      <c r="BN52" s="148"/>
      <c r="BO52" s="8"/>
    </row>
    <row r="53" spans="1:74" ht="3" customHeight="1" thickBot="1" x14ac:dyDescent="0.3">
      <c r="A53" s="12"/>
      <c r="B53" s="57"/>
      <c r="C53" s="152"/>
      <c r="D53" s="153"/>
      <c r="E53" s="153"/>
      <c r="F53" s="152"/>
      <c r="G53" s="152"/>
      <c r="H53" s="152"/>
      <c r="I53" s="152"/>
      <c r="J53" s="152"/>
      <c r="K53" s="154"/>
      <c r="L53" s="154"/>
      <c r="M53" s="154"/>
      <c r="N53" s="154"/>
      <c r="O53" s="148"/>
      <c r="P53" s="155"/>
      <c r="R53" s="156"/>
      <c r="S53" s="57"/>
      <c r="T53" s="152"/>
      <c r="U53" s="153"/>
      <c r="V53" s="153"/>
      <c r="W53" s="152"/>
      <c r="X53" s="152"/>
      <c r="Y53" s="152"/>
      <c r="Z53" s="152"/>
      <c r="AA53" s="152"/>
      <c r="AB53" s="154"/>
      <c r="AC53" s="154"/>
      <c r="AD53" s="154"/>
      <c r="AE53" s="154"/>
      <c r="AF53" s="148"/>
      <c r="AG53" s="155"/>
      <c r="AI53" s="156"/>
      <c r="AJ53" s="57"/>
      <c r="AK53" s="152"/>
      <c r="AL53" s="153"/>
      <c r="AM53" s="153"/>
      <c r="AN53" s="152"/>
      <c r="AO53" s="152"/>
      <c r="AP53" s="152"/>
      <c r="AQ53" s="152"/>
      <c r="AR53" s="152"/>
      <c r="AS53" s="154"/>
      <c r="AT53" s="154"/>
      <c r="AU53" s="154"/>
      <c r="AV53" s="154"/>
      <c r="AW53" s="154"/>
      <c r="AX53" s="155"/>
      <c r="AY53" s="138"/>
      <c r="AZ53" s="156"/>
      <c r="BA53" s="57"/>
      <c r="BB53" s="152"/>
      <c r="BC53" s="153"/>
      <c r="BD53" s="153"/>
      <c r="BE53" s="152"/>
      <c r="BF53" s="152"/>
      <c r="BG53" s="152"/>
      <c r="BH53" s="152"/>
      <c r="BI53" s="152"/>
      <c r="BJ53" s="154"/>
      <c r="BK53" s="154"/>
      <c r="BL53" s="154"/>
      <c r="BM53" s="154"/>
      <c r="BN53" s="148"/>
      <c r="BO53" s="13"/>
    </row>
    <row r="54" spans="1:74" ht="21.6" customHeight="1" thickTop="1" thickBot="1" x14ac:dyDescent="0.3">
      <c r="O54" s="158"/>
      <c r="AF54" s="158"/>
      <c r="BN54" s="158"/>
    </row>
    <row r="55" spans="1:74" ht="15" customHeight="1" thickTop="1" x14ac:dyDescent="0.25">
      <c r="A55" s="10"/>
      <c r="B55" s="316" t="s">
        <v>81</v>
      </c>
      <c r="C55" s="316"/>
      <c r="D55" s="316"/>
      <c r="E55" s="316"/>
      <c r="F55" s="316"/>
      <c r="G55" s="316"/>
      <c r="H55" s="316"/>
      <c r="I55" s="316"/>
      <c r="J55" s="314" t="s">
        <v>48</v>
      </c>
      <c r="K55" s="314"/>
      <c r="L55" s="314"/>
      <c r="M55" s="314"/>
      <c r="N55" s="108"/>
      <c r="O55" s="108">
        <v>21</v>
      </c>
      <c r="P55" s="109"/>
      <c r="R55" s="111"/>
      <c r="S55" s="314" t="s">
        <v>81</v>
      </c>
      <c r="T55" s="314"/>
      <c r="U55" s="314"/>
      <c r="V55" s="314"/>
      <c r="W55" s="314"/>
      <c r="X55" s="314"/>
      <c r="Y55" s="314"/>
      <c r="Z55" s="314"/>
      <c r="AA55" s="314" t="s">
        <v>48</v>
      </c>
      <c r="AB55" s="314"/>
      <c r="AC55" s="314"/>
      <c r="AD55" s="314"/>
      <c r="AE55" s="108"/>
      <c r="AF55" s="108">
        <f>O55+5</f>
        <v>26</v>
      </c>
      <c r="AG55" s="109"/>
      <c r="AI55" s="111"/>
      <c r="AJ55" s="314" t="s">
        <v>81</v>
      </c>
      <c r="AK55" s="314"/>
      <c r="AL55" s="314"/>
      <c r="AM55" s="314"/>
      <c r="AN55" s="314"/>
      <c r="AO55" s="314"/>
      <c r="AP55" s="314"/>
      <c r="AQ55" s="314"/>
      <c r="AR55" s="314" t="s">
        <v>48</v>
      </c>
      <c r="AS55" s="314"/>
      <c r="AT55" s="314"/>
      <c r="AU55" s="314"/>
      <c r="AV55" s="108"/>
      <c r="AW55" s="108">
        <f>AF55+5</f>
        <v>31</v>
      </c>
      <c r="AX55" s="109"/>
      <c r="AZ55" s="111"/>
      <c r="BA55" s="314" t="s">
        <v>81</v>
      </c>
      <c r="BB55" s="314"/>
      <c r="BC55" s="314"/>
      <c r="BD55" s="314"/>
      <c r="BE55" s="314"/>
      <c r="BF55" s="314"/>
      <c r="BG55" s="314"/>
      <c r="BH55" s="314"/>
      <c r="BI55" s="314" t="s">
        <v>48</v>
      </c>
      <c r="BJ55" s="314"/>
      <c r="BK55" s="314"/>
      <c r="BL55" s="314"/>
      <c r="BM55" s="108"/>
      <c r="BN55" s="108">
        <f>AW55+5</f>
        <v>36</v>
      </c>
      <c r="BO55" s="11"/>
      <c r="BV55" s="9">
        <f>SUM(F61:F70)</f>
        <v>336</v>
      </c>
    </row>
    <row r="56" spans="1:74" ht="15" customHeight="1" x14ac:dyDescent="0.25">
      <c r="A56" s="7"/>
      <c r="B56" s="164" t="str">
        <f>'الفترة الاولى'!$A$6</f>
        <v>المدرسة /</v>
      </c>
      <c r="C56" s="310" t="str">
        <f>'الفترة الاولى'!$C$6</f>
        <v>سهول العلم للتعليم الخاص</v>
      </c>
      <c r="D56" s="310"/>
      <c r="E56" s="310"/>
      <c r="F56" s="310"/>
      <c r="G56" s="310"/>
      <c r="H56" s="315" t="s">
        <v>47</v>
      </c>
      <c r="I56" s="315"/>
      <c r="J56" s="315">
        <f>VLOOKUP(O55,اسم,3,0)</f>
        <v>0</v>
      </c>
      <c r="K56" s="315"/>
      <c r="L56" s="315"/>
      <c r="M56" s="315"/>
      <c r="N56" s="315"/>
      <c r="O56" s="315"/>
      <c r="P56" s="112"/>
      <c r="R56" s="113"/>
      <c r="S56" s="164" t="str">
        <f>'الفترة الاولى'!$A$6</f>
        <v>المدرسة /</v>
      </c>
      <c r="T56" s="310" t="str">
        <f>'الفترة الاولى'!$C$6</f>
        <v>سهول العلم للتعليم الخاص</v>
      </c>
      <c r="U56" s="310"/>
      <c r="V56" s="310"/>
      <c r="W56" s="310"/>
      <c r="X56" s="310"/>
      <c r="Y56" s="315" t="s">
        <v>47</v>
      </c>
      <c r="Z56" s="315"/>
      <c r="AA56" s="315">
        <f>VLOOKUP(AF55,اسم,3,0)</f>
        <v>0</v>
      </c>
      <c r="AB56" s="315"/>
      <c r="AC56" s="315"/>
      <c r="AD56" s="315"/>
      <c r="AE56" s="315"/>
      <c r="AF56" s="315"/>
      <c r="AG56" s="112"/>
      <c r="AI56" s="113"/>
      <c r="AJ56" s="164" t="str">
        <f>'الفترة الاولى'!$A$6</f>
        <v>المدرسة /</v>
      </c>
      <c r="AK56" s="310" t="str">
        <f>'الفترة الاولى'!$C$6</f>
        <v>سهول العلم للتعليم الخاص</v>
      </c>
      <c r="AL56" s="310"/>
      <c r="AM56" s="310"/>
      <c r="AN56" s="310"/>
      <c r="AO56" s="310"/>
      <c r="AP56" s="315" t="s">
        <v>47</v>
      </c>
      <c r="AQ56" s="315"/>
      <c r="AR56" s="315">
        <f>VLOOKUP(AW55,اسم,3,0)</f>
        <v>0</v>
      </c>
      <c r="AS56" s="315"/>
      <c r="AT56" s="315"/>
      <c r="AU56" s="315"/>
      <c r="AV56" s="315"/>
      <c r="AW56" s="315"/>
      <c r="AX56" s="112"/>
      <c r="AZ56" s="113"/>
      <c r="BA56" s="164" t="str">
        <f>'الفترة الاولى'!$A$6</f>
        <v>المدرسة /</v>
      </c>
      <c r="BB56" s="310" t="str">
        <f>'الفترة الاولى'!$C$6</f>
        <v>سهول العلم للتعليم الخاص</v>
      </c>
      <c r="BC56" s="310"/>
      <c r="BD56" s="310"/>
      <c r="BE56" s="310"/>
      <c r="BF56" s="310"/>
      <c r="BG56" s="315" t="s">
        <v>47</v>
      </c>
      <c r="BH56" s="315"/>
      <c r="BI56" s="315">
        <f>VLOOKUP(BN55,اسم,3,0)</f>
        <v>0</v>
      </c>
      <c r="BJ56" s="315"/>
      <c r="BK56" s="315"/>
      <c r="BL56" s="315"/>
      <c r="BM56" s="315"/>
      <c r="BN56" s="315"/>
      <c r="BO56" s="8"/>
      <c r="BV56" s="9">
        <f>BV55/2</f>
        <v>168</v>
      </c>
    </row>
    <row r="57" spans="1:74" ht="15" customHeight="1" thickBot="1" x14ac:dyDescent="0.3">
      <c r="A57" s="7"/>
      <c r="B57" s="309" t="s">
        <v>86</v>
      </c>
      <c r="C57" s="309"/>
      <c r="D57" s="309"/>
      <c r="E57" s="309"/>
      <c r="F57" s="309"/>
      <c r="G57" s="309"/>
      <c r="H57" s="309"/>
      <c r="I57" s="309"/>
      <c r="J57" s="309"/>
      <c r="K57" s="309"/>
      <c r="L57" s="309"/>
      <c r="M57" s="309"/>
      <c r="N57" s="309"/>
      <c r="O57" s="309"/>
      <c r="P57" s="112"/>
      <c r="R57" s="113"/>
      <c r="S57" s="309" t="s">
        <v>86</v>
      </c>
      <c r="T57" s="309"/>
      <c r="U57" s="309"/>
      <c r="V57" s="309"/>
      <c r="W57" s="309"/>
      <c r="X57" s="309"/>
      <c r="Y57" s="309"/>
      <c r="Z57" s="309"/>
      <c r="AA57" s="309"/>
      <c r="AB57" s="309"/>
      <c r="AC57" s="309"/>
      <c r="AD57" s="309"/>
      <c r="AE57" s="309"/>
      <c r="AF57" s="309"/>
      <c r="AG57" s="112"/>
      <c r="AI57" s="113"/>
      <c r="AJ57" s="309" t="s">
        <v>86</v>
      </c>
      <c r="AK57" s="309"/>
      <c r="AL57" s="309"/>
      <c r="AM57" s="309"/>
      <c r="AN57" s="309"/>
      <c r="AO57" s="309"/>
      <c r="AP57" s="309"/>
      <c r="AQ57" s="309"/>
      <c r="AR57" s="309"/>
      <c r="AS57" s="309"/>
      <c r="AT57" s="309"/>
      <c r="AU57" s="309"/>
      <c r="AV57" s="309"/>
      <c r="AW57" s="309"/>
      <c r="AX57" s="112"/>
      <c r="AZ57" s="113"/>
      <c r="BA57" s="309" t="s">
        <v>86</v>
      </c>
      <c r="BB57" s="309"/>
      <c r="BC57" s="309"/>
      <c r="BD57" s="309"/>
      <c r="BE57" s="309"/>
      <c r="BF57" s="309"/>
      <c r="BG57" s="309"/>
      <c r="BH57" s="309"/>
      <c r="BI57" s="309"/>
      <c r="BJ57" s="309"/>
      <c r="BK57" s="309"/>
      <c r="BL57" s="309"/>
      <c r="BM57" s="309"/>
      <c r="BN57" s="309"/>
      <c r="BO57" s="8"/>
    </row>
    <row r="58" spans="1:74" ht="18" customHeight="1" thickBot="1" x14ac:dyDescent="0.3">
      <c r="A58" s="7"/>
      <c r="B58" s="311" t="s">
        <v>67</v>
      </c>
      <c r="C58" s="293" t="s">
        <v>25</v>
      </c>
      <c r="D58" s="264" t="s">
        <v>26</v>
      </c>
      <c r="E58" s="264"/>
      <c r="F58" s="264" t="s">
        <v>27</v>
      </c>
      <c r="G58" s="264"/>
      <c r="H58" s="264"/>
      <c r="I58" s="264"/>
      <c r="J58" s="114"/>
      <c r="K58" s="287" t="s">
        <v>35</v>
      </c>
      <c r="L58" s="288"/>
      <c r="M58" s="288"/>
      <c r="N58" s="288"/>
      <c r="O58" s="289"/>
      <c r="P58" s="112"/>
      <c r="R58" s="113"/>
      <c r="S58" s="290" t="s">
        <v>67</v>
      </c>
      <c r="T58" s="293" t="s">
        <v>25</v>
      </c>
      <c r="U58" s="264" t="s">
        <v>26</v>
      </c>
      <c r="V58" s="264"/>
      <c r="W58" s="264" t="s">
        <v>27</v>
      </c>
      <c r="X58" s="264"/>
      <c r="Y58" s="264"/>
      <c r="Z58" s="264"/>
      <c r="AA58" s="114"/>
      <c r="AB58" s="287" t="s">
        <v>35</v>
      </c>
      <c r="AC58" s="288"/>
      <c r="AD58" s="288"/>
      <c r="AE58" s="288"/>
      <c r="AF58" s="289"/>
      <c r="AG58" s="112"/>
      <c r="AI58" s="113"/>
      <c r="AJ58" s="290" t="s">
        <v>67</v>
      </c>
      <c r="AK58" s="293" t="s">
        <v>25</v>
      </c>
      <c r="AL58" s="264" t="s">
        <v>26</v>
      </c>
      <c r="AM58" s="264"/>
      <c r="AN58" s="264" t="s">
        <v>27</v>
      </c>
      <c r="AO58" s="264"/>
      <c r="AP58" s="264"/>
      <c r="AQ58" s="264"/>
      <c r="AR58" s="114"/>
      <c r="AS58" s="287" t="s">
        <v>35</v>
      </c>
      <c r="AT58" s="288"/>
      <c r="AU58" s="288"/>
      <c r="AV58" s="288"/>
      <c r="AW58" s="289"/>
      <c r="AX58" s="112"/>
      <c r="AY58" s="115"/>
      <c r="AZ58" s="113"/>
      <c r="BA58" s="290" t="s">
        <v>67</v>
      </c>
      <c r="BB58" s="293" t="s">
        <v>25</v>
      </c>
      <c r="BC58" s="264" t="s">
        <v>26</v>
      </c>
      <c r="BD58" s="264"/>
      <c r="BE58" s="264" t="s">
        <v>27</v>
      </c>
      <c r="BF58" s="264"/>
      <c r="BG58" s="264"/>
      <c r="BH58" s="264"/>
      <c r="BI58" s="114"/>
      <c r="BJ58" s="287" t="s">
        <v>35</v>
      </c>
      <c r="BK58" s="288"/>
      <c r="BL58" s="288"/>
      <c r="BM58" s="288"/>
      <c r="BN58" s="289"/>
      <c r="BO58" s="8"/>
      <c r="BS58" s="9">
        <v>0</v>
      </c>
      <c r="BT58" s="9" t="s">
        <v>49</v>
      </c>
    </row>
    <row r="59" spans="1:74" ht="19.95" customHeight="1" x14ac:dyDescent="0.25">
      <c r="A59" s="7"/>
      <c r="B59" s="312"/>
      <c r="C59" s="294"/>
      <c r="D59" s="303" t="s">
        <v>28</v>
      </c>
      <c r="E59" s="303" t="s">
        <v>42</v>
      </c>
      <c r="F59" s="305" t="s">
        <v>69</v>
      </c>
      <c r="G59" s="307" t="s">
        <v>68</v>
      </c>
      <c r="H59" s="296" t="s">
        <v>29</v>
      </c>
      <c r="I59" s="296" t="s">
        <v>17</v>
      </c>
      <c r="J59" s="114"/>
      <c r="K59" s="116" t="s">
        <v>51</v>
      </c>
      <c r="L59" s="298" t="str">
        <f>LOOKUP(H71,$BS$4:$BT$8)</f>
        <v>ضعيف</v>
      </c>
      <c r="M59" s="298"/>
      <c r="N59" s="298"/>
      <c r="O59" s="299"/>
      <c r="P59" s="112"/>
      <c r="R59" s="113"/>
      <c r="S59" s="291"/>
      <c r="T59" s="294"/>
      <c r="U59" s="303" t="s">
        <v>28</v>
      </c>
      <c r="V59" s="303" t="s">
        <v>42</v>
      </c>
      <c r="W59" s="305" t="s">
        <v>69</v>
      </c>
      <c r="X59" s="307" t="s">
        <v>68</v>
      </c>
      <c r="Y59" s="296" t="s">
        <v>29</v>
      </c>
      <c r="Z59" s="296" t="s">
        <v>17</v>
      </c>
      <c r="AA59" s="114"/>
      <c r="AB59" s="116" t="s">
        <v>51</v>
      </c>
      <c r="AC59" s="298" t="str">
        <f>LOOKUP(Y71,$BS$4:$BT$8)</f>
        <v>ضعيف</v>
      </c>
      <c r="AD59" s="298"/>
      <c r="AE59" s="298"/>
      <c r="AF59" s="299"/>
      <c r="AG59" s="112"/>
      <c r="AI59" s="113"/>
      <c r="AJ59" s="291"/>
      <c r="AK59" s="294"/>
      <c r="AL59" s="303" t="s">
        <v>28</v>
      </c>
      <c r="AM59" s="303" t="s">
        <v>42</v>
      </c>
      <c r="AN59" s="305" t="s">
        <v>69</v>
      </c>
      <c r="AO59" s="307" t="s">
        <v>68</v>
      </c>
      <c r="AP59" s="296" t="s">
        <v>29</v>
      </c>
      <c r="AQ59" s="296" t="s">
        <v>17</v>
      </c>
      <c r="AR59" s="114"/>
      <c r="AS59" s="116" t="s">
        <v>51</v>
      </c>
      <c r="AT59" s="298" t="str">
        <f>LOOKUP(AP71,$BS$4:$BT$8)</f>
        <v>ضعيف</v>
      </c>
      <c r="AU59" s="298"/>
      <c r="AV59" s="298"/>
      <c r="AW59" s="299"/>
      <c r="AX59" s="112"/>
      <c r="AY59" s="115"/>
      <c r="AZ59" s="113"/>
      <c r="BA59" s="291"/>
      <c r="BB59" s="294"/>
      <c r="BC59" s="303" t="s">
        <v>28</v>
      </c>
      <c r="BD59" s="303" t="s">
        <v>42</v>
      </c>
      <c r="BE59" s="305" t="s">
        <v>69</v>
      </c>
      <c r="BF59" s="307" t="s">
        <v>68</v>
      </c>
      <c r="BG59" s="296" t="s">
        <v>29</v>
      </c>
      <c r="BH59" s="296" t="s">
        <v>17</v>
      </c>
      <c r="BI59" s="114"/>
      <c r="BJ59" s="116" t="s">
        <v>51</v>
      </c>
      <c r="BK59" s="298" t="str">
        <f>LOOKUP(BG71,$BS$4:$BT$8)</f>
        <v>ضعيف</v>
      </c>
      <c r="BL59" s="298"/>
      <c r="BM59" s="298"/>
      <c r="BN59" s="299"/>
      <c r="BO59" s="8"/>
      <c r="BS59" s="9">
        <f>BV56*0.5</f>
        <v>84</v>
      </c>
      <c r="BT59" s="9" t="s">
        <v>14</v>
      </c>
    </row>
    <row r="60" spans="1:74" ht="19.95" customHeight="1" thickBot="1" x14ac:dyDescent="0.3">
      <c r="A60" s="7"/>
      <c r="B60" s="313"/>
      <c r="C60" s="295"/>
      <c r="D60" s="304"/>
      <c r="E60" s="304"/>
      <c r="F60" s="306"/>
      <c r="G60" s="308"/>
      <c r="H60" s="297"/>
      <c r="I60" s="297"/>
      <c r="J60" s="117"/>
      <c r="K60" s="300" t="str">
        <f>IF(L59&lt;&gt;"ضعيف","","يحتاج الى اهتمام في المواد ")</f>
        <v xml:space="preserve">يحتاج الى اهتمام في المواد </v>
      </c>
      <c r="L60" s="301"/>
      <c r="M60" s="301"/>
      <c r="N60" s="301"/>
      <c r="O60" s="302"/>
      <c r="P60" s="112"/>
      <c r="R60" s="113"/>
      <c r="S60" s="292"/>
      <c r="T60" s="295"/>
      <c r="U60" s="304"/>
      <c r="V60" s="304"/>
      <c r="W60" s="306"/>
      <c r="X60" s="308"/>
      <c r="Y60" s="297"/>
      <c r="Z60" s="297"/>
      <c r="AA60" s="117"/>
      <c r="AB60" s="300" t="str">
        <f>IF(AC59&lt;&gt;"ضعيف","","يحتاج الى اهتمام في المواد ")</f>
        <v xml:space="preserve">يحتاج الى اهتمام في المواد </v>
      </c>
      <c r="AC60" s="301"/>
      <c r="AD60" s="301"/>
      <c r="AE60" s="301"/>
      <c r="AF60" s="302"/>
      <c r="AG60" s="112"/>
      <c r="AI60" s="113"/>
      <c r="AJ60" s="292"/>
      <c r="AK60" s="295"/>
      <c r="AL60" s="304"/>
      <c r="AM60" s="304"/>
      <c r="AN60" s="306"/>
      <c r="AO60" s="308"/>
      <c r="AP60" s="297"/>
      <c r="AQ60" s="297"/>
      <c r="AR60" s="117"/>
      <c r="AS60" s="300" t="str">
        <f>IF(AT59&lt;&gt;"ضعيف","","يحتاج الى اهتمام في المواد ")</f>
        <v xml:space="preserve">يحتاج الى اهتمام في المواد </v>
      </c>
      <c r="AT60" s="301"/>
      <c r="AU60" s="301"/>
      <c r="AV60" s="301"/>
      <c r="AW60" s="302"/>
      <c r="AX60" s="112"/>
      <c r="AY60" s="115"/>
      <c r="AZ60" s="113"/>
      <c r="BA60" s="292"/>
      <c r="BB60" s="295"/>
      <c r="BC60" s="304"/>
      <c r="BD60" s="304"/>
      <c r="BE60" s="306"/>
      <c r="BF60" s="308"/>
      <c r="BG60" s="297"/>
      <c r="BH60" s="297"/>
      <c r="BI60" s="117"/>
      <c r="BJ60" s="300" t="str">
        <f>IF(BK59&lt;&gt;"ضعيف","","يحتاج الى اهتمام في المواد ")</f>
        <v xml:space="preserve">يحتاج الى اهتمام في المواد </v>
      </c>
      <c r="BK60" s="301"/>
      <c r="BL60" s="301"/>
      <c r="BM60" s="301"/>
      <c r="BN60" s="302"/>
      <c r="BO60" s="8"/>
      <c r="BS60" s="9">
        <f>BV56*0.65</f>
        <v>109.2</v>
      </c>
      <c r="BT60" s="9" t="s">
        <v>13</v>
      </c>
    </row>
    <row r="61" spans="1:74" ht="28.95" customHeight="1" thickBot="1" x14ac:dyDescent="0.3">
      <c r="A61" s="7"/>
      <c r="B61" s="70" t="str">
        <f>'الفترة الاولى'!$E$8</f>
        <v>التربية الإسلامية</v>
      </c>
      <c r="C61" s="118">
        <f>'الفترة الاولى'!$G$8</f>
        <v>2</v>
      </c>
      <c r="D61" s="119">
        <f>C61*40</f>
        <v>80</v>
      </c>
      <c r="E61" s="119">
        <f>D61*0.5</f>
        <v>40</v>
      </c>
      <c r="F61" s="120">
        <f>D61*0.3</f>
        <v>24</v>
      </c>
      <c r="G61" s="121">
        <f>D61*0.15</f>
        <v>12</v>
      </c>
      <c r="H61" s="122">
        <f>IFERROR(VLOOKUP(J56,بيان,2,0),0)</f>
        <v>0</v>
      </c>
      <c r="I61" s="122">
        <f>IFERROR(VLOOKUP(J56,بيان,3,0),0)</f>
        <v>0</v>
      </c>
      <c r="J61" s="114"/>
      <c r="K61" s="123" t="str">
        <f>IF(H61=0,"",IF(H61&lt;G61/2,B61,""))</f>
        <v/>
      </c>
      <c r="L61" s="124" t="str">
        <f>IF(H62=0,"",IF(H62&lt;G62/2,B62,""))</f>
        <v/>
      </c>
      <c r="M61" s="124" t="str">
        <f>IF(H63=0,"",IF(H63&lt;G63/2,B63,""))</f>
        <v/>
      </c>
      <c r="N61" s="124" t="str">
        <f>IF(H64=0,"",IF(H64&lt;G64/2,B64,""))</f>
        <v/>
      </c>
      <c r="O61" s="125" t="str">
        <f>IF(H65=0,"",IF(H65&lt;G65/2,B65,""))</f>
        <v/>
      </c>
      <c r="P61" s="112"/>
      <c r="R61" s="113"/>
      <c r="S61" s="126" t="str">
        <f>'الفترة الاولى'!$E$8</f>
        <v>التربية الإسلامية</v>
      </c>
      <c r="T61" s="118">
        <f>'الفترة الاولى'!$G$8</f>
        <v>2</v>
      </c>
      <c r="U61" s="119">
        <f>T61*40</f>
        <v>80</v>
      </c>
      <c r="V61" s="119">
        <f>U61*0.5</f>
        <v>40</v>
      </c>
      <c r="W61" s="120">
        <f>U61*0.3</f>
        <v>24</v>
      </c>
      <c r="X61" s="121">
        <f>U61*0.15</f>
        <v>12</v>
      </c>
      <c r="Y61" s="122">
        <f>IFERROR(VLOOKUP(AA56,بيان,2,0),0)</f>
        <v>0</v>
      </c>
      <c r="Z61" s="122">
        <f>IFERROR(VLOOKUP(AA56,بيان,3,0),0)</f>
        <v>0</v>
      </c>
      <c r="AA61" s="114"/>
      <c r="AB61" s="123" t="str">
        <f>IF(Y61=0,"",IF(Y61&lt;X61/2,S61,""))</f>
        <v/>
      </c>
      <c r="AC61" s="124" t="str">
        <f>IF(Y62=0,"",IF(Y62&lt;X62/2,S62,""))</f>
        <v/>
      </c>
      <c r="AD61" s="124" t="str">
        <f>IF(Y63=0,"",IF(Y63&lt;X63/2,S63,""))</f>
        <v/>
      </c>
      <c r="AE61" s="124" t="str">
        <f>IF(Y64=0,"",IF(Y64&lt;X64/2,S64,""))</f>
        <v/>
      </c>
      <c r="AF61" s="125" t="str">
        <f>IF(Y65=0,"",IF(Y65&lt;X65/2,S65,""))</f>
        <v/>
      </c>
      <c r="AG61" s="112"/>
      <c r="AI61" s="113"/>
      <c r="AJ61" s="126" t="str">
        <f>'الفترة الاولى'!$E$8</f>
        <v>التربية الإسلامية</v>
      </c>
      <c r="AK61" s="118">
        <f>'الفترة الاولى'!$G$8</f>
        <v>2</v>
      </c>
      <c r="AL61" s="119">
        <f>AK61*40</f>
        <v>80</v>
      </c>
      <c r="AM61" s="119">
        <f>AL61*0.5</f>
        <v>40</v>
      </c>
      <c r="AN61" s="120">
        <f>AL61*0.3</f>
        <v>24</v>
      </c>
      <c r="AO61" s="121">
        <f>AL61*0.15</f>
        <v>12</v>
      </c>
      <c r="AP61" s="122">
        <f>IFERROR(VLOOKUP(AR56,بيان,2,0),0)</f>
        <v>0</v>
      </c>
      <c r="AQ61" s="122">
        <f>IFERROR(VLOOKUP(AR56,بيان,3,0),0)</f>
        <v>0</v>
      </c>
      <c r="AR61" s="114"/>
      <c r="AS61" s="123" t="str">
        <f>IF(AP61=0,"",IF(AP61&lt;AO61/2,AJ61,""))</f>
        <v/>
      </c>
      <c r="AT61" s="124" t="str">
        <f>IF(AP62=0,"",IF(AP62&lt;AO62/2,AJ62,""))</f>
        <v/>
      </c>
      <c r="AU61" s="124" t="str">
        <f>IF(AP63=0,"",IF(AP63&lt;AO63/2,AJ63,""))</f>
        <v/>
      </c>
      <c r="AV61" s="124" t="str">
        <f>IF(AP64=0,"",IF(AP64&lt;AO64/2,AJ64,""))</f>
        <v/>
      </c>
      <c r="AW61" s="125" t="str">
        <f>IF(AP65=0,"",IF(AP65&lt;AO65/2,AJ65,""))</f>
        <v/>
      </c>
      <c r="AX61" s="112"/>
      <c r="AY61" s="127"/>
      <c r="AZ61" s="113"/>
      <c r="BA61" s="126" t="str">
        <f>'الفترة الاولى'!$E$8</f>
        <v>التربية الإسلامية</v>
      </c>
      <c r="BB61" s="118">
        <f>'الفترة الاولى'!$G$8</f>
        <v>2</v>
      </c>
      <c r="BC61" s="119">
        <f>BB61*40</f>
        <v>80</v>
      </c>
      <c r="BD61" s="119">
        <f>BC61*0.5</f>
        <v>40</v>
      </c>
      <c r="BE61" s="120">
        <f>BC61*0.3</f>
        <v>24</v>
      </c>
      <c r="BF61" s="121">
        <f>BC61*0.15</f>
        <v>12</v>
      </c>
      <c r="BG61" s="122">
        <f>IFERROR(VLOOKUP(BI56,بيان,2,0),0)</f>
        <v>0</v>
      </c>
      <c r="BH61" s="122">
        <f>IFERROR(VLOOKUP(BI56,بيان,3,0),0)</f>
        <v>0</v>
      </c>
      <c r="BI61" s="114"/>
      <c r="BJ61" s="123" t="str">
        <f>IF(BG61=0,"",IF(BG61&lt;BF61/2,BA61,""))</f>
        <v/>
      </c>
      <c r="BK61" s="124" t="str">
        <f>IF(BG62=0,"",IF(BG62&lt;BF62/2,BA62,""))</f>
        <v/>
      </c>
      <c r="BL61" s="124" t="str">
        <f>IF(BG63=0,"",IF(BG63&lt;BF63/2,BA63,""))</f>
        <v/>
      </c>
      <c r="BM61" s="124" t="str">
        <f>IF(BG64=0,"",IF(BG64&lt;BF64/2,BA64,""))</f>
        <v/>
      </c>
      <c r="BN61" s="125" t="str">
        <f>IF(BG65=0,"",IF(BG65&lt;BF65/2,BA65,""))</f>
        <v/>
      </c>
      <c r="BO61" s="8"/>
      <c r="BS61" s="9">
        <f>BV56*0.75</f>
        <v>126</v>
      </c>
      <c r="BT61" s="9" t="s">
        <v>46</v>
      </c>
    </row>
    <row r="62" spans="1:74" ht="28.95" customHeight="1" thickBot="1" x14ac:dyDescent="0.3">
      <c r="A62" s="7"/>
      <c r="B62" s="71" t="str">
        <f>'الفترة الاولى'!$H$8</f>
        <v>النحو والقراءة والنصوص</v>
      </c>
      <c r="C62" s="128">
        <f>'الفترة الاولى'!$J$8</f>
        <v>4</v>
      </c>
      <c r="D62" s="129">
        <f t="shared" ref="D62:D70" si="50">C62*40</f>
        <v>160</v>
      </c>
      <c r="E62" s="129">
        <f t="shared" ref="E62:E71" si="51">D62*0.5</f>
        <v>80</v>
      </c>
      <c r="F62" s="120">
        <f t="shared" ref="F62:F68" si="52">D62*0.3</f>
        <v>48</v>
      </c>
      <c r="G62" s="121">
        <f t="shared" ref="G62:G67" si="53">D62*0.15</f>
        <v>24</v>
      </c>
      <c r="H62" s="122">
        <f>IFERROR(VLOOKUP(J56,بيان,5,0),0)</f>
        <v>0</v>
      </c>
      <c r="I62" s="122">
        <f>IFERROR(VLOOKUP(J56,بيان,6,0),0)</f>
        <v>0</v>
      </c>
      <c r="J62" s="114"/>
      <c r="K62" s="130" t="str">
        <f>IF(H66=0,"",IF(H66&lt;G66/2,B66,""))</f>
        <v/>
      </c>
      <c r="L62" s="131" t="str">
        <f>IF(H67=0,"",IF(H67&lt;G67/2,B67,""))</f>
        <v/>
      </c>
      <c r="M62" s="131" t="str">
        <f>IF(H68=0,"",IF(H68&lt;G68/2,B68,""))</f>
        <v/>
      </c>
      <c r="N62" s="131" t="str">
        <f>IF(H69=0,"",IF(H69&lt;G69/2,B69,""))</f>
        <v/>
      </c>
      <c r="O62" s="132" t="str">
        <f>IF(H70=0,"",IF(H70&lt;G70/2,B70,""))</f>
        <v/>
      </c>
      <c r="P62" s="112"/>
      <c r="R62" s="113"/>
      <c r="S62" s="133" t="str">
        <f>'الفترة الاولى'!$H$8</f>
        <v>النحو والقراءة والنصوص</v>
      </c>
      <c r="T62" s="128">
        <f>'الفترة الاولى'!$J$8</f>
        <v>4</v>
      </c>
      <c r="U62" s="129">
        <f t="shared" ref="U62:U70" si="54">T62*40</f>
        <v>160</v>
      </c>
      <c r="V62" s="129">
        <f t="shared" ref="V62:V71" si="55">U62*0.5</f>
        <v>80</v>
      </c>
      <c r="W62" s="120">
        <f t="shared" ref="W62:W67" si="56">U62*0.3</f>
        <v>48</v>
      </c>
      <c r="X62" s="121">
        <f t="shared" ref="X62:X67" si="57">U62*0.15</f>
        <v>24</v>
      </c>
      <c r="Y62" s="122">
        <f>IFERROR(VLOOKUP(AA56,بيان,5,0),0)</f>
        <v>0</v>
      </c>
      <c r="Z62" s="122">
        <f>IFERROR(VLOOKUP(AA56,بيان,6,0),0)</f>
        <v>0</v>
      </c>
      <c r="AA62" s="114"/>
      <c r="AB62" s="130" t="str">
        <f>IF(Y66=0,"",IF(Y66&lt;X66/2,S66,""))</f>
        <v/>
      </c>
      <c r="AC62" s="131" t="str">
        <f>IF(Y67=0,"",IF(Y67&lt;X67/2,S67,""))</f>
        <v/>
      </c>
      <c r="AD62" s="131" t="str">
        <f>IF(Y68=0,"",IF(Y68&lt;X68/2,S68,""))</f>
        <v/>
      </c>
      <c r="AE62" s="131" t="str">
        <f>IF(Y69=0,"",IF(Y69&lt;X69/2,S69,""))</f>
        <v/>
      </c>
      <c r="AF62" s="132" t="str">
        <f>IF(Y70=0,"",IF(Y70&lt;X70/2,S70,""))</f>
        <v/>
      </c>
      <c r="AG62" s="112"/>
      <c r="AI62" s="113"/>
      <c r="AJ62" s="133" t="str">
        <f>'الفترة الاولى'!$H$8</f>
        <v>النحو والقراءة والنصوص</v>
      </c>
      <c r="AK62" s="128">
        <f>'الفترة الاولى'!$J$8</f>
        <v>4</v>
      </c>
      <c r="AL62" s="129">
        <f t="shared" ref="AL62:AL70" si="58">AK62*40</f>
        <v>160</v>
      </c>
      <c r="AM62" s="129">
        <f t="shared" ref="AM62:AM71" si="59">AL62*0.5</f>
        <v>80</v>
      </c>
      <c r="AN62" s="120">
        <f t="shared" ref="AN62:AN68" si="60">AL62*0.3</f>
        <v>48</v>
      </c>
      <c r="AO62" s="121">
        <f t="shared" ref="AO62:AO68" si="61">AL62*0.15</f>
        <v>24</v>
      </c>
      <c r="AP62" s="122">
        <f>IFERROR(VLOOKUP(AR56,بيان,5,0),0)</f>
        <v>0</v>
      </c>
      <c r="AQ62" s="122">
        <f>IFERROR(VLOOKUP(AR56,بيان,6,0),0)</f>
        <v>0</v>
      </c>
      <c r="AR62" s="114"/>
      <c r="AS62" s="130" t="str">
        <f>IF(AP66=0,"",IF(AP66&lt;AO66/2,AJ66,""))</f>
        <v/>
      </c>
      <c r="AT62" s="131" t="str">
        <f>IF(AP67=0,"",IF(AP67&lt;AO67/2,AJ67,""))</f>
        <v/>
      </c>
      <c r="AU62" s="131" t="str">
        <f>IF(AP68=0,"",IF(AP68&lt;AO68/2,AJ68,""))</f>
        <v/>
      </c>
      <c r="AV62" s="131" t="str">
        <f>IF(AP69=0,"",IF(AP69&lt;AO69/2,AJ69,""))</f>
        <v/>
      </c>
      <c r="AW62" s="132" t="str">
        <f>IF(AP70=0,"",IF(AP70&lt;AO70/2,AJ70,""))</f>
        <v/>
      </c>
      <c r="AX62" s="112"/>
      <c r="AY62" s="134"/>
      <c r="AZ62" s="113"/>
      <c r="BA62" s="133" t="str">
        <f>'الفترة الاولى'!$H$8</f>
        <v>النحو والقراءة والنصوص</v>
      </c>
      <c r="BB62" s="128">
        <f>'الفترة الاولى'!$J$8</f>
        <v>4</v>
      </c>
      <c r="BC62" s="129">
        <f t="shared" ref="BC62:BC70" si="62">BB62*40</f>
        <v>160</v>
      </c>
      <c r="BD62" s="129">
        <f t="shared" ref="BD62:BD71" si="63">BC62*0.5</f>
        <v>80</v>
      </c>
      <c r="BE62" s="120">
        <f t="shared" ref="BE62:BE68" si="64">BC62*0.3</f>
        <v>48</v>
      </c>
      <c r="BF62" s="121">
        <f t="shared" ref="BF62:BF68" si="65">BC62*0.15</f>
        <v>24</v>
      </c>
      <c r="BG62" s="122">
        <f>IFERROR(VLOOKUP(BI56,بيان,5,0),0)</f>
        <v>0</v>
      </c>
      <c r="BH62" s="122">
        <f>IFERROR(VLOOKUP(BI56,بيان,6,0),0)</f>
        <v>0</v>
      </c>
      <c r="BI62" s="114"/>
      <c r="BJ62" s="130" t="str">
        <f>IF(BG66=0,"",IF(BG66&lt;BF66/2,BA66,""))</f>
        <v/>
      </c>
      <c r="BK62" s="131" t="str">
        <f>IF(BG67=0,"",IF(BG67&lt;BF67/2,BA67,""))</f>
        <v/>
      </c>
      <c r="BL62" s="131" t="str">
        <f>IF(BG68=0,"",IF(BG68&lt;BF68/2,BA68,""))</f>
        <v/>
      </c>
      <c r="BM62" s="131" t="str">
        <f>IF(BG69=0,"",IF(BG69&lt;BF69/2,BA69,""))</f>
        <v/>
      </c>
      <c r="BN62" s="132" t="str">
        <f>IF(BG70=0,"",IF(BG70&lt;BF70/2,BA70,""))</f>
        <v/>
      </c>
      <c r="BO62" s="8"/>
      <c r="BS62" s="9">
        <f>BV56*0.85</f>
        <v>142.79999999999998</v>
      </c>
      <c r="BT62" s="9" t="s">
        <v>12</v>
      </c>
    </row>
    <row r="63" spans="1:74" ht="28.95" customHeight="1" thickBot="1" x14ac:dyDescent="0.3">
      <c r="A63" s="7"/>
      <c r="B63" s="70" t="str">
        <f>'الفترة الاولى'!$K$8</f>
        <v>الكتابة (الخط والاملاء والخط )</v>
      </c>
      <c r="C63" s="118">
        <f>'الفترة الاولى'!$M$8</f>
        <v>2</v>
      </c>
      <c r="D63" s="119">
        <f t="shared" si="50"/>
        <v>80</v>
      </c>
      <c r="E63" s="119">
        <f t="shared" si="51"/>
        <v>40</v>
      </c>
      <c r="F63" s="120">
        <f t="shared" si="52"/>
        <v>24</v>
      </c>
      <c r="G63" s="121">
        <f t="shared" si="53"/>
        <v>12</v>
      </c>
      <c r="H63" s="122">
        <f>IFERROR(VLOOKUP(J56,بيان,8,0),0)</f>
        <v>0</v>
      </c>
      <c r="I63" s="122" t="str">
        <f>IFERROR(VLOOKUP(J56,بيان,9,0),0)</f>
        <v xml:space="preserve">أقر أنا   </v>
      </c>
      <c r="J63" s="114"/>
      <c r="K63" s="135"/>
      <c r="L63" s="136"/>
      <c r="M63" s="136"/>
      <c r="N63" s="136"/>
      <c r="O63" s="137"/>
      <c r="P63" s="112"/>
      <c r="R63" s="113"/>
      <c r="S63" s="126" t="str">
        <f>'الفترة الاولى'!$K$8</f>
        <v>الكتابة (الخط والاملاء والخط )</v>
      </c>
      <c r="T63" s="118">
        <f>'الفترة الاولى'!$M$8</f>
        <v>2</v>
      </c>
      <c r="U63" s="119">
        <f t="shared" si="54"/>
        <v>80</v>
      </c>
      <c r="V63" s="119">
        <f t="shared" si="55"/>
        <v>40</v>
      </c>
      <c r="W63" s="120">
        <f t="shared" si="56"/>
        <v>24</v>
      </c>
      <c r="X63" s="121">
        <f t="shared" si="57"/>
        <v>12</v>
      </c>
      <c r="Y63" s="122">
        <f>IFERROR(VLOOKUP(AA56,بيان,8,0),0)</f>
        <v>0</v>
      </c>
      <c r="Z63" s="122" t="str">
        <f>IFERROR(VLOOKUP(AA56,بيان,9,0),0)</f>
        <v xml:space="preserve">أقر أنا   </v>
      </c>
      <c r="AA63" s="114"/>
      <c r="AB63" s="135"/>
      <c r="AC63" s="136"/>
      <c r="AD63" s="136"/>
      <c r="AE63" s="136"/>
      <c r="AF63" s="137"/>
      <c r="AG63" s="112"/>
      <c r="AI63" s="113"/>
      <c r="AJ63" s="126" t="str">
        <f>'الفترة الاولى'!$K$8</f>
        <v>الكتابة (الخط والاملاء والخط )</v>
      </c>
      <c r="AK63" s="118">
        <f>'الفترة الاولى'!$M$8</f>
        <v>2</v>
      </c>
      <c r="AL63" s="119">
        <f t="shared" si="58"/>
        <v>80</v>
      </c>
      <c r="AM63" s="119">
        <f t="shared" si="59"/>
        <v>40</v>
      </c>
      <c r="AN63" s="120">
        <f t="shared" si="60"/>
        <v>24</v>
      </c>
      <c r="AO63" s="121">
        <f t="shared" si="61"/>
        <v>12</v>
      </c>
      <c r="AP63" s="122">
        <f>IFERROR(VLOOKUP(AR56,بيان,8,0),0)</f>
        <v>0</v>
      </c>
      <c r="AQ63" s="122" t="str">
        <f>IFERROR(VLOOKUP(AR56,بيان,9,0),0)</f>
        <v xml:space="preserve">أقر أنا   </v>
      </c>
      <c r="AR63" s="114"/>
      <c r="AS63" s="135"/>
      <c r="AT63" s="136"/>
      <c r="AU63" s="136"/>
      <c r="AV63" s="136"/>
      <c r="AW63" s="137"/>
      <c r="AX63" s="112"/>
      <c r="AY63" s="138"/>
      <c r="AZ63" s="113"/>
      <c r="BA63" s="126" t="str">
        <f>'الفترة الاولى'!$K$8</f>
        <v>الكتابة (الخط والاملاء والخط )</v>
      </c>
      <c r="BB63" s="118">
        <f>'الفترة الاولى'!$M$8</f>
        <v>2</v>
      </c>
      <c r="BC63" s="119">
        <f t="shared" si="62"/>
        <v>80</v>
      </c>
      <c r="BD63" s="119">
        <f t="shared" si="63"/>
        <v>40</v>
      </c>
      <c r="BE63" s="120">
        <f t="shared" si="64"/>
        <v>24</v>
      </c>
      <c r="BF63" s="121">
        <f t="shared" si="65"/>
        <v>12</v>
      </c>
      <c r="BG63" s="122">
        <f>IFERROR(VLOOKUP(BI56,بيان,8,0),0)</f>
        <v>0</v>
      </c>
      <c r="BH63" s="122" t="str">
        <f>IFERROR(VLOOKUP(BI56,بيان,9,0),0)</f>
        <v xml:space="preserve">أقر أنا   </v>
      </c>
      <c r="BI63" s="114"/>
      <c r="BJ63" s="135"/>
      <c r="BK63" s="136"/>
      <c r="BL63" s="136"/>
      <c r="BM63" s="136"/>
      <c r="BN63" s="137"/>
      <c r="BO63" s="8"/>
    </row>
    <row r="64" spans="1:74" ht="28.95" customHeight="1" thickBot="1" x14ac:dyDescent="0.3">
      <c r="A64" s="7"/>
      <c r="B64" s="71" t="str">
        <f>'الفترة الاولى'!$N$8</f>
        <v>الإنجليزي</v>
      </c>
      <c r="C64" s="128">
        <f>'الفترة الاولى'!$P$8</f>
        <v>4</v>
      </c>
      <c r="D64" s="129">
        <f t="shared" si="50"/>
        <v>160</v>
      </c>
      <c r="E64" s="129">
        <f t="shared" si="51"/>
        <v>80</v>
      </c>
      <c r="F64" s="120">
        <f t="shared" si="52"/>
        <v>48</v>
      </c>
      <c r="G64" s="121">
        <f t="shared" si="53"/>
        <v>24</v>
      </c>
      <c r="H64" s="122">
        <f>IFERROR(VLOOKUP(J56,بيان,11,0),0)</f>
        <v>0</v>
      </c>
      <c r="I64" s="122" t="str">
        <f>IFERROR(VLOOKUP(J56,بيان,12,0),0)</f>
        <v>أ. فهيم عبدالمجيد بوازويتة</v>
      </c>
      <c r="J64" s="114"/>
      <c r="K64" s="269" t="s">
        <v>43</v>
      </c>
      <c r="L64" s="267"/>
      <c r="M64" s="267"/>
      <c r="N64" s="267"/>
      <c r="O64" s="268"/>
      <c r="P64" s="112"/>
      <c r="R64" s="113"/>
      <c r="S64" s="133" t="str">
        <f>'الفترة الاولى'!$N$8</f>
        <v>الإنجليزي</v>
      </c>
      <c r="T64" s="128">
        <f>'الفترة الاولى'!$P$8</f>
        <v>4</v>
      </c>
      <c r="U64" s="129">
        <f t="shared" si="54"/>
        <v>160</v>
      </c>
      <c r="V64" s="129">
        <f t="shared" si="55"/>
        <v>80</v>
      </c>
      <c r="W64" s="120">
        <f t="shared" si="56"/>
        <v>48</v>
      </c>
      <c r="X64" s="121">
        <f t="shared" si="57"/>
        <v>24</v>
      </c>
      <c r="Y64" s="122">
        <f>IFERROR(VLOOKUP(AA56,بيان,11,0),0)</f>
        <v>0</v>
      </c>
      <c r="Z64" s="122" t="str">
        <f>IFERROR(VLOOKUP(AA56,بيان,12,0),0)</f>
        <v>أ. فهيم عبدالمجيد بوازويتة</v>
      </c>
      <c r="AA64" s="114"/>
      <c r="AB64" s="269" t="s">
        <v>43</v>
      </c>
      <c r="AC64" s="267"/>
      <c r="AD64" s="267"/>
      <c r="AE64" s="267"/>
      <c r="AF64" s="268"/>
      <c r="AG64" s="112"/>
      <c r="AI64" s="113"/>
      <c r="AJ64" s="133" t="str">
        <f>'الفترة الاولى'!$N$8</f>
        <v>الإنجليزي</v>
      </c>
      <c r="AK64" s="128">
        <f>'الفترة الاولى'!$P$8</f>
        <v>4</v>
      </c>
      <c r="AL64" s="129">
        <f t="shared" si="58"/>
        <v>160</v>
      </c>
      <c r="AM64" s="129">
        <f t="shared" si="59"/>
        <v>80</v>
      </c>
      <c r="AN64" s="120">
        <f t="shared" si="60"/>
        <v>48</v>
      </c>
      <c r="AO64" s="121">
        <f t="shared" si="61"/>
        <v>24</v>
      </c>
      <c r="AP64" s="122">
        <f>IFERROR(VLOOKUP(AR56,بيان,11,0),0)</f>
        <v>0</v>
      </c>
      <c r="AQ64" s="122" t="str">
        <f>IFERROR(VLOOKUP(AR56,بيان,12,0),0)</f>
        <v>أ. فهيم عبدالمجيد بوازويتة</v>
      </c>
      <c r="AR64" s="114"/>
      <c r="AS64" s="269" t="s">
        <v>43</v>
      </c>
      <c r="AT64" s="267"/>
      <c r="AU64" s="267"/>
      <c r="AV64" s="267"/>
      <c r="AW64" s="268"/>
      <c r="AX64" s="112"/>
      <c r="AY64" s="138"/>
      <c r="AZ64" s="113"/>
      <c r="BA64" s="133" t="str">
        <f>'الفترة الاولى'!$N$8</f>
        <v>الإنجليزي</v>
      </c>
      <c r="BB64" s="128">
        <f>'الفترة الاولى'!$P$8</f>
        <v>4</v>
      </c>
      <c r="BC64" s="129">
        <f t="shared" si="62"/>
        <v>160</v>
      </c>
      <c r="BD64" s="129">
        <f t="shared" si="63"/>
        <v>80</v>
      </c>
      <c r="BE64" s="120">
        <f t="shared" si="64"/>
        <v>48</v>
      </c>
      <c r="BF64" s="121">
        <f t="shared" si="65"/>
        <v>24</v>
      </c>
      <c r="BG64" s="122">
        <f>IFERROR(VLOOKUP(BI56,بيان,11,0),0)</f>
        <v>0</v>
      </c>
      <c r="BH64" s="122" t="str">
        <f>IFERROR(VLOOKUP(BI56,بيان,12,0),0)</f>
        <v>أ. فهيم عبدالمجيد بوازويتة</v>
      </c>
      <c r="BI64" s="114"/>
      <c r="BJ64" s="269" t="s">
        <v>43</v>
      </c>
      <c r="BK64" s="267"/>
      <c r="BL64" s="267"/>
      <c r="BM64" s="267"/>
      <c r="BN64" s="268"/>
      <c r="BO64" s="8"/>
    </row>
    <row r="65" spans="1:74" ht="28.95" customHeight="1" thickBot="1" x14ac:dyDescent="0.3">
      <c r="A65" s="7"/>
      <c r="B65" s="70" t="str">
        <f>'الفترة الاولى'!$Q$8</f>
        <v>الحاسوب</v>
      </c>
      <c r="C65" s="118">
        <f>'الفترة الاولى'!$S$8</f>
        <v>2</v>
      </c>
      <c r="D65" s="119">
        <f t="shared" si="50"/>
        <v>80</v>
      </c>
      <c r="E65" s="119">
        <f t="shared" si="51"/>
        <v>40</v>
      </c>
      <c r="F65" s="120">
        <f t="shared" si="52"/>
        <v>24</v>
      </c>
      <c r="G65" s="121">
        <f t="shared" si="53"/>
        <v>12</v>
      </c>
      <c r="H65" s="139">
        <f>IFERROR(VLOOKUP(J56,بيان,14,0),0)</f>
        <v>0</v>
      </c>
      <c r="I65" s="122">
        <f>IFERROR(VLOOKUP(J56,بيان,15,0),0)</f>
        <v>0</v>
      </c>
      <c r="J65" s="114"/>
      <c r="K65" s="284" t="str">
        <f>'الفترة الاولى'!$CA$16</f>
        <v>أ. فهيم عبدالمجيد بوازويتة</v>
      </c>
      <c r="L65" s="285"/>
      <c r="M65" s="285"/>
      <c r="N65" s="285"/>
      <c r="O65" s="286"/>
      <c r="P65" s="112"/>
      <c r="R65" s="113"/>
      <c r="S65" s="126" t="str">
        <f>'الفترة الاولى'!$Q$8</f>
        <v>الحاسوب</v>
      </c>
      <c r="T65" s="118">
        <f>'الفترة الاولى'!$S$8</f>
        <v>2</v>
      </c>
      <c r="U65" s="119">
        <f t="shared" si="54"/>
        <v>80</v>
      </c>
      <c r="V65" s="119">
        <f t="shared" si="55"/>
        <v>40</v>
      </c>
      <c r="W65" s="120">
        <f t="shared" si="56"/>
        <v>24</v>
      </c>
      <c r="X65" s="121">
        <f t="shared" si="57"/>
        <v>12</v>
      </c>
      <c r="Y65" s="139">
        <f>IFERROR(VLOOKUP(AA56,بيان,14,0),0)</f>
        <v>0</v>
      </c>
      <c r="Z65" s="122">
        <f>IFERROR(VLOOKUP(AA56,بيان,15,0),0)</f>
        <v>0</v>
      </c>
      <c r="AA65" s="114"/>
      <c r="AB65" s="284" t="str">
        <f>'الفترة الاولى'!$CA$16</f>
        <v>أ. فهيم عبدالمجيد بوازويتة</v>
      </c>
      <c r="AC65" s="285"/>
      <c r="AD65" s="285"/>
      <c r="AE65" s="285"/>
      <c r="AF65" s="286"/>
      <c r="AG65" s="112"/>
      <c r="AI65" s="113"/>
      <c r="AJ65" s="126" t="str">
        <f>'الفترة الاولى'!$Q$8</f>
        <v>الحاسوب</v>
      </c>
      <c r="AK65" s="118">
        <f>'الفترة الاولى'!$S$8</f>
        <v>2</v>
      </c>
      <c r="AL65" s="119">
        <f t="shared" si="58"/>
        <v>80</v>
      </c>
      <c r="AM65" s="119">
        <f t="shared" si="59"/>
        <v>40</v>
      </c>
      <c r="AN65" s="120">
        <f t="shared" si="60"/>
        <v>24</v>
      </c>
      <c r="AO65" s="121">
        <f t="shared" si="61"/>
        <v>12</v>
      </c>
      <c r="AP65" s="139">
        <f>IFERROR(VLOOKUP(AR56,بيان,14,0),0)</f>
        <v>0</v>
      </c>
      <c r="AQ65" s="122">
        <f>IFERROR(VLOOKUP(AR56,بيان,15,0),0)</f>
        <v>0</v>
      </c>
      <c r="AR65" s="114"/>
      <c r="AS65" s="284" t="str">
        <f>'الفترة الاولى'!$CA$16</f>
        <v>أ. فهيم عبدالمجيد بوازويتة</v>
      </c>
      <c r="AT65" s="285"/>
      <c r="AU65" s="285"/>
      <c r="AV65" s="285"/>
      <c r="AW65" s="286"/>
      <c r="AX65" s="112"/>
      <c r="AY65" s="138"/>
      <c r="AZ65" s="113"/>
      <c r="BA65" s="126" t="str">
        <f>'الفترة الاولى'!$Q$8</f>
        <v>الحاسوب</v>
      </c>
      <c r="BB65" s="118">
        <f>'الفترة الاولى'!$S$8</f>
        <v>2</v>
      </c>
      <c r="BC65" s="119">
        <f t="shared" si="62"/>
        <v>80</v>
      </c>
      <c r="BD65" s="119">
        <f t="shared" si="63"/>
        <v>40</v>
      </c>
      <c r="BE65" s="120">
        <f t="shared" si="64"/>
        <v>24</v>
      </c>
      <c r="BF65" s="121">
        <f t="shared" si="65"/>
        <v>12</v>
      </c>
      <c r="BG65" s="139">
        <f>IFERROR(VLOOKUP(BI56,بيان,14,0),0)</f>
        <v>0</v>
      </c>
      <c r="BH65" s="122">
        <f>IFERROR(VLOOKUP(BI56,بيان,15,0),0)</f>
        <v>0</v>
      </c>
      <c r="BI65" s="114"/>
      <c r="BJ65" s="284" t="str">
        <f>'الفترة الاولى'!$CA$16</f>
        <v>أ. فهيم عبدالمجيد بوازويتة</v>
      </c>
      <c r="BK65" s="285"/>
      <c r="BL65" s="285"/>
      <c r="BM65" s="285"/>
      <c r="BN65" s="286"/>
      <c r="BO65" s="8"/>
      <c r="BV65" s="49"/>
    </row>
    <row r="66" spans="1:74" ht="28.95" customHeight="1" thickBot="1" x14ac:dyDescent="0.3">
      <c r="A66" s="7"/>
      <c r="B66" s="71" t="str">
        <f>'الفترة الاولى'!$T$8</f>
        <v>الرياضيات</v>
      </c>
      <c r="C66" s="128">
        <f>'الفترة الاولى'!$V$8</f>
        <v>5</v>
      </c>
      <c r="D66" s="129">
        <f t="shared" si="50"/>
        <v>200</v>
      </c>
      <c r="E66" s="129">
        <f t="shared" si="51"/>
        <v>100</v>
      </c>
      <c r="F66" s="120">
        <f t="shared" si="52"/>
        <v>60</v>
      </c>
      <c r="G66" s="121">
        <f t="shared" si="53"/>
        <v>30</v>
      </c>
      <c r="H66" s="122">
        <f>IFERROR(VLOOKUP(J56,بيان,17,0),0)</f>
        <v>0</v>
      </c>
      <c r="I66" s="122">
        <f>IFERROR(VLOOKUP(J56,بيان,18,0),0)</f>
        <v>0</v>
      </c>
      <c r="J66" s="114"/>
      <c r="K66" s="140" t="s">
        <v>44</v>
      </c>
      <c r="L66" s="279">
        <f ca="1">TODAY()</f>
        <v>46181</v>
      </c>
      <c r="M66" s="279"/>
      <c r="N66" s="279"/>
      <c r="O66" s="280"/>
      <c r="P66" s="112"/>
      <c r="R66" s="113"/>
      <c r="S66" s="133" t="str">
        <f>'الفترة الاولى'!$T$8</f>
        <v>الرياضيات</v>
      </c>
      <c r="T66" s="128">
        <f>'الفترة الاولى'!$V$8</f>
        <v>5</v>
      </c>
      <c r="U66" s="129">
        <f t="shared" si="54"/>
        <v>200</v>
      </c>
      <c r="V66" s="129">
        <f t="shared" si="55"/>
        <v>100</v>
      </c>
      <c r="W66" s="120">
        <f t="shared" si="56"/>
        <v>60</v>
      </c>
      <c r="X66" s="121">
        <f t="shared" si="57"/>
        <v>30</v>
      </c>
      <c r="Y66" s="122">
        <f>IFERROR(VLOOKUP(AA56,بيان,17,0),0)</f>
        <v>0</v>
      </c>
      <c r="Z66" s="122">
        <f>IFERROR(VLOOKUP(AA56,بيان,18,0),0)</f>
        <v>0</v>
      </c>
      <c r="AA66" s="114"/>
      <c r="AB66" s="140" t="s">
        <v>44</v>
      </c>
      <c r="AC66" s="279">
        <f ca="1">TODAY()</f>
        <v>46181</v>
      </c>
      <c r="AD66" s="279"/>
      <c r="AE66" s="279"/>
      <c r="AF66" s="280"/>
      <c r="AG66" s="112"/>
      <c r="AI66" s="113"/>
      <c r="AJ66" s="133" t="str">
        <f>'الفترة الاولى'!$T$8</f>
        <v>الرياضيات</v>
      </c>
      <c r="AK66" s="128">
        <f>'الفترة الاولى'!$V$8</f>
        <v>5</v>
      </c>
      <c r="AL66" s="129">
        <f t="shared" si="58"/>
        <v>200</v>
      </c>
      <c r="AM66" s="129">
        <f t="shared" si="59"/>
        <v>100</v>
      </c>
      <c r="AN66" s="120">
        <f t="shared" si="60"/>
        <v>60</v>
      </c>
      <c r="AO66" s="121">
        <f t="shared" si="61"/>
        <v>30</v>
      </c>
      <c r="AP66" s="122">
        <f>IFERROR(VLOOKUP(AR56,بيان,17,0),0)</f>
        <v>0</v>
      </c>
      <c r="AQ66" s="122">
        <f>IFERROR(VLOOKUP(AR56,بيان,18,0),0)</f>
        <v>0</v>
      </c>
      <c r="AR66" s="114"/>
      <c r="AS66" s="140" t="s">
        <v>44</v>
      </c>
      <c r="AT66" s="279">
        <f ca="1">TODAY()</f>
        <v>46181</v>
      </c>
      <c r="AU66" s="279"/>
      <c r="AV66" s="279"/>
      <c r="AW66" s="280"/>
      <c r="AX66" s="112"/>
      <c r="AY66" s="138"/>
      <c r="AZ66" s="113"/>
      <c r="BA66" s="133" t="str">
        <f>'الفترة الاولى'!$T$8</f>
        <v>الرياضيات</v>
      </c>
      <c r="BB66" s="128">
        <f>'الفترة الاولى'!$V$8</f>
        <v>5</v>
      </c>
      <c r="BC66" s="129">
        <f t="shared" si="62"/>
        <v>200</v>
      </c>
      <c r="BD66" s="129">
        <f t="shared" si="63"/>
        <v>100</v>
      </c>
      <c r="BE66" s="120">
        <f t="shared" si="64"/>
        <v>60</v>
      </c>
      <c r="BF66" s="121">
        <f t="shared" si="65"/>
        <v>30</v>
      </c>
      <c r="BG66" s="122">
        <f>IFERROR(VLOOKUP(BI56,بيان,17,0),0)</f>
        <v>0</v>
      </c>
      <c r="BH66" s="122">
        <f>IFERROR(VLOOKUP(BI56,بيان,18,0),0)</f>
        <v>0</v>
      </c>
      <c r="BI66" s="114"/>
      <c r="BJ66" s="140" t="s">
        <v>44</v>
      </c>
      <c r="BK66" s="279">
        <f ca="1">TODAY()</f>
        <v>46181</v>
      </c>
      <c r="BL66" s="279"/>
      <c r="BM66" s="279"/>
      <c r="BN66" s="280"/>
      <c r="BO66" s="8"/>
    </row>
    <row r="67" spans="1:74" ht="28.95" customHeight="1" thickBot="1" x14ac:dyDescent="0.3">
      <c r="A67" s="7"/>
      <c r="B67" s="70" t="str">
        <f>'الفترة الاولى'!$W$8</f>
        <v>العلوم</v>
      </c>
      <c r="C67" s="118">
        <f>'الفترة الاولى'!$Y$8</f>
        <v>5</v>
      </c>
      <c r="D67" s="119">
        <f t="shared" si="50"/>
        <v>200</v>
      </c>
      <c r="E67" s="119">
        <f t="shared" si="51"/>
        <v>100</v>
      </c>
      <c r="F67" s="120">
        <f t="shared" si="52"/>
        <v>60</v>
      </c>
      <c r="G67" s="121">
        <f t="shared" si="53"/>
        <v>30</v>
      </c>
      <c r="H67" s="122">
        <f>IFERROR(VLOOKUP(J56,بيان,20,0),0)</f>
        <v>0</v>
      </c>
      <c r="I67" s="122">
        <f>IFERROR(VLOOKUP(J56,بيان,21,0),0)</f>
        <v>0</v>
      </c>
      <c r="J67" s="114"/>
      <c r="K67" s="281" t="s">
        <v>45</v>
      </c>
      <c r="L67" s="282"/>
      <c r="M67" s="282"/>
      <c r="N67" s="282"/>
      <c r="O67" s="283"/>
      <c r="P67" s="112"/>
      <c r="R67" s="113"/>
      <c r="S67" s="126" t="str">
        <f>'الفترة الاولى'!$W$8</f>
        <v>العلوم</v>
      </c>
      <c r="T67" s="118">
        <f>'الفترة الاولى'!$Y$8</f>
        <v>5</v>
      </c>
      <c r="U67" s="119">
        <f t="shared" si="54"/>
        <v>200</v>
      </c>
      <c r="V67" s="119">
        <f t="shared" si="55"/>
        <v>100</v>
      </c>
      <c r="W67" s="120">
        <f t="shared" si="56"/>
        <v>60</v>
      </c>
      <c r="X67" s="121">
        <f t="shared" si="57"/>
        <v>30</v>
      </c>
      <c r="Y67" s="122">
        <f>IFERROR(VLOOKUP(AA56,بيان,20,0),0)</f>
        <v>0</v>
      </c>
      <c r="Z67" s="122">
        <f>IFERROR(VLOOKUP(AA56,بيان,21,0),0)</f>
        <v>0</v>
      </c>
      <c r="AA67" s="114"/>
      <c r="AB67" s="281" t="s">
        <v>45</v>
      </c>
      <c r="AC67" s="282"/>
      <c r="AD67" s="282"/>
      <c r="AE67" s="282"/>
      <c r="AF67" s="283"/>
      <c r="AG67" s="112"/>
      <c r="AI67" s="113"/>
      <c r="AJ67" s="126" t="str">
        <f>'الفترة الاولى'!$W$8</f>
        <v>العلوم</v>
      </c>
      <c r="AK67" s="118">
        <f>'الفترة الاولى'!$Y$8</f>
        <v>5</v>
      </c>
      <c r="AL67" s="119">
        <f t="shared" si="58"/>
        <v>200</v>
      </c>
      <c r="AM67" s="119">
        <f t="shared" si="59"/>
        <v>100</v>
      </c>
      <c r="AN67" s="120">
        <f t="shared" si="60"/>
        <v>60</v>
      </c>
      <c r="AO67" s="121">
        <f t="shared" si="61"/>
        <v>30</v>
      </c>
      <c r="AP67" s="122">
        <f>IFERROR(VLOOKUP(AR56,بيان,20,0),0)</f>
        <v>0</v>
      </c>
      <c r="AQ67" s="122">
        <f>IFERROR(VLOOKUP(AR56,بيان,21,0),0)</f>
        <v>0</v>
      </c>
      <c r="AR67" s="114"/>
      <c r="AS67" s="281" t="s">
        <v>45</v>
      </c>
      <c r="AT67" s="282"/>
      <c r="AU67" s="282"/>
      <c r="AV67" s="282"/>
      <c r="AW67" s="283"/>
      <c r="AX67" s="112"/>
      <c r="AY67" s="138"/>
      <c r="AZ67" s="113"/>
      <c r="BA67" s="126" t="str">
        <f>'الفترة الاولى'!$W$8</f>
        <v>العلوم</v>
      </c>
      <c r="BB67" s="118">
        <f>'الفترة الاولى'!$Y$8</f>
        <v>5</v>
      </c>
      <c r="BC67" s="119">
        <f t="shared" si="62"/>
        <v>200</v>
      </c>
      <c r="BD67" s="119">
        <f t="shared" si="63"/>
        <v>100</v>
      </c>
      <c r="BE67" s="120">
        <f t="shared" si="64"/>
        <v>60</v>
      </c>
      <c r="BF67" s="121">
        <f t="shared" si="65"/>
        <v>30</v>
      </c>
      <c r="BG67" s="122">
        <f>IFERROR(VLOOKUP(BI56,بيان,20,0),0)</f>
        <v>0</v>
      </c>
      <c r="BH67" s="122">
        <f>IFERROR(VLOOKUP(BI56,بيان,21,0),0)</f>
        <v>0</v>
      </c>
      <c r="BI67" s="114"/>
      <c r="BJ67" s="281" t="s">
        <v>45</v>
      </c>
      <c r="BK67" s="282"/>
      <c r="BL67" s="282"/>
      <c r="BM67" s="282"/>
      <c r="BN67" s="283"/>
      <c r="BO67" s="8"/>
    </row>
    <row r="68" spans="1:74" ht="28.95" customHeight="1" thickBot="1" x14ac:dyDescent="0.3">
      <c r="A68" s="7"/>
      <c r="B68" s="71" t="str">
        <f>'الفترة الاولى'!$Z$8</f>
        <v>التاريخ</v>
      </c>
      <c r="C68" s="128">
        <f>'الفترة الاولى'!$AB$8</f>
        <v>2</v>
      </c>
      <c r="D68" s="129">
        <f t="shared" si="50"/>
        <v>80</v>
      </c>
      <c r="E68" s="129">
        <f t="shared" si="51"/>
        <v>40</v>
      </c>
      <c r="F68" s="120">
        <f t="shared" si="52"/>
        <v>24</v>
      </c>
      <c r="G68" s="121">
        <f>D68*0.15</f>
        <v>12</v>
      </c>
      <c r="H68" s="122">
        <f>IFERROR(VLOOKUP(J56,بيان,23,0),0)</f>
        <v>0</v>
      </c>
      <c r="I68" s="122">
        <f>IFERROR(VLOOKUP(J56,بيان,24,0),0)</f>
        <v>0</v>
      </c>
      <c r="J68" s="114"/>
      <c r="K68" s="141" t="s">
        <v>50</v>
      </c>
      <c r="L68" s="274" t="str">
        <f>IF(I71=0,"",LOOKUP(I71,$BS$4:$BT$8))</f>
        <v/>
      </c>
      <c r="M68" s="274"/>
      <c r="N68" s="274"/>
      <c r="O68" s="275"/>
      <c r="P68" s="112"/>
      <c r="R68" s="113"/>
      <c r="S68" s="133" t="str">
        <f>'الفترة الاولى'!$Z$8</f>
        <v>التاريخ</v>
      </c>
      <c r="T68" s="128">
        <f>'الفترة الاولى'!$AB$8</f>
        <v>2</v>
      </c>
      <c r="U68" s="129">
        <f t="shared" si="54"/>
        <v>80</v>
      </c>
      <c r="V68" s="129">
        <f t="shared" si="55"/>
        <v>40</v>
      </c>
      <c r="W68" s="120">
        <f>U68*0.3</f>
        <v>24</v>
      </c>
      <c r="X68" s="121">
        <f>U68*0.15</f>
        <v>12</v>
      </c>
      <c r="Y68" s="122">
        <f>IFERROR(VLOOKUP(AA56,بيان,23,0),0)</f>
        <v>0</v>
      </c>
      <c r="Z68" s="122">
        <f>IFERROR(VLOOKUP(AA56,بيان,24,0),0)</f>
        <v>0</v>
      </c>
      <c r="AA68" s="114"/>
      <c r="AB68" s="141" t="s">
        <v>50</v>
      </c>
      <c r="AC68" s="274" t="str">
        <f>IF(Z71=0,"",LOOKUP(Z71,$BS$4:$BT$8))</f>
        <v/>
      </c>
      <c r="AD68" s="274"/>
      <c r="AE68" s="274"/>
      <c r="AF68" s="275"/>
      <c r="AG68" s="112"/>
      <c r="AI68" s="113"/>
      <c r="AJ68" s="133" t="str">
        <f>'الفترة الاولى'!$Z$8</f>
        <v>التاريخ</v>
      </c>
      <c r="AK68" s="128">
        <f>'الفترة الاولى'!$AB$8</f>
        <v>2</v>
      </c>
      <c r="AL68" s="129">
        <f t="shared" si="58"/>
        <v>80</v>
      </c>
      <c r="AM68" s="129">
        <f t="shared" si="59"/>
        <v>40</v>
      </c>
      <c r="AN68" s="120">
        <f t="shared" si="60"/>
        <v>24</v>
      </c>
      <c r="AO68" s="121">
        <f t="shared" si="61"/>
        <v>12</v>
      </c>
      <c r="AP68" s="122">
        <f>IFERROR(VLOOKUP(AR56,بيان,23,0),0)</f>
        <v>0</v>
      </c>
      <c r="AQ68" s="122">
        <f>IFERROR(VLOOKUP(AR56,بيان,24,0),0)</f>
        <v>0</v>
      </c>
      <c r="AR68" s="114"/>
      <c r="AS68" s="141" t="s">
        <v>50</v>
      </c>
      <c r="AT68" s="274" t="str">
        <f>IF(AQ71=0,"",LOOKUP(AQ71,$BS$4:$BT$8))</f>
        <v/>
      </c>
      <c r="AU68" s="274"/>
      <c r="AV68" s="274"/>
      <c r="AW68" s="275"/>
      <c r="AX68" s="112"/>
      <c r="AY68" s="138"/>
      <c r="AZ68" s="113"/>
      <c r="BA68" s="133" t="str">
        <f>'الفترة الاولى'!$Z$8</f>
        <v>التاريخ</v>
      </c>
      <c r="BB68" s="128">
        <f>'الفترة الاولى'!$AB$8</f>
        <v>2</v>
      </c>
      <c r="BC68" s="129">
        <f t="shared" si="62"/>
        <v>80</v>
      </c>
      <c r="BD68" s="129">
        <f t="shared" si="63"/>
        <v>40</v>
      </c>
      <c r="BE68" s="120">
        <f t="shared" si="64"/>
        <v>24</v>
      </c>
      <c r="BF68" s="121">
        <f t="shared" si="65"/>
        <v>12</v>
      </c>
      <c r="BG68" s="122">
        <f>IFERROR(VLOOKUP(BI56,بيان,23,0),0)</f>
        <v>0</v>
      </c>
      <c r="BH68" s="122">
        <f>IFERROR(VLOOKUP(BI56,بيان,24,0),0)</f>
        <v>0</v>
      </c>
      <c r="BI68" s="114"/>
      <c r="BJ68" s="141" t="s">
        <v>50</v>
      </c>
      <c r="BK68" s="274" t="str">
        <f>IF(BH71=0,"",LOOKUP(BH71,$BS$4:$BT$8))</f>
        <v/>
      </c>
      <c r="BL68" s="274"/>
      <c r="BM68" s="274"/>
      <c r="BN68" s="275"/>
      <c r="BO68" s="8"/>
    </row>
    <row r="69" spans="1:74" ht="28.95" customHeight="1" thickBot="1" x14ac:dyDescent="0.3">
      <c r="A69" s="7"/>
      <c r="B69" s="70" t="str">
        <f>'الفترة الاولى'!$AC$8</f>
        <v>الجغرافيا</v>
      </c>
      <c r="C69" s="118">
        <f>'الفترة الاولى'!$AE$8</f>
        <v>2</v>
      </c>
      <c r="D69" s="119">
        <f t="shared" si="50"/>
        <v>80</v>
      </c>
      <c r="E69" s="119">
        <f t="shared" si="51"/>
        <v>40</v>
      </c>
      <c r="F69" s="120">
        <f>D68*0.3</f>
        <v>24</v>
      </c>
      <c r="G69" s="121">
        <f>D68*0.15</f>
        <v>12</v>
      </c>
      <c r="H69" s="122">
        <f>IFERROR(VLOOKUP(J56,بيان,26,0),0)</f>
        <v>0</v>
      </c>
      <c r="I69" s="122">
        <f>IFERROR(VLOOKUP(J56,بيان,27,0),0)</f>
        <v>0</v>
      </c>
      <c r="J69" s="114"/>
      <c r="K69" s="276" t="str">
        <f>IF(L68&lt;&gt;"ضعيف","","يحتاج الى اهتمام في المواد ")</f>
        <v/>
      </c>
      <c r="L69" s="277"/>
      <c r="M69" s="277"/>
      <c r="N69" s="277"/>
      <c r="O69" s="278"/>
      <c r="P69" s="112"/>
      <c r="R69" s="113"/>
      <c r="S69" s="126" t="str">
        <f>'الفترة الاولى'!$AC$8</f>
        <v>الجغرافيا</v>
      </c>
      <c r="T69" s="118">
        <f>'الفترة الاولى'!$AE$8</f>
        <v>2</v>
      </c>
      <c r="U69" s="119">
        <f t="shared" si="54"/>
        <v>80</v>
      </c>
      <c r="V69" s="119">
        <f t="shared" si="55"/>
        <v>40</v>
      </c>
      <c r="W69" s="120">
        <f>U68*0.3</f>
        <v>24</v>
      </c>
      <c r="X69" s="121">
        <f>U68*0.15</f>
        <v>12</v>
      </c>
      <c r="Y69" s="122">
        <f>IFERROR(VLOOKUP(AA56,بيان,26,0),0)</f>
        <v>0</v>
      </c>
      <c r="Z69" s="122">
        <f>IFERROR(VLOOKUP(AA56,بيان,27,0),0)</f>
        <v>0</v>
      </c>
      <c r="AA69" s="114"/>
      <c r="AB69" s="276" t="str">
        <f>IF(AC68&lt;&gt;"ضعيف","","يحتاج الى اهتمام في المواد ")</f>
        <v/>
      </c>
      <c r="AC69" s="277"/>
      <c r="AD69" s="277"/>
      <c r="AE69" s="277"/>
      <c r="AF69" s="278"/>
      <c r="AG69" s="112"/>
      <c r="AI69" s="113"/>
      <c r="AJ69" s="126" t="str">
        <f>'الفترة الاولى'!$AC$8</f>
        <v>الجغرافيا</v>
      </c>
      <c r="AK69" s="118">
        <f>'الفترة الاولى'!$AE$8</f>
        <v>2</v>
      </c>
      <c r="AL69" s="119">
        <f t="shared" si="58"/>
        <v>80</v>
      </c>
      <c r="AM69" s="119">
        <f t="shared" si="59"/>
        <v>40</v>
      </c>
      <c r="AN69" s="120">
        <f t="shared" ref="AN69:AN70" si="66">AL69*0.6</f>
        <v>48</v>
      </c>
      <c r="AO69" s="121">
        <f t="shared" ref="AO69:AO70" si="67">AL69*0.3</f>
        <v>24</v>
      </c>
      <c r="AP69" s="122">
        <f>IFERROR(VLOOKUP(AR56,بيان,26,0),0)</f>
        <v>0</v>
      </c>
      <c r="AQ69" s="122">
        <f>IFERROR(VLOOKUP(AR56,بيان,27,0),0)</f>
        <v>0</v>
      </c>
      <c r="AR69" s="114"/>
      <c r="AS69" s="276" t="str">
        <f>IF(AT68&lt;&gt;"ضعيف","","يحتاج الى اهتمام في المواد ")</f>
        <v/>
      </c>
      <c r="AT69" s="277"/>
      <c r="AU69" s="277"/>
      <c r="AV69" s="277"/>
      <c r="AW69" s="278"/>
      <c r="AX69" s="112"/>
      <c r="AY69" s="138"/>
      <c r="AZ69" s="113"/>
      <c r="BA69" s="126" t="str">
        <f>'الفترة الاولى'!$AC$8</f>
        <v>الجغرافيا</v>
      </c>
      <c r="BB69" s="118">
        <f>'الفترة الاولى'!$AE$8</f>
        <v>2</v>
      </c>
      <c r="BC69" s="119">
        <f t="shared" si="62"/>
        <v>80</v>
      </c>
      <c r="BD69" s="119">
        <f t="shared" si="63"/>
        <v>40</v>
      </c>
      <c r="BE69" s="120">
        <f t="shared" ref="BE69:BE70" si="68">BC69*0.6</f>
        <v>48</v>
      </c>
      <c r="BF69" s="121">
        <f t="shared" ref="BF69:BF70" si="69">BC69*0.3</f>
        <v>24</v>
      </c>
      <c r="BG69" s="122">
        <f>IFERROR(VLOOKUP(BI56,بيان,26,0),0)</f>
        <v>0</v>
      </c>
      <c r="BH69" s="122">
        <f>IFERROR(VLOOKUP(BI56,بيان,27,0),0)</f>
        <v>0</v>
      </c>
      <c r="BI69" s="114"/>
      <c r="BJ69" s="276" t="str">
        <f>IF(BK68&lt;&gt;"ضعيف","","يحتاج الى اهتمام في المواد ")</f>
        <v/>
      </c>
      <c r="BK69" s="277"/>
      <c r="BL69" s="277"/>
      <c r="BM69" s="277"/>
      <c r="BN69" s="278"/>
      <c r="BO69" s="8"/>
    </row>
    <row r="70" spans="1:74" ht="28.95" customHeight="1" thickBot="1" x14ac:dyDescent="0.3">
      <c r="A70" s="7"/>
      <c r="B70" s="70">
        <f>'الفترة الاولى'!$AF$8</f>
        <v>0</v>
      </c>
      <c r="C70" s="118">
        <f>'الفترة الاولى'!$AH$8</f>
        <v>0</v>
      </c>
      <c r="D70" s="119">
        <f t="shared" si="50"/>
        <v>0</v>
      </c>
      <c r="E70" s="119">
        <f t="shared" si="51"/>
        <v>0</v>
      </c>
      <c r="F70" s="120">
        <f t="shared" ref="F70" si="70">D70*0.6</f>
        <v>0</v>
      </c>
      <c r="G70" s="121">
        <f t="shared" ref="G70" si="71">D70*0.3</f>
        <v>0</v>
      </c>
      <c r="H70" s="122" t="str">
        <f>IFERROR(VLOOKUP(J56,بيان,29,0),0)</f>
        <v xml:space="preserve"> </v>
      </c>
      <c r="I70" s="122">
        <f>IFERROR(VLOOKUP(J56,بيان,30,0),0)</f>
        <v>0</v>
      </c>
      <c r="J70" s="114"/>
      <c r="K70" s="142" t="str">
        <f>IF(I61=0,"",IF(I61&lt;G61/2,B61,""))</f>
        <v/>
      </c>
      <c r="L70" s="143" t="str">
        <f>IF(I62=0,"",IF(I62&lt;G62/2,B62,""))</f>
        <v/>
      </c>
      <c r="M70" s="143" t="str">
        <f>IF(I63=0,"",IF(I63&lt;G63/2,B63,""))</f>
        <v/>
      </c>
      <c r="N70" s="143" t="str">
        <f>IF(I64=0,"",IF(I64&lt;G64/2,B64,""))</f>
        <v/>
      </c>
      <c r="O70" s="144" t="str">
        <f>IF(I65=0,"",IF(I65&lt;G65/2,B65,""))</f>
        <v/>
      </c>
      <c r="P70" s="112"/>
      <c r="R70" s="113"/>
      <c r="S70" s="126">
        <f>'الفترة الاولى'!$AF$8</f>
        <v>0</v>
      </c>
      <c r="T70" s="118">
        <f>'الفترة الاولى'!$AH$8</f>
        <v>0</v>
      </c>
      <c r="U70" s="119">
        <f t="shared" si="54"/>
        <v>0</v>
      </c>
      <c r="V70" s="119">
        <f t="shared" si="55"/>
        <v>0</v>
      </c>
      <c r="W70" s="120">
        <f t="shared" ref="W70" si="72">U70*0.6</f>
        <v>0</v>
      </c>
      <c r="X70" s="121">
        <f t="shared" ref="X70" si="73">U70*0.3</f>
        <v>0</v>
      </c>
      <c r="Y70" s="122" t="str">
        <f>IFERROR(VLOOKUP(AA56,بيان,29,0),0)</f>
        <v xml:space="preserve"> </v>
      </c>
      <c r="Z70" s="122">
        <f>IFERROR(VLOOKUP(AA56,بيان,30,0),0)</f>
        <v>0</v>
      </c>
      <c r="AA70" s="114"/>
      <c r="AB70" s="142" t="str">
        <f>IF(Z61=0,"",IF(Z61&lt;X61/2,S61,""))</f>
        <v/>
      </c>
      <c r="AC70" s="143" t="str">
        <f>IF(Z62=0,"",IF(Z62&lt;X62/2,S62,""))</f>
        <v/>
      </c>
      <c r="AD70" s="143" t="str">
        <f>IF(Z63=0,"",IF(Z63&lt;X63/2,S63,""))</f>
        <v/>
      </c>
      <c r="AE70" s="143" t="str">
        <f>IF(Z64=0,"",IF(Z64&lt;X64/2,S64,""))</f>
        <v/>
      </c>
      <c r="AF70" s="144" t="str">
        <f>IF(Z65=0,"",IF(Z65&lt;X65/2,S65,""))</f>
        <v/>
      </c>
      <c r="AG70" s="112"/>
      <c r="AI70" s="113"/>
      <c r="AJ70" s="126">
        <f>'الفترة الاولى'!$AF$8</f>
        <v>0</v>
      </c>
      <c r="AK70" s="118">
        <f>'الفترة الاولى'!$AH$8</f>
        <v>0</v>
      </c>
      <c r="AL70" s="119">
        <f t="shared" si="58"/>
        <v>0</v>
      </c>
      <c r="AM70" s="119">
        <f t="shared" si="59"/>
        <v>0</v>
      </c>
      <c r="AN70" s="120">
        <f t="shared" si="66"/>
        <v>0</v>
      </c>
      <c r="AO70" s="121">
        <f t="shared" si="67"/>
        <v>0</v>
      </c>
      <c r="AP70" s="122" t="str">
        <f>IFERROR(VLOOKUP(AR56,بيان,29,0),0)</f>
        <v xml:space="preserve"> </v>
      </c>
      <c r="AQ70" s="122">
        <f>IFERROR(VLOOKUP(AR56,بيان,30,0),0)</f>
        <v>0</v>
      </c>
      <c r="AR70" s="114"/>
      <c r="AS70" s="142" t="str">
        <f>IF(AQ61=0,"",IF(AQ61&lt;AO61/2,AJ61,""))</f>
        <v/>
      </c>
      <c r="AT70" s="143" t="str">
        <f>IF(AQ62=0,"",IF(AQ62&lt;AO62/2,AJ62,""))</f>
        <v/>
      </c>
      <c r="AU70" s="143" t="str">
        <f>IF(AQ63=0,"",IF(AQ63&lt;AO63/2,AJ63,""))</f>
        <v/>
      </c>
      <c r="AV70" s="143" t="str">
        <f>IF(AQ64=0,"",IF(AQ64&lt;AO64/2,AJ64,""))</f>
        <v/>
      </c>
      <c r="AW70" s="144" t="str">
        <f>IF(AQ65=0,"",IF(AQ65&lt;AO65/2,AJ65,""))</f>
        <v/>
      </c>
      <c r="AX70" s="112"/>
      <c r="AY70" s="138"/>
      <c r="AZ70" s="113"/>
      <c r="BA70" s="126">
        <f>'الفترة الاولى'!$AF$8</f>
        <v>0</v>
      </c>
      <c r="BB70" s="118">
        <f>'الفترة الاولى'!$AH$8</f>
        <v>0</v>
      </c>
      <c r="BC70" s="119">
        <f t="shared" si="62"/>
        <v>0</v>
      </c>
      <c r="BD70" s="119">
        <f t="shared" si="63"/>
        <v>0</v>
      </c>
      <c r="BE70" s="120">
        <f t="shared" si="68"/>
        <v>0</v>
      </c>
      <c r="BF70" s="121">
        <f t="shared" si="69"/>
        <v>0</v>
      </c>
      <c r="BG70" s="122" t="str">
        <f>IFERROR(VLOOKUP(BI56,بيان,29,0),0)</f>
        <v xml:space="preserve"> </v>
      </c>
      <c r="BH70" s="122">
        <f>IFERROR(VLOOKUP(BI56,بيان,30,0),0)</f>
        <v>0</v>
      </c>
      <c r="BI70" s="114"/>
      <c r="BJ70" s="142" t="str">
        <f>IF(BH61=0,"",IF(BH61&lt;BF61/2,BA61,""))</f>
        <v/>
      </c>
      <c r="BK70" s="143" t="str">
        <f>IF(BH62=0,"",IF(BH62&lt;BF62/2,BA62,""))</f>
        <v/>
      </c>
      <c r="BL70" s="143" t="str">
        <f>IF(BH63=0,"",IF(BH63&lt;BF63/2,BA63,""))</f>
        <v/>
      </c>
      <c r="BM70" s="143" t="str">
        <f>IF(BH64=0,"",IF(BH64&lt;BF64/2,BA64,""))</f>
        <v/>
      </c>
      <c r="BN70" s="144" t="str">
        <f>IF(BH65=0,"",IF(BH65&lt;BF65/2,BA65,""))</f>
        <v/>
      </c>
      <c r="BO70" s="8"/>
    </row>
    <row r="71" spans="1:74" ht="28.95" customHeight="1" thickBot="1" x14ac:dyDescent="0.3">
      <c r="A71" s="7"/>
      <c r="B71" s="58" t="s">
        <v>9</v>
      </c>
      <c r="C71" s="145"/>
      <c r="D71" s="146">
        <f>SUM(D61:D70)</f>
        <v>1120</v>
      </c>
      <c r="E71" s="119">
        <f t="shared" si="51"/>
        <v>560</v>
      </c>
      <c r="F71" s="120"/>
      <c r="G71" s="121">
        <f>SUM(G61:G70)</f>
        <v>168</v>
      </c>
      <c r="H71" s="122">
        <f>SUM(H61:H70)</f>
        <v>0</v>
      </c>
      <c r="I71" s="122">
        <f>SUM(I61:I70)</f>
        <v>0</v>
      </c>
      <c r="J71" s="114"/>
      <c r="K71" s="142" t="str">
        <f>IF(I66=0,"",IF(I66&lt;G66/2,B66,""))</f>
        <v/>
      </c>
      <c r="L71" s="143" t="str">
        <f>IF(I67=0,"",IF(I67&lt;G67/2,B67,""))</f>
        <v/>
      </c>
      <c r="M71" s="143" t="str">
        <f>IF(I68=0,"",IF(I68&lt;G68/2,B68,""))</f>
        <v/>
      </c>
      <c r="N71" s="143" t="str">
        <f>IF(I69=0,"",IF(I69&lt;G69/2,B69,""))</f>
        <v/>
      </c>
      <c r="O71" s="144" t="str">
        <f>IF(I70=0,"",IF(I70&lt;G70/2,B70,""))</f>
        <v/>
      </c>
      <c r="P71" s="112"/>
      <c r="R71" s="113"/>
      <c r="S71" s="58" t="s">
        <v>9</v>
      </c>
      <c r="T71" s="145"/>
      <c r="U71" s="146">
        <f>SUM(U61:U70)</f>
        <v>1120</v>
      </c>
      <c r="V71" s="119">
        <f t="shared" si="55"/>
        <v>560</v>
      </c>
      <c r="W71" s="120"/>
      <c r="X71" s="121">
        <f>SUM(X61:X70)</f>
        <v>168</v>
      </c>
      <c r="Y71" s="122">
        <f>SUM(Y61:Y70)</f>
        <v>0</v>
      </c>
      <c r="Z71" s="122">
        <f>SUM(Z61:Z70)</f>
        <v>0</v>
      </c>
      <c r="AA71" s="114"/>
      <c r="AB71" s="142" t="str">
        <f>IF(Z66=0,"",IF(Z66&lt;X66/2,S66,""))</f>
        <v/>
      </c>
      <c r="AC71" s="143" t="str">
        <f>IF(Z67=0,"",IF(Z67&lt;X67/2,S67,""))</f>
        <v/>
      </c>
      <c r="AD71" s="143" t="str">
        <f>IF(Z68=0,"",IF(Z68&lt;X68/2,S68,""))</f>
        <v/>
      </c>
      <c r="AE71" s="143" t="str">
        <f>IF(Z69=0,"",IF(Z69&lt;X69/2,S69,""))</f>
        <v/>
      </c>
      <c r="AF71" s="144" t="str">
        <f>IF(Z70=0,"",IF(Z70&lt;X70/2,S70,""))</f>
        <v/>
      </c>
      <c r="AG71" s="112"/>
      <c r="AI71" s="113"/>
      <c r="AJ71" s="58" t="s">
        <v>9</v>
      </c>
      <c r="AK71" s="145"/>
      <c r="AL71" s="146">
        <f>SUM(AL61:AL70)</f>
        <v>1120</v>
      </c>
      <c r="AM71" s="119">
        <f t="shared" si="59"/>
        <v>560</v>
      </c>
      <c r="AN71" s="120"/>
      <c r="AO71" s="121">
        <f>SUM(AO61:AO70)</f>
        <v>180</v>
      </c>
      <c r="AP71" s="122">
        <f>SUM(AP61:AP70)</f>
        <v>0</v>
      </c>
      <c r="AQ71" s="122">
        <f>SUM(AQ61:AQ70)</f>
        <v>0</v>
      </c>
      <c r="AR71" s="114"/>
      <c r="AS71" s="142" t="str">
        <f>IF(AQ66=0,"",IF(AQ66&lt;AO66/2,AJ66,""))</f>
        <v/>
      </c>
      <c r="AT71" s="143" t="str">
        <f>IF(AQ67=0,"",IF(AQ67&lt;AO67/2,AJ67,""))</f>
        <v/>
      </c>
      <c r="AU71" s="143" t="str">
        <f>IF(AQ68=0,"",IF(AQ68&lt;AO68/2,AJ68,""))</f>
        <v/>
      </c>
      <c r="AV71" s="143" t="str">
        <f>IF(AQ69=0,"",IF(AQ69&lt;AO69/2,AJ69,""))</f>
        <v/>
      </c>
      <c r="AW71" s="144" t="str">
        <f>IF(AQ70=0,"",IF(AQ70&lt;AO70/2,AJ70,""))</f>
        <v/>
      </c>
      <c r="AX71" s="112"/>
      <c r="AY71" s="138"/>
      <c r="AZ71" s="113"/>
      <c r="BA71" s="58" t="s">
        <v>9</v>
      </c>
      <c r="BB71" s="145"/>
      <c r="BC71" s="146">
        <f>SUM(BC61:BC70)</f>
        <v>1120</v>
      </c>
      <c r="BD71" s="119">
        <f t="shared" si="63"/>
        <v>560</v>
      </c>
      <c r="BE71" s="120"/>
      <c r="BF71" s="121">
        <f>SUM(BF61:BF70)</f>
        <v>180</v>
      </c>
      <c r="BG71" s="122">
        <f>SUM(BG61:BG70)</f>
        <v>0</v>
      </c>
      <c r="BH71" s="122">
        <f>SUM(BH61:BH70)</f>
        <v>0</v>
      </c>
      <c r="BI71" s="114"/>
      <c r="BJ71" s="142" t="str">
        <f>IF(BH66=0,"",IF(BH66&lt;BF66/2,BA66,""))</f>
        <v/>
      </c>
      <c r="BK71" s="143" t="str">
        <f>IF(BH67=0,"",IF(BH67&lt;BF67/2,BA67,""))</f>
        <v/>
      </c>
      <c r="BL71" s="143" t="str">
        <f>IF(BH68=0,"",IF(BH68&lt;BF68/2,BA68,""))</f>
        <v/>
      </c>
      <c r="BM71" s="143" t="str">
        <f>IF(BH69=0,"",IF(BH69&lt;BF69/2,BA69,""))</f>
        <v/>
      </c>
      <c r="BN71" s="144" t="str">
        <f>IF(BH70=0,"",IF(BH70&lt;BF70/2,BA70,""))</f>
        <v/>
      </c>
      <c r="BO71" s="8"/>
    </row>
    <row r="72" spans="1:74" ht="19.95" customHeight="1" x14ac:dyDescent="0.25">
      <c r="A72" s="7"/>
      <c r="C72" s="114"/>
      <c r="F72" s="114"/>
      <c r="G72" s="114"/>
      <c r="H72" s="114"/>
      <c r="I72" s="114"/>
      <c r="J72" s="114"/>
      <c r="K72" s="148"/>
      <c r="L72" s="148"/>
      <c r="M72" s="148"/>
      <c r="N72" s="148"/>
      <c r="O72" s="148"/>
      <c r="P72" s="112"/>
      <c r="R72" s="113"/>
      <c r="T72" s="114"/>
      <c r="W72" s="114"/>
      <c r="X72" s="114"/>
      <c r="Y72" s="114"/>
      <c r="Z72" s="114"/>
      <c r="AA72" s="114"/>
      <c r="AB72" s="148"/>
      <c r="AC72" s="148"/>
      <c r="AD72" s="148"/>
      <c r="AE72" s="148"/>
      <c r="AF72" s="148"/>
      <c r="AG72" s="112"/>
      <c r="AI72" s="113"/>
      <c r="AK72" s="114"/>
      <c r="AN72" s="114"/>
      <c r="AO72" s="114"/>
      <c r="AP72" s="114"/>
      <c r="AQ72" s="114"/>
      <c r="AR72" s="114"/>
      <c r="AS72" s="148"/>
      <c r="AT72" s="148"/>
      <c r="AU72" s="148"/>
      <c r="AV72" s="148"/>
      <c r="AW72" s="148"/>
      <c r="AX72" s="112"/>
      <c r="AY72" s="138"/>
      <c r="AZ72" s="113"/>
      <c r="BB72" s="114"/>
      <c r="BE72" s="114"/>
      <c r="BF72" s="114"/>
      <c r="BG72" s="114"/>
      <c r="BH72" s="114"/>
      <c r="BI72" s="114"/>
      <c r="BJ72" s="148"/>
      <c r="BK72" s="148"/>
      <c r="BL72" s="148"/>
      <c r="BM72" s="148"/>
      <c r="BN72" s="148"/>
      <c r="BO72" s="8"/>
    </row>
    <row r="73" spans="1:74" ht="14.25" customHeight="1" thickBot="1" x14ac:dyDescent="0.3">
      <c r="A73" s="7"/>
      <c r="B73" s="270" t="s">
        <v>39</v>
      </c>
      <c r="C73" s="260" t="s">
        <v>40</v>
      </c>
      <c r="D73" s="260"/>
      <c r="E73" s="260"/>
      <c r="F73" s="260"/>
      <c r="G73" s="260"/>
      <c r="H73" s="260"/>
      <c r="I73" s="260"/>
      <c r="J73" s="114"/>
      <c r="K73" s="114"/>
      <c r="P73" s="112"/>
      <c r="R73" s="113"/>
      <c r="S73" s="270" t="s">
        <v>39</v>
      </c>
      <c r="T73" s="260" t="s">
        <v>40</v>
      </c>
      <c r="U73" s="260"/>
      <c r="V73" s="260"/>
      <c r="W73" s="260"/>
      <c r="X73" s="260"/>
      <c r="Y73" s="260"/>
      <c r="Z73" s="260"/>
      <c r="AA73" s="114"/>
      <c r="AB73" s="114"/>
      <c r="AG73" s="112"/>
      <c r="AI73" s="113"/>
      <c r="AJ73" s="270" t="s">
        <v>39</v>
      </c>
      <c r="AK73" s="260" t="s">
        <v>40</v>
      </c>
      <c r="AL73" s="260"/>
      <c r="AM73" s="260"/>
      <c r="AN73" s="260"/>
      <c r="AO73" s="260"/>
      <c r="AP73" s="260"/>
      <c r="AQ73" s="260"/>
      <c r="AR73" s="114"/>
      <c r="AS73" s="114"/>
      <c r="AX73" s="112"/>
      <c r="AY73" s="138"/>
      <c r="AZ73" s="113"/>
      <c r="BA73" s="270" t="s">
        <v>39</v>
      </c>
      <c r="BB73" s="260" t="s">
        <v>40</v>
      </c>
      <c r="BC73" s="260"/>
      <c r="BD73" s="260"/>
      <c r="BE73" s="260"/>
      <c r="BF73" s="260"/>
      <c r="BG73" s="260"/>
      <c r="BH73" s="260"/>
      <c r="BI73" s="114"/>
      <c r="BJ73" s="114"/>
      <c r="BO73" s="8"/>
    </row>
    <row r="74" spans="1:74" ht="14.25" customHeight="1" x14ac:dyDescent="0.25">
      <c r="A74" s="7"/>
      <c r="B74" s="270"/>
      <c r="C74" s="260" t="s">
        <v>41</v>
      </c>
      <c r="D74" s="260"/>
      <c r="E74" s="260"/>
      <c r="F74" s="260"/>
      <c r="G74" s="260"/>
      <c r="H74" s="260"/>
      <c r="I74" s="260"/>
      <c r="J74" s="114"/>
      <c r="K74" s="271" t="s">
        <v>36</v>
      </c>
      <c r="L74" s="272"/>
      <c r="M74" s="272"/>
      <c r="N74" s="273"/>
      <c r="P74" s="112"/>
      <c r="R74" s="113"/>
      <c r="S74" s="270"/>
      <c r="T74" s="260" t="s">
        <v>41</v>
      </c>
      <c r="U74" s="260"/>
      <c r="V74" s="260"/>
      <c r="W74" s="260"/>
      <c r="X74" s="260"/>
      <c r="Y74" s="260"/>
      <c r="Z74" s="260"/>
      <c r="AA74" s="114"/>
      <c r="AB74" s="271" t="s">
        <v>36</v>
      </c>
      <c r="AC74" s="272"/>
      <c r="AD74" s="272"/>
      <c r="AE74" s="273"/>
      <c r="AG74" s="112"/>
      <c r="AI74" s="113"/>
      <c r="AJ74" s="270"/>
      <c r="AK74" s="260" t="s">
        <v>41</v>
      </c>
      <c r="AL74" s="260"/>
      <c r="AM74" s="260"/>
      <c r="AN74" s="260"/>
      <c r="AO74" s="260"/>
      <c r="AP74" s="260"/>
      <c r="AQ74" s="260"/>
      <c r="AR74" s="114"/>
      <c r="AS74" s="271" t="s">
        <v>36</v>
      </c>
      <c r="AT74" s="272"/>
      <c r="AU74" s="272"/>
      <c r="AV74" s="273"/>
      <c r="AX74" s="112"/>
      <c r="AY74" s="138"/>
      <c r="AZ74" s="113"/>
      <c r="BA74" s="270"/>
      <c r="BB74" s="260" t="s">
        <v>41</v>
      </c>
      <c r="BC74" s="260"/>
      <c r="BD74" s="260"/>
      <c r="BE74" s="260"/>
      <c r="BF74" s="260"/>
      <c r="BG74" s="260"/>
      <c r="BH74" s="260"/>
      <c r="BI74" s="114"/>
      <c r="BJ74" s="271" t="s">
        <v>36</v>
      </c>
      <c r="BK74" s="272"/>
      <c r="BL74" s="272"/>
      <c r="BM74" s="273"/>
      <c r="BO74" s="8"/>
    </row>
    <row r="75" spans="1:74" ht="12" customHeight="1" thickBot="1" x14ac:dyDescent="0.3">
      <c r="A75" s="7"/>
      <c r="C75" s="114"/>
      <c r="F75" s="114"/>
      <c r="G75" s="114"/>
      <c r="H75" s="114"/>
      <c r="I75" s="114"/>
      <c r="J75" s="114"/>
      <c r="K75" s="266" t="s">
        <v>37</v>
      </c>
      <c r="L75" s="267"/>
      <c r="M75" s="267"/>
      <c r="N75" s="268"/>
      <c r="P75" s="112"/>
      <c r="R75" s="113"/>
      <c r="T75" s="114"/>
      <c r="W75" s="114"/>
      <c r="X75" s="114"/>
      <c r="Y75" s="114"/>
      <c r="Z75" s="114"/>
      <c r="AA75" s="114"/>
      <c r="AB75" s="266" t="s">
        <v>37</v>
      </c>
      <c r="AC75" s="267"/>
      <c r="AD75" s="267"/>
      <c r="AE75" s="268"/>
      <c r="AG75" s="112"/>
      <c r="AI75" s="113"/>
      <c r="AK75" s="114"/>
      <c r="AN75" s="114"/>
      <c r="AO75" s="114"/>
      <c r="AP75" s="114"/>
      <c r="AQ75" s="114"/>
      <c r="AR75" s="114"/>
      <c r="AS75" s="266" t="s">
        <v>37</v>
      </c>
      <c r="AT75" s="267"/>
      <c r="AU75" s="267"/>
      <c r="AV75" s="268"/>
      <c r="AX75" s="112"/>
      <c r="AY75" s="138"/>
      <c r="AZ75" s="113"/>
      <c r="BB75" s="114"/>
      <c r="BE75" s="114"/>
      <c r="BF75" s="114"/>
      <c r="BG75" s="114"/>
      <c r="BH75" s="114"/>
      <c r="BI75" s="114"/>
      <c r="BJ75" s="266" t="s">
        <v>37</v>
      </c>
      <c r="BK75" s="267"/>
      <c r="BL75" s="267"/>
      <c r="BM75" s="268"/>
      <c r="BO75" s="8"/>
    </row>
    <row r="76" spans="1:74" ht="20.100000000000001" customHeight="1" x14ac:dyDescent="0.25">
      <c r="A76" s="7"/>
      <c r="B76" s="262" t="s">
        <v>30</v>
      </c>
      <c r="C76" s="263"/>
      <c r="D76" s="264" t="s">
        <v>29</v>
      </c>
      <c r="E76" s="264"/>
      <c r="F76" s="264"/>
      <c r="G76" s="264" t="s">
        <v>31</v>
      </c>
      <c r="H76" s="264"/>
      <c r="I76" s="264"/>
      <c r="J76" s="114"/>
      <c r="K76" s="269"/>
      <c r="L76" s="267"/>
      <c r="M76" s="267"/>
      <c r="N76" s="268"/>
      <c r="O76" s="149"/>
      <c r="P76" s="112"/>
      <c r="R76" s="113"/>
      <c r="S76" s="265" t="s">
        <v>30</v>
      </c>
      <c r="T76" s="264"/>
      <c r="U76" s="264" t="s">
        <v>29</v>
      </c>
      <c r="V76" s="264"/>
      <c r="W76" s="264"/>
      <c r="X76" s="264" t="s">
        <v>31</v>
      </c>
      <c r="Y76" s="264"/>
      <c r="Z76" s="264"/>
      <c r="AA76" s="114"/>
      <c r="AB76" s="269"/>
      <c r="AC76" s="267"/>
      <c r="AD76" s="267"/>
      <c r="AE76" s="268"/>
      <c r="AF76" s="149"/>
      <c r="AG76" s="112"/>
      <c r="AH76" s="150"/>
      <c r="AI76" s="113"/>
      <c r="AJ76" s="265" t="s">
        <v>30</v>
      </c>
      <c r="AK76" s="264"/>
      <c r="AL76" s="264" t="s">
        <v>29</v>
      </c>
      <c r="AM76" s="264"/>
      <c r="AN76" s="264"/>
      <c r="AO76" s="264" t="s">
        <v>31</v>
      </c>
      <c r="AP76" s="264"/>
      <c r="AQ76" s="264"/>
      <c r="AR76" s="114"/>
      <c r="AS76" s="269"/>
      <c r="AT76" s="267"/>
      <c r="AU76" s="267"/>
      <c r="AV76" s="268"/>
      <c r="AW76" s="149"/>
      <c r="AX76" s="112"/>
      <c r="AY76" s="138"/>
      <c r="AZ76" s="113"/>
      <c r="BA76" s="265" t="s">
        <v>30</v>
      </c>
      <c r="BB76" s="264"/>
      <c r="BC76" s="264" t="s">
        <v>29</v>
      </c>
      <c r="BD76" s="264"/>
      <c r="BE76" s="264"/>
      <c r="BF76" s="264" t="s">
        <v>31</v>
      </c>
      <c r="BG76" s="264"/>
      <c r="BH76" s="264"/>
      <c r="BI76" s="114"/>
      <c r="BJ76" s="269"/>
      <c r="BK76" s="267"/>
      <c r="BL76" s="267"/>
      <c r="BM76" s="268"/>
      <c r="BN76" s="149"/>
      <c r="BO76" s="8"/>
    </row>
    <row r="77" spans="1:74" ht="16.2" customHeight="1" x14ac:dyDescent="0.25">
      <c r="A77" s="7"/>
      <c r="B77" s="258" t="s">
        <v>32</v>
      </c>
      <c r="C77" s="259"/>
      <c r="D77" s="260"/>
      <c r="E77" s="260"/>
      <c r="F77" s="260"/>
      <c r="G77" s="260"/>
      <c r="H77" s="260"/>
      <c r="I77" s="260"/>
      <c r="J77" s="114"/>
      <c r="K77" s="252" t="s">
        <v>38</v>
      </c>
      <c r="L77" s="253"/>
      <c r="M77" s="253"/>
      <c r="N77" s="254"/>
      <c r="O77" s="114"/>
      <c r="P77" s="112"/>
      <c r="R77" s="113"/>
      <c r="S77" s="261" t="s">
        <v>32</v>
      </c>
      <c r="T77" s="260"/>
      <c r="U77" s="260"/>
      <c r="V77" s="260"/>
      <c r="W77" s="260"/>
      <c r="X77" s="260"/>
      <c r="Y77" s="260"/>
      <c r="Z77" s="260"/>
      <c r="AA77" s="114"/>
      <c r="AB77" s="252" t="s">
        <v>38</v>
      </c>
      <c r="AC77" s="253"/>
      <c r="AD77" s="253"/>
      <c r="AE77" s="254"/>
      <c r="AF77" s="114"/>
      <c r="AG77" s="112"/>
      <c r="AH77" s="150"/>
      <c r="AI77" s="113"/>
      <c r="AJ77" s="261" t="s">
        <v>32</v>
      </c>
      <c r="AK77" s="260"/>
      <c r="AL77" s="260"/>
      <c r="AM77" s="260"/>
      <c r="AN77" s="260"/>
      <c r="AO77" s="260"/>
      <c r="AP77" s="260"/>
      <c r="AQ77" s="260"/>
      <c r="AR77" s="114"/>
      <c r="AS77" s="252" t="s">
        <v>38</v>
      </c>
      <c r="AT77" s="253"/>
      <c r="AU77" s="253"/>
      <c r="AV77" s="254"/>
      <c r="AW77" s="114"/>
      <c r="AX77" s="112"/>
      <c r="AY77" s="138"/>
      <c r="AZ77" s="113"/>
      <c r="BA77" s="261" t="s">
        <v>32</v>
      </c>
      <c r="BB77" s="260"/>
      <c r="BC77" s="260"/>
      <c r="BD77" s="260"/>
      <c r="BE77" s="260"/>
      <c r="BF77" s="260"/>
      <c r="BG77" s="260"/>
      <c r="BH77" s="260"/>
      <c r="BI77" s="114"/>
      <c r="BJ77" s="252" t="s">
        <v>38</v>
      </c>
      <c r="BK77" s="253"/>
      <c r="BL77" s="253"/>
      <c r="BM77" s="254"/>
      <c r="BN77" s="114"/>
      <c r="BO77" s="8"/>
    </row>
    <row r="78" spans="1:74" ht="16.2" customHeight="1" thickBot="1" x14ac:dyDescent="0.3">
      <c r="A78" s="7"/>
      <c r="B78" s="258" t="s">
        <v>33</v>
      </c>
      <c r="C78" s="259"/>
      <c r="D78" s="260"/>
      <c r="E78" s="260"/>
      <c r="F78" s="260"/>
      <c r="G78" s="260"/>
      <c r="H78" s="260"/>
      <c r="I78" s="260"/>
      <c r="J78" s="114"/>
      <c r="K78" s="255"/>
      <c r="L78" s="256"/>
      <c r="M78" s="256"/>
      <c r="N78" s="257"/>
      <c r="P78" s="112"/>
      <c r="R78" s="113"/>
      <c r="S78" s="261" t="s">
        <v>33</v>
      </c>
      <c r="T78" s="260"/>
      <c r="U78" s="260"/>
      <c r="V78" s="260"/>
      <c r="W78" s="260"/>
      <c r="X78" s="260"/>
      <c r="Y78" s="260"/>
      <c r="Z78" s="260"/>
      <c r="AA78" s="114"/>
      <c r="AB78" s="255"/>
      <c r="AC78" s="256"/>
      <c r="AD78" s="256"/>
      <c r="AE78" s="257"/>
      <c r="AG78" s="112"/>
      <c r="AH78" s="151"/>
      <c r="AI78" s="113"/>
      <c r="AJ78" s="261" t="s">
        <v>33</v>
      </c>
      <c r="AK78" s="260"/>
      <c r="AL78" s="260"/>
      <c r="AM78" s="260"/>
      <c r="AN78" s="260"/>
      <c r="AO78" s="260"/>
      <c r="AP78" s="260"/>
      <c r="AQ78" s="260"/>
      <c r="AR78" s="114"/>
      <c r="AS78" s="255"/>
      <c r="AT78" s="256"/>
      <c r="AU78" s="256"/>
      <c r="AV78" s="257"/>
      <c r="AX78" s="112"/>
      <c r="AY78" s="138"/>
      <c r="AZ78" s="113"/>
      <c r="BA78" s="261" t="s">
        <v>33</v>
      </c>
      <c r="BB78" s="260"/>
      <c r="BC78" s="260"/>
      <c r="BD78" s="260"/>
      <c r="BE78" s="260"/>
      <c r="BF78" s="260"/>
      <c r="BG78" s="260"/>
      <c r="BH78" s="260"/>
      <c r="BI78" s="114"/>
      <c r="BJ78" s="255"/>
      <c r="BK78" s="256"/>
      <c r="BL78" s="256"/>
      <c r="BM78" s="257"/>
      <c r="BO78" s="8"/>
    </row>
    <row r="79" spans="1:74" ht="16.2" customHeight="1" thickBot="1" x14ac:dyDescent="0.3">
      <c r="A79" s="7"/>
      <c r="B79" s="250" t="s">
        <v>34</v>
      </c>
      <c r="C79" s="251"/>
      <c r="D79" s="248"/>
      <c r="E79" s="248"/>
      <c r="F79" s="248"/>
      <c r="G79" s="248"/>
      <c r="H79" s="248"/>
      <c r="I79" s="248"/>
      <c r="J79" s="114"/>
      <c r="K79" s="148"/>
      <c r="L79" s="148"/>
      <c r="M79" s="148"/>
      <c r="N79" s="148"/>
      <c r="O79" s="148"/>
      <c r="P79" s="112"/>
      <c r="R79" s="113"/>
      <c r="S79" s="249" t="s">
        <v>34</v>
      </c>
      <c r="T79" s="248"/>
      <c r="U79" s="248"/>
      <c r="V79" s="248"/>
      <c r="W79" s="248"/>
      <c r="X79" s="248"/>
      <c r="Y79" s="248"/>
      <c r="Z79" s="248"/>
      <c r="AA79" s="114"/>
      <c r="AB79" s="148"/>
      <c r="AC79" s="148"/>
      <c r="AD79" s="148"/>
      <c r="AE79" s="148"/>
      <c r="AF79" s="148"/>
      <c r="AG79" s="112"/>
      <c r="AI79" s="113"/>
      <c r="AJ79" s="249" t="s">
        <v>34</v>
      </c>
      <c r="AK79" s="248"/>
      <c r="AL79" s="248"/>
      <c r="AM79" s="248"/>
      <c r="AN79" s="248"/>
      <c r="AO79" s="248"/>
      <c r="AP79" s="248"/>
      <c r="AQ79" s="248"/>
      <c r="AR79" s="114"/>
      <c r="AS79" s="148"/>
      <c r="AT79" s="148"/>
      <c r="AU79" s="148"/>
      <c r="AV79" s="148"/>
      <c r="AW79" s="148"/>
      <c r="AX79" s="112"/>
      <c r="AY79" s="138"/>
      <c r="AZ79" s="113"/>
      <c r="BA79" s="249" t="s">
        <v>34</v>
      </c>
      <c r="BB79" s="248"/>
      <c r="BC79" s="248"/>
      <c r="BD79" s="248"/>
      <c r="BE79" s="248"/>
      <c r="BF79" s="248"/>
      <c r="BG79" s="248"/>
      <c r="BH79" s="248"/>
      <c r="BI79" s="114"/>
      <c r="BJ79" s="148"/>
      <c r="BK79" s="148"/>
      <c r="BL79" s="148"/>
      <c r="BM79" s="148"/>
      <c r="BN79" s="148"/>
      <c r="BO79" s="8"/>
    </row>
    <row r="80" spans="1:74" ht="3" customHeight="1" thickBot="1" x14ac:dyDescent="0.3">
      <c r="A80" s="12"/>
      <c r="B80" s="57"/>
      <c r="C80" s="152"/>
      <c r="D80" s="153"/>
      <c r="E80" s="153"/>
      <c r="F80" s="152"/>
      <c r="G80" s="152"/>
      <c r="H80" s="152"/>
      <c r="I80" s="152"/>
      <c r="J80" s="152"/>
      <c r="K80" s="154"/>
      <c r="L80" s="154"/>
      <c r="M80" s="154"/>
      <c r="N80" s="154"/>
      <c r="O80" s="148"/>
      <c r="P80" s="155"/>
      <c r="R80" s="156"/>
      <c r="S80" s="57"/>
      <c r="T80" s="152"/>
      <c r="U80" s="153"/>
      <c r="V80" s="153"/>
      <c r="W80" s="152"/>
      <c r="X80" s="152"/>
      <c r="Y80" s="152"/>
      <c r="Z80" s="152"/>
      <c r="AA80" s="152"/>
      <c r="AB80" s="154"/>
      <c r="AC80" s="154"/>
      <c r="AD80" s="154"/>
      <c r="AE80" s="154"/>
      <c r="AF80" s="148"/>
      <c r="AG80" s="155"/>
      <c r="AI80" s="156"/>
      <c r="AJ80" s="57"/>
      <c r="AK80" s="152"/>
      <c r="AL80" s="153"/>
      <c r="AM80" s="153"/>
      <c r="AN80" s="152"/>
      <c r="AO80" s="152"/>
      <c r="AP80" s="152"/>
      <c r="AQ80" s="152"/>
      <c r="AR80" s="152"/>
      <c r="AS80" s="154"/>
      <c r="AT80" s="154"/>
      <c r="AU80" s="154"/>
      <c r="AV80" s="154"/>
      <c r="AW80" s="154"/>
      <c r="AX80" s="155"/>
      <c r="AY80" s="138"/>
      <c r="AZ80" s="156"/>
      <c r="BA80" s="57"/>
      <c r="BB80" s="152"/>
      <c r="BC80" s="153"/>
      <c r="BD80" s="153"/>
      <c r="BE80" s="152"/>
      <c r="BF80" s="152"/>
      <c r="BG80" s="152"/>
      <c r="BH80" s="152"/>
      <c r="BI80" s="152"/>
      <c r="BJ80" s="154"/>
      <c r="BK80" s="154"/>
      <c r="BL80" s="154"/>
      <c r="BM80" s="154"/>
      <c r="BN80" s="154"/>
      <c r="BO80" s="13"/>
    </row>
    <row r="81" spans="1:74" ht="18.600000000000001" customHeight="1" thickTop="1" thickBot="1" x14ac:dyDescent="0.3"/>
    <row r="82" spans="1:74" ht="15" customHeight="1" thickTop="1" x14ac:dyDescent="0.25">
      <c r="A82" s="10"/>
      <c r="B82" s="316" t="s">
        <v>81</v>
      </c>
      <c r="C82" s="316"/>
      <c r="D82" s="316"/>
      <c r="E82" s="316"/>
      <c r="F82" s="316"/>
      <c r="G82" s="316"/>
      <c r="H82" s="316"/>
      <c r="I82" s="316"/>
      <c r="J82" s="314" t="s">
        <v>48</v>
      </c>
      <c r="K82" s="314"/>
      <c r="L82" s="314"/>
      <c r="M82" s="314"/>
      <c r="N82" s="108"/>
      <c r="O82" s="108">
        <v>20</v>
      </c>
      <c r="P82" s="109"/>
      <c r="R82" s="111"/>
      <c r="S82" s="314" t="s">
        <v>81</v>
      </c>
      <c r="T82" s="314"/>
      <c r="U82" s="314"/>
      <c r="V82" s="314"/>
      <c r="W82" s="314"/>
      <c r="X82" s="314"/>
      <c r="Y82" s="314"/>
      <c r="Z82" s="314"/>
      <c r="AA82" s="314" t="s">
        <v>48</v>
      </c>
      <c r="AB82" s="314"/>
      <c r="AC82" s="314"/>
      <c r="AD82" s="314"/>
      <c r="AE82" s="108"/>
      <c r="AF82" s="108">
        <f>O82+5</f>
        <v>25</v>
      </c>
      <c r="AG82" s="109"/>
      <c r="AI82" s="111"/>
      <c r="AJ82" s="314" t="s">
        <v>81</v>
      </c>
      <c r="AK82" s="314"/>
      <c r="AL82" s="314"/>
      <c r="AM82" s="314"/>
      <c r="AN82" s="314"/>
      <c r="AO82" s="314"/>
      <c r="AP82" s="314"/>
      <c r="AQ82" s="314"/>
      <c r="AR82" s="314" t="s">
        <v>48</v>
      </c>
      <c r="AS82" s="314"/>
      <c r="AT82" s="314"/>
      <c r="AU82" s="314"/>
      <c r="AV82" s="108"/>
      <c r="AW82" s="108">
        <f>AF82+5</f>
        <v>30</v>
      </c>
      <c r="AX82" s="109"/>
      <c r="AZ82" s="111"/>
      <c r="BA82" s="314" t="s">
        <v>81</v>
      </c>
      <c r="BB82" s="314"/>
      <c r="BC82" s="314"/>
      <c r="BD82" s="314"/>
      <c r="BE82" s="314"/>
      <c r="BF82" s="314"/>
      <c r="BG82" s="314"/>
      <c r="BH82" s="314"/>
      <c r="BI82" s="314" t="s">
        <v>48</v>
      </c>
      <c r="BJ82" s="314"/>
      <c r="BK82" s="314"/>
      <c r="BL82" s="314"/>
      <c r="BM82" s="108"/>
      <c r="BN82" s="108">
        <f>AW82+5</f>
        <v>35</v>
      </c>
      <c r="BO82" s="11"/>
      <c r="BV82" s="9">
        <f>SUM(F88:F97)</f>
        <v>336</v>
      </c>
    </row>
    <row r="83" spans="1:74" ht="15" customHeight="1" x14ac:dyDescent="0.25">
      <c r="A83" s="7"/>
      <c r="B83" s="164" t="str">
        <f>'الفترة الاولى'!$A$6</f>
        <v>المدرسة /</v>
      </c>
      <c r="C83" s="310" t="str">
        <f>'الفترة الاولى'!$C$6</f>
        <v>سهول العلم للتعليم الخاص</v>
      </c>
      <c r="D83" s="310"/>
      <c r="E83" s="310"/>
      <c r="F83" s="310"/>
      <c r="G83" s="310"/>
      <c r="H83" s="315" t="s">
        <v>47</v>
      </c>
      <c r="I83" s="315"/>
      <c r="J83" s="315" t="str">
        <f>VLOOKUP(O82,اسم,3,0)</f>
        <v>نورالدين الشعاب سليمان رجب</v>
      </c>
      <c r="K83" s="315"/>
      <c r="L83" s="315"/>
      <c r="M83" s="315"/>
      <c r="N83" s="315"/>
      <c r="O83" s="315"/>
      <c r="P83" s="112"/>
      <c r="R83" s="113"/>
      <c r="S83" s="164" t="str">
        <f>'الفترة الاولى'!$A$6</f>
        <v>المدرسة /</v>
      </c>
      <c r="T83" s="310" t="str">
        <f>'الفترة الاولى'!$C$6</f>
        <v>سهول العلم للتعليم الخاص</v>
      </c>
      <c r="U83" s="310"/>
      <c r="V83" s="310"/>
      <c r="W83" s="310"/>
      <c r="X83" s="310"/>
      <c r="Y83" s="315" t="s">
        <v>47</v>
      </c>
      <c r="Z83" s="315"/>
      <c r="AA83" s="315">
        <f>VLOOKUP(AF82,اسم,3,0)</f>
        <v>0</v>
      </c>
      <c r="AB83" s="315"/>
      <c r="AC83" s="315"/>
      <c r="AD83" s="315"/>
      <c r="AE83" s="315"/>
      <c r="AF83" s="315"/>
      <c r="AG83" s="112"/>
      <c r="AI83" s="113"/>
      <c r="AJ83" s="164" t="str">
        <f>'الفترة الاولى'!$A$6</f>
        <v>المدرسة /</v>
      </c>
      <c r="AK83" s="310" t="str">
        <f>'الفترة الاولى'!$C$6</f>
        <v>سهول العلم للتعليم الخاص</v>
      </c>
      <c r="AL83" s="310"/>
      <c r="AM83" s="310"/>
      <c r="AN83" s="310"/>
      <c r="AO83" s="310"/>
      <c r="AP83" s="315" t="s">
        <v>47</v>
      </c>
      <c r="AQ83" s="315"/>
      <c r="AR83" s="315">
        <f>VLOOKUP(AW82,اسم,3,0)</f>
        <v>0</v>
      </c>
      <c r="AS83" s="315"/>
      <c r="AT83" s="315"/>
      <c r="AU83" s="315"/>
      <c r="AV83" s="315"/>
      <c r="AW83" s="315"/>
      <c r="AX83" s="112"/>
      <c r="AZ83" s="113"/>
      <c r="BA83" s="164" t="str">
        <f>'الفترة الاولى'!$A$6</f>
        <v>المدرسة /</v>
      </c>
      <c r="BB83" s="310" t="str">
        <f>'الفترة الاولى'!$C$6</f>
        <v>سهول العلم للتعليم الخاص</v>
      </c>
      <c r="BC83" s="310"/>
      <c r="BD83" s="310"/>
      <c r="BE83" s="310"/>
      <c r="BF83" s="310"/>
      <c r="BG83" s="315" t="s">
        <v>47</v>
      </c>
      <c r="BH83" s="315"/>
      <c r="BI83" s="315">
        <f>VLOOKUP(BN82,اسم,3,0)</f>
        <v>0</v>
      </c>
      <c r="BJ83" s="315"/>
      <c r="BK83" s="315"/>
      <c r="BL83" s="315"/>
      <c r="BM83" s="315"/>
      <c r="BN83" s="315"/>
      <c r="BO83" s="8"/>
      <c r="BV83" s="9">
        <f>BV82/2</f>
        <v>168</v>
      </c>
    </row>
    <row r="84" spans="1:74" ht="15" customHeight="1" thickBot="1" x14ac:dyDescent="0.3">
      <c r="A84" s="7"/>
      <c r="B84" s="309" t="s">
        <v>86</v>
      </c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112"/>
      <c r="R84" s="113"/>
      <c r="S84" s="309" t="s">
        <v>86</v>
      </c>
      <c r="T84" s="309"/>
      <c r="U84" s="309"/>
      <c r="V84" s="309"/>
      <c r="W84" s="309"/>
      <c r="X84" s="309"/>
      <c r="Y84" s="309"/>
      <c r="Z84" s="309"/>
      <c r="AA84" s="309"/>
      <c r="AB84" s="309"/>
      <c r="AC84" s="309"/>
      <c r="AD84" s="309"/>
      <c r="AE84" s="309"/>
      <c r="AF84" s="309"/>
      <c r="AG84" s="112"/>
      <c r="AI84" s="113"/>
      <c r="AJ84" s="309" t="s">
        <v>86</v>
      </c>
      <c r="AK84" s="309"/>
      <c r="AL84" s="309"/>
      <c r="AM84" s="309"/>
      <c r="AN84" s="309"/>
      <c r="AO84" s="309"/>
      <c r="AP84" s="309"/>
      <c r="AQ84" s="309"/>
      <c r="AR84" s="309"/>
      <c r="AS84" s="309"/>
      <c r="AT84" s="309"/>
      <c r="AU84" s="309"/>
      <c r="AV84" s="309"/>
      <c r="AW84" s="309"/>
      <c r="AX84" s="112"/>
      <c r="AZ84" s="113"/>
      <c r="BA84" s="309" t="s">
        <v>86</v>
      </c>
      <c r="BB84" s="309"/>
      <c r="BC84" s="309"/>
      <c r="BD84" s="309"/>
      <c r="BE84" s="309"/>
      <c r="BF84" s="309"/>
      <c r="BG84" s="309"/>
      <c r="BH84" s="309"/>
      <c r="BI84" s="309"/>
      <c r="BJ84" s="309"/>
      <c r="BK84" s="309"/>
      <c r="BL84" s="309"/>
      <c r="BM84" s="309"/>
      <c r="BN84" s="309"/>
      <c r="BO84" s="8"/>
    </row>
    <row r="85" spans="1:74" ht="18" customHeight="1" thickBot="1" x14ac:dyDescent="0.3">
      <c r="A85" s="7"/>
      <c r="B85" s="311" t="s">
        <v>67</v>
      </c>
      <c r="C85" s="293" t="s">
        <v>25</v>
      </c>
      <c r="D85" s="264" t="s">
        <v>26</v>
      </c>
      <c r="E85" s="264"/>
      <c r="F85" s="264" t="s">
        <v>27</v>
      </c>
      <c r="G85" s="264"/>
      <c r="H85" s="264"/>
      <c r="I85" s="264"/>
      <c r="J85" s="114"/>
      <c r="K85" s="287" t="s">
        <v>35</v>
      </c>
      <c r="L85" s="288"/>
      <c r="M85" s="288"/>
      <c r="N85" s="288"/>
      <c r="O85" s="289"/>
      <c r="P85" s="112"/>
      <c r="R85" s="113"/>
      <c r="S85" s="290" t="s">
        <v>67</v>
      </c>
      <c r="T85" s="293" t="s">
        <v>25</v>
      </c>
      <c r="U85" s="264" t="s">
        <v>26</v>
      </c>
      <c r="V85" s="264"/>
      <c r="W85" s="264" t="s">
        <v>27</v>
      </c>
      <c r="X85" s="264"/>
      <c r="Y85" s="264"/>
      <c r="Z85" s="264"/>
      <c r="AA85" s="114"/>
      <c r="AB85" s="287" t="s">
        <v>35</v>
      </c>
      <c r="AC85" s="288"/>
      <c r="AD85" s="288"/>
      <c r="AE85" s="288"/>
      <c r="AF85" s="289"/>
      <c r="AG85" s="112"/>
      <c r="AI85" s="113"/>
      <c r="AJ85" s="290" t="s">
        <v>67</v>
      </c>
      <c r="AK85" s="293" t="s">
        <v>25</v>
      </c>
      <c r="AL85" s="264" t="s">
        <v>26</v>
      </c>
      <c r="AM85" s="264"/>
      <c r="AN85" s="264" t="s">
        <v>27</v>
      </c>
      <c r="AO85" s="264"/>
      <c r="AP85" s="264"/>
      <c r="AQ85" s="264"/>
      <c r="AR85" s="114"/>
      <c r="AS85" s="287" t="s">
        <v>35</v>
      </c>
      <c r="AT85" s="288"/>
      <c r="AU85" s="288"/>
      <c r="AV85" s="288"/>
      <c r="AW85" s="289"/>
      <c r="AX85" s="112"/>
      <c r="AY85" s="115"/>
      <c r="AZ85" s="113"/>
      <c r="BA85" s="290" t="s">
        <v>67</v>
      </c>
      <c r="BB85" s="293" t="s">
        <v>25</v>
      </c>
      <c r="BC85" s="264" t="s">
        <v>26</v>
      </c>
      <c r="BD85" s="264"/>
      <c r="BE85" s="264" t="s">
        <v>27</v>
      </c>
      <c r="BF85" s="264"/>
      <c r="BG85" s="264"/>
      <c r="BH85" s="264"/>
      <c r="BI85" s="114"/>
      <c r="BJ85" s="287" t="s">
        <v>35</v>
      </c>
      <c r="BK85" s="288"/>
      <c r="BL85" s="288"/>
      <c r="BM85" s="288"/>
      <c r="BN85" s="289"/>
      <c r="BO85" s="8"/>
      <c r="BS85" s="9">
        <v>0</v>
      </c>
      <c r="BT85" s="9" t="s">
        <v>49</v>
      </c>
    </row>
    <row r="86" spans="1:74" ht="19.95" customHeight="1" x14ac:dyDescent="0.25">
      <c r="A86" s="7"/>
      <c r="B86" s="312"/>
      <c r="C86" s="294"/>
      <c r="D86" s="303" t="s">
        <v>28</v>
      </c>
      <c r="E86" s="303" t="s">
        <v>42</v>
      </c>
      <c r="F86" s="305" t="s">
        <v>69</v>
      </c>
      <c r="G86" s="307" t="s">
        <v>68</v>
      </c>
      <c r="H86" s="296" t="s">
        <v>29</v>
      </c>
      <c r="I86" s="296" t="s">
        <v>17</v>
      </c>
      <c r="J86" s="114"/>
      <c r="K86" s="116" t="s">
        <v>51</v>
      </c>
      <c r="L86" s="298" t="str">
        <f>LOOKUP(H98,$BS$4:$BT$8)</f>
        <v>مقبول</v>
      </c>
      <c r="M86" s="298"/>
      <c r="N86" s="298"/>
      <c r="O86" s="299"/>
      <c r="P86" s="112"/>
      <c r="R86" s="113"/>
      <c r="S86" s="291"/>
      <c r="T86" s="294"/>
      <c r="U86" s="303" t="s">
        <v>28</v>
      </c>
      <c r="V86" s="303" t="s">
        <v>42</v>
      </c>
      <c r="W86" s="305" t="s">
        <v>69</v>
      </c>
      <c r="X86" s="307" t="s">
        <v>68</v>
      </c>
      <c r="Y86" s="296" t="s">
        <v>29</v>
      </c>
      <c r="Z86" s="296" t="s">
        <v>17</v>
      </c>
      <c r="AA86" s="114"/>
      <c r="AB86" s="116" t="s">
        <v>51</v>
      </c>
      <c r="AC86" s="298" t="str">
        <f>LOOKUP(Y98,$BS$4:$BT$8)</f>
        <v>ضعيف</v>
      </c>
      <c r="AD86" s="298"/>
      <c r="AE86" s="298"/>
      <c r="AF86" s="299"/>
      <c r="AG86" s="112"/>
      <c r="AI86" s="113"/>
      <c r="AJ86" s="291"/>
      <c r="AK86" s="294"/>
      <c r="AL86" s="303" t="s">
        <v>28</v>
      </c>
      <c r="AM86" s="303" t="s">
        <v>42</v>
      </c>
      <c r="AN86" s="305" t="s">
        <v>69</v>
      </c>
      <c r="AO86" s="307" t="s">
        <v>68</v>
      </c>
      <c r="AP86" s="296" t="s">
        <v>29</v>
      </c>
      <c r="AQ86" s="296" t="s">
        <v>17</v>
      </c>
      <c r="AR86" s="114"/>
      <c r="AS86" s="116" t="s">
        <v>51</v>
      </c>
      <c r="AT86" s="298" t="str">
        <f>LOOKUP(AP98,$BS$4:$BT$8)</f>
        <v>ضعيف</v>
      </c>
      <c r="AU86" s="298"/>
      <c r="AV86" s="298"/>
      <c r="AW86" s="299"/>
      <c r="AX86" s="112"/>
      <c r="AY86" s="115"/>
      <c r="AZ86" s="113"/>
      <c r="BA86" s="291"/>
      <c r="BB86" s="294"/>
      <c r="BC86" s="303" t="s">
        <v>28</v>
      </c>
      <c r="BD86" s="303" t="s">
        <v>42</v>
      </c>
      <c r="BE86" s="305" t="s">
        <v>69</v>
      </c>
      <c r="BF86" s="307" t="s">
        <v>68</v>
      </c>
      <c r="BG86" s="296" t="s">
        <v>29</v>
      </c>
      <c r="BH86" s="296" t="s">
        <v>17</v>
      </c>
      <c r="BI86" s="114"/>
      <c r="BJ86" s="116" t="s">
        <v>51</v>
      </c>
      <c r="BK86" s="298" t="str">
        <f>LOOKUP(BG98,$BS$4:$BT$8)</f>
        <v>ضعيف</v>
      </c>
      <c r="BL86" s="298"/>
      <c r="BM86" s="298"/>
      <c r="BN86" s="299"/>
      <c r="BO86" s="8"/>
      <c r="BS86" s="9">
        <f>BV83*0.5</f>
        <v>84</v>
      </c>
      <c r="BT86" s="9" t="s">
        <v>14</v>
      </c>
    </row>
    <row r="87" spans="1:74" ht="21" thickBot="1" x14ac:dyDescent="0.3">
      <c r="A87" s="7"/>
      <c r="B87" s="313"/>
      <c r="C87" s="295"/>
      <c r="D87" s="304"/>
      <c r="E87" s="304"/>
      <c r="F87" s="306"/>
      <c r="G87" s="308"/>
      <c r="H87" s="297"/>
      <c r="I87" s="297"/>
      <c r="J87" s="117"/>
      <c r="K87" s="300" t="str">
        <f>IF(L86&lt;&gt;"ضعيف","","يحتاج الى اهتمام في المواد ")</f>
        <v/>
      </c>
      <c r="L87" s="301"/>
      <c r="M87" s="301"/>
      <c r="N87" s="301"/>
      <c r="O87" s="302"/>
      <c r="P87" s="112"/>
      <c r="R87" s="113"/>
      <c r="S87" s="292"/>
      <c r="T87" s="295"/>
      <c r="U87" s="304"/>
      <c r="V87" s="304"/>
      <c r="W87" s="306"/>
      <c r="X87" s="308"/>
      <c r="Y87" s="297"/>
      <c r="Z87" s="297"/>
      <c r="AA87" s="117"/>
      <c r="AB87" s="300" t="str">
        <f>IF(AC86&lt;&gt;"ضعيف","","يحتاج الى اهتمام في المواد ")</f>
        <v xml:space="preserve">يحتاج الى اهتمام في المواد </v>
      </c>
      <c r="AC87" s="301"/>
      <c r="AD87" s="301"/>
      <c r="AE87" s="301"/>
      <c r="AF87" s="302"/>
      <c r="AG87" s="112"/>
      <c r="AI87" s="113"/>
      <c r="AJ87" s="292"/>
      <c r="AK87" s="295"/>
      <c r="AL87" s="304"/>
      <c r="AM87" s="304"/>
      <c r="AN87" s="306"/>
      <c r="AO87" s="308"/>
      <c r="AP87" s="297"/>
      <c r="AQ87" s="297"/>
      <c r="AR87" s="117"/>
      <c r="AS87" s="300" t="str">
        <f>IF(AT86&lt;&gt;"ضعيف","","يحتاج الى اهتمام في المواد ")</f>
        <v xml:space="preserve">يحتاج الى اهتمام في المواد </v>
      </c>
      <c r="AT87" s="301"/>
      <c r="AU87" s="301"/>
      <c r="AV87" s="301"/>
      <c r="AW87" s="302"/>
      <c r="AX87" s="112"/>
      <c r="AY87" s="115"/>
      <c r="AZ87" s="113"/>
      <c r="BA87" s="292"/>
      <c r="BB87" s="295"/>
      <c r="BC87" s="304"/>
      <c r="BD87" s="304"/>
      <c r="BE87" s="306"/>
      <c r="BF87" s="308"/>
      <c r="BG87" s="297"/>
      <c r="BH87" s="297"/>
      <c r="BI87" s="117"/>
      <c r="BJ87" s="300" t="str">
        <f>IF(BK86&lt;&gt;"ضعيف","","يحتاج الى اهتمام في المواد ")</f>
        <v xml:space="preserve">يحتاج الى اهتمام في المواد </v>
      </c>
      <c r="BK87" s="301"/>
      <c r="BL87" s="301"/>
      <c r="BM87" s="301"/>
      <c r="BN87" s="302"/>
      <c r="BO87" s="8"/>
      <c r="BS87" s="9">
        <f>BV83*0.65</f>
        <v>109.2</v>
      </c>
      <c r="BT87" s="9" t="s">
        <v>13</v>
      </c>
    </row>
    <row r="88" spans="1:74" ht="28.95" customHeight="1" thickBot="1" x14ac:dyDescent="0.3">
      <c r="A88" s="7"/>
      <c r="B88" s="70" t="str">
        <f>'الفترة الاولى'!$E$8</f>
        <v>التربية الإسلامية</v>
      </c>
      <c r="C88" s="118">
        <f>'الفترة الاولى'!$G$8</f>
        <v>2</v>
      </c>
      <c r="D88" s="119">
        <f>C88*40</f>
        <v>80</v>
      </c>
      <c r="E88" s="119">
        <f>D88*0.5</f>
        <v>40</v>
      </c>
      <c r="F88" s="120">
        <f>D88*0.3</f>
        <v>24</v>
      </c>
      <c r="G88" s="121">
        <f>D88*0.15</f>
        <v>12</v>
      </c>
      <c r="H88" s="122">
        <f>IFERROR(VLOOKUP(J83,بيان,2,0),0)</f>
        <v>9</v>
      </c>
      <c r="I88" s="122">
        <f>IFERROR(VLOOKUP(J83,بيان,3,0),0)</f>
        <v>11</v>
      </c>
      <c r="J88" s="114"/>
      <c r="K88" s="123" t="str">
        <f>IF(H88=0,"",IF(H88&lt;G88/2,B88,""))</f>
        <v/>
      </c>
      <c r="L88" s="124" t="str">
        <f>IF(H89=0,"",IF(H89&lt;G89/2,B89,""))</f>
        <v/>
      </c>
      <c r="M88" s="124" t="str">
        <f>IF(H90=0,"",IF(H90&lt;G90/2,B90,""))</f>
        <v/>
      </c>
      <c r="N88" s="124" t="str">
        <f>IF(H91=0,"",IF(H91&lt;G91/2,B91,""))</f>
        <v/>
      </c>
      <c r="O88" s="125" t="str">
        <f>IF(H92=0,"",IF(H92&lt;G92/2,B92,""))</f>
        <v/>
      </c>
      <c r="P88" s="112"/>
      <c r="R88" s="113"/>
      <c r="S88" s="126" t="str">
        <f>'الفترة الاولى'!$E$8</f>
        <v>التربية الإسلامية</v>
      </c>
      <c r="T88" s="118">
        <f>'الفترة الاولى'!$G$8</f>
        <v>2</v>
      </c>
      <c r="U88" s="119">
        <f>T88*40</f>
        <v>80</v>
      </c>
      <c r="V88" s="119">
        <f>U88*0.5</f>
        <v>40</v>
      </c>
      <c r="W88" s="120">
        <f>U88*0.3</f>
        <v>24</v>
      </c>
      <c r="X88" s="121">
        <f>U88*0.15</f>
        <v>12</v>
      </c>
      <c r="Y88" s="122">
        <f>IFERROR(VLOOKUP(AA83,بيان,2,0),0)</f>
        <v>0</v>
      </c>
      <c r="Z88" s="122">
        <f>IFERROR(VLOOKUP(AA83,بيان,3,0),0)</f>
        <v>0</v>
      </c>
      <c r="AA88" s="114"/>
      <c r="AB88" s="123" t="str">
        <f>IF(Y88=0,"",IF(Y88&lt;X88/2,S88,""))</f>
        <v/>
      </c>
      <c r="AC88" s="124" t="str">
        <f>IF(Y89=0,"",IF(Y89&lt;X89/2,S89,""))</f>
        <v/>
      </c>
      <c r="AD88" s="124" t="str">
        <f>IF(Y90=0,"",IF(Y90&lt;X90/2,S90,""))</f>
        <v/>
      </c>
      <c r="AE88" s="124" t="str">
        <f>IF(Y91=0,"",IF(Y91&lt;X91/2,S91,""))</f>
        <v/>
      </c>
      <c r="AF88" s="125" t="str">
        <f>IF(Y92=0,"",IF(Y92&lt;X92/2,S92,""))</f>
        <v/>
      </c>
      <c r="AG88" s="112"/>
      <c r="AI88" s="113"/>
      <c r="AJ88" s="126" t="str">
        <f>'الفترة الاولى'!$E$8</f>
        <v>التربية الإسلامية</v>
      </c>
      <c r="AK88" s="118">
        <f>'الفترة الاولى'!$G$8</f>
        <v>2</v>
      </c>
      <c r="AL88" s="119">
        <f>AK88*40</f>
        <v>80</v>
      </c>
      <c r="AM88" s="119">
        <f>AL88*0.5</f>
        <v>40</v>
      </c>
      <c r="AN88" s="120">
        <f>AL88*0.3</f>
        <v>24</v>
      </c>
      <c r="AO88" s="121">
        <f>AL88*0.15</f>
        <v>12</v>
      </c>
      <c r="AP88" s="122">
        <f>IFERROR(VLOOKUP(AR83,بيان,2,0),0)</f>
        <v>0</v>
      </c>
      <c r="AQ88" s="122">
        <f>IFERROR(VLOOKUP(AR83,بيان,3,0),0)</f>
        <v>0</v>
      </c>
      <c r="AR88" s="114"/>
      <c r="AS88" s="123" t="str">
        <f>IF(AP88=0,"",IF(AP88&lt;AO88/2,AJ88,""))</f>
        <v/>
      </c>
      <c r="AT88" s="124" t="str">
        <f>IF(AP89=0,"",IF(AP89&lt;AO89/2,AJ89,""))</f>
        <v/>
      </c>
      <c r="AU88" s="124" t="str">
        <f>IF(AP90=0,"",IF(AP90&lt;AO90/2,AJ90,""))</f>
        <v/>
      </c>
      <c r="AV88" s="124" t="str">
        <f>IF(AP91=0,"",IF(AP91&lt;AO91/2,AJ91,""))</f>
        <v/>
      </c>
      <c r="AW88" s="125" t="str">
        <f>IF(AP92=0,"",IF(AP92&lt;AO92/2,AJ92,""))</f>
        <v/>
      </c>
      <c r="AX88" s="112"/>
      <c r="AY88" s="127"/>
      <c r="AZ88" s="113"/>
      <c r="BA88" s="126" t="str">
        <f>'الفترة الاولى'!$E$8</f>
        <v>التربية الإسلامية</v>
      </c>
      <c r="BB88" s="118">
        <f>'الفترة الاولى'!$G$8</f>
        <v>2</v>
      </c>
      <c r="BC88" s="119">
        <f>BB88*40</f>
        <v>80</v>
      </c>
      <c r="BD88" s="119">
        <f>BC88*0.5</f>
        <v>40</v>
      </c>
      <c r="BE88" s="120">
        <f>BC88*0.3</f>
        <v>24</v>
      </c>
      <c r="BF88" s="121">
        <f>BC88*0.15</f>
        <v>12</v>
      </c>
      <c r="BG88" s="122">
        <f>IFERROR(VLOOKUP(BI83,بيان,2,0),0)</f>
        <v>0</v>
      </c>
      <c r="BH88" s="122">
        <f>IFERROR(VLOOKUP(BI83,بيان,3,0),0)</f>
        <v>0</v>
      </c>
      <c r="BI88" s="114"/>
      <c r="BJ88" s="123" t="str">
        <f>IF(BG88=0,"",IF(BG88&lt;BF88/2,BA88,""))</f>
        <v/>
      </c>
      <c r="BK88" s="124" t="str">
        <f>IF(BG89=0,"",IF(BG89&lt;BF89/2,BA89,""))</f>
        <v/>
      </c>
      <c r="BL88" s="124" t="str">
        <f>IF(BG90=0,"",IF(BG90&lt;BF90/2,BA90,""))</f>
        <v/>
      </c>
      <c r="BM88" s="124" t="str">
        <f>IF(BG91=0,"",IF(BG91&lt;BF91/2,BA91,""))</f>
        <v/>
      </c>
      <c r="BN88" s="125" t="str">
        <f>IF(BG92=0,"",IF(BG92&lt;BF92/2,BA92,""))</f>
        <v/>
      </c>
      <c r="BO88" s="8"/>
      <c r="BS88" s="9">
        <f>BV83*0.75</f>
        <v>126</v>
      </c>
      <c r="BT88" s="9" t="s">
        <v>46</v>
      </c>
    </row>
    <row r="89" spans="1:74" ht="28.95" customHeight="1" thickBot="1" x14ac:dyDescent="0.3">
      <c r="A89" s="7"/>
      <c r="B89" s="71" t="str">
        <f>'الفترة الاولى'!$H$8</f>
        <v>النحو والقراءة والنصوص</v>
      </c>
      <c r="C89" s="128">
        <f>'الفترة الاولى'!$J$8</f>
        <v>4</v>
      </c>
      <c r="D89" s="129">
        <f t="shared" ref="D89:D97" si="74">C89*40</f>
        <v>160</v>
      </c>
      <c r="E89" s="129">
        <f t="shared" ref="E89:E98" si="75">D89*0.5</f>
        <v>80</v>
      </c>
      <c r="F89" s="120">
        <f t="shared" ref="F89:F94" si="76">D89*0.3</f>
        <v>48</v>
      </c>
      <c r="G89" s="121">
        <f t="shared" ref="G89:G94" si="77">D89*0.15</f>
        <v>24</v>
      </c>
      <c r="H89" s="122">
        <f>IFERROR(VLOOKUP(J83,بيان,5,0),0)</f>
        <v>12</v>
      </c>
      <c r="I89" s="122">
        <f>IFERROR(VLOOKUP(J83,بيان,6,0),0)</f>
        <v>12</v>
      </c>
      <c r="J89" s="114"/>
      <c r="K89" s="130" t="str">
        <f>IF(H93=0,"",IF(H93&lt;G93/2,B93,""))</f>
        <v>الرياضيات</v>
      </c>
      <c r="L89" s="131" t="str">
        <f>IF(H94=0,"",IF(H94&lt;G94/2,B94,""))</f>
        <v/>
      </c>
      <c r="M89" s="131" t="str">
        <f>IF(H95=0,"",IF(H95&lt;G95/2,B95,""))</f>
        <v/>
      </c>
      <c r="N89" s="131" t="str">
        <f>IF(H96=0,"",IF(H96&lt;G96/2,B96,""))</f>
        <v/>
      </c>
      <c r="O89" s="132" t="str">
        <f>IF(H97=0,"",IF(H97&lt;G97/2,B97,""))</f>
        <v/>
      </c>
      <c r="P89" s="112"/>
      <c r="R89" s="113"/>
      <c r="S89" s="133" t="str">
        <f>'الفترة الاولى'!$H$8</f>
        <v>النحو والقراءة والنصوص</v>
      </c>
      <c r="T89" s="128">
        <f>'الفترة الاولى'!$J$8</f>
        <v>4</v>
      </c>
      <c r="U89" s="129">
        <f t="shared" ref="U89:U97" si="78">T89*40</f>
        <v>160</v>
      </c>
      <c r="V89" s="129">
        <f t="shared" ref="V89:V98" si="79">U89*0.5</f>
        <v>80</v>
      </c>
      <c r="W89" s="120">
        <f t="shared" ref="W89:W94" si="80">U89*0.3</f>
        <v>48</v>
      </c>
      <c r="X89" s="121">
        <f t="shared" ref="X89:X94" si="81">U89*0.15</f>
        <v>24</v>
      </c>
      <c r="Y89" s="122">
        <f>IFERROR(VLOOKUP(AA83,بيان,5,0),0)</f>
        <v>0</v>
      </c>
      <c r="Z89" s="122">
        <f>IFERROR(VLOOKUP(AA83,بيان,6,0),0)</f>
        <v>0</v>
      </c>
      <c r="AA89" s="114"/>
      <c r="AB89" s="130" t="str">
        <f>IF(Y93=0,"",IF(Y93&lt;X93/2,S93,""))</f>
        <v/>
      </c>
      <c r="AC89" s="131" t="str">
        <f>IF(Y94=0,"",IF(Y94&lt;X94/2,S94,""))</f>
        <v/>
      </c>
      <c r="AD89" s="131" t="str">
        <f>IF(Y95=0,"",IF(Y95&lt;X95/2,S95,""))</f>
        <v/>
      </c>
      <c r="AE89" s="131" t="str">
        <f>IF(Y96=0,"",IF(Y96&lt;X96/2,S96,""))</f>
        <v/>
      </c>
      <c r="AF89" s="132" t="str">
        <f>IF(Y97=0,"",IF(Y97&lt;X97/2,S97,""))</f>
        <v/>
      </c>
      <c r="AG89" s="112"/>
      <c r="AI89" s="113"/>
      <c r="AJ89" s="133" t="str">
        <f>'الفترة الاولى'!$H$8</f>
        <v>النحو والقراءة والنصوص</v>
      </c>
      <c r="AK89" s="128">
        <f>'الفترة الاولى'!$J$8</f>
        <v>4</v>
      </c>
      <c r="AL89" s="129">
        <f t="shared" ref="AL89:AL97" si="82">AK89*40</f>
        <v>160</v>
      </c>
      <c r="AM89" s="129">
        <f t="shared" ref="AM89:AM98" si="83">AL89*0.5</f>
        <v>80</v>
      </c>
      <c r="AN89" s="120">
        <f t="shared" ref="AN89:AN95" si="84">AL89*0.3</f>
        <v>48</v>
      </c>
      <c r="AO89" s="121">
        <f t="shared" ref="AO89:AO95" si="85">AL89*0.15</f>
        <v>24</v>
      </c>
      <c r="AP89" s="122">
        <f>IFERROR(VLOOKUP(AR83,بيان,5,0),0)</f>
        <v>0</v>
      </c>
      <c r="AQ89" s="122">
        <f>IFERROR(VLOOKUP(AR83,بيان,6,0),0)</f>
        <v>0</v>
      </c>
      <c r="AR89" s="114"/>
      <c r="AS89" s="130" t="str">
        <f>IF(AP93=0,"",IF(AP93&lt;AO93/2,AJ93,""))</f>
        <v/>
      </c>
      <c r="AT89" s="131" t="str">
        <f>IF(AP94=0,"",IF(AP94&lt;AO94/2,AJ94,""))</f>
        <v/>
      </c>
      <c r="AU89" s="131" t="str">
        <f>IF(AP95=0,"",IF(AP95&lt;AO95/2,AJ95,""))</f>
        <v/>
      </c>
      <c r="AV89" s="131" t="str">
        <f>IF(AP96=0,"",IF(AP96&lt;AO96/2,AJ96,""))</f>
        <v/>
      </c>
      <c r="AW89" s="132" t="str">
        <f>IF(AP97=0,"",IF(AP97&lt;AO97/2,AJ97,""))</f>
        <v/>
      </c>
      <c r="AX89" s="112"/>
      <c r="AY89" s="134"/>
      <c r="AZ89" s="113"/>
      <c r="BA89" s="133" t="str">
        <f>'الفترة الاولى'!$H$8</f>
        <v>النحو والقراءة والنصوص</v>
      </c>
      <c r="BB89" s="128">
        <f>'الفترة الاولى'!$J$8</f>
        <v>4</v>
      </c>
      <c r="BC89" s="129">
        <f t="shared" ref="BC89:BC97" si="86">BB89*40</f>
        <v>160</v>
      </c>
      <c r="BD89" s="129">
        <f t="shared" ref="BD89:BD98" si="87">BC89*0.5</f>
        <v>80</v>
      </c>
      <c r="BE89" s="120">
        <f t="shared" ref="BE89:BE95" si="88">BC89*0.3</f>
        <v>48</v>
      </c>
      <c r="BF89" s="121">
        <f t="shared" ref="BF89:BF95" si="89">BC89*0.15</f>
        <v>24</v>
      </c>
      <c r="BG89" s="122">
        <f>IFERROR(VLOOKUP(BI83,بيان,5,0),0)</f>
        <v>0</v>
      </c>
      <c r="BH89" s="122">
        <f>IFERROR(VLOOKUP(BI83,بيان,6,0),0)</f>
        <v>0</v>
      </c>
      <c r="BI89" s="114"/>
      <c r="BJ89" s="130" t="str">
        <f>IF(BG93=0,"",IF(BG93&lt;BF93/2,BA93,""))</f>
        <v/>
      </c>
      <c r="BK89" s="131" t="str">
        <f>IF(BG94=0,"",IF(BG94&lt;BF94/2,BA94,""))</f>
        <v/>
      </c>
      <c r="BL89" s="131" t="str">
        <f>IF(BG95=0,"",IF(BG95&lt;BF95/2,BA95,""))</f>
        <v/>
      </c>
      <c r="BM89" s="131" t="str">
        <f>IF(BG96=0,"",IF(BG96&lt;BF96/2,BA96,""))</f>
        <v/>
      </c>
      <c r="BN89" s="132" t="str">
        <f>IF(BG97=0,"",IF(BG97&lt;BF97/2,BA97,""))</f>
        <v/>
      </c>
      <c r="BO89" s="8"/>
      <c r="BS89" s="9">
        <f>BV83*0.85</f>
        <v>142.79999999999998</v>
      </c>
      <c r="BT89" s="9" t="s">
        <v>12</v>
      </c>
    </row>
    <row r="90" spans="1:74" ht="28.95" customHeight="1" thickBot="1" x14ac:dyDescent="0.3">
      <c r="A90" s="7"/>
      <c r="B90" s="70" t="str">
        <f>'الفترة الاولى'!$K$8</f>
        <v>الكتابة (الخط والاملاء والخط )</v>
      </c>
      <c r="C90" s="118">
        <f>'الفترة الاولى'!$M$8</f>
        <v>2</v>
      </c>
      <c r="D90" s="119">
        <f t="shared" si="74"/>
        <v>80</v>
      </c>
      <c r="E90" s="119">
        <f t="shared" si="75"/>
        <v>40</v>
      </c>
      <c r="F90" s="120">
        <f t="shared" si="76"/>
        <v>24</v>
      </c>
      <c r="G90" s="121">
        <f t="shared" si="77"/>
        <v>12</v>
      </c>
      <c r="H90" s="122">
        <f>IFERROR(VLOOKUP(J83,بيان,8,0),0)</f>
        <v>8</v>
      </c>
      <c r="I90" s="122">
        <f>IFERROR(VLOOKUP(J83,بيان,9,0),0)</f>
        <v>6</v>
      </c>
      <c r="J90" s="114"/>
      <c r="K90" s="135"/>
      <c r="L90" s="136"/>
      <c r="M90" s="136"/>
      <c r="N90" s="136"/>
      <c r="O90" s="137"/>
      <c r="P90" s="112"/>
      <c r="R90" s="113"/>
      <c r="S90" s="126" t="str">
        <f>'الفترة الاولى'!$K$8</f>
        <v>الكتابة (الخط والاملاء والخط )</v>
      </c>
      <c r="T90" s="118">
        <f>'الفترة الاولى'!$M$8</f>
        <v>2</v>
      </c>
      <c r="U90" s="119">
        <f t="shared" si="78"/>
        <v>80</v>
      </c>
      <c r="V90" s="119">
        <f t="shared" si="79"/>
        <v>40</v>
      </c>
      <c r="W90" s="120">
        <f t="shared" si="80"/>
        <v>24</v>
      </c>
      <c r="X90" s="121">
        <f t="shared" si="81"/>
        <v>12</v>
      </c>
      <c r="Y90" s="122">
        <f>IFERROR(VLOOKUP(AA83,بيان,8,0),0)</f>
        <v>0</v>
      </c>
      <c r="Z90" s="122" t="str">
        <f>IFERROR(VLOOKUP(AA83,بيان,9,0),0)</f>
        <v xml:space="preserve">أقر أنا   </v>
      </c>
      <c r="AA90" s="114"/>
      <c r="AB90" s="135"/>
      <c r="AC90" s="136"/>
      <c r="AD90" s="136"/>
      <c r="AE90" s="136"/>
      <c r="AF90" s="137"/>
      <c r="AG90" s="112"/>
      <c r="AI90" s="113"/>
      <c r="AJ90" s="126" t="str">
        <f>'الفترة الاولى'!$K$8</f>
        <v>الكتابة (الخط والاملاء والخط )</v>
      </c>
      <c r="AK90" s="118">
        <f>'الفترة الاولى'!$M$8</f>
        <v>2</v>
      </c>
      <c r="AL90" s="119">
        <f t="shared" si="82"/>
        <v>80</v>
      </c>
      <c r="AM90" s="119">
        <f t="shared" si="83"/>
        <v>40</v>
      </c>
      <c r="AN90" s="120">
        <f t="shared" si="84"/>
        <v>24</v>
      </c>
      <c r="AO90" s="121">
        <f t="shared" si="85"/>
        <v>12</v>
      </c>
      <c r="AP90" s="122">
        <f>IFERROR(VLOOKUP(AR83,بيان,8,0),0)</f>
        <v>0</v>
      </c>
      <c r="AQ90" s="122" t="str">
        <f>IFERROR(VLOOKUP(AR83,بيان,9,0),0)</f>
        <v xml:space="preserve">أقر أنا   </v>
      </c>
      <c r="AR90" s="114"/>
      <c r="AS90" s="135"/>
      <c r="AT90" s="136"/>
      <c r="AU90" s="136"/>
      <c r="AV90" s="136"/>
      <c r="AW90" s="137"/>
      <c r="AX90" s="112"/>
      <c r="AY90" s="138"/>
      <c r="AZ90" s="113"/>
      <c r="BA90" s="126" t="str">
        <f>'الفترة الاولى'!$K$8</f>
        <v>الكتابة (الخط والاملاء والخط )</v>
      </c>
      <c r="BB90" s="118">
        <f>'الفترة الاولى'!$M$8</f>
        <v>2</v>
      </c>
      <c r="BC90" s="119">
        <f t="shared" si="86"/>
        <v>80</v>
      </c>
      <c r="BD90" s="119">
        <f t="shared" si="87"/>
        <v>40</v>
      </c>
      <c r="BE90" s="120">
        <f t="shared" si="88"/>
        <v>24</v>
      </c>
      <c r="BF90" s="121">
        <f t="shared" si="89"/>
        <v>12</v>
      </c>
      <c r="BG90" s="122">
        <f>IFERROR(VLOOKUP(BI83,بيان,8,0),0)</f>
        <v>0</v>
      </c>
      <c r="BH90" s="122" t="str">
        <f>IFERROR(VLOOKUP(BI83,بيان,9,0),0)</f>
        <v xml:space="preserve">أقر أنا   </v>
      </c>
      <c r="BI90" s="114"/>
      <c r="BJ90" s="135"/>
      <c r="BK90" s="136"/>
      <c r="BL90" s="136"/>
      <c r="BM90" s="136"/>
      <c r="BN90" s="137"/>
      <c r="BO90" s="8"/>
    </row>
    <row r="91" spans="1:74" ht="28.95" customHeight="1" thickBot="1" x14ac:dyDescent="0.3">
      <c r="A91" s="7"/>
      <c r="B91" s="71" t="str">
        <f>'الفترة الاولى'!$N$8</f>
        <v>الإنجليزي</v>
      </c>
      <c r="C91" s="128">
        <f>'الفترة الاولى'!$P$8</f>
        <v>4</v>
      </c>
      <c r="D91" s="129">
        <f t="shared" si="74"/>
        <v>160</v>
      </c>
      <c r="E91" s="129">
        <f t="shared" si="75"/>
        <v>80</v>
      </c>
      <c r="F91" s="120">
        <f t="shared" si="76"/>
        <v>48</v>
      </c>
      <c r="G91" s="121">
        <f t="shared" si="77"/>
        <v>24</v>
      </c>
      <c r="H91" s="122">
        <f>IFERROR(VLOOKUP(J83,بيان,11,0),0)</f>
        <v>19</v>
      </c>
      <c r="I91" s="122">
        <f>IFERROR(VLOOKUP(J83,بيان,12,0),0)</f>
        <v>21</v>
      </c>
      <c r="J91" s="114"/>
      <c r="K91" s="269" t="s">
        <v>43</v>
      </c>
      <c r="L91" s="267"/>
      <c r="M91" s="267"/>
      <c r="N91" s="267"/>
      <c r="O91" s="268"/>
      <c r="P91" s="112"/>
      <c r="R91" s="113"/>
      <c r="S91" s="133" t="str">
        <f>'الفترة الاولى'!$N$8</f>
        <v>الإنجليزي</v>
      </c>
      <c r="T91" s="128">
        <f>'الفترة الاولى'!$P$8</f>
        <v>4</v>
      </c>
      <c r="U91" s="129">
        <f t="shared" si="78"/>
        <v>160</v>
      </c>
      <c r="V91" s="129">
        <f t="shared" si="79"/>
        <v>80</v>
      </c>
      <c r="W91" s="120">
        <f t="shared" si="80"/>
        <v>48</v>
      </c>
      <c r="X91" s="121">
        <f t="shared" si="81"/>
        <v>24</v>
      </c>
      <c r="Y91" s="122">
        <f>IFERROR(VLOOKUP(AA83,بيان,11,0),0)</f>
        <v>0</v>
      </c>
      <c r="Z91" s="122" t="str">
        <f>IFERROR(VLOOKUP(AA83,بيان,12,0),0)</f>
        <v>أ. فهيم عبدالمجيد بوازويتة</v>
      </c>
      <c r="AA91" s="114"/>
      <c r="AB91" s="269" t="s">
        <v>43</v>
      </c>
      <c r="AC91" s="267"/>
      <c r="AD91" s="267"/>
      <c r="AE91" s="267"/>
      <c r="AF91" s="268"/>
      <c r="AG91" s="112"/>
      <c r="AI91" s="113"/>
      <c r="AJ91" s="133" t="str">
        <f>'الفترة الاولى'!$N$8</f>
        <v>الإنجليزي</v>
      </c>
      <c r="AK91" s="128">
        <f>'الفترة الاولى'!$P$8</f>
        <v>4</v>
      </c>
      <c r="AL91" s="129">
        <f t="shared" si="82"/>
        <v>160</v>
      </c>
      <c r="AM91" s="129">
        <f t="shared" si="83"/>
        <v>80</v>
      </c>
      <c r="AN91" s="120">
        <f t="shared" si="84"/>
        <v>48</v>
      </c>
      <c r="AO91" s="121">
        <f t="shared" si="85"/>
        <v>24</v>
      </c>
      <c r="AP91" s="122">
        <f>IFERROR(VLOOKUP(AR83,بيان,11,0),0)</f>
        <v>0</v>
      </c>
      <c r="AQ91" s="122" t="str">
        <f>IFERROR(VLOOKUP(AR83,بيان,12,0),0)</f>
        <v>أ. فهيم عبدالمجيد بوازويتة</v>
      </c>
      <c r="AR91" s="114"/>
      <c r="AS91" s="269" t="s">
        <v>43</v>
      </c>
      <c r="AT91" s="267"/>
      <c r="AU91" s="267"/>
      <c r="AV91" s="267"/>
      <c r="AW91" s="268"/>
      <c r="AX91" s="112"/>
      <c r="AY91" s="138"/>
      <c r="AZ91" s="113"/>
      <c r="BA91" s="133" t="str">
        <f>'الفترة الاولى'!$N$8</f>
        <v>الإنجليزي</v>
      </c>
      <c r="BB91" s="128">
        <f>'الفترة الاولى'!$P$8</f>
        <v>4</v>
      </c>
      <c r="BC91" s="129">
        <f t="shared" si="86"/>
        <v>160</v>
      </c>
      <c r="BD91" s="129">
        <f t="shared" si="87"/>
        <v>80</v>
      </c>
      <c r="BE91" s="120">
        <f t="shared" si="88"/>
        <v>48</v>
      </c>
      <c r="BF91" s="121">
        <f t="shared" si="89"/>
        <v>24</v>
      </c>
      <c r="BG91" s="122">
        <f>IFERROR(VLOOKUP(BI83,بيان,11,0),0)</f>
        <v>0</v>
      </c>
      <c r="BH91" s="122" t="str">
        <f>IFERROR(VLOOKUP(BI83,بيان,12,0),0)</f>
        <v>أ. فهيم عبدالمجيد بوازويتة</v>
      </c>
      <c r="BI91" s="114"/>
      <c r="BJ91" s="269" t="s">
        <v>43</v>
      </c>
      <c r="BK91" s="267"/>
      <c r="BL91" s="267"/>
      <c r="BM91" s="267"/>
      <c r="BN91" s="268"/>
      <c r="BO91" s="8"/>
    </row>
    <row r="92" spans="1:74" ht="28.95" customHeight="1" thickBot="1" x14ac:dyDescent="0.3">
      <c r="A92" s="7"/>
      <c r="B92" s="70" t="str">
        <f>'الفترة الاولى'!$Q$8</f>
        <v>الحاسوب</v>
      </c>
      <c r="C92" s="118">
        <f>'الفترة الاولى'!$S$8</f>
        <v>2</v>
      </c>
      <c r="D92" s="119">
        <f t="shared" si="74"/>
        <v>80</v>
      </c>
      <c r="E92" s="119">
        <f t="shared" si="75"/>
        <v>40</v>
      </c>
      <c r="F92" s="120">
        <f t="shared" si="76"/>
        <v>24</v>
      </c>
      <c r="G92" s="121">
        <f t="shared" si="77"/>
        <v>12</v>
      </c>
      <c r="H92" s="139">
        <f>IFERROR(VLOOKUP(J83,بيان,14,0),0)</f>
        <v>12</v>
      </c>
      <c r="I92" s="122">
        <f>IFERROR(VLOOKUP(J83,بيان,15,0),0)</f>
        <v>10</v>
      </c>
      <c r="J92" s="114"/>
      <c r="K92" s="284" t="str">
        <f>'الفترة الاولى'!$CA$16</f>
        <v>أ. فهيم عبدالمجيد بوازويتة</v>
      </c>
      <c r="L92" s="285"/>
      <c r="M92" s="285"/>
      <c r="N92" s="285"/>
      <c r="O92" s="286"/>
      <c r="P92" s="112"/>
      <c r="R92" s="113"/>
      <c r="S92" s="126" t="str">
        <f>'الفترة الاولى'!$Q$8</f>
        <v>الحاسوب</v>
      </c>
      <c r="T92" s="118">
        <f>'الفترة الاولى'!$S$8</f>
        <v>2</v>
      </c>
      <c r="U92" s="119">
        <f t="shared" si="78"/>
        <v>80</v>
      </c>
      <c r="V92" s="119">
        <f t="shared" si="79"/>
        <v>40</v>
      </c>
      <c r="W92" s="120">
        <f t="shared" si="80"/>
        <v>24</v>
      </c>
      <c r="X92" s="121">
        <f t="shared" si="81"/>
        <v>12</v>
      </c>
      <c r="Y92" s="139">
        <f>IFERROR(VLOOKUP(AA83,بيان,14,0),0)</f>
        <v>0</v>
      </c>
      <c r="Z92" s="122">
        <f>IFERROR(VLOOKUP(AA83,بيان,15,0),0)</f>
        <v>0</v>
      </c>
      <c r="AA92" s="114"/>
      <c r="AB92" s="284" t="str">
        <f>'الفترة الاولى'!$CA$16</f>
        <v>أ. فهيم عبدالمجيد بوازويتة</v>
      </c>
      <c r="AC92" s="285"/>
      <c r="AD92" s="285"/>
      <c r="AE92" s="285"/>
      <c r="AF92" s="286"/>
      <c r="AG92" s="112"/>
      <c r="AI92" s="113"/>
      <c r="AJ92" s="126" t="str">
        <f>'الفترة الاولى'!$Q$8</f>
        <v>الحاسوب</v>
      </c>
      <c r="AK92" s="118">
        <f>'الفترة الاولى'!$S$8</f>
        <v>2</v>
      </c>
      <c r="AL92" s="119">
        <f t="shared" si="82"/>
        <v>80</v>
      </c>
      <c r="AM92" s="119">
        <f t="shared" si="83"/>
        <v>40</v>
      </c>
      <c r="AN92" s="120">
        <f t="shared" si="84"/>
        <v>24</v>
      </c>
      <c r="AO92" s="121">
        <f t="shared" si="85"/>
        <v>12</v>
      </c>
      <c r="AP92" s="139">
        <f>IFERROR(VLOOKUP(AR83,بيان,14,0),0)</f>
        <v>0</v>
      </c>
      <c r="AQ92" s="122">
        <f>IFERROR(VLOOKUP(AR83,بيان,15,0),0)</f>
        <v>0</v>
      </c>
      <c r="AR92" s="114"/>
      <c r="AS92" s="284" t="str">
        <f>'الفترة الاولى'!$CA$16</f>
        <v>أ. فهيم عبدالمجيد بوازويتة</v>
      </c>
      <c r="AT92" s="285"/>
      <c r="AU92" s="285"/>
      <c r="AV92" s="285"/>
      <c r="AW92" s="286"/>
      <c r="AX92" s="112"/>
      <c r="AY92" s="138"/>
      <c r="AZ92" s="113"/>
      <c r="BA92" s="126" t="str">
        <f>'الفترة الاولى'!$Q$8</f>
        <v>الحاسوب</v>
      </c>
      <c r="BB92" s="118">
        <f>'الفترة الاولى'!$S$8</f>
        <v>2</v>
      </c>
      <c r="BC92" s="119">
        <f t="shared" si="86"/>
        <v>80</v>
      </c>
      <c r="BD92" s="119">
        <f t="shared" si="87"/>
        <v>40</v>
      </c>
      <c r="BE92" s="120">
        <f t="shared" si="88"/>
        <v>24</v>
      </c>
      <c r="BF92" s="121">
        <f t="shared" si="89"/>
        <v>12</v>
      </c>
      <c r="BG92" s="139">
        <f>IFERROR(VLOOKUP(BI83,بيان,14,0),0)</f>
        <v>0</v>
      </c>
      <c r="BH92" s="122">
        <f>IFERROR(VLOOKUP(BI83,بيان,15,0),0)</f>
        <v>0</v>
      </c>
      <c r="BI92" s="114"/>
      <c r="BJ92" s="284" t="str">
        <f>'الفترة الاولى'!$CA$16</f>
        <v>أ. فهيم عبدالمجيد بوازويتة</v>
      </c>
      <c r="BK92" s="285"/>
      <c r="BL92" s="285"/>
      <c r="BM92" s="285"/>
      <c r="BN92" s="286"/>
      <c r="BO92" s="8"/>
      <c r="BV92" s="49"/>
    </row>
    <row r="93" spans="1:74" ht="28.95" customHeight="1" thickBot="1" x14ac:dyDescent="0.3">
      <c r="A93" s="7"/>
      <c r="B93" s="71" t="str">
        <f>'الفترة الاولى'!$T$8</f>
        <v>الرياضيات</v>
      </c>
      <c r="C93" s="128">
        <f>'الفترة الاولى'!$V$8</f>
        <v>5</v>
      </c>
      <c r="D93" s="129">
        <f t="shared" si="74"/>
        <v>200</v>
      </c>
      <c r="E93" s="129">
        <f t="shared" si="75"/>
        <v>100</v>
      </c>
      <c r="F93" s="120">
        <f t="shared" si="76"/>
        <v>60</v>
      </c>
      <c r="G93" s="121">
        <f t="shared" si="77"/>
        <v>30</v>
      </c>
      <c r="H93" s="122">
        <f>IFERROR(VLOOKUP(J83,بيان,17,0),0)</f>
        <v>13</v>
      </c>
      <c r="I93" s="122">
        <f>IFERROR(VLOOKUP(J83,بيان,18,0),0)</f>
        <v>6</v>
      </c>
      <c r="J93" s="114"/>
      <c r="K93" s="140" t="s">
        <v>44</v>
      </c>
      <c r="L93" s="279">
        <f ca="1">TODAY()</f>
        <v>46181</v>
      </c>
      <c r="M93" s="279"/>
      <c r="N93" s="279"/>
      <c r="O93" s="280"/>
      <c r="P93" s="112"/>
      <c r="R93" s="113"/>
      <c r="S93" s="133" t="str">
        <f>'الفترة الاولى'!$T$8</f>
        <v>الرياضيات</v>
      </c>
      <c r="T93" s="128">
        <f>'الفترة الاولى'!$V$8</f>
        <v>5</v>
      </c>
      <c r="U93" s="129">
        <f t="shared" si="78"/>
        <v>200</v>
      </c>
      <c r="V93" s="129">
        <f t="shared" si="79"/>
        <v>100</v>
      </c>
      <c r="W93" s="120">
        <f t="shared" si="80"/>
        <v>60</v>
      </c>
      <c r="X93" s="121">
        <f t="shared" si="81"/>
        <v>30</v>
      </c>
      <c r="Y93" s="122">
        <f>IFERROR(VLOOKUP(AA83,بيان,17,0),0)</f>
        <v>0</v>
      </c>
      <c r="Z93" s="122">
        <f>IFERROR(VLOOKUP(AA83,بيان,18,0),0)</f>
        <v>0</v>
      </c>
      <c r="AA93" s="114"/>
      <c r="AB93" s="140" t="s">
        <v>44</v>
      </c>
      <c r="AC93" s="279">
        <f ca="1">TODAY()</f>
        <v>46181</v>
      </c>
      <c r="AD93" s="279"/>
      <c r="AE93" s="279"/>
      <c r="AF93" s="280"/>
      <c r="AG93" s="112"/>
      <c r="AI93" s="113"/>
      <c r="AJ93" s="133" t="str">
        <f>'الفترة الاولى'!$T$8</f>
        <v>الرياضيات</v>
      </c>
      <c r="AK93" s="128">
        <f>'الفترة الاولى'!$V$8</f>
        <v>5</v>
      </c>
      <c r="AL93" s="129">
        <f t="shared" si="82"/>
        <v>200</v>
      </c>
      <c r="AM93" s="129">
        <f t="shared" si="83"/>
        <v>100</v>
      </c>
      <c r="AN93" s="120">
        <f t="shared" si="84"/>
        <v>60</v>
      </c>
      <c r="AO93" s="121">
        <f t="shared" si="85"/>
        <v>30</v>
      </c>
      <c r="AP93" s="122">
        <f>IFERROR(VLOOKUP(AR83,بيان,17,0),0)</f>
        <v>0</v>
      </c>
      <c r="AQ93" s="122">
        <f>IFERROR(VLOOKUP(AR83,بيان,18,0),0)</f>
        <v>0</v>
      </c>
      <c r="AR93" s="114"/>
      <c r="AS93" s="140" t="s">
        <v>44</v>
      </c>
      <c r="AT93" s="279">
        <f ca="1">TODAY()</f>
        <v>46181</v>
      </c>
      <c r="AU93" s="279"/>
      <c r="AV93" s="279"/>
      <c r="AW93" s="280"/>
      <c r="AX93" s="112"/>
      <c r="AY93" s="138"/>
      <c r="AZ93" s="113"/>
      <c r="BA93" s="133" t="str">
        <f>'الفترة الاولى'!$T$8</f>
        <v>الرياضيات</v>
      </c>
      <c r="BB93" s="128">
        <f>'الفترة الاولى'!$V$8</f>
        <v>5</v>
      </c>
      <c r="BC93" s="129">
        <f t="shared" si="86"/>
        <v>200</v>
      </c>
      <c r="BD93" s="129">
        <f t="shared" si="87"/>
        <v>100</v>
      </c>
      <c r="BE93" s="120">
        <f t="shared" si="88"/>
        <v>60</v>
      </c>
      <c r="BF93" s="121">
        <f t="shared" si="89"/>
        <v>30</v>
      </c>
      <c r="BG93" s="122">
        <f>IFERROR(VLOOKUP(BI83,بيان,17,0),0)</f>
        <v>0</v>
      </c>
      <c r="BH93" s="122">
        <f>IFERROR(VLOOKUP(BI83,بيان,18,0),0)</f>
        <v>0</v>
      </c>
      <c r="BI93" s="114"/>
      <c r="BJ93" s="140" t="s">
        <v>44</v>
      </c>
      <c r="BK93" s="279">
        <f ca="1">TODAY()</f>
        <v>46181</v>
      </c>
      <c r="BL93" s="279"/>
      <c r="BM93" s="279"/>
      <c r="BN93" s="280"/>
      <c r="BO93" s="8"/>
    </row>
    <row r="94" spans="1:74" ht="28.95" customHeight="1" thickBot="1" x14ac:dyDescent="0.3">
      <c r="A94" s="7"/>
      <c r="B94" s="70" t="str">
        <f>'الفترة الاولى'!$W$8</f>
        <v>العلوم</v>
      </c>
      <c r="C94" s="118">
        <f>'الفترة الاولى'!$Y$8</f>
        <v>5</v>
      </c>
      <c r="D94" s="119">
        <f t="shared" si="74"/>
        <v>200</v>
      </c>
      <c r="E94" s="119">
        <f t="shared" si="75"/>
        <v>100</v>
      </c>
      <c r="F94" s="120">
        <f t="shared" si="76"/>
        <v>60</v>
      </c>
      <c r="G94" s="121">
        <f t="shared" si="77"/>
        <v>30</v>
      </c>
      <c r="H94" s="122">
        <f>IFERROR(VLOOKUP(J83,بيان,20,0),0)</f>
        <v>18</v>
      </c>
      <c r="I94" s="122">
        <f>IFERROR(VLOOKUP(J83,بيان,21,0),0)</f>
        <v>20</v>
      </c>
      <c r="J94" s="114"/>
      <c r="K94" s="281" t="s">
        <v>45</v>
      </c>
      <c r="L94" s="282"/>
      <c r="M94" s="282"/>
      <c r="N94" s="282"/>
      <c r="O94" s="283"/>
      <c r="P94" s="112"/>
      <c r="R94" s="113"/>
      <c r="S94" s="126" t="str">
        <f>'الفترة الاولى'!$W$8</f>
        <v>العلوم</v>
      </c>
      <c r="T94" s="118">
        <f>'الفترة الاولى'!$Y$8</f>
        <v>5</v>
      </c>
      <c r="U94" s="119">
        <f t="shared" si="78"/>
        <v>200</v>
      </c>
      <c r="V94" s="119">
        <f t="shared" si="79"/>
        <v>100</v>
      </c>
      <c r="W94" s="120">
        <f t="shared" si="80"/>
        <v>60</v>
      </c>
      <c r="X94" s="121">
        <f t="shared" si="81"/>
        <v>30</v>
      </c>
      <c r="Y94" s="122">
        <f>IFERROR(VLOOKUP(AA83,بيان,20,0),0)</f>
        <v>0</v>
      </c>
      <c r="Z94" s="122">
        <f>IFERROR(VLOOKUP(AA83,بيان,21,0),0)</f>
        <v>0</v>
      </c>
      <c r="AA94" s="114"/>
      <c r="AB94" s="281" t="s">
        <v>45</v>
      </c>
      <c r="AC94" s="282"/>
      <c r="AD94" s="282"/>
      <c r="AE94" s="282"/>
      <c r="AF94" s="283"/>
      <c r="AG94" s="112"/>
      <c r="AI94" s="113"/>
      <c r="AJ94" s="126" t="str">
        <f>'الفترة الاولى'!$W$8</f>
        <v>العلوم</v>
      </c>
      <c r="AK94" s="118">
        <f>'الفترة الاولى'!$Y$8</f>
        <v>5</v>
      </c>
      <c r="AL94" s="119">
        <f t="shared" si="82"/>
        <v>200</v>
      </c>
      <c r="AM94" s="119">
        <f t="shared" si="83"/>
        <v>100</v>
      </c>
      <c r="AN94" s="120">
        <f t="shared" si="84"/>
        <v>60</v>
      </c>
      <c r="AO94" s="121">
        <f t="shared" si="85"/>
        <v>30</v>
      </c>
      <c r="AP94" s="122">
        <f>IFERROR(VLOOKUP(AR83,بيان,20,0),0)</f>
        <v>0</v>
      </c>
      <c r="AQ94" s="122">
        <f>IFERROR(VLOOKUP(AR83,بيان,21,0),0)</f>
        <v>0</v>
      </c>
      <c r="AR94" s="114"/>
      <c r="AS94" s="281" t="s">
        <v>45</v>
      </c>
      <c r="AT94" s="282"/>
      <c r="AU94" s="282"/>
      <c r="AV94" s="282"/>
      <c r="AW94" s="283"/>
      <c r="AX94" s="112"/>
      <c r="AY94" s="138"/>
      <c r="AZ94" s="113"/>
      <c r="BA94" s="126" t="str">
        <f>'الفترة الاولى'!$W$8</f>
        <v>العلوم</v>
      </c>
      <c r="BB94" s="118">
        <f>'الفترة الاولى'!$Y$8</f>
        <v>5</v>
      </c>
      <c r="BC94" s="119">
        <f t="shared" si="86"/>
        <v>200</v>
      </c>
      <c r="BD94" s="119">
        <f t="shared" si="87"/>
        <v>100</v>
      </c>
      <c r="BE94" s="120">
        <f t="shared" si="88"/>
        <v>60</v>
      </c>
      <c r="BF94" s="121">
        <f t="shared" si="89"/>
        <v>30</v>
      </c>
      <c r="BG94" s="122">
        <f>IFERROR(VLOOKUP(BI83,بيان,20,0),0)</f>
        <v>0</v>
      </c>
      <c r="BH94" s="122">
        <f>IFERROR(VLOOKUP(BI83,بيان,21,0),0)</f>
        <v>0</v>
      </c>
      <c r="BI94" s="114"/>
      <c r="BJ94" s="281" t="s">
        <v>45</v>
      </c>
      <c r="BK94" s="282"/>
      <c r="BL94" s="282"/>
      <c r="BM94" s="282"/>
      <c r="BN94" s="283"/>
      <c r="BO94" s="8"/>
    </row>
    <row r="95" spans="1:74" ht="28.95" customHeight="1" thickBot="1" x14ac:dyDescent="0.3">
      <c r="A95" s="7"/>
      <c r="B95" s="71" t="str">
        <f>'الفترة الاولى'!$Z$8</f>
        <v>التاريخ</v>
      </c>
      <c r="C95" s="128">
        <f>'الفترة الاولى'!$AB$8</f>
        <v>2</v>
      </c>
      <c r="D95" s="129">
        <f t="shared" si="74"/>
        <v>80</v>
      </c>
      <c r="E95" s="129">
        <f t="shared" si="75"/>
        <v>40</v>
      </c>
      <c r="F95" s="120">
        <f>D95*0.3</f>
        <v>24</v>
      </c>
      <c r="G95" s="121">
        <f>D95*0.15</f>
        <v>12</v>
      </c>
      <c r="H95" s="122">
        <f>IFERROR(VLOOKUP(J83,بيان,23,0),0)</f>
        <v>9</v>
      </c>
      <c r="I95" s="122">
        <f>IFERROR(VLOOKUP(J83,بيان,24,0),0)</f>
        <v>9</v>
      </c>
      <c r="J95" s="114"/>
      <c r="K95" s="141" t="s">
        <v>50</v>
      </c>
      <c r="L95" s="274" t="str">
        <f>IF(I98=0,"",LOOKUP(I98,$BS$4:$BT$8))</f>
        <v>مقبول</v>
      </c>
      <c r="M95" s="274"/>
      <c r="N95" s="274"/>
      <c r="O95" s="275"/>
      <c r="P95" s="112"/>
      <c r="R95" s="113"/>
      <c r="S95" s="133" t="str">
        <f>'الفترة الاولى'!$Z$8</f>
        <v>التاريخ</v>
      </c>
      <c r="T95" s="128">
        <f>'الفترة الاولى'!$AB$8</f>
        <v>2</v>
      </c>
      <c r="U95" s="129">
        <f t="shared" si="78"/>
        <v>80</v>
      </c>
      <c r="V95" s="129">
        <f t="shared" si="79"/>
        <v>40</v>
      </c>
      <c r="W95" s="120">
        <f>U95*0.3</f>
        <v>24</v>
      </c>
      <c r="X95" s="121">
        <f>U95*0.15</f>
        <v>12</v>
      </c>
      <c r="Y95" s="122">
        <f>IFERROR(VLOOKUP(AA83,بيان,23,0),0)</f>
        <v>0</v>
      </c>
      <c r="Z95" s="122">
        <f>IFERROR(VLOOKUP(AA83,بيان,24,0),0)</f>
        <v>0</v>
      </c>
      <c r="AA95" s="114"/>
      <c r="AB95" s="141" t="s">
        <v>50</v>
      </c>
      <c r="AC95" s="274" t="str">
        <f>IF(Z98=0,"",LOOKUP(Z98,$BS$4:$BT$8))</f>
        <v/>
      </c>
      <c r="AD95" s="274"/>
      <c r="AE95" s="274"/>
      <c r="AF95" s="275"/>
      <c r="AG95" s="112"/>
      <c r="AI95" s="113"/>
      <c r="AJ95" s="133" t="str">
        <f>'الفترة الاولى'!$Z$8</f>
        <v>التاريخ</v>
      </c>
      <c r="AK95" s="128">
        <f>'الفترة الاولى'!$AB$8</f>
        <v>2</v>
      </c>
      <c r="AL95" s="129">
        <f t="shared" si="82"/>
        <v>80</v>
      </c>
      <c r="AM95" s="129">
        <f t="shared" si="83"/>
        <v>40</v>
      </c>
      <c r="AN95" s="120">
        <f t="shared" si="84"/>
        <v>24</v>
      </c>
      <c r="AO95" s="121">
        <f t="shared" si="85"/>
        <v>12</v>
      </c>
      <c r="AP95" s="122">
        <f>IFERROR(VLOOKUP(AR83,بيان,23,0),0)</f>
        <v>0</v>
      </c>
      <c r="AQ95" s="122">
        <f>IFERROR(VLOOKUP(AR83,بيان,24,0),0)</f>
        <v>0</v>
      </c>
      <c r="AR95" s="114"/>
      <c r="AS95" s="141" t="s">
        <v>50</v>
      </c>
      <c r="AT95" s="274" t="str">
        <f>IF(AQ98=0,"",LOOKUP(AQ98,$BS$4:$BT$8))</f>
        <v/>
      </c>
      <c r="AU95" s="274"/>
      <c r="AV95" s="274"/>
      <c r="AW95" s="275"/>
      <c r="AX95" s="112"/>
      <c r="AY95" s="138"/>
      <c r="AZ95" s="113"/>
      <c r="BA95" s="133" t="str">
        <f>'الفترة الاولى'!$Z$8</f>
        <v>التاريخ</v>
      </c>
      <c r="BB95" s="128">
        <f>'الفترة الاولى'!$AB$8</f>
        <v>2</v>
      </c>
      <c r="BC95" s="129">
        <f t="shared" si="86"/>
        <v>80</v>
      </c>
      <c r="BD95" s="129">
        <f t="shared" si="87"/>
        <v>40</v>
      </c>
      <c r="BE95" s="120">
        <f t="shared" si="88"/>
        <v>24</v>
      </c>
      <c r="BF95" s="121">
        <f t="shared" si="89"/>
        <v>12</v>
      </c>
      <c r="BG95" s="122">
        <f>IFERROR(VLOOKUP(BI83,بيان,23,0),0)</f>
        <v>0</v>
      </c>
      <c r="BH95" s="122">
        <f>IFERROR(VLOOKUP(BI83,بيان,24,0),0)</f>
        <v>0</v>
      </c>
      <c r="BI95" s="114"/>
      <c r="BJ95" s="141" t="s">
        <v>50</v>
      </c>
      <c r="BK95" s="274" t="str">
        <f>IF(BH98=0,"",LOOKUP(BH98,$BS$4:$BT$8))</f>
        <v/>
      </c>
      <c r="BL95" s="274"/>
      <c r="BM95" s="274"/>
      <c r="BN95" s="275"/>
      <c r="BO95" s="8"/>
    </row>
    <row r="96" spans="1:74" ht="28.95" customHeight="1" thickBot="1" x14ac:dyDescent="0.3">
      <c r="A96" s="7"/>
      <c r="B96" s="70" t="str">
        <f>'الفترة الاولى'!$AC$8</f>
        <v>الجغرافيا</v>
      </c>
      <c r="C96" s="118">
        <f>'الفترة الاولى'!$AE$8</f>
        <v>2</v>
      </c>
      <c r="D96" s="119">
        <f t="shared" si="74"/>
        <v>80</v>
      </c>
      <c r="E96" s="119">
        <f t="shared" si="75"/>
        <v>40</v>
      </c>
      <c r="F96" s="120">
        <f>D95*0.3</f>
        <v>24</v>
      </c>
      <c r="G96" s="121">
        <f>D95*0.15</f>
        <v>12</v>
      </c>
      <c r="H96" s="122">
        <f>IFERROR(VLOOKUP(J83,بيان,26,0),0)</f>
        <v>8</v>
      </c>
      <c r="I96" s="122">
        <f>IFERROR(VLOOKUP(J83,بيان,27,0),0)</f>
        <v>8</v>
      </c>
      <c r="J96" s="114"/>
      <c r="K96" s="276" t="str">
        <f>IF(L95&lt;&gt;"ضعيف","","يحتاج الى اهتمام في المواد ")</f>
        <v/>
      </c>
      <c r="L96" s="277"/>
      <c r="M96" s="277"/>
      <c r="N96" s="277"/>
      <c r="O96" s="278"/>
      <c r="P96" s="112"/>
      <c r="R96" s="113"/>
      <c r="S96" s="126" t="str">
        <f>'الفترة الاولى'!$AC$8</f>
        <v>الجغرافيا</v>
      </c>
      <c r="T96" s="118">
        <f>'الفترة الاولى'!$AE$8</f>
        <v>2</v>
      </c>
      <c r="U96" s="119">
        <f t="shared" si="78"/>
        <v>80</v>
      </c>
      <c r="V96" s="119">
        <f t="shared" si="79"/>
        <v>40</v>
      </c>
      <c r="W96" s="120">
        <f>U95*0.3</f>
        <v>24</v>
      </c>
      <c r="X96" s="121">
        <f>U95*0.15</f>
        <v>12</v>
      </c>
      <c r="Y96" s="122">
        <f>IFERROR(VLOOKUP(AA83,بيان,26,0),0)</f>
        <v>0</v>
      </c>
      <c r="Z96" s="122">
        <f>IFERROR(VLOOKUP(AA83,بيان,27,0),0)</f>
        <v>0</v>
      </c>
      <c r="AA96" s="114"/>
      <c r="AB96" s="276" t="str">
        <f>IF(AC95&lt;&gt;"ضعيف","","يحتاج الى اهتمام في المواد ")</f>
        <v/>
      </c>
      <c r="AC96" s="277"/>
      <c r="AD96" s="277"/>
      <c r="AE96" s="277"/>
      <c r="AF96" s="278"/>
      <c r="AG96" s="112"/>
      <c r="AI96" s="113"/>
      <c r="AJ96" s="126" t="str">
        <f>'الفترة الاولى'!$AC$8</f>
        <v>الجغرافيا</v>
      </c>
      <c r="AK96" s="118">
        <f>'الفترة الاولى'!$AE$8</f>
        <v>2</v>
      </c>
      <c r="AL96" s="119">
        <f t="shared" si="82"/>
        <v>80</v>
      </c>
      <c r="AM96" s="119">
        <f t="shared" si="83"/>
        <v>40</v>
      </c>
      <c r="AN96" s="120">
        <f t="shared" ref="AN96:AN97" si="90">AL96*0.6</f>
        <v>48</v>
      </c>
      <c r="AO96" s="121">
        <f t="shared" ref="AO96:AO97" si="91">AL96*0.3</f>
        <v>24</v>
      </c>
      <c r="AP96" s="122">
        <f>IFERROR(VLOOKUP(AR83,بيان,26,0),0)</f>
        <v>0</v>
      </c>
      <c r="AQ96" s="122">
        <f>IFERROR(VLOOKUP(AR83,بيان,27,0),0)</f>
        <v>0</v>
      </c>
      <c r="AR96" s="114"/>
      <c r="AS96" s="276" t="str">
        <f>IF(AT95&lt;&gt;"ضعيف","","يحتاج الى اهتمام في المواد ")</f>
        <v/>
      </c>
      <c r="AT96" s="277"/>
      <c r="AU96" s="277"/>
      <c r="AV96" s="277"/>
      <c r="AW96" s="278"/>
      <c r="AX96" s="112"/>
      <c r="AY96" s="138"/>
      <c r="AZ96" s="113"/>
      <c r="BA96" s="126" t="str">
        <f>'الفترة الاولى'!$AC$8</f>
        <v>الجغرافيا</v>
      </c>
      <c r="BB96" s="118">
        <f>'الفترة الاولى'!$AE$8</f>
        <v>2</v>
      </c>
      <c r="BC96" s="119">
        <f t="shared" si="86"/>
        <v>80</v>
      </c>
      <c r="BD96" s="119">
        <f t="shared" si="87"/>
        <v>40</v>
      </c>
      <c r="BE96" s="120">
        <f t="shared" ref="BE96:BE97" si="92">BC96*0.6</f>
        <v>48</v>
      </c>
      <c r="BF96" s="121">
        <f t="shared" ref="BF96:BF97" si="93">BC96*0.3</f>
        <v>24</v>
      </c>
      <c r="BG96" s="122">
        <f>IFERROR(VLOOKUP(BI83,بيان,26,0),0)</f>
        <v>0</v>
      </c>
      <c r="BH96" s="122">
        <f>IFERROR(VLOOKUP(BI83,بيان,27,0),0)</f>
        <v>0</v>
      </c>
      <c r="BI96" s="114"/>
      <c r="BJ96" s="276" t="str">
        <f>IF(BK95&lt;&gt;"ضعيف","","يحتاج الى اهتمام في المواد ")</f>
        <v/>
      </c>
      <c r="BK96" s="277"/>
      <c r="BL96" s="277"/>
      <c r="BM96" s="277"/>
      <c r="BN96" s="278"/>
      <c r="BO96" s="8"/>
    </row>
    <row r="97" spans="1:74" ht="28.95" customHeight="1" thickBot="1" x14ac:dyDescent="0.3">
      <c r="A97" s="7"/>
      <c r="B97" s="70">
        <f>'الفترة الاولى'!$AF$8</f>
        <v>0</v>
      </c>
      <c r="C97" s="118">
        <f>'الفترة الاولى'!$AH$8</f>
        <v>0</v>
      </c>
      <c r="D97" s="119">
        <f t="shared" si="74"/>
        <v>0</v>
      </c>
      <c r="E97" s="119">
        <f t="shared" si="75"/>
        <v>0</v>
      </c>
      <c r="F97" s="120">
        <f t="shared" ref="F97" si="94">D97*0.6</f>
        <v>0</v>
      </c>
      <c r="G97" s="121">
        <f t="shared" ref="G97" si="95">D97*0.3</f>
        <v>0</v>
      </c>
      <c r="H97" s="122">
        <f>IFERROR(VLOOKUP(J83,بيان,29,0),0)</f>
        <v>0</v>
      </c>
      <c r="I97" s="122">
        <f>IFERROR(VLOOKUP(J83,بيان,30,0),0)</f>
        <v>0</v>
      </c>
      <c r="J97" s="114"/>
      <c r="K97" s="142" t="str">
        <f>IF(I88=0,"",IF(I88&lt;G88/2,B88,""))</f>
        <v/>
      </c>
      <c r="L97" s="143" t="str">
        <f>IF(I89=0,"",IF(I89&lt;G89/2,B89,""))</f>
        <v/>
      </c>
      <c r="M97" s="143" t="str">
        <f>IF(I90=0,"",IF(I90&lt;G90/2,B90,""))</f>
        <v/>
      </c>
      <c r="N97" s="143" t="str">
        <f>IF(I91=0,"",IF(I91&lt;G91/2,B91,""))</f>
        <v/>
      </c>
      <c r="O97" s="144" t="str">
        <f>IF(I92=0,"",IF(I92&lt;G92/2,B92,""))</f>
        <v/>
      </c>
      <c r="P97" s="112"/>
      <c r="R97" s="113"/>
      <c r="S97" s="126">
        <f>'الفترة الاولى'!$AF$8</f>
        <v>0</v>
      </c>
      <c r="T97" s="118">
        <f>'الفترة الاولى'!$AH$8</f>
        <v>0</v>
      </c>
      <c r="U97" s="119">
        <f t="shared" si="78"/>
        <v>0</v>
      </c>
      <c r="V97" s="119">
        <f t="shared" si="79"/>
        <v>0</v>
      </c>
      <c r="W97" s="120">
        <f t="shared" ref="W97" si="96">U97*0.6</f>
        <v>0</v>
      </c>
      <c r="X97" s="121">
        <f t="shared" ref="X97" si="97">U97*0.3</f>
        <v>0</v>
      </c>
      <c r="Y97" s="122" t="str">
        <f>IFERROR(VLOOKUP(AA83,بيان,29,0),0)</f>
        <v xml:space="preserve"> </v>
      </c>
      <c r="Z97" s="122">
        <f>IFERROR(VLOOKUP(AA83,بيان,30,0),0)</f>
        <v>0</v>
      </c>
      <c r="AA97" s="114"/>
      <c r="AB97" s="142" t="str">
        <f>IF(Z88=0,"",IF(Z88&lt;X88/2,S88,""))</f>
        <v/>
      </c>
      <c r="AC97" s="143" t="str">
        <f>IF(Z89=0,"",IF(Z89&lt;X89/2,S89,""))</f>
        <v/>
      </c>
      <c r="AD97" s="143" t="str">
        <f>IF(Z90=0,"",IF(Z90&lt;X90/2,S90,""))</f>
        <v/>
      </c>
      <c r="AE97" s="143" t="str">
        <f>IF(Z91=0,"",IF(Z91&lt;X91/2,S91,""))</f>
        <v/>
      </c>
      <c r="AF97" s="144" t="str">
        <f>IF(Z92=0,"",IF(Z92&lt;X92/2,S92,""))</f>
        <v/>
      </c>
      <c r="AG97" s="112"/>
      <c r="AI97" s="113"/>
      <c r="AJ97" s="126">
        <f>'الفترة الاولى'!$AF$8</f>
        <v>0</v>
      </c>
      <c r="AK97" s="118">
        <f>'الفترة الاولى'!$AH$8</f>
        <v>0</v>
      </c>
      <c r="AL97" s="119">
        <f t="shared" si="82"/>
        <v>0</v>
      </c>
      <c r="AM97" s="119">
        <f t="shared" si="83"/>
        <v>0</v>
      </c>
      <c r="AN97" s="120">
        <f t="shared" si="90"/>
        <v>0</v>
      </c>
      <c r="AO97" s="121">
        <f t="shared" si="91"/>
        <v>0</v>
      </c>
      <c r="AP97" s="122" t="str">
        <f>IFERROR(VLOOKUP(AR83,بيان,29,0),0)</f>
        <v xml:space="preserve"> </v>
      </c>
      <c r="AQ97" s="122">
        <f>IFERROR(VLOOKUP(AR83,بيان,30,0),0)</f>
        <v>0</v>
      </c>
      <c r="AR97" s="114"/>
      <c r="AS97" s="142" t="str">
        <f>IF(AQ88=0,"",IF(AQ88&lt;AO88/2,AJ88,""))</f>
        <v/>
      </c>
      <c r="AT97" s="143" t="str">
        <f>IF(AQ89=0,"",IF(AQ89&lt;AO89/2,AJ89,""))</f>
        <v/>
      </c>
      <c r="AU97" s="143" t="str">
        <f>IF(AQ90=0,"",IF(AQ90&lt;AO90/2,AJ90,""))</f>
        <v/>
      </c>
      <c r="AV97" s="143" t="str">
        <f>IF(AQ91=0,"",IF(AQ91&lt;AO91/2,AJ91,""))</f>
        <v/>
      </c>
      <c r="AW97" s="144" t="str">
        <f>IF(AQ92=0,"",IF(AQ92&lt;AO92/2,AJ92,""))</f>
        <v/>
      </c>
      <c r="AX97" s="112"/>
      <c r="AY97" s="138"/>
      <c r="AZ97" s="113"/>
      <c r="BA97" s="126">
        <f>'الفترة الاولى'!$AF$8</f>
        <v>0</v>
      </c>
      <c r="BB97" s="118">
        <f>'الفترة الاولى'!$AH$8</f>
        <v>0</v>
      </c>
      <c r="BC97" s="119">
        <f t="shared" si="86"/>
        <v>0</v>
      </c>
      <c r="BD97" s="119">
        <f t="shared" si="87"/>
        <v>0</v>
      </c>
      <c r="BE97" s="120">
        <f t="shared" si="92"/>
        <v>0</v>
      </c>
      <c r="BF97" s="121">
        <f t="shared" si="93"/>
        <v>0</v>
      </c>
      <c r="BG97" s="122" t="str">
        <f>IFERROR(VLOOKUP(BI83,بيان,29,0),0)</f>
        <v xml:space="preserve"> </v>
      </c>
      <c r="BH97" s="122">
        <f>IFERROR(VLOOKUP(BI83,بيان,30,0),0)</f>
        <v>0</v>
      </c>
      <c r="BI97" s="114"/>
      <c r="BJ97" s="142" t="str">
        <f>IF(BH88=0,"",IF(BH88&lt;BF88/2,BA88,""))</f>
        <v/>
      </c>
      <c r="BK97" s="143" t="str">
        <f>IF(BH89=0,"",IF(BH89&lt;BF89/2,BA89,""))</f>
        <v/>
      </c>
      <c r="BL97" s="143" t="str">
        <f>IF(BH90=0,"",IF(BH90&lt;BF90/2,BA90,""))</f>
        <v/>
      </c>
      <c r="BM97" s="143" t="str">
        <f>IF(BH91=0,"",IF(BH91&lt;BF91/2,BA91,""))</f>
        <v/>
      </c>
      <c r="BN97" s="144" t="str">
        <f>IF(BH92=0,"",IF(BH92&lt;BF92/2,BA92,""))</f>
        <v/>
      </c>
      <c r="BO97" s="8"/>
    </row>
    <row r="98" spans="1:74" ht="28.95" customHeight="1" thickBot="1" x14ac:dyDescent="0.3">
      <c r="A98" s="7"/>
      <c r="B98" s="58" t="s">
        <v>9</v>
      </c>
      <c r="C98" s="145"/>
      <c r="D98" s="146">
        <f>SUM(D88:D97)</f>
        <v>1120</v>
      </c>
      <c r="E98" s="119">
        <f t="shared" si="75"/>
        <v>560</v>
      </c>
      <c r="F98" s="120"/>
      <c r="G98" s="121">
        <f>SUM(G88:G97)</f>
        <v>168</v>
      </c>
      <c r="H98" s="122">
        <f>SUM(H88:H97)</f>
        <v>108</v>
      </c>
      <c r="I98" s="122">
        <f>SUM(I88:I97)</f>
        <v>103</v>
      </c>
      <c r="J98" s="114"/>
      <c r="K98" s="142" t="str">
        <f>IF(I93=0,"",IF(I93&lt;G93/2,B93,""))</f>
        <v>الرياضيات</v>
      </c>
      <c r="L98" s="143" t="str">
        <f>IF(I94=0,"",IF(I94&lt;G94/2,B94,""))</f>
        <v/>
      </c>
      <c r="M98" s="143" t="str">
        <f>IF(I95=0,"",IF(I95&lt;G95/2,B95,""))</f>
        <v/>
      </c>
      <c r="N98" s="143" t="str">
        <f>IF(I96=0,"",IF(I96&lt;G96/2,B96,""))</f>
        <v/>
      </c>
      <c r="O98" s="144" t="str">
        <f>IF(I97=0,"",IF(I97&lt;G97/2,B97,""))</f>
        <v/>
      </c>
      <c r="P98" s="112"/>
      <c r="R98" s="113"/>
      <c r="S98" s="58" t="s">
        <v>9</v>
      </c>
      <c r="T98" s="145"/>
      <c r="U98" s="146">
        <f>SUM(U88:U97)</f>
        <v>1120</v>
      </c>
      <c r="V98" s="119">
        <f t="shared" si="79"/>
        <v>560</v>
      </c>
      <c r="W98" s="120"/>
      <c r="X98" s="121">
        <f>SUM(X88:X97)</f>
        <v>168</v>
      </c>
      <c r="Y98" s="122">
        <f>SUM(Y88:Y97)</f>
        <v>0</v>
      </c>
      <c r="Z98" s="122">
        <f>SUM(Z88:Z97)</f>
        <v>0</v>
      </c>
      <c r="AA98" s="114"/>
      <c r="AB98" s="142" t="str">
        <f>IF(Z93=0,"",IF(Z93&lt;X93/2,S93,""))</f>
        <v/>
      </c>
      <c r="AC98" s="143" t="str">
        <f>IF(Z94=0,"",IF(Z94&lt;X94/2,S94,""))</f>
        <v/>
      </c>
      <c r="AD98" s="143" t="str">
        <f>IF(Z95=0,"",IF(Z95&lt;X95/2,S95,""))</f>
        <v/>
      </c>
      <c r="AE98" s="143" t="str">
        <f>IF(Z96=0,"",IF(Z96&lt;X96/2,S96,""))</f>
        <v/>
      </c>
      <c r="AF98" s="144" t="str">
        <f>IF(Z97=0,"",IF(Z97&lt;X97/2,S97,""))</f>
        <v/>
      </c>
      <c r="AG98" s="112"/>
      <c r="AI98" s="113"/>
      <c r="AJ98" s="58" t="s">
        <v>9</v>
      </c>
      <c r="AK98" s="145"/>
      <c r="AL98" s="146">
        <f>SUM(AL88:AL97)</f>
        <v>1120</v>
      </c>
      <c r="AM98" s="119">
        <f t="shared" si="83"/>
        <v>560</v>
      </c>
      <c r="AN98" s="120"/>
      <c r="AO98" s="121">
        <f>SUM(AO88:AO97)</f>
        <v>180</v>
      </c>
      <c r="AP98" s="122">
        <f>SUM(AP88:AP97)</f>
        <v>0</v>
      </c>
      <c r="AQ98" s="122">
        <f>SUM(AQ88:AQ97)</f>
        <v>0</v>
      </c>
      <c r="AR98" s="114"/>
      <c r="AS98" s="142" t="str">
        <f>IF(AQ93=0,"",IF(AQ93&lt;AO93/2,AJ93,""))</f>
        <v/>
      </c>
      <c r="AT98" s="143" t="str">
        <f>IF(AQ94=0,"",IF(AQ94&lt;AO94/2,AJ94,""))</f>
        <v/>
      </c>
      <c r="AU98" s="143" t="str">
        <f>IF(AQ95=0,"",IF(AQ95&lt;AO95/2,AJ95,""))</f>
        <v/>
      </c>
      <c r="AV98" s="143" t="str">
        <f>IF(AQ96=0,"",IF(AQ96&lt;AO96/2,AJ96,""))</f>
        <v/>
      </c>
      <c r="AW98" s="144" t="str">
        <f>IF(AQ97=0,"",IF(AQ97&lt;AO97/2,AJ97,""))</f>
        <v/>
      </c>
      <c r="AX98" s="112"/>
      <c r="AY98" s="138"/>
      <c r="AZ98" s="113"/>
      <c r="BA98" s="58" t="s">
        <v>9</v>
      </c>
      <c r="BB98" s="145"/>
      <c r="BC98" s="146">
        <f>SUM(BC88:BC97)</f>
        <v>1120</v>
      </c>
      <c r="BD98" s="119">
        <f t="shared" si="87"/>
        <v>560</v>
      </c>
      <c r="BE98" s="120"/>
      <c r="BF98" s="121">
        <f>SUM(BF88:BF97)</f>
        <v>180</v>
      </c>
      <c r="BG98" s="122">
        <f>SUM(BG88:BG97)</f>
        <v>0</v>
      </c>
      <c r="BH98" s="122">
        <f>SUM(BH88:BH97)</f>
        <v>0</v>
      </c>
      <c r="BI98" s="114"/>
      <c r="BJ98" s="142" t="str">
        <f>IF(BH93=0,"",IF(BH93&lt;BF93/2,BA93,""))</f>
        <v/>
      </c>
      <c r="BK98" s="143" t="str">
        <f>IF(BH94=0,"",IF(BH94&lt;BF94/2,BA94,""))</f>
        <v/>
      </c>
      <c r="BL98" s="143" t="str">
        <f>IF(BH95=0,"",IF(BH95&lt;BF95/2,BA95,""))</f>
        <v/>
      </c>
      <c r="BM98" s="143" t="str">
        <f>IF(BH96=0,"",IF(BH96&lt;BF96/2,BA96,""))</f>
        <v/>
      </c>
      <c r="BN98" s="144" t="str">
        <f>IF(BH97=0,"",IF(BH97&lt;BF97/2,BA97,""))</f>
        <v/>
      </c>
      <c r="BO98" s="8"/>
    </row>
    <row r="99" spans="1:74" ht="19.95" customHeight="1" x14ac:dyDescent="0.25">
      <c r="A99" s="7"/>
      <c r="C99" s="114"/>
      <c r="F99" s="114"/>
      <c r="G99" s="114"/>
      <c r="H99" s="114"/>
      <c r="I99" s="114"/>
      <c r="J99" s="114"/>
      <c r="K99" s="148"/>
      <c r="L99" s="148"/>
      <c r="M99" s="148"/>
      <c r="N99" s="148"/>
      <c r="O99" s="148"/>
      <c r="P99" s="112"/>
      <c r="R99" s="113"/>
      <c r="T99" s="114"/>
      <c r="W99" s="114"/>
      <c r="X99" s="114"/>
      <c r="Y99" s="114"/>
      <c r="Z99" s="114"/>
      <c r="AA99" s="114"/>
      <c r="AB99" s="148"/>
      <c r="AC99" s="148"/>
      <c r="AD99" s="148"/>
      <c r="AE99" s="148"/>
      <c r="AF99" s="148"/>
      <c r="AG99" s="112"/>
      <c r="AI99" s="113"/>
      <c r="AK99" s="114"/>
      <c r="AN99" s="114"/>
      <c r="AO99" s="114"/>
      <c r="AP99" s="114"/>
      <c r="AQ99" s="114"/>
      <c r="AR99" s="114"/>
      <c r="AS99" s="148"/>
      <c r="AT99" s="148"/>
      <c r="AU99" s="148"/>
      <c r="AV99" s="148"/>
      <c r="AW99" s="148"/>
      <c r="AX99" s="112"/>
      <c r="AY99" s="138"/>
      <c r="AZ99" s="113"/>
      <c r="BB99" s="114"/>
      <c r="BE99" s="114"/>
      <c r="BF99" s="114"/>
      <c r="BG99" s="114"/>
      <c r="BH99" s="114"/>
      <c r="BI99" s="114"/>
      <c r="BJ99" s="148"/>
      <c r="BK99" s="148"/>
      <c r="BL99" s="148"/>
      <c r="BM99" s="148"/>
      <c r="BN99" s="148"/>
      <c r="BO99" s="8"/>
    </row>
    <row r="100" spans="1:74" ht="14.25" customHeight="1" thickBot="1" x14ac:dyDescent="0.3">
      <c r="A100" s="7"/>
      <c r="B100" s="270" t="s">
        <v>39</v>
      </c>
      <c r="C100" s="260" t="s">
        <v>40</v>
      </c>
      <c r="D100" s="260"/>
      <c r="E100" s="260"/>
      <c r="F100" s="260"/>
      <c r="G100" s="260"/>
      <c r="H100" s="260"/>
      <c r="I100" s="260"/>
      <c r="J100" s="114"/>
      <c r="K100" s="114"/>
      <c r="P100" s="112"/>
      <c r="R100" s="113"/>
      <c r="S100" s="270" t="s">
        <v>39</v>
      </c>
      <c r="T100" s="260" t="s">
        <v>40</v>
      </c>
      <c r="U100" s="260"/>
      <c r="V100" s="260"/>
      <c r="W100" s="260"/>
      <c r="X100" s="260"/>
      <c r="Y100" s="260"/>
      <c r="Z100" s="260"/>
      <c r="AA100" s="114"/>
      <c r="AB100" s="114"/>
      <c r="AG100" s="112"/>
      <c r="AI100" s="113"/>
      <c r="AJ100" s="270" t="s">
        <v>39</v>
      </c>
      <c r="AK100" s="260" t="s">
        <v>40</v>
      </c>
      <c r="AL100" s="260"/>
      <c r="AM100" s="260"/>
      <c r="AN100" s="260"/>
      <c r="AO100" s="260"/>
      <c r="AP100" s="260"/>
      <c r="AQ100" s="260"/>
      <c r="AR100" s="114"/>
      <c r="AS100" s="114"/>
      <c r="AX100" s="112"/>
      <c r="AY100" s="138"/>
      <c r="AZ100" s="113"/>
      <c r="BA100" s="270" t="s">
        <v>39</v>
      </c>
      <c r="BB100" s="260" t="s">
        <v>40</v>
      </c>
      <c r="BC100" s="260"/>
      <c r="BD100" s="260"/>
      <c r="BE100" s="260"/>
      <c r="BF100" s="260"/>
      <c r="BG100" s="260"/>
      <c r="BH100" s="260"/>
      <c r="BI100" s="114"/>
      <c r="BJ100" s="114"/>
      <c r="BO100" s="8"/>
    </row>
    <row r="101" spans="1:74" ht="14.25" customHeight="1" thickBot="1" x14ac:dyDescent="0.3">
      <c r="A101" s="7"/>
      <c r="B101" s="270"/>
      <c r="C101" s="260" t="s">
        <v>41</v>
      </c>
      <c r="D101" s="260"/>
      <c r="E101" s="260"/>
      <c r="F101" s="260"/>
      <c r="G101" s="260"/>
      <c r="H101" s="260"/>
      <c r="I101" s="260"/>
      <c r="J101" s="114"/>
      <c r="K101" s="271" t="s">
        <v>36</v>
      </c>
      <c r="L101" s="272"/>
      <c r="M101" s="272"/>
      <c r="N101" s="273"/>
      <c r="P101" s="112"/>
      <c r="R101" s="113"/>
      <c r="S101" s="270"/>
      <c r="T101" s="260" t="s">
        <v>41</v>
      </c>
      <c r="U101" s="260"/>
      <c r="V101" s="260"/>
      <c r="W101" s="260"/>
      <c r="X101" s="260"/>
      <c r="Y101" s="260"/>
      <c r="Z101" s="260"/>
      <c r="AA101" s="114"/>
      <c r="AB101" s="271" t="s">
        <v>36</v>
      </c>
      <c r="AC101" s="272"/>
      <c r="AD101" s="272"/>
      <c r="AE101" s="273"/>
      <c r="AG101" s="112"/>
      <c r="AI101" s="113"/>
      <c r="AJ101" s="270"/>
      <c r="AK101" s="260" t="s">
        <v>41</v>
      </c>
      <c r="AL101" s="260"/>
      <c r="AM101" s="260"/>
      <c r="AN101" s="260"/>
      <c r="AO101" s="260"/>
      <c r="AP101" s="260"/>
      <c r="AQ101" s="260"/>
      <c r="AR101" s="114"/>
      <c r="AS101" s="271" t="s">
        <v>36</v>
      </c>
      <c r="AT101" s="272"/>
      <c r="AU101" s="272"/>
      <c r="AV101" s="273"/>
      <c r="AX101" s="112"/>
      <c r="AY101" s="138"/>
      <c r="AZ101" s="113"/>
      <c r="BA101" s="270"/>
      <c r="BB101" s="260" t="s">
        <v>41</v>
      </c>
      <c r="BC101" s="260"/>
      <c r="BD101" s="260"/>
      <c r="BE101" s="260"/>
      <c r="BF101" s="260"/>
      <c r="BG101" s="260"/>
      <c r="BH101" s="260"/>
      <c r="BI101" s="114"/>
      <c r="BJ101" s="271" t="s">
        <v>36</v>
      </c>
      <c r="BK101" s="272"/>
      <c r="BL101" s="272"/>
      <c r="BM101" s="273"/>
      <c r="BO101" s="8"/>
    </row>
    <row r="102" spans="1:74" ht="6.6" customHeight="1" thickBot="1" x14ac:dyDescent="0.3">
      <c r="A102" s="7"/>
      <c r="C102" s="114"/>
      <c r="F102" s="114"/>
      <c r="G102" s="114"/>
      <c r="H102" s="114"/>
      <c r="I102" s="114"/>
      <c r="J102" s="114"/>
      <c r="K102" s="266" t="s">
        <v>37</v>
      </c>
      <c r="L102" s="267"/>
      <c r="M102" s="267"/>
      <c r="N102" s="268"/>
      <c r="P102" s="112"/>
      <c r="R102" s="113"/>
      <c r="T102" s="114"/>
      <c r="W102" s="114"/>
      <c r="X102" s="114"/>
      <c r="Y102" s="114"/>
      <c r="Z102" s="114"/>
      <c r="AA102" s="114"/>
      <c r="AB102" s="266" t="s">
        <v>37</v>
      </c>
      <c r="AC102" s="267"/>
      <c r="AD102" s="267"/>
      <c r="AE102" s="268"/>
      <c r="AG102" s="112"/>
      <c r="AI102" s="113"/>
      <c r="AK102" s="114"/>
      <c r="AN102" s="114"/>
      <c r="AO102" s="114"/>
      <c r="AP102" s="114"/>
      <c r="AQ102" s="114"/>
      <c r="AR102" s="114"/>
      <c r="AS102" s="317" t="s">
        <v>37</v>
      </c>
      <c r="AT102" s="318"/>
      <c r="AU102" s="318"/>
      <c r="AV102" s="319"/>
      <c r="AX102" s="112"/>
      <c r="AY102" s="138"/>
      <c r="AZ102" s="113"/>
      <c r="BB102" s="114"/>
      <c r="BE102" s="114"/>
      <c r="BF102" s="114"/>
      <c r="BG102" s="114"/>
      <c r="BH102" s="114"/>
      <c r="BI102" s="114"/>
      <c r="BJ102" s="266" t="s">
        <v>37</v>
      </c>
      <c r="BK102" s="267"/>
      <c r="BL102" s="267"/>
      <c r="BM102" s="268"/>
      <c r="BO102" s="8"/>
    </row>
    <row r="103" spans="1:74" ht="20.100000000000001" customHeight="1" thickBot="1" x14ac:dyDescent="0.3">
      <c r="A103" s="7"/>
      <c r="B103" s="262" t="s">
        <v>30</v>
      </c>
      <c r="C103" s="263"/>
      <c r="D103" s="264" t="s">
        <v>29</v>
      </c>
      <c r="E103" s="264"/>
      <c r="F103" s="264"/>
      <c r="G103" s="264" t="s">
        <v>31</v>
      </c>
      <c r="H103" s="264"/>
      <c r="I103" s="264"/>
      <c r="J103" s="114"/>
      <c r="K103" s="269"/>
      <c r="L103" s="267"/>
      <c r="M103" s="267"/>
      <c r="N103" s="268"/>
      <c r="O103" s="149"/>
      <c r="P103" s="112"/>
      <c r="R103" s="113"/>
      <c r="S103" s="265" t="s">
        <v>30</v>
      </c>
      <c r="T103" s="264"/>
      <c r="U103" s="264" t="s">
        <v>29</v>
      </c>
      <c r="V103" s="264"/>
      <c r="W103" s="264"/>
      <c r="X103" s="264" t="s">
        <v>31</v>
      </c>
      <c r="Y103" s="264"/>
      <c r="Z103" s="264"/>
      <c r="AA103" s="114"/>
      <c r="AB103" s="269"/>
      <c r="AC103" s="267"/>
      <c r="AD103" s="267"/>
      <c r="AE103" s="268"/>
      <c r="AF103" s="149"/>
      <c r="AG103" s="112"/>
      <c r="AH103" s="150"/>
      <c r="AI103" s="113"/>
      <c r="AJ103" s="265" t="s">
        <v>30</v>
      </c>
      <c r="AK103" s="264"/>
      <c r="AL103" s="264" t="s">
        <v>29</v>
      </c>
      <c r="AM103" s="264"/>
      <c r="AN103" s="264"/>
      <c r="AO103" s="264" t="s">
        <v>31</v>
      </c>
      <c r="AP103" s="264"/>
      <c r="AQ103" s="264"/>
      <c r="AR103" s="114"/>
      <c r="AS103" s="281"/>
      <c r="AT103" s="282"/>
      <c r="AU103" s="282"/>
      <c r="AV103" s="283"/>
      <c r="AW103" s="149"/>
      <c r="AX103" s="112"/>
      <c r="AY103" s="138"/>
      <c r="AZ103" s="113"/>
      <c r="BA103" s="265" t="s">
        <v>30</v>
      </c>
      <c r="BB103" s="264"/>
      <c r="BC103" s="264" t="s">
        <v>29</v>
      </c>
      <c r="BD103" s="264"/>
      <c r="BE103" s="264"/>
      <c r="BF103" s="264" t="s">
        <v>31</v>
      </c>
      <c r="BG103" s="264"/>
      <c r="BH103" s="264"/>
      <c r="BI103" s="114"/>
      <c r="BJ103" s="269"/>
      <c r="BK103" s="267"/>
      <c r="BL103" s="267"/>
      <c r="BM103" s="268"/>
      <c r="BN103" s="149"/>
      <c r="BO103" s="8"/>
    </row>
    <row r="104" spans="1:74" ht="16.2" customHeight="1" x14ac:dyDescent="0.25">
      <c r="A104" s="7"/>
      <c r="B104" s="258" t="s">
        <v>32</v>
      </c>
      <c r="C104" s="259"/>
      <c r="D104" s="260"/>
      <c r="E104" s="260"/>
      <c r="F104" s="260"/>
      <c r="G104" s="260"/>
      <c r="H104" s="260"/>
      <c r="I104" s="260"/>
      <c r="J104" s="114"/>
      <c r="K104" s="252" t="s">
        <v>38</v>
      </c>
      <c r="L104" s="253"/>
      <c r="M104" s="253"/>
      <c r="N104" s="254"/>
      <c r="O104" s="114"/>
      <c r="P104" s="112"/>
      <c r="R104" s="113"/>
      <c r="S104" s="261" t="s">
        <v>32</v>
      </c>
      <c r="T104" s="260"/>
      <c r="U104" s="260"/>
      <c r="V104" s="260"/>
      <c r="W104" s="260"/>
      <c r="X104" s="260"/>
      <c r="Y104" s="260"/>
      <c r="Z104" s="260"/>
      <c r="AA104" s="114"/>
      <c r="AB104" s="252" t="s">
        <v>38</v>
      </c>
      <c r="AC104" s="253"/>
      <c r="AD104" s="253"/>
      <c r="AE104" s="254"/>
      <c r="AF104" s="114"/>
      <c r="AG104" s="112"/>
      <c r="AH104" s="150"/>
      <c r="AI104" s="113"/>
      <c r="AJ104" s="261" t="s">
        <v>32</v>
      </c>
      <c r="AK104" s="260"/>
      <c r="AL104" s="260"/>
      <c r="AM104" s="260"/>
      <c r="AN104" s="260"/>
      <c r="AO104" s="260"/>
      <c r="AP104" s="260"/>
      <c r="AQ104" s="260"/>
      <c r="AR104" s="114"/>
      <c r="AS104" s="252" t="s">
        <v>38</v>
      </c>
      <c r="AT104" s="253"/>
      <c r="AU104" s="253"/>
      <c r="AV104" s="254"/>
      <c r="AW104" s="114"/>
      <c r="AX104" s="112"/>
      <c r="AY104" s="138"/>
      <c r="AZ104" s="113"/>
      <c r="BA104" s="261" t="s">
        <v>32</v>
      </c>
      <c r="BB104" s="260"/>
      <c r="BC104" s="260"/>
      <c r="BD104" s="260"/>
      <c r="BE104" s="260"/>
      <c r="BF104" s="260"/>
      <c r="BG104" s="260"/>
      <c r="BH104" s="260"/>
      <c r="BI104" s="114"/>
      <c r="BJ104" s="252" t="s">
        <v>38</v>
      </c>
      <c r="BK104" s="253"/>
      <c r="BL104" s="253"/>
      <c r="BM104" s="254"/>
      <c r="BN104" s="114"/>
      <c r="BO104" s="8"/>
    </row>
    <row r="105" spans="1:74" ht="16.2" customHeight="1" thickBot="1" x14ac:dyDescent="0.3">
      <c r="A105" s="7"/>
      <c r="B105" s="258" t="s">
        <v>33</v>
      </c>
      <c r="C105" s="259"/>
      <c r="D105" s="260"/>
      <c r="E105" s="260"/>
      <c r="F105" s="260"/>
      <c r="G105" s="260"/>
      <c r="H105" s="260"/>
      <c r="I105" s="260"/>
      <c r="J105" s="114"/>
      <c r="K105" s="255"/>
      <c r="L105" s="256"/>
      <c r="M105" s="256"/>
      <c r="N105" s="257"/>
      <c r="P105" s="112"/>
      <c r="R105" s="113"/>
      <c r="S105" s="261" t="s">
        <v>33</v>
      </c>
      <c r="T105" s="260"/>
      <c r="U105" s="260"/>
      <c r="V105" s="260"/>
      <c r="W105" s="260"/>
      <c r="X105" s="260"/>
      <c r="Y105" s="260"/>
      <c r="Z105" s="260"/>
      <c r="AA105" s="114"/>
      <c r="AB105" s="255"/>
      <c r="AC105" s="256"/>
      <c r="AD105" s="256"/>
      <c r="AE105" s="257"/>
      <c r="AG105" s="112"/>
      <c r="AH105" s="151"/>
      <c r="AI105" s="113"/>
      <c r="AJ105" s="261" t="s">
        <v>33</v>
      </c>
      <c r="AK105" s="260"/>
      <c r="AL105" s="260"/>
      <c r="AM105" s="260"/>
      <c r="AN105" s="260"/>
      <c r="AO105" s="260"/>
      <c r="AP105" s="260"/>
      <c r="AQ105" s="260"/>
      <c r="AR105" s="114"/>
      <c r="AS105" s="255"/>
      <c r="AT105" s="256"/>
      <c r="AU105" s="256"/>
      <c r="AV105" s="257"/>
      <c r="AX105" s="112"/>
      <c r="AY105" s="138"/>
      <c r="AZ105" s="113"/>
      <c r="BA105" s="261" t="s">
        <v>33</v>
      </c>
      <c r="BB105" s="260"/>
      <c r="BC105" s="260"/>
      <c r="BD105" s="260"/>
      <c r="BE105" s="260"/>
      <c r="BF105" s="260"/>
      <c r="BG105" s="260"/>
      <c r="BH105" s="260"/>
      <c r="BI105" s="114"/>
      <c r="BJ105" s="255"/>
      <c r="BK105" s="256"/>
      <c r="BL105" s="256"/>
      <c r="BM105" s="257"/>
      <c r="BO105" s="8"/>
    </row>
    <row r="106" spans="1:74" ht="16.2" customHeight="1" thickBot="1" x14ac:dyDescent="0.3">
      <c r="A106" s="7"/>
      <c r="B106" s="250" t="s">
        <v>34</v>
      </c>
      <c r="C106" s="251"/>
      <c r="D106" s="248"/>
      <c r="E106" s="248"/>
      <c r="F106" s="248"/>
      <c r="G106" s="248"/>
      <c r="H106" s="248"/>
      <c r="I106" s="248"/>
      <c r="J106" s="114"/>
      <c r="K106" s="148"/>
      <c r="L106" s="148"/>
      <c r="M106" s="148"/>
      <c r="N106" s="148"/>
      <c r="O106" s="148"/>
      <c r="P106" s="112"/>
      <c r="R106" s="113"/>
      <c r="S106" s="249" t="s">
        <v>34</v>
      </c>
      <c r="T106" s="248"/>
      <c r="U106" s="248"/>
      <c r="V106" s="248"/>
      <c r="W106" s="248"/>
      <c r="X106" s="248"/>
      <c r="Y106" s="248"/>
      <c r="Z106" s="248"/>
      <c r="AA106" s="114"/>
      <c r="AB106" s="148"/>
      <c r="AC106" s="148"/>
      <c r="AD106" s="148"/>
      <c r="AE106" s="148"/>
      <c r="AF106" s="148"/>
      <c r="AG106" s="112"/>
      <c r="AI106" s="113"/>
      <c r="AJ106" s="249" t="s">
        <v>34</v>
      </c>
      <c r="AK106" s="248"/>
      <c r="AL106" s="248"/>
      <c r="AM106" s="248"/>
      <c r="AN106" s="248"/>
      <c r="AO106" s="248"/>
      <c r="AP106" s="248"/>
      <c r="AQ106" s="248"/>
      <c r="AR106" s="114"/>
      <c r="AS106" s="148"/>
      <c r="AT106" s="148"/>
      <c r="AU106" s="148"/>
      <c r="AV106" s="148"/>
      <c r="AW106" s="148"/>
      <c r="AX106" s="112"/>
      <c r="AY106" s="138"/>
      <c r="AZ106" s="113"/>
      <c r="BA106" s="249" t="s">
        <v>34</v>
      </c>
      <c r="BB106" s="248"/>
      <c r="BC106" s="248"/>
      <c r="BD106" s="248"/>
      <c r="BE106" s="248"/>
      <c r="BF106" s="248"/>
      <c r="BG106" s="248"/>
      <c r="BH106" s="248"/>
      <c r="BI106" s="114"/>
      <c r="BJ106" s="148"/>
      <c r="BK106" s="148"/>
      <c r="BL106" s="148"/>
      <c r="BM106" s="148"/>
      <c r="BN106" s="148"/>
      <c r="BO106" s="8"/>
    </row>
    <row r="107" spans="1:74" ht="3" customHeight="1" thickBot="1" x14ac:dyDescent="0.3">
      <c r="A107" s="12"/>
      <c r="B107" s="57"/>
      <c r="C107" s="152"/>
      <c r="D107" s="153"/>
      <c r="E107" s="153"/>
      <c r="F107" s="152"/>
      <c r="G107" s="152"/>
      <c r="H107" s="152"/>
      <c r="I107" s="152"/>
      <c r="J107" s="152"/>
      <c r="K107" s="154"/>
      <c r="L107" s="154"/>
      <c r="M107" s="154"/>
      <c r="N107" s="154"/>
      <c r="O107" s="148"/>
      <c r="P107" s="155"/>
      <c r="R107" s="156"/>
      <c r="S107" s="57"/>
      <c r="T107" s="152"/>
      <c r="U107" s="153"/>
      <c r="V107" s="153"/>
      <c r="W107" s="152"/>
      <c r="X107" s="152"/>
      <c r="Y107" s="152"/>
      <c r="Z107" s="152"/>
      <c r="AA107" s="152"/>
      <c r="AB107" s="154"/>
      <c r="AC107" s="154"/>
      <c r="AD107" s="154"/>
      <c r="AE107" s="154"/>
      <c r="AF107" s="148"/>
      <c r="AG107" s="155"/>
      <c r="AI107" s="156"/>
      <c r="AJ107" s="57"/>
      <c r="AK107" s="152"/>
      <c r="AL107" s="153"/>
      <c r="AM107" s="153"/>
      <c r="AN107" s="152"/>
      <c r="AO107" s="152"/>
      <c r="AP107" s="152"/>
      <c r="AQ107" s="152"/>
      <c r="AR107" s="152"/>
      <c r="AS107" s="154"/>
      <c r="AT107" s="154"/>
      <c r="AU107" s="154"/>
      <c r="AV107" s="154"/>
      <c r="AW107" s="154"/>
      <c r="AX107" s="155"/>
      <c r="AY107" s="138"/>
      <c r="AZ107" s="156"/>
      <c r="BA107" s="57"/>
      <c r="BB107" s="152"/>
      <c r="BC107" s="153"/>
      <c r="BD107" s="153"/>
      <c r="BE107" s="152"/>
      <c r="BF107" s="152"/>
      <c r="BG107" s="152"/>
      <c r="BH107" s="152"/>
      <c r="BI107" s="152"/>
      <c r="BJ107" s="154"/>
      <c r="BK107" s="154"/>
      <c r="BL107" s="154"/>
      <c r="BM107" s="154"/>
      <c r="BN107" s="148"/>
      <c r="BO107" s="13"/>
    </row>
    <row r="108" spans="1:74" ht="19.2" customHeight="1" thickTop="1" thickBot="1" x14ac:dyDescent="0.3">
      <c r="O108" s="158"/>
      <c r="AF108" s="158"/>
      <c r="BN108" s="158"/>
    </row>
    <row r="109" spans="1:74" ht="15" customHeight="1" thickTop="1" x14ac:dyDescent="0.25">
      <c r="A109" s="10"/>
      <c r="B109" s="316" t="s">
        <v>81</v>
      </c>
      <c r="C109" s="316"/>
      <c r="D109" s="316"/>
      <c r="E109" s="316"/>
      <c r="F109" s="316"/>
      <c r="G109" s="316"/>
      <c r="H109" s="316"/>
      <c r="I109" s="316"/>
      <c r="J109" s="314" t="s">
        <v>48</v>
      </c>
      <c r="K109" s="314"/>
      <c r="L109" s="314"/>
      <c r="M109" s="314"/>
      <c r="N109" s="108"/>
      <c r="O109" s="108">
        <v>4</v>
      </c>
      <c r="P109" s="109"/>
      <c r="R109" s="111"/>
      <c r="S109" s="314" t="s">
        <v>81</v>
      </c>
      <c r="T109" s="314"/>
      <c r="U109" s="314"/>
      <c r="V109" s="314"/>
      <c r="W109" s="314"/>
      <c r="X109" s="314"/>
      <c r="Y109" s="314"/>
      <c r="Z109" s="314"/>
      <c r="AA109" s="314" t="s">
        <v>48</v>
      </c>
      <c r="AB109" s="314"/>
      <c r="AC109" s="314"/>
      <c r="AD109" s="314"/>
      <c r="AE109" s="108"/>
      <c r="AF109" s="108">
        <f>O109+5</f>
        <v>9</v>
      </c>
      <c r="AG109" s="109"/>
      <c r="AI109" s="111"/>
      <c r="AJ109" s="314" t="s">
        <v>81</v>
      </c>
      <c r="AK109" s="314"/>
      <c r="AL109" s="314"/>
      <c r="AM109" s="314"/>
      <c r="AN109" s="314"/>
      <c r="AO109" s="314"/>
      <c r="AP109" s="314"/>
      <c r="AQ109" s="314"/>
      <c r="AR109" s="314" t="s">
        <v>48</v>
      </c>
      <c r="AS109" s="314"/>
      <c r="AT109" s="314"/>
      <c r="AU109" s="314"/>
      <c r="AV109" s="108"/>
      <c r="AW109" s="108">
        <f>AF109+5</f>
        <v>14</v>
      </c>
      <c r="AX109" s="109"/>
      <c r="AZ109" s="111"/>
      <c r="BA109" s="314" t="s">
        <v>81</v>
      </c>
      <c r="BB109" s="314"/>
      <c r="BC109" s="314"/>
      <c r="BD109" s="314"/>
      <c r="BE109" s="314"/>
      <c r="BF109" s="314"/>
      <c r="BG109" s="314"/>
      <c r="BH109" s="314"/>
      <c r="BI109" s="314" t="s">
        <v>48</v>
      </c>
      <c r="BJ109" s="314"/>
      <c r="BK109" s="314"/>
      <c r="BL109" s="314"/>
      <c r="BM109" s="108"/>
      <c r="BN109" s="108">
        <f>AW109+5</f>
        <v>19</v>
      </c>
      <c r="BO109" s="11"/>
      <c r="BV109" s="9">
        <f>SUM(F115:F124)</f>
        <v>336</v>
      </c>
    </row>
    <row r="110" spans="1:74" ht="15" customHeight="1" x14ac:dyDescent="0.25">
      <c r="A110" s="7"/>
      <c r="B110" s="164" t="str">
        <f>'الفترة الاولى'!$A$6</f>
        <v>المدرسة /</v>
      </c>
      <c r="C110" s="310" t="str">
        <f>'الفترة الاولى'!$C$6</f>
        <v>سهول العلم للتعليم الخاص</v>
      </c>
      <c r="D110" s="310"/>
      <c r="E110" s="310"/>
      <c r="F110" s="310"/>
      <c r="G110" s="310"/>
      <c r="H110" s="315" t="s">
        <v>47</v>
      </c>
      <c r="I110" s="315"/>
      <c r="J110" s="315" t="str">
        <f>VLOOKUP(O109,اسم,3,0)</f>
        <v>انس محمد عبدالكريم ابوحميده</v>
      </c>
      <c r="K110" s="315"/>
      <c r="L110" s="315"/>
      <c r="M110" s="315"/>
      <c r="N110" s="315"/>
      <c r="O110" s="315"/>
      <c r="P110" s="112"/>
      <c r="R110" s="113"/>
      <c r="S110" s="164" t="str">
        <f>'الفترة الاولى'!$A$6</f>
        <v>المدرسة /</v>
      </c>
      <c r="T110" s="310" t="str">
        <f>'الفترة الاولى'!$C$6</f>
        <v>سهول العلم للتعليم الخاص</v>
      </c>
      <c r="U110" s="310"/>
      <c r="V110" s="310"/>
      <c r="W110" s="310"/>
      <c r="X110" s="310"/>
      <c r="Y110" s="315" t="s">
        <v>47</v>
      </c>
      <c r="Z110" s="315"/>
      <c r="AA110" s="315" t="str">
        <f>VLOOKUP(AF109,اسم,3,0)</f>
        <v>رفال عبدالحميد سالم القاضي</v>
      </c>
      <c r="AB110" s="315"/>
      <c r="AC110" s="315"/>
      <c r="AD110" s="315"/>
      <c r="AE110" s="315"/>
      <c r="AF110" s="315"/>
      <c r="AG110" s="112"/>
      <c r="AI110" s="113"/>
      <c r="AJ110" s="164" t="str">
        <f>'الفترة الاولى'!$A$6</f>
        <v>المدرسة /</v>
      </c>
      <c r="AK110" s="310" t="str">
        <f>'الفترة الاولى'!$C$6</f>
        <v>سهول العلم للتعليم الخاص</v>
      </c>
      <c r="AL110" s="310"/>
      <c r="AM110" s="310"/>
      <c r="AN110" s="310"/>
      <c r="AO110" s="310"/>
      <c r="AP110" s="315" t="s">
        <v>47</v>
      </c>
      <c r="AQ110" s="315"/>
      <c r="AR110" s="315" t="str">
        <f>VLOOKUP(AW109,اسم,3,0)</f>
        <v>علاء الدين لطفي الهادى  امعمر</v>
      </c>
      <c r="AS110" s="315"/>
      <c r="AT110" s="315"/>
      <c r="AU110" s="315"/>
      <c r="AV110" s="315"/>
      <c r="AW110" s="315"/>
      <c r="AX110" s="112"/>
      <c r="AZ110" s="113"/>
      <c r="BA110" s="164" t="str">
        <f>'الفترة الاولى'!$A$6</f>
        <v>المدرسة /</v>
      </c>
      <c r="BB110" s="310" t="str">
        <f>'الفترة الاولى'!$C$6</f>
        <v>سهول العلم للتعليم الخاص</v>
      </c>
      <c r="BC110" s="310"/>
      <c r="BD110" s="310"/>
      <c r="BE110" s="310"/>
      <c r="BF110" s="310"/>
      <c r="BG110" s="315" t="s">
        <v>47</v>
      </c>
      <c r="BH110" s="315"/>
      <c r="BI110" s="315" t="str">
        <f>VLOOKUP(BN109,اسم,3,0)</f>
        <v xml:space="preserve">محمد وسام حسن دريدر </v>
      </c>
      <c r="BJ110" s="315"/>
      <c r="BK110" s="315"/>
      <c r="BL110" s="315"/>
      <c r="BM110" s="315"/>
      <c r="BN110" s="315"/>
      <c r="BO110" s="8"/>
      <c r="BV110" s="9">
        <f>BV109/2</f>
        <v>168</v>
      </c>
    </row>
    <row r="111" spans="1:74" ht="15" customHeight="1" thickBot="1" x14ac:dyDescent="0.3">
      <c r="A111" s="7"/>
      <c r="B111" s="309" t="s">
        <v>86</v>
      </c>
      <c r="C111" s="309"/>
      <c r="D111" s="309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09"/>
      <c r="P111" s="112"/>
      <c r="R111" s="113"/>
      <c r="S111" s="309" t="s">
        <v>86</v>
      </c>
      <c r="T111" s="309"/>
      <c r="U111" s="309"/>
      <c r="V111" s="309"/>
      <c r="W111" s="309"/>
      <c r="X111" s="309"/>
      <c r="Y111" s="309"/>
      <c r="Z111" s="309"/>
      <c r="AA111" s="309"/>
      <c r="AB111" s="309"/>
      <c r="AC111" s="309"/>
      <c r="AD111" s="309"/>
      <c r="AE111" s="309"/>
      <c r="AF111" s="309"/>
      <c r="AG111" s="112"/>
      <c r="AI111" s="113"/>
      <c r="AJ111" s="309" t="s">
        <v>86</v>
      </c>
      <c r="AK111" s="309"/>
      <c r="AL111" s="309"/>
      <c r="AM111" s="309"/>
      <c r="AN111" s="309"/>
      <c r="AO111" s="309"/>
      <c r="AP111" s="309"/>
      <c r="AQ111" s="309"/>
      <c r="AR111" s="309"/>
      <c r="AS111" s="309"/>
      <c r="AT111" s="309"/>
      <c r="AU111" s="309"/>
      <c r="AV111" s="309"/>
      <c r="AW111" s="309"/>
      <c r="AX111" s="112"/>
      <c r="AZ111" s="113"/>
      <c r="BA111" s="309" t="s">
        <v>86</v>
      </c>
      <c r="BB111" s="309"/>
      <c r="BC111" s="309"/>
      <c r="BD111" s="309"/>
      <c r="BE111" s="309"/>
      <c r="BF111" s="309"/>
      <c r="BG111" s="309"/>
      <c r="BH111" s="309"/>
      <c r="BI111" s="309"/>
      <c r="BJ111" s="309"/>
      <c r="BK111" s="309"/>
      <c r="BL111" s="309"/>
      <c r="BM111" s="309"/>
      <c r="BN111" s="309"/>
      <c r="BO111" s="8"/>
    </row>
    <row r="112" spans="1:74" ht="18" customHeight="1" thickBot="1" x14ac:dyDescent="0.3">
      <c r="A112" s="7"/>
      <c r="B112" s="311" t="s">
        <v>67</v>
      </c>
      <c r="C112" s="293" t="s">
        <v>25</v>
      </c>
      <c r="D112" s="264" t="s">
        <v>26</v>
      </c>
      <c r="E112" s="264"/>
      <c r="F112" s="264" t="s">
        <v>27</v>
      </c>
      <c r="G112" s="264"/>
      <c r="H112" s="264"/>
      <c r="I112" s="264"/>
      <c r="J112" s="114"/>
      <c r="K112" s="287" t="s">
        <v>35</v>
      </c>
      <c r="L112" s="288"/>
      <c r="M112" s="288"/>
      <c r="N112" s="288"/>
      <c r="O112" s="289"/>
      <c r="P112" s="112"/>
      <c r="R112" s="113"/>
      <c r="S112" s="290" t="s">
        <v>67</v>
      </c>
      <c r="T112" s="293" t="s">
        <v>25</v>
      </c>
      <c r="U112" s="264" t="s">
        <v>26</v>
      </c>
      <c r="V112" s="264"/>
      <c r="W112" s="264" t="s">
        <v>27</v>
      </c>
      <c r="X112" s="264"/>
      <c r="Y112" s="264"/>
      <c r="Z112" s="264"/>
      <c r="AA112" s="114"/>
      <c r="AB112" s="287" t="s">
        <v>35</v>
      </c>
      <c r="AC112" s="288"/>
      <c r="AD112" s="288"/>
      <c r="AE112" s="288"/>
      <c r="AF112" s="289"/>
      <c r="AG112" s="112"/>
      <c r="AI112" s="113"/>
      <c r="AJ112" s="290" t="s">
        <v>67</v>
      </c>
      <c r="AK112" s="293" t="s">
        <v>25</v>
      </c>
      <c r="AL112" s="264" t="s">
        <v>26</v>
      </c>
      <c r="AM112" s="264"/>
      <c r="AN112" s="264" t="s">
        <v>27</v>
      </c>
      <c r="AO112" s="264"/>
      <c r="AP112" s="264"/>
      <c r="AQ112" s="264"/>
      <c r="AR112" s="114"/>
      <c r="AS112" s="287" t="s">
        <v>35</v>
      </c>
      <c r="AT112" s="288"/>
      <c r="AU112" s="288"/>
      <c r="AV112" s="288"/>
      <c r="AW112" s="289"/>
      <c r="AX112" s="112"/>
      <c r="AY112" s="115"/>
      <c r="AZ112" s="113"/>
      <c r="BA112" s="290" t="s">
        <v>67</v>
      </c>
      <c r="BB112" s="293" t="s">
        <v>25</v>
      </c>
      <c r="BC112" s="264" t="s">
        <v>26</v>
      </c>
      <c r="BD112" s="264"/>
      <c r="BE112" s="264" t="s">
        <v>27</v>
      </c>
      <c r="BF112" s="264"/>
      <c r="BG112" s="264"/>
      <c r="BH112" s="264"/>
      <c r="BI112" s="114"/>
      <c r="BJ112" s="287" t="s">
        <v>35</v>
      </c>
      <c r="BK112" s="288"/>
      <c r="BL112" s="288"/>
      <c r="BM112" s="288"/>
      <c r="BN112" s="289"/>
      <c r="BO112" s="8"/>
      <c r="BS112" s="9">
        <v>0</v>
      </c>
      <c r="BT112" s="9" t="s">
        <v>49</v>
      </c>
    </row>
    <row r="113" spans="1:74" ht="24.75" customHeight="1" x14ac:dyDescent="0.25">
      <c r="A113" s="7"/>
      <c r="B113" s="312"/>
      <c r="C113" s="294"/>
      <c r="D113" s="303" t="s">
        <v>28</v>
      </c>
      <c r="E113" s="303" t="s">
        <v>42</v>
      </c>
      <c r="F113" s="305" t="s">
        <v>69</v>
      </c>
      <c r="G113" s="307" t="s">
        <v>68</v>
      </c>
      <c r="H113" s="296" t="s">
        <v>29</v>
      </c>
      <c r="I113" s="296" t="s">
        <v>17</v>
      </c>
      <c r="J113" s="114"/>
      <c r="K113" s="116" t="s">
        <v>51</v>
      </c>
      <c r="L113" s="298" t="str">
        <f>LOOKUP(H125,$BS$4:$BT$8)</f>
        <v>ممتاز</v>
      </c>
      <c r="M113" s="298"/>
      <c r="N113" s="298"/>
      <c r="O113" s="299"/>
      <c r="P113" s="112"/>
      <c r="R113" s="113"/>
      <c r="S113" s="291"/>
      <c r="T113" s="294"/>
      <c r="U113" s="303" t="s">
        <v>28</v>
      </c>
      <c r="V113" s="303" t="s">
        <v>42</v>
      </c>
      <c r="W113" s="305" t="s">
        <v>69</v>
      </c>
      <c r="X113" s="307" t="s">
        <v>68</v>
      </c>
      <c r="Y113" s="296" t="s">
        <v>29</v>
      </c>
      <c r="Z113" s="296" t="s">
        <v>17</v>
      </c>
      <c r="AA113" s="114"/>
      <c r="AB113" s="116" t="s">
        <v>51</v>
      </c>
      <c r="AC113" s="298" t="str">
        <f>LOOKUP(Y125,$BS$4:$BT$8)</f>
        <v>ممتاز</v>
      </c>
      <c r="AD113" s="298"/>
      <c r="AE113" s="298"/>
      <c r="AF113" s="299"/>
      <c r="AG113" s="112"/>
      <c r="AI113" s="113"/>
      <c r="AJ113" s="291"/>
      <c r="AK113" s="294"/>
      <c r="AL113" s="303" t="s">
        <v>28</v>
      </c>
      <c r="AM113" s="303" t="s">
        <v>42</v>
      </c>
      <c r="AN113" s="305" t="s">
        <v>69</v>
      </c>
      <c r="AO113" s="307" t="s">
        <v>68</v>
      </c>
      <c r="AP113" s="296" t="s">
        <v>29</v>
      </c>
      <c r="AQ113" s="296" t="s">
        <v>17</v>
      </c>
      <c r="AR113" s="114"/>
      <c r="AS113" s="116" t="s">
        <v>51</v>
      </c>
      <c r="AT113" s="298" t="str">
        <f>LOOKUP(AP125,$BS$4:$BT$8)</f>
        <v>مقبول</v>
      </c>
      <c r="AU113" s="298"/>
      <c r="AV113" s="298"/>
      <c r="AW113" s="299"/>
      <c r="AX113" s="112"/>
      <c r="AY113" s="115"/>
      <c r="AZ113" s="113"/>
      <c r="BA113" s="291"/>
      <c r="BB113" s="294"/>
      <c r="BC113" s="303" t="s">
        <v>28</v>
      </c>
      <c r="BD113" s="303" t="s">
        <v>42</v>
      </c>
      <c r="BE113" s="305" t="s">
        <v>69</v>
      </c>
      <c r="BF113" s="307" t="s">
        <v>68</v>
      </c>
      <c r="BG113" s="296" t="s">
        <v>29</v>
      </c>
      <c r="BH113" s="296" t="s">
        <v>17</v>
      </c>
      <c r="BI113" s="114"/>
      <c r="BJ113" s="116" t="s">
        <v>51</v>
      </c>
      <c r="BK113" s="298" t="str">
        <f>LOOKUP(BG125,$BS$4:$BT$8)</f>
        <v>جيد</v>
      </c>
      <c r="BL113" s="298"/>
      <c r="BM113" s="298"/>
      <c r="BN113" s="299"/>
      <c r="BO113" s="8"/>
      <c r="BS113" s="9">
        <f>BV110*0.5</f>
        <v>84</v>
      </c>
      <c r="BT113" s="9" t="s">
        <v>14</v>
      </c>
    </row>
    <row r="114" spans="1:74" ht="21" thickBot="1" x14ac:dyDescent="0.3">
      <c r="A114" s="7"/>
      <c r="B114" s="313"/>
      <c r="C114" s="295"/>
      <c r="D114" s="304"/>
      <c r="E114" s="304"/>
      <c r="F114" s="306"/>
      <c r="G114" s="308"/>
      <c r="H114" s="297"/>
      <c r="I114" s="297"/>
      <c r="J114" s="117"/>
      <c r="K114" s="300" t="str">
        <f>IF(L113&lt;&gt;"ضعيف","","يحتاج الى اهتمام في المواد ")</f>
        <v/>
      </c>
      <c r="L114" s="301"/>
      <c r="M114" s="301"/>
      <c r="N114" s="301"/>
      <c r="O114" s="302"/>
      <c r="P114" s="112"/>
      <c r="R114" s="113"/>
      <c r="S114" s="292"/>
      <c r="T114" s="295"/>
      <c r="U114" s="304"/>
      <c r="V114" s="304"/>
      <c r="W114" s="306"/>
      <c r="X114" s="308"/>
      <c r="Y114" s="297"/>
      <c r="Z114" s="297"/>
      <c r="AA114" s="117"/>
      <c r="AB114" s="300" t="str">
        <f>IF(AC113&lt;&gt;"ضعيف","","يحتاج الى اهتمام في المواد ")</f>
        <v/>
      </c>
      <c r="AC114" s="301"/>
      <c r="AD114" s="301"/>
      <c r="AE114" s="301"/>
      <c r="AF114" s="302"/>
      <c r="AG114" s="112"/>
      <c r="AI114" s="113"/>
      <c r="AJ114" s="292"/>
      <c r="AK114" s="295"/>
      <c r="AL114" s="304"/>
      <c r="AM114" s="304"/>
      <c r="AN114" s="306"/>
      <c r="AO114" s="308"/>
      <c r="AP114" s="297"/>
      <c r="AQ114" s="297"/>
      <c r="AR114" s="117"/>
      <c r="AS114" s="300" t="str">
        <f>IF(AT113&lt;&gt;"ضعيف","","يحتاج الى اهتمام في المواد ")</f>
        <v/>
      </c>
      <c r="AT114" s="301"/>
      <c r="AU114" s="301"/>
      <c r="AV114" s="301"/>
      <c r="AW114" s="302"/>
      <c r="AX114" s="112"/>
      <c r="AY114" s="115"/>
      <c r="AZ114" s="113"/>
      <c r="BA114" s="292"/>
      <c r="BB114" s="295"/>
      <c r="BC114" s="304"/>
      <c r="BD114" s="304"/>
      <c r="BE114" s="306"/>
      <c r="BF114" s="308"/>
      <c r="BG114" s="297"/>
      <c r="BH114" s="297"/>
      <c r="BI114" s="117"/>
      <c r="BJ114" s="300" t="str">
        <f>IF(BK113&lt;&gt;"ضعيف","","يحتاج الى اهتمام في المواد ")</f>
        <v/>
      </c>
      <c r="BK114" s="301"/>
      <c r="BL114" s="301"/>
      <c r="BM114" s="301"/>
      <c r="BN114" s="302"/>
      <c r="BO114" s="8"/>
      <c r="BS114" s="9">
        <f>BV110*0.65</f>
        <v>109.2</v>
      </c>
      <c r="BT114" s="9" t="s">
        <v>13</v>
      </c>
    </row>
    <row r="115" spans="1:74" ht="28.95" customHeight="1" thickBot="1" x14ac:dyDescent="0.3">
      <c r="A115" s="7"/>
      <c r="B115" s="70" t="str">
        <f>'الفترة الاولى'!$E$8</f>
        <v>التربية الإسلامية</v>
      </c>
      <c r="C115" s="118">
        <f>'الفترة الاولى'!$G$8</f>
        <v>2</v>
      </c>
      <c r="D115" s="119">
        <f>C115*40</f>
        <v>80</v>
      </c>
      <c r="E115" s="119">
        <f>D115*0.5</f>
        <v>40</v>
      </c>
      <c r="F115" s="120">
        <f>D115*0.3</f>
        <v>24</v>
      </c>
      <c r="G115" s="121">
        <f>D115*0.15</f>
        <v>12</v>
      </c>
      <c r="H115" s="122">
        <f>IFERROR(VLOOKUP(J110,بيان,2,0),0)</f>
        <v>12</v>
      </c>
      <c r="I115" s="122">
        <f>IFERROR(VLOOKUP(J110,بيان,3,0),0)</f>
        <v>12</v>
      </c>
      <c r="J115" s="114"/>
      <c r="K115" s="123" t="str">
        <f>IF(H115=0,"",IF(H115&lt;G115/2,B115,""))</f>
        <v/>
      </c>
      <c r="L115" s="124" t="str">
        <f>IF(H116=0,"",IF(H116&lt;G116/2,B116,""))</f>
        <v/>
      </c>
      <c r="M115" s="124" t="str">
        <f>IF(H117=0,"",IF(H117&lt;G117/2,B117,""))</f>
        <v/>
      </c>
      <c r="N115" s="124" t="str">
        <f>IF(H118=0,"",IF(H118&lt;G118/2,B118,""))</f>
        <v/>
      </c>
      <c r="O115" s="125" t="str">
        <f>IF(H119=0,"",IF(H119&lt;G119/2,B119,""))</f>
        <v/>
      </c>
      <c r="P115" s="112"/>
      <c r="R115" s="113"/>
      <c r="S115" s="126" t="str">
        <f>'الفترة الاولى'!$E$8</f>
        <v>التربية الإسلامية</v>
      </c>
      <c r="T115" s="118">
        <f>'الفترة الاولى'!$G$8</f>
        <v>2</v>
      </c>
      <c r="U115" s="119">
        <f>T115*40</f>
        <v>80</v>
      </c>
      <c r="V115" s="119">
        <f>U115*0.5</f>
        <v>40</v>
      </c>
      <c r="W115" s="120">
        <f>U115*0.3</f>
        <v>24</v>
      </c>
      <c r="X115" s="121">
        <f>U115*0.15</f>
        <v>12</v>
      </c>
      <c r="Y115" s="122">
        <f>IFERROR(VLOOKUP(AA110,بيان,2,0),0)</f>
        <v>11</v>
      </c>
      <c r="Z115" s="122">
        <f>IFERROR(VLOOKUP(AA110,بيان,3,0),0)</f>
        <v>12</v>
      </c>
      <c r="AA115" s="114"/>
      <c r="AB115" s="123" t="str">
        <f>IF(Y115=0,"",IF(Y115&lt;X115/2,S115,""))</f>
        <v/>
      </c>
      <c r="AC115" s="124" t="str">
        <f>IF(Y116=0,"",IF(Y116&lt;X116/2,S116,""))</f>
        <v/>
      </c>
      <c r="AD115" s="124" t="str">
        <f>IF(Y117=0,"",IF(Y117&lt;X117/2,S117,""))</f>
        <v/>
      </c>
      <c r="AE115" s="124" t="str">
        <f>IF(Y118=0,"",IF(Y118&lt;X118/2,S118,""))</f>
        <v/>
      </c>
      <c r="AF115" s="125" t="str">
        <f>IF(Y119=0,"",IF(Y119&lt;X119/2,S119,""))</f>
        <v/>
      </c>
      <c r="AG115" s="112"/>
      <c r="AI115" s="113"/>
      <c r="AJ115" s="126" t="str">
        <f>'الفترة الاولى'!$E$8</f>
        <v>التربية الإسلامية</v>
      </c>
      <c r="AK115" s="118">
        <f>'الفترة الاولى'!$G$8</f>
        <v>2</v>
      </c>
      <c r="AL115" s="119">
        <f>AK115*40</f>
        <v>80</v>
      </c>
      <c r="AM115" s="119">
        <f>AL115*0.5</f>
        <v>40</v>
      </c>
      <c r="AN115" s="120">
        <f>AL115*0.3</f>
        <v>24</v>
      </c>
      <c r="AO115" s="121">
        <f>AL115*0.15</f>
        <v>12</v>
      </c>
      <c r="AP115" s="122">
        <f>IFERROR(VLOOKUP(AR110,بيان,2,0),0)</f>
        <v>8</v>
      </c>
      <c r="AQ115" s="122">
        <f>IFERROR(VLOOKUP(AR110,بيان,3,0),0)</f>
        <v>9</v>
      </c>
      <c r="AR115" s="114"/>
      <c r="AS115" s="123" t="str">
        <f>IF(AP115=0,"",IF(AP115&lt;AO115/2,AJ115,""))</f>
        <v/>
      </c>
      <c r="AT115" s="124" t="str">
        <f>IF(AP116=0,"",IF(AP116&lt;AO116/2,AJ116,""))</f>
        <v/>
      </c>
      <c r="AU115" s="124" t="str">
        <f>IF(AP117=0,"",IF(AP117&lt;AO117/2,AJ117,""))</f>
        <v/>
      </c>
      <c r="AV115" s="124" t="str">
        <f>IF(AP118=0,"",IF(AP118&lt;AO118/2,AJ118,""))</f>
        <v/>
      </c>
      <c r="AW115" s="125" t="str">
        <f>IF(AP119=0,"",IF(AP119&lt;AO119/2,AJ119,""))</f>
        <v/>
      </c>
      <c r="AX115" s="112"/>
      <c r="AY115" s="127"/>
      <c r="AZ115" s="113"/>
      <c r="BA115" s="126" t="str">
        <f>'الفترة الاولى'!$E$8</f>
        <v>التربية الإسلامية</v>
      </c>
      <c r="BB115" s="118">
        <f>'الفترة الاولى'!$G$8</f>
        <v>2</v>
      </c>
      <c r="BC115" s="119">
        <f>BB115*40</f>
        <v>80</v>
      </c>
      <c r="BD115" s="119">
        <f>BC115*0.5</f>
        <v>40</v>
      </c>
      <c r="BE115" s="120">
        <f>BC115*0.3</f>
        <v>24</v>
      </c>
      <c r="BF115" s="121">
        <f>BC115*0.15</f>
        <v>12</v>
      </c>
      <c r="BG115" s="122">
        <f>IFERROR(VLOOKUP(BI110,بيان,2,0),0)</f>
        <v>9</v>
      </c>
      <c r="BH115" s="122">
        <f>IFERROR(VLOOKUP(BI110,بيان,3,0),0)</f>
        <v>11</v>
      </c>
      <c r="BI115" s="114"/>
      <c r="BJ115" s="123" t="str">
        <f>IF(BG115=0,"",IF(BG115&lt;BF115/2,BA115,""))</f>
        <v/>
      </c>
      <c r="BK115" s="124" t="str">
        <f>IF(BG116=0,"",IF(BG116&lt;BF116/2,BA116,""))</f>
        <v/>
      </c>
      <c r="BL115" s="124" t="str">
        <f>IF(BG117=0,"",IF(BG117&lt;BF117/2,BA117,""))</f>
        <v/>
      </c>
      <c r="BM115" s="124" t="str">
        <f>IF(BG118=0,"",IF(BG118&lt;BF118/2,BA118,""))</f>
        <v/>
      </c>
      <c r="BN115" s="125" t="str">
        <f>IF(BG119=0,"",IF(BG119&lt;BF119/2,BA119,""))</f>
        <v/>
      </c>
      <c r="BO115" s="8"/>
      <c r="BS115" s="9">
        <f>BV110*0.75</f>
        <v>126</v>
      </c>
      <c r="BT115" s="9" t="s">
        <v>46</v>
      </c>
    </row>
    <row r="116" spans="1:74" ht="28.95" customHeight="1" thickBot="1" x14ac:dyDescent="0.3">
      <c r="A116" s="7"/>
      <c r="B116" s="71" t="str">
        <f>'الفترة الاولى'!$H$8</f>
        <v>النحو والقراءة والنصوص</v>
      </c>
      <c r="C116" s="128">
        <f>'الفترة الاولى'!$J$8</f>
        <v>4</v>
      </c>
      <c r="D116" s="129">
        <f t="shared" ref="D116:D124" si="98">C116*40</f>
        <v>160</v>
      </c>
      <c r="E116" s="129">
        <f t="shared" ref="E116:E125" si="99">D116*0.5</f>
        <v>80</v>
      </c>
      <c r="F116" s="120">
        <f t="shared" ref="F116:F121" si="100">D116*0.3</f>
        <v>48</v>
      </c>
      <c r="G116" s="121">
        <f t="shared" ref="G116:G121" si="101">D116*0.15</f>
        <v>24</v>
      </c>
      <c r="H116" s="122">
        <f>IFERROR(VLOOKUP(J110,بيان,5,0),0)</f>
        <v>21</v>
      </c>
      <c r="I116" s="122">
        <f>IFERROR(VLOOKUP(J110,بيان,6,0),0)</f>
        <v>23</v>
      </c>
      <c r="J116" s="114"/>
      <c r="K116" s="130" t="str">
        <f>IF(H120=0,"",IF(H120&lt;G120/2,B120,""))</f>
        <v/>
      </c>
      <c r="L116" s="131" t="str">
        <f>IF(H121=0,"",IF(H121&lt;G121/2,B121,""))</f>
        <v/>
      </c>
      <c r="M116" s="131" t="str">
        <f>IF(H122=0,"",IF(H122&lt;G122/2,B122,""))</f>
        <v/>
      </c>
      <c r="N116" s="131" t="str">
        <f>IF(H123=0,"",IF(H123&lt;G123/2,B123,""))</f>
        <v/>
      </c>
      <c r="O116" s="132" t="str">
        <f>IF(H124=0,"",IF(H124&lt;G124/2,B124,""))</f>
        <v/>
      </c>
      <c r="P116" s="112"/>
      <c r="R116" s="113"/>
      <c r="S116" s="133" t="str">
        <f>'الفترة الاولى'!$H$8</f>
        <v>النحو والقراءة والنصوص</v>
      </c>
      <c r="T116" s="128">
        <f>'الفترة الاولى'!$J$8</f>
        <v>4</v>
      </c>
      <c r="U116" s="129">
        <f t="shared" ref="U116:U124" si="102">T116*40</f>
        <v>160</v>
      </c>
      <c r="V116" s="129">
        <f t="shared" ref="V116:V125" si="103">U116*0.5</f>
        <v>80</v>
      </c>
      <c r="W116" s="120">
        <f t="shared" ref="W116:W121" si="104">U116*0.3</f>
        <v>48</v>
      </c>
      <c r="X116" s="121">
        <f t="shared" ref="X116:X121" si="105">U116*0.15</f>
        <v>24</v>
      </c>
      <c r="Y116" s="122">
        <f>IFERROR(VLOOKUP(AA110,بيان,5,0),0)</f>
        <v>21</v>
      </c>
      <c r="Z116" s="122">
        <f>IFERROR(VLOOKUP(AA110,بيان,6,0),0)</f>
        <v>24</v>
      </c>
      <c r="AA116" s="114"/>
      <c r="AB116" s="130" t="str">
        <f>IF(Y120=0,"",IF(Y120&lt;X120/2,S120,""))</f>
        <v/>
      </c>
      <c r="AC116" s="131" t="str">
        <f>IF(Y121=0,"",IF(Y121&lt;X121/2,S121,""))</f>
        <v/>
      </c>
      <c r="AD116" s="131" t="str">
        <f>IF(Y122=0,"",IF(Y122&lt;X122/2,S122,""))</f>
        <v/>
      </c>
      <c r="AE116" s="131" t="str">
        <f>IF(Y123=0,"",IF(Y123&lt;X123/2,S123,""))</f>
        <v/>
      </c>
      <c r="AF116" s="132" t="str">
        <f>IF(Y124=0,"",IF(Y124&lt;X124/2,S124,""))</f>
        <v/>
      </c>
      <c r="AG116" s="112"/>
      <c r="AI116" s="113"/>
      <c r="AJ116" s="133" t="str">
        <f>'الفترة الاولى'!$H$8</f>
        <v>النحو والقراءة والنصوص</v>
      </c>
      <c r="AK116" s="128">
        <f>'الفترة الاولى'!$J$8</f>
        <v>4</v>
      </c>
      <c r="AL116" s="129">
        <f t="shared" ref="AL116:AL124" si="106">AK116*40</f>
        <v>160</v>
      </c>
      <c r="AM116" s="129">
        <f t="shared" ref="AM116:AM125" si="107">AL116*0.5</f>
        <v>80</v>
      </c>
      <c r="AN116" s="120">
        <f t="shared" ref="AN116:AN122" si="108">AL116*0.3</f>
        <v>48</v>
      </c>
      <c r="AO116" s="121">
        <f t="shared" ref="AO116:AO122" si="109">AL116*0.15</f>
        <v>24</v>
      </c>
      <c r="AP116" s="122">
        <f>IFERROR(VLOOKUP(AR110,بيان,5,0),0)</f>
        <v>16</v>
      </c>
      <c r="AQ116" s="122">
        <f>IFERROR(VLOOKUP(AR110,بيان,6,0),0)</f>
        <v>13</v>
      </c>
      <c r="AR116" s="114"/>
      <c r="AS116" s="130" t="str">
        <f>IF(AP120=0,"",IF(AP120&lt;AO120/2,AJ120,""))</f>
        <v>الرياضيات</v>
      </c>
      <c r="AT116" s="131" t="str">
        <f>IF(AP121=0,"",IF(AP121&lt;AO121/2,AJ121,""))</f>
        <v/>
      </c>
      <c r="AU116" s="131" t="str">
        <f>IF(AP122=0,"",IF(AP122&lt;AO122/2,AJ122,""))</f>
        <v/>
      </c>
      <c r="AV116" s="131" t="str">
        <f>IF(AP123=0,"",IF(AP123&lt;AO123/2,AJ123,""))</f>
        <v>الجغرافيا</v>
      </c>
      <c r="AW116" s="132" t="str">
        <f>IF(AP124=0,"",IF(AP124&lt;AO124/2,AJ124,""))</f>
        <v/>
      </c>
      <c r="AX116" s="112"/>
      <c r="AY116" s="134"/>
      <c r="AZ116" s="113"/>
      <c r="BA116" s="133" t="str">
        <f>'الفترة الاولى'!$H$8</f>
        <v>النحو والقراءة والنصوص</v>
      </c>
      <c r="BB116" s="128">
        <f>'الفترة الاولى'!$J$8</f>
        <v>4</v>
      </c>
      <c r="BC116" s="129">
        <f t="shared" ref="BC116:BC124" si="110">BB116*40</f>
        <v>160</v>
      </c>
      <c r="BD116" s="129">
        <f t="shared" ref="BD116:BD125" si="111">BC116*0.5</f>
        <v>80</v>
      </c>
      <c r="BE116" s="120">
        <f t="shared" ref="BE116:BE122" si="112">BC116*0.3</f>
        <v>48</v>
      </c>
      <c r="BF116" s="121">
        <f t="shared" ref="BF116:BF122" si="113">BC116*0.15</f>
        <v>24</v>
      </c>
      <c r="BG116" s="122">
        <f>IFERROR(VLOOKUP(BI110,بيان,5,0),0)</f>
        <v>14</v>
      </c>
      <c r="BH116" s="122">
        <f>IFERROR(VLOOKUP(BI110,بيان,6,0),0)</f>
        <v>17</v>
      </c>
      <c r="BI116" s="114"/>
      <c r="BJ116" s="130" t="str">
        <f>IF(BG120=0,"",IF(BG120&lt;BF120/2,BA120,""))</f>
        <v/>
      </c>
      <c r="BK116" s="131" t="str">
        <f>IF(BG121=0,"",IF(BG121&lt;BF121/2,BA121,""))</f>
        <v/>
      </c>
      <c r="BL116" s="131" t="str">
        <f>IF(BG122=0,"",IF(BG122&lt;BF122/2,BA122,""))</f>
        <v/>
      </c>
      <c r="BM116" s="131" t="str">
        <f>IF(BG123=0,"",IF(BG123&lt;BF123/2,BA123,""))</f>
        <v>الجغرافيا</v>
      </c>
      <c r="BN116" s="132" t="str">
        <f>IF(BG124=0,"",IF(BG124&lt;BF124/2,BA124,""))</f>
        <v/>
      </c>
      <c r="BO116" s="8"/>
      <c r="BS116" s="9">
        <f>BV110*0.85</f>
        <v>142.79999999999998</v>
      </c>
      <c r="BT116" s="9" t="s">
        <v>12</v>
      </c>
    </row>
    <row r="117" spans="1:74" ht="28.95" customHeight="1" thickBot="1" x14ac:dyDescent="0.3">
      <c r="A117" s="7"/>
      <c r="B117" s="70" t="str">
        <f>'الفترة الاولى'!$K$8</f>
        <v>الكتابة (الخط والاملاء والخط )</v>
      </c>
      <c r="C117" s="118">
        <f>'الفترة الاولى'!$M$8</f>
        <v>2</v>
      </c>
      <c r="D117" s="119">
        <f t="shared" si="98"/>
        <v>80</v>
      </c>
      <c r="E117" s="119">
        <f t="shared" si="99"/>
        <v>40</v>
      </c>
      <c r="F117" s="120">
        <f t="shared" si="100"/>
        <v>24</v>
      </c>
      <c r="G117" s="121">
        <f t="shared" si="101"/>
        <v>12</v>
      </c>
      <c r="H117" s="122">
        <f>IFERROR(VLOOKUP(J110,بيان,8,0),0)</f>
        <v>10</v>
      </c>
      <c r="I117" s="122">
        <f>IFERROR(VLOOKUP(J110,بيان,9,0),0)</f>
        <v>11</v>
      </c>
      <c r="J117" s="114"/>
      <c r="K117" s="135"/>
      <c r="L117" s="136"/>
      <c r="M117" s="136"/>
      <c r="N117" s="136"/>
      <c r="O117" s="137"/>
      <c r="P117" s="112"/>
      <c r="R117" s="113"/>
      <c r="S117" s="126" t="str">
        <f>'الفترة الاولى'!$K$8</f>
        <v>الكتابة (الخط والاملاء والخط )</v>
      </c>
      <c r="T117" s="118">
        <f>'الفترة الاولى'!$M$8</f>
        <v>2</v>
      </c>
      <c r="U117" s="119">
        <f t="shared" si="102"/>
        <v>80</v>
      </c>
      <c r="V117" s="119">
        <f t="shared" si="103"/>
        <v>40</v>
      </c>
      <c r="W117" s="120">
        <f t="shared" si="104"/>
        <v>24</v>
      </c>
      <c r="X117" s="121">
        <f t="shared" si="105"/>
        <v>12</v>
      </c>
      <c r="Y117" s="122">
        <f>IFERROR(VLOOKUP(AA110,بيان,8,0),0)</f>
        <v>12</v>
      </c>
      <c r="Z117" s="122">
        <f>IFERROR(VLOOKUP(AA110,بيان,9,0),0)</f>
        <v>12</v>
      </c>
      <c r="AA117" s="114"/>
      <c r="AB117" s="135"/>
      <c r="AC117" s="136"/>
      <c r="AD117" s="136"/>
      <c r="AE117" s="136"/>
      <c r="AF117" s="137"/>
      <c r="AG117" s="112"/>
      <c r="AI117" s="113"/>
      <c r="AJ117" s="126" t="str">
        <f>'الفترة الاولى'!$K$8</f>
        <v>الكتابة (الخط والاملاء والخط )</v>
      </c>
      <c r="AK117" s="118">
        <f>'الفترة الاولى'!$M$8</f>
        <v>2</v>
      </c>
      <c r="AL117" s="119">
        <f t="shared" si="106"/>
        <v>80</v>
      </c>
      <c r="AM117" s="119">
        <f t="shared" si="107"/>
        <v>40</v>
      </c>
      <c r="AN117" s="120">
        <f t="shared" si="108"/>
        <v>24</v>
      </c>
      <c r="AO117" s="121">
        <f t="shared" si="109"/>
        <v>12</v>
      </c>
      <c r="AP117" s="122">
        <f>IFERROR(VLOOKUP(AR110,بيان,8,0),0)</f>
        <v>7</v>
      </c>
      <c r="AQ117" s="122">
        <f>IFERROR(VLOOKUP(AR110,بيان,9,0),0)</f>
        <v>6</v>
      </c>
      <c r="AR117" s="114"/>
      <c r="AS117" s="135"/>
      <c r="AT117" s="136"/>
      <c r="AU117" s="136"/>
      <c r="AV117" s="136"/>
      <c r="AW117" s="137"/>
      <c r="AX117" s="112"/>
      <c r="AY117" s="138"/>
      <c r="AZ117" s="113"/>
      <c r="BA117" s="126" t="str">
        <f>'الفترة الاولى'!$K$8</f>
        <v>الكتابة (الخط والاملاء والخط )</v>
      </c>
      <c r="BB117" s="118">
        <f>'الفترة الاولى'!$M$8</f>
        <v>2</v>
      </c>
      <c r="BC117" s="119">
        <f t="shared" si="110"/>
        <v>80</v>
      </c>
      <c r="BD117" s="119">
        <f t="shared" si="111"/>
        <v>40</v>
      </c>
      <c r="BE117" s="120">
        <f t="shared" si="112"/>
        <v>24</v>
      </c>
      <c r="BF117" s="121">
        <f t="shared" si="113"/>
        <v>12</v>
      </c>
      <c r="BG117" s="122">
        <f>IFERROR(VLOOKUP(BI110,بيان,8,0),0)</f>
        <v>8</v>
      </c>
      <c r="BH117" s="122">
        <f>IFERROR(VLOOKUP(BI110,بيان,9,0),0)</f>
        <v>10</v>
      </c>
      <c r="BI117" s="114"/>
      <c r="BJ117" s="135"/>
      <c r="BK117" s="136"/>
      <c r="BL117" s="136"/>
      <c r="BM117" s="136"/>
      <c r="BN117" s="137"/>
      <c r="BO117" s="8"/>
    </row>
    <row r="118" spans="1:74" ht="28.95" customHeight="1" thickBot="1" x14ac:dyDescent="0.3">
      <c r="A118" s="7"/>
      <c r="B118" s="71" t="str">
        <f>'الفترة الاولى'!$N$8</f>
        <v>الإنجليزي</v>
      </c>
      <c r="C118" s="128">
        <f>'الفترة الاولى'!$P$8</f>
        <v>4</v>
      </c>
      <c r="D118" s="129">
        <f t="shared" si="98"/>
        <v>160</v>
      </c>
      <c r="E118" s="129">
        <f t="shared" si="99"/>
        <v>80</v>
      </c>
      <c r="F118" s="120">
        <f t="shared" si="100"/>
        <v>48</v>
      </c>
      <c r="G118" s="121">
        <f t="shared" si="101"/>
        <v>24</v>
      </c>
      <c r="H118" s="122">
        <f>IFERROR(VLOOKUP(J110,بيان,11,0),0)</f>
        <v>24</v>
      </c>
      <c r="I118" s="122">
        <f>IFERROR(VLOOKUP(J110,بيان,12,0),0)</f>
        <v>22</v>
      </c>
      <c r="J118" s="114"/>
      <c r="K118" s="269" t="s">
        <v>43</v>
      </c>
      <c r="L118" s="267"/>
      <c r="M118" s="267"/>
      <c r="N118" s="267"/>
      <c r="O118" s="268"/>
      <c r="P118" s="112"/>
      <c r="R118" s="113"/>
      <c r="S118" s="133" t="str">
        <f>'الفترة الاولى'!$N$8</f>
        <v>الإنجليزي</v>
      </c>
      <c r="T118" s="128">
        <f>'الفترة الاولى'!$P$8</f>
        <v>4</v>
      </c>
      <c r="U118" s="129">
        <f t="shared" si="102"/>
        <v>160</v>
      </c>
      <c r="V118" s="129">
        <f t="shared" si="103"/>
        <v>80</v>
      </c>
      <c r="W118" s="120">
        <f t="shared" si="104"/>
        <v>48</v>
      </c>
      <c r="X118" s="121">
        <f t="shared" si="105"/>
        <v>24</v>
      </c>
      <c r="Y118" s="122">
        <f>IFERROR(VLOOKUP(AA110,بيان,11,0),0)</f>
        <v>24</v>
      </c>
      <c r="Z118" s="122">
        <f>IFERROR(VLOOKUP(AA110,بيان,12,0),0)</f>
        <v>24</v>
      </c>
      <c r="AA118" s="114"/>
      <c r="AB118" s="269" t="s">
        <v>43</v>
      </c>
      <c r="AC118" s="267"/>
      <c r="AD118" s="267"/>
      <c r="AE118" s="267"/>
      <c r="AF118" s="268"/>
      <c r="AG118" s="112"/>
      <c r="AI118" s="113"/>
      <c r="AJ118" s="133" t="str">
        <f>'الفترة الاولى'!$N$8</f>
        <v>الإنجليزي</v>
      </c>
      <c r="AK118" s="128">
        <f>'الفترة الاولى'!$P$8</f>
        <v>4</v>
      </c>
      <c r="AL118" s="129">
        <f t="shared" si="106"/>
        <v>160</v>
      </c>
      <c r="AM118" s="129">
        <f t="shared" si="107"/>
        <v>80</v>
      </c>
      <c r="AN118" s="120">
        <f t="shared" si="108"/>
        <v>48</v>
      </c>
      <c r="AO118" s="121">
        <f t="shared" si="109"/>
        <v>24</v>
      </c>
      <c r="AP118" s="122">
        <f>IFERROR(VLOOKUP(AR110,بيان,11,0),0)</f>
        <v>18</v>
      </c>
      <c r="AQ118" s="122">
        <f>IFERROR(VLOOKUP(AR110,بيان,12,0),0)</f>
        <v>19</v>
      </c>
      <c r="AR118" s="114"/>
      <c r="AS118" s="269" t="s">
        <v>43</v>
      </c>
      <c r="AT118" s="267"/>
      <c r="AU118" s="267"/>
      <c r="AV118" s="267"/>
      <c r="AW118" s="268"/>
      <c r="AX118" s="112"/>
      <c r="AY118" s="138"/>
      <c r="AZ118" s="113"/>
      <c r="BA118" s="133" t="str">
        <f>'الفترة الاولى'!$N$8</f>
        <v>الإنجليزي</v>
      </c>
      <c r="BB118" s="128">
        <f>'الفترة الاولى'!$P$8</f>
        <v>4</v>
      </c>
      <c r="BC118" s="129">
        <f t="shared" si="110"/>
        <v>160</v>
      </c>
      <c r="BD118" s="129">
        <f t="shared" si="111"/>
        <v>80</v>
      </c>
      <c r="BE118" s="120">
        <f t="shared" si="112"/>
        <v>48</v>
      </c>
      <c r="BF118" s="121">
        <f t="shared" si="113"/>
        <v>24</v>
      </c>
      <c r="BG118" s="122">
        <f>IFERROR(VLOOKUP(BI110,بيان,11,0),0)</f>
        <v>21</v>
      </c>
      <c r="BH118" s="122">
        <f>IFERROR(VLOOKUP(BI110,بيان,12,0),0)</f>
        <v>22</v>
      </c>
      <c r="BI118" s="114"/>
      <c r="BJ118" s="269" t="s">
        <v>43</v>
      </c>
      <c r="BK118" s="267"/>
      <c r="BL118" s="267"/>
      <c r="BM118" s="267"/>
      <c r="BN118" s="268"/>
      <c r="BO118" s="8"/>
    </row>
    <row r="119" spans="1:74" ht="28.95" customHeight="1" thickBot="1" x14ac:dyDescent="0.3">
      <c r="A119" s="7"/>
      <c r="B119" s="70" t="str">
        <f>'الفترة الاولى'!$Q$8</f>
        <v>الحاسوب</v>
      </c>
      <c r="C119" s="118">
        <f>'الفترة الاولى'!$S$8</f>
        <v>2</v>
      </c>
      <c r="D119" s="119">
        <f t="shared" si="98"/>
        <v>80</v>
      </c>
      <c r="E119" s="119">
        <f t="shared" si="99"/>
        <v>40</v>
      </c>
      <c r="F119" s="120">
        <f t="shared" si="100"/>
        <v>24</v>
      </c>
      <c r="G119" s="121">
        <f t="shared" si="101"/>
        <v>12</v>
      </c>
      <c r="H119" s="139">
        <f>IFERROR(VLOOKUP(J110,بيان,14,0),0)</f>
        <v>12</v>
      </c>
      <c r="I119" s="122">
        <f>IFERROR(VLOOKUP(J110,بيان,15,0),0)</f>
        <v>12</v>
      </c>
      <c r="J119" s="114"/>
      <c r="K119" s="284" t="str">
        <f>'الفترة الاولى'!$CA$16</f>
        <v>أ. فهيم عبدالمجيد بوازويتة</v>
      </c>
      <c r="L119" s="285"/>
      <c r="M119" s="285"/>
      <c r="N119" s="285"/>
      <c r="O119" s="286"/>
      <c r="P119" s="112"/>
      <c r="R119" s="113"/>
      <c r="S119" s="126" t="str">
        <f>'الفترة الاولى'!$Q$8</f>
        <v>الحاسوب</v>
      </c>
      <c r="T119" s="118">
        <f>'الفترة الاولى'!$S$8</f>
        <v>2</v>
      </c>
      <c r="U119" s="119">
        <f t="shared" si="102"/>
        <v>80</v>
      </c>
      <c r="V119" s="119">
        <f t="shared" si="103"/>
        <v>40</v>
      </c>
      <c r="W119" s="120">
        <f t="shared" si="104"/>
        <v>24</v>
      </c>
      <c r="X119" s="121">
        <f t="shared" si="105"/>
        <v>12</v>
      </c>
      <c r="Y119" s="139">
        <f>IFERROR(VLOOKUP(AA110,بيان,14,0),0)</f>
        <v>12</v>
      </c>
      <c r="Z119" s="122">
        <f>IFERROR(VLOOKUP(AA110,بيان,15,0),0)</f>
        <v>12</v>
      </c>
      <c r="AA119" s="114"/>
      <c r="AB119" s="284" t="str">
        <f>'الفترة الاولى'!$CA$16</f>
        <v>أ. فهيم عبدالمجيد بوازويتة</v>
      </c>
      <c r="AC119" s="285"/>
      <c r="AD119" s="285"/>
      <c r="AE119" s="285"/>
      <c r="AF119" s="286"/>
      <c r="AG119" s="112"/>
      <c r="AI119" s="113"/>
      <c r="AJ119" s="126" t="str">
        <f>'الفترة الاولى'!$Q$8</f>
        <v>الحاسوب</v>
      </c>
      <c r="AK119" s="118">
        <f>'الفترة الاولى'!$S$8</f>
        <v>2</v>
      </c>
      <c r="AL119" s="119">
        <f t="shared" si="106"/>
        <v>80</v>
      </c>
      <c r="AM119" s="119">
        <f t="shared" si="107"/>
        <v>40</v>
      </c>
      <c r="AN119" s="120">
        <f t="shared" si="108"/>
        <v>24</v>
      </c>
      <c r="AO119" s="121">
        <f t="shared" si="109"/>
        <v>12</v>
      </c>
      <c r="AP119" s="139">
        <f>IFERROR(VLOOKUP(AR110,بيان,14,0),0)</f>
        <v>11</v>
      </c>
      <c r="AQ119" s="122">
        <f>IFERROR(VLOOKUP(AR110,بيان,15,0),0)</f>
        <v>11</v>
      </c>
      <c r="AR119" s="114"/>
      <c r="AS119" s="284" t="str">
        <f>'الفترة الاولى'!$CA$16</f>
        <v>أ. فهيم عبدالمجيد بوازويتة</v>
      </c>
      <c r="AT119" s="285"/>
      <c r="AU119" s="285"/>
      <c r="AV119" s="285"/>
      <c r="AW119" s="286"/>
      <c r="AX119" s="112"/>
      <c r="AY119" s="138"/>
      <c r="AZ119" s="113"/>
      <c r="BA119" s="126" t="str">
        <f>'الفترة الاولى'!$Q$8</f>
        <v>الحاسوب</v>
      </c>
      <c r="BB119" s="118">
        <f>'الفترة الاولى'!$S$8</f>
        <v>2</v>
      </c>
      <c r="BC119" s="119">
        <f t="shared" si="110"/>
        <v>80</v>
      </c>
      <c r="BD119" s="119">
        <f t="shared" si="111"/>
        <v>40</v>
      </c>
      <c r="BE119" s="120">
        <f t="shared" si="112"/>
        <v>24</v>
      </c>
      <c r="BF119" s="121">
        <f t="shared" si="113"/>
        <v>12</v>
      </c>
      <c r="BG119" s="139">
        <f>IFERROR(VLOOKUP(BI110,بيان,14,0),0)</f>
        <v>12</v>
      </c>
      <c r="BH119" s="122">
        <f>IFERROR(VLOOKUP(BI110,بيان,15,0),0)</f>
        <v>10</v>
      </c>
      <c r="BI119" s="114"/>
      <c r="BJ119" s="284" t="str">
        <f>'الفترة الاولى'!$CA$16</f>
        <v>أ. فهيم عبدالمجيد بوازويتة</v>
      </c>
      <c r="BK119" s="285"/>
      <c r="BL119" s="285"/>
      <c r="BM119" s="285"/>
      <c r="BN119" s="286"/>
      <c r="BO119" s="8"/>
      <c r="BV119" s="49"/>
    </row>
    <row r="120" spans="1:74" ht="28.95" customHeight="1" thickBot="1" x14ac:dyDescent="0.3">
      <c r="A120" s="7"/>
      <c r="B120" s="71" t="str">
        <f>'الفترة الاولى'!$T$8</f>
        <v>الرياضيات</v>
      </c>
      <c r="C120" s="128">
        <f>'الفترة الاولى'!$V$8</f>
        <v>5</v>
      </c>
      <c r="D120" s="129">
        <f t="shared" si="98"/>
        <v>200</v>
      </c>
      <c r="E120" s="129">
        <f t="shared" si="99"/>
        <v>100</v>
      </c>
      <c r="F120" s="120">
        <f t="shared" si="100"/>
        <v>60</v>
      </c>
      <c r="G120" s="121">
        <f t="shared" si="101"/>
        <v>30</v>
      </c>
      <c r="H120" s="122">
        <f>IFERROR(VLOOKUP(J110,بيان,17,0),0)</f>
        <v>22</v>
      </c>
      <c r="I120" s="122">
        <f>IFERROR(VLOOKUP(J110,بيان,18,0),0)</f>
        <v>25</v>
      </c>
      <c r="J120" s="114"/>
      <c r="K120" s="140" t="s">
        <v>44</v>
      </c>
      <c r="L120" s="279">
        <f ca="1">TODAY()</f>
        <v>46181</v>
      </c>
      <c r="M120" s="279"/>
      <c r="N120" s="279"/>
      <c r="O120" s="280"/>
      <c r="P120" s="112"/>
      <c r="R120" s="113"/>
      <c r="S120" s="133" t="str">
        <f>'الفترة الاولى'!$T$8</f>
        <v>الرياضيات</v>
      </c>
      <c r="T120" s="128">
        <f>'الفترة الاولى'!$V$8</f>
        <v>5</v>
      </c>
      <c r="U120" s="129">
        <f t="shared" si="102"/>
        <v>200</v>
      </c>
      <c r="V120" s="129">
        <f t="shared" si="103"/>
        <v>100</v>
      </c>
      <c r="W120" s="120">
        <f t="shared" si="104"/>
        <v>60</v>
      </c>
      <c r="X120" s="121">
        <f t="shared" si="105"/>
        <v>30</v>
      </c>
      <c r="Y120" s="122">
        <f>IFERROR(VLOOKUP(AA110,بيان,17,0),0)</f>
        <v>24</v>
      </c>
      <c r="Z120" s="122">
        <f>IFERROR(VLOOKUP(AA110,بيان,18,0),0)</f>
        <v>28</v>
      </c>
      <c r="AA120" s="114"/>
      <c r="AB120" s="140" t="s">
        <v>44</v>
      </c>
      <c r="AC120" s="279">
        <f ca="1">TODAY()</f>
        <v>46181</v>
      </c>
      <c r="AD120" s="279"/>
      <c r="AE120" s="279"/>
      <c r="AF120" s="280"/>
      <c r="AG120" s="112"/>
      <c r="AI120" s="113"/>
      <c r="AJ120" s="133" t="str">
        <f>'الفترة الاولى'!$T$8</f>
        <v>الرياضيات</v>
      </c>
      <c r="AK120" s="128">
        <f>'الفترة الاولى'!$V$8</f>
        <v>5</v>
      </c>
      <c r="AL120" s="129">
        <f t="shared" si="106"/>
        <v>200</v>
      </c>
      <c r="AM120" s="129">
        <f t="shared" si="107"/>
        <v>100</v>
      </c>
      <c r="AN120" s="120">
        <f t="shared" si="108"/>
        <v>60</v>
      </c>
      <c r="AO120" s="121">
        <f t="shared" si="109"/>
        <v>30</v>
      </c>
      <c r="AP120" s="122">
        <f>IFERROR(VLOOKUP(AR110,بيان,17,0),0)</f>
        <v>12</v>
      </c>
      <c r="AQ120" s="122">
        <f>IFERROR(VLOOKUP(AR110,بيان,18,0),0)</f>
        <v>10</v>
      </c>
      <c r="AR120" s="114"/>
      <c r="AS120" s="140" t="s">
        <v>44</v>
      </c>
      <c r="AT120" s="279">
        <f ca="1">TODAY()</f>
        <v>46181</v>
      </c>
      <c r="AU120" s="279"/>
      <c r="AV120" s="279"/>
      <c r="AW120" s="280"/>
      <c r="AX120" s="112"/>
      <c r="AY120" s="138"/>
      <c r="AZ120" s="113"/>
      <c r="BA120" s="133" t="str">
        <f>'الفترة الاولى'!$T$8</f>
        <v>الرياضيات</v>
      </c>
      <c r="BB120" s="128">
        <f>'الفترة الاولى'!$V$8</f>
        <v>5</v>
      </c>
      <c r="BC120" s="129">
        <f t="shared" si="110"/>
        <v>200</v>
      </c>
      <c r="BD120" s="129">
        <f t="shared" si="111"/>
        <v>100</v>
      </c>
      <c r="BE120" s="120">
        <f t="shared" si="112"/>
        <v>60</v>
      </c>
      <c r="BF120" s="121">
        <f t="shared" si="113"/>
        <v>30</v>
      </c>
      <c r="BG120" s="122">
        <f>IFERROR(VLOOKUP(BI110,بيان,17,0),0)</f>
        <v>16</v>
      </c>
      <c r="BH120" s="122">
        <f>IFERROR(VLOOKUP(BI110,بيان,18,0),0)</f>
        <v>12</v>
      </c>
      <c r="BI120" s="114"/>
      <c r="BJ120" s="140" t="s">
        <v>44</v>
      </c>
      <c r="BK120" s="279">
        <f ca="1">TODAY()</f>
        <v>46181</v>
      </c>
      <c r="BL120" s="279"/>
      <c r="BM120" s="279"/>
      <c r="BN120" s="280"/>
      <c r="BO120" s="8"/>
    </row>
    <row r="121" spans="1:74" ht="28.95" customHeight="1" thickBot="1" x14ac:dyDescent="0.3">
      <c r="A121" s="7"/>
      <c r="B121" s="70" t="str">
        <f>'الفترة الاولى'!$W$8</f>
        <v>العلوم</v>
      </c>
      <c r="C121" s="118">
        <f>'الفترة الاولى'!$Y$8</f>
        <v>5</v>
      </c>
      <c r="D121" s="119">
        <f t="shared" si="98"/>
        <v>200</v>
      </c>
      <c r="E121" s="119">
        <f t="shared" si="99"/>
        <v>100</v>
      </c>
      <c r="F121" s="120">
        <f t="shared" si="100"/>
        <v>60</v>
      </c>
      <c r="G121" s="121">
        <f t="shared" si="101"/>
        <v>30</v>
      </c>
      <c r="H121" s="122">
        <f>IFERROR(VLOOKUP(J110,بيان,20,0),0)</f>
        <v>26</v>
      </c>
      <c r="I121" s="122">
        <f>IFERROR(VLOOKUP(J110,بيان,21,0),0)</f>
        <v>29</v>
      </c>
      <c r="J121" s="114"/>
      <c r="K121" s="281" t="s">
        <v>45</v>
      </c>
      <c r="L121" s="282"/>
      <c r="M121" s="282"/>
      <c r="N121" s="282"/>
      <c r="O121" s="283"/>
      <c r="P121" s="112"/>
      <c r="R121" s="113"/>
      <c r="S121" s="126" t="str">
        <f>'الفترة الاولى'!$W$8</f>
        <v>العلوم</v>
      </c>
      <c r="T121" s="118">
        <f>'الفترة الاولى'!$Y$8</f>
        <v>5</v>
      </c>
      <c r="U121" s="119">
        <f t="shared" si="102"/>
        <v>200</v>
      </c>
      <c r="V121" s="119">
        <f t="shared" si="103"/>
        <v>100</v>
      </c>
      <c r="W121" s="120">
        <f t="shared" si="104"/>
        <v>60</v>
      </c>
      <c r="X121" s="121">
        <f t="shared" si="105"/>
        <v>30</v>
      </c>
      <c r="Y121" s="122">
        <f>IFERROR(VLOOKUP(AA110,بيان,20,0),0)</f>
        <v>29</v>
      </c>
      <c r="Z121" s="122">
        <f>IFERROR(VLOOKUP(AA110,بيان,21,0),0)</f>
        <v>28</v>
      </c>
      <c r="AA121" s="114"/>
      <c r="AB121" s="281" t="s">
        <v>45</v>
      </c>
      <c r="AC121" s="282"/>
      <c r="AD121" s="282"/>
      <c r="AE121" s="282"/>
      <c r="AF121" s="283"/>
      <c r="AG121" s="112"/>
      <c r="AI121" s="113"/>
      <c r="AJ121" s="126" t="str">
        <f>'الفترة الاولى'!$W$8</f>
        <v>العلوم</v>
      </c>
      <c r="AK121" s="118">
        <f>'الفترة الاولى'!$Y$8</f>
        <v>5</v>
      </c>
      <c r="AL121" s="119">
        <f t="shared" si="106"/>
        <v>200</v>
      </c>
      <c r="AM121" s="119">
        <f t="shared" si="107"/>
        <v>100</v>
      </c>
      <c r="AN121" s="120">
        <f t="shared" si="108"/>
        <v>60</v>
      </c>
      <c r="AO121" s="121">
        <f t="shared" si="109"/>
        <v>30</v>
      </c>
      <c r="AP121" s="122">
        <f>IFERROR(VLOOKUP(AR110,بيان,20,0),0)</f>
        <v>18</v>
      </c>
      <c r="AQ121" s="122">
        <f>IFERROR(VLOOKUP(AR110,بيان,21,0),0)</f>
        <v>18</v>
      </c>
      <c r="AR121" s="114"/>
      <c r="AS121" s="281" t="s">
        <v>45</v>
      </c>
      <c r="AT121" s="282"/>
      <c r="AU121" s="282"/>
      <c r="AV121" s="282"/>
      <c r="AW121" s="283"/>
      <c r="AX121" s="112"/>
      <c r="AY121" s="138"/>
      <c r="AZ121" s="113"/>
      <c r="BA121" s="126" t="str">
        <f>'الفترة الاولى'!$W$8</f>
        <v>العلوم</v>
      </c>
      <c r="BB121" s="118">
        <f>'الفترة الاولى'!$Y$8</f>
        <v>5</v>
      </c>
      <c r="BC121" s="119">
        <f t="shared" si="110"/>
        <v>200</v>
      </c>
      <c r="BD121" s="119">
        <f t="shared" si="111"/>
        <v>100</v>
      </c>
      <c r="BE121" s="120">
        <f t="shared" si="112"/>
        <v>60</v>
      </c>
      <c r="BF121" s="121">
        <f t="shared" si="113"/>
        <v>30</v>
      </c>
      <c r="BG121" s="122">
        <f>IFERROR(VLOOKUP(BI110,بيان,20,0),0)</f>
        <v>19</v>
      </c>
      <c r="BH121" s="122">
        <f>IFERROR(VLOOKUP(BI110,بيان,21,0),0)</f>
        <v>20</v>
      </c>
      <c r="BI121" s="114"/>
      <c r="BJ121" s="281" t="s">
        <v>45</v>
      </c>
      <c r="BK121" s="282"/>
      <c r="BL121" s="282"/>
      <c r="BM121" s="282"/>
      <c r="BN121" s="283"/>
      <c r="BO121" s="8"/>
    </row>
    <row r="122" spans="1:74" ht="28.95" customHeight="1" thickBot="1" x14ac:dyDescent="0.3">
      <c r="A122" s="7"/>
      <c r="B122" s="71" t="str">
        <f>'الفترة الاولى'!$Z$8</f>
        <v>التاريخ</v>
      </c>
      <c r="C122" s="128">
        <f>'الفترة الاولى'!$AB$8</f>
        <v>2</v>
      </c>
      <c r="D122" s="129">
        <f t="shared" si="98"/>
        <v>80</v>
      </c>
      <c r="E122" s="129">
        <f t="shared" si="99"/>
        <v>40</v>
      </c>
      <c r="F122" s="120">
        <f>D122*0.3</f>
        <v>24</v>
      </c>
      <c r="G122" s="121">
        <f>D122*0.15</f>
        <v>12</v>
      </c>
      <c r="H122" s="122">
        <f>IFERROR(VLOOKUP(J110,بيان,23,0),0)</f>
        <v>12</v>
      </c>
      <c r="I122" s="122">
        <f>IFERROR(VLOOKUP(J110,بيان,24,0),0)</f>
        <v>12</v>
      </c>
      <c r="J122" s="114"/>
      <c r="K122" s="141" t="s">
        <v>50</v>
      </c>
      <c r="L122" s="274" t="str">
        <f>IF(I125=0,"",LOOKUP(I125,$BS$4:$BT$8))</f>
        <v>ممتاز</v>
      </c>
      <c r="M122" s="274"/>
      <c r="N122" s="274"/>
      <c r="O122" s="275"/>
      <c r="P122" s="112"/>
      <c r="R122" s="113"/>
      <c r="S122" s="133" t="str">
        <f>'الفترة الاولى'!$Z$8</f>
        <v>التاريخ</v>
      </c>
      <c r="T122" s="128">
        <f>'الفترة الاولى'!$AB$8</f>
        <v>2</v>
      </c>
      <c r="U122" s="129">
        <f t="shared" si="102"/>
        <v>80</v>
      </c>
      <c r="V122" s="129">
        <f t="shared" si="103"/>
        <v>40</v>
      </c>
      <c r="W122" s="120">
        <f>U122*0.3</f>
        <v>24</v>
      </c>
      <c r="X122" s="121">
        <f>U122*0.15</f>
        <v>12</v>
      </c>
      <c r="Y122" s="122">
        <f>IFERROR(VLOOKUP(AA110,بيان,23,0),0)</f>
        <v>12</v>
      </c>
      <c r="Z122" s="122">
        <f>IFERROR(VLOOKUP(AA110,بيان,24,0),0)</f>
        <v>12</v>
      </c>
      <c r="AA122" s="114"/>
      <c r="AB122" s="141" t="s">
        <v>50</v>
      </c>
      <c r="AC122" s="274" t="str">
        <f>IF(Z125=0,"",LOOKUP(Z125,$BS$4:$BT$8))</f>
        <v>ممتاز</v>
      </c>
      <c r="AD122" s="274"/>
      <c r="AE122" s="274"/>
      <c r="AF122" s="275"/>
      <c r="AG122" s="112"/>
      <c r="AI122" s="113"/>
      <c r="AJ122" s="133" t="str">
        <f>'الفترة الاولى'!$Z$8</f>
        <v>التاريخ</v>
      </c>
      <c r="AK122" s="128">
        <f>'الفترة الاولى'!$AB$8</f>
        <v>2</v>
      </c>
      <c r="AL122" s="129">
        <f t="shared" si="106"/>
        <v>80</v>
      </c>
      <c r="AM122" s="129">
        <f t="shared" si="107"/>
        <v>40</v>
      </c>
      <c r="AN122" s="120">
        <f t="shared" si="108"/>
        <v>24</v>
      </c>
      <c r="AO122" s="121">
        <f t="shared" si="109"/>
        <v>12</v>
      </c>
      <c r="AP122" s="122">
        <f>IFERROR(VLOOKUP(AR110,بيان,23,0),0)</f>
        <v>7</v>
      </c>
      <c r="AQ122" s="122">
        <f>IFERROR(VLOOKUP(AR110,بيان,24,0),0)</f>
        <v>9</v>
      </c>
      <c r="AR122" s="114"/>
      <c r="AS122" s="141" t="s">
        <v>50</v>
      </c>
      <c r="AT122" s="274" t="str">
        <f>IF(AQ125=0,"",LOOKUP(AQ125,$BS$4:$BT$8))</f>
        <v>مقبول</v>
      </c>
      <c r="AU122" s="274"/>
      <c r="AV122" s="274"/>
      <c r="AW122" s="275"/>
      <c r="AX122" s="112"/>
      <c r="AY122" s="138"/>
      <c r="AZ122" s="113"/>
      <c r="BA122" s="133" t="str">
        <f>'الفترة الاولى'!$Z$8</f>
        <v>التاريخ</v>
      </c>
      <c r="BB122" s="128">
        <f>'الفترة الاولى'!$AB$8</f>
        <v>2</v>
      </c>
      <c r="BC122" s="129">
        <f t="shared" si="110"/>
        <v>80</v>
      </c>
      <c r="BD122" s="129">
        <f t="shared" si="111"/>
        <v>40</v>
      </c>
      <c r="BE122" s="120">
        <f t="shared" si="112"/>
        <v>24</v>
      </c>
      <c r="BF122" s="121">
        <f t="shared" si="113"/>
        <v>12</v>
      </c>
      <c r="BG122" s="122">
        <f>IFERROR(VLOOKUP(BI110,بيان,23,0),0)</f>
        <v>6</v>
      </c>
      <c r="BH122" s="122">
        <f>IFERROR(VLOOKUP(BI110,بيان,24,0),0)</f>
        <v>9</v>
      </c>
      <c r="BI122" s="114"/>
      <c r="BJ122" s="141" t="s">
        <v>50</v>
      </c>
      <c r="BK122" s="274" t="str">
        <f>IF(BH125=0,"",LOOKUP(BH125,$BS$4:$BT$8))</f>
        <v>جيد</v>
      </c>
      <c r="BL122" s="274"/>
      <c r="BM122" s="274"/>
      <c r="BN122" s="275"/>
      <c r="BO122" s="8"/>
    </row>
    <row r="123" spans="1:74" ht="28.95" customHeight="1" thickBot="1" x14ac:dyDescent="0.3">
      <c r="A123" s="7"/>
      <c r="B123" s="70" t="str">
        <f>'الفترة الاولى'!$AC$8</f>
        <v>الجغرافيا</v>
      </c>
      <c r="C123" s="118">
        <f>'الفترة الاولى'!$AE$8</f>
        <v>2</v>
      </c>
      <c r="D123" s="119">
        <f t="shared" si="98"/>
        <v>80</v>
      </c>
      <c r="E123" s="119">
        <f t="shared" si="99"/>
        <v>40</v>
      </c>
      <c r="F123" s="120">
        <f>D122*0.3</f>
        <v>24</v>
      </c>
      <c r="G123" s="121">
        <f>D122*0.15</f>
        <v>12</v>
      </c>
      <c r="H123" s="122">
        <f>IFERROR(VLOOKUP(J110,بيان,26,0),0)</f>
        <v>11</v>
      </c>
      <c r="I123" s="122">
        <f>IFERROR(VLOOKUP(J110,بيان,27,0),0)</f>
        <v>12</v>
      </c>
      <c r="J123" s="114"/>
      <c r="K123" s="276" t="str">
        <f>IF(L122&lt;&gt;"ضعيف","","يحتاج الى اهتمام في المواد ")</f>
        <v/>
      </c>
      <c r="L123" s="277"/>
      <c r="M123" s="277"/>
      <c r="N123" s="277"/>
      <c r="O123" s="278"/>
      <c r="P123" s="112"/>
      <c r="R123" s="113"/>
      <c r="S123" s="126" t="str">
        <f>'الفترة الاولى'!$AC$8</f>
        <v>الجغرافيا</v>
      </c>
      <c r="T123" s="118">
        <f>'الفترة الاولى'!$AE$8</f>
        <v>2</v>
      </c>
      <c r="U123" s="119">
        <f t="shared" si="102"/>
        <v>80</v>
      </c>
      <c r="V123" s="119">
        <f t="shared" si="103"/>
        <v>40</v>
      </c>
      <c r="W123" s="120">
        <f>U122*0.3</f>
        <v>24</v>
      </c>
      <c r="X123" s="121">
        <f>U122*0.15</f>
        <v>12</v>
      </c>
      <c r="Y123" s="122">
        <f>IFERROR(VLOOKUP(AA110,بيان,26,0),0)</f>
        <v>12</v>
      </c>
      <c r="Z123" s="122">
        <f>IFERROR(VLOOKUP(AA110,بيان,27,0),0)</f>
        <v>12</v>
      </c>
      <c r="AA123" s="114"/>
      <c r="AB123" s="276" t="str">
        <f>IF(AC122&lt;&gt;"ضعيف","","يحتاج الى اهتمام في المواد ")</f>
        <v/>
      </c>
      <c r="AC123" s="277"/>
      <c r="AD123" s="277"/>
      <c r="AE123" s="277"/>
      <c r="AF123" s="278"/>
      <c r="AG123" s="112"/>
      <c r="AI123" s="113"/>
      <c r="AJ123" s="126" t="str">
        <f>'الفترة الاولى'!$AC$8</f>
        <v>الجغرافيا</v>
      </c>
      <c r="AK123" s="118">
        <f>'الفترة الاولى'!$AE$8</f>
        <v>2</v>
      </c>
      <c r="AL123" s="119">
        <f t="shared" si="106"/>
        <v>80</v>
      </c>
      <c r="AM123" s="119">
        <f t="shared" si="107"/>
        <v>40</v>
      </c>
      <c r="AN123" s="120">
        <f t="shared" ref="AN123:AN124" si="114">AL123*0.6</f>
        <v>48</v>
      </c>
      <c r="AO123" s="121">
        <f t="shared" ref="AO123:AO124" si="115">AL123*0.3</f>
        <v>24</v>
      </c>
      <c r="AP123" s="122">
        <f>IFERROR(VLOOKUP(AR110,بيان,26,0),0)</f>
        <v>8</v>
      </c>
      <c r="AQ123" s="122">
        <f>IFERROR(VLOOKUP(AR110,بيان,27,0),0)</f>
        <v>8</v>
      </c>
      <c r="AR123" s="114"/>
      <c r="AS123" s="276" t="str">
        <f>IF(AT122&lt;&gt;"ضعيف","","يحتاج الى اهتمام في المواد ")</f>
        <v/>
      </c>
      <c r="AT123" s="277"/>
      <c r="AU123" s="277"/>
      <c r="AV123" s="277"/>
      <c r="AW123" s="278"/>
      <c r="AX123" s="112"/>
      <c r="AY123" s="138"/>
      <c r="AZ123" s="113"/>
      <c r="BA123" s="126" t="str">
        <f>'الفترة الاولى'!$AC$8</f>
        <v>الجغرافيا</v>
      </c>
      <c r="BB123" s="118">
        <f>'الفترة الاولى'!$AE$8</f>
        <v>2</v>
      </c>
      <c r="BC123" s="119">
        <f t="shared" si="110"/>
        <v>80</v>
      </c>
      <c r="BD123" s="119">
        <f t="shared" si="111"/>
        <v>40</v>
      </c>
      <c r="BE123" s="120">
        <f t="shared" ref="BE123:BE124" si="116">BC123*0.6</f>
        <v>48</v>
      </c>
      <c r="BF123" s="121">
        <f t="shared" ref="BF123:BF124" si="117">BC123*0.3</f>
        <v>24</v>
      </c>
      <c r="BG123" s="122">
        <f>IFERROR(VLOOKUP(BI110,بيان,26,0),0)</f>
        <v>8</v>
      </c>
      <c r="BH123" s="122">
        <f>IFERROR(VLOOKUP(BI110,بيان,27,0),0)</f>
        <v>9</v>
      </c>
      <c r="BI123" s="114"/>
      <c r="BJ123" s="276" t="str">
        <f>IF(BK122&lt;&gt;"ضعيف","","يحتاج الى اهتمام في المواد ")</f>
        <v/>
      </c>
      <c r="BK123" s="277"/>
      <c r="BL123" s="277"/>
      <c r="BM123" s="277"/>
      <c r="BN123" s="278"/>
      <c r="BO123" s="8"/>
    </row>
    <row r="124" spans="1:74" ht="28.95" customHeight="1" thickBot="1" x14ac:dyDescent="0.3">
      <c r="A124" s="7"/>
      <c r="B124" s="70">
        <f>'الفترة الاولى'!$AF$8</f>
        <v>0</v>
      </c>
      <c r="C124" s="118">
        <f>'الفترة الاولى'!$AH$8</f>
        <v>0</v>
      </c>
      <c r="D124" s="119">
        <f t="shared" si="98"/>
        <v>0</v>
      </c>
      <c r="E124" s="119">
        <f t="shared" si="99"/>
        <v>0</v>
      </c>
      <c r="F124" s="120">
        <f t="shared" ref="F124" si="118">D124*0.6</f>
        <v>0</v>
      </c>
      <c r="G124" s="121">
        <f t="shared" ref="G124" si="119">D124*0.3</f>
        <v>0</v>
      </c>
      <c r="H124" s="122">
        <f>IFERROR(VLOOKUP(J110,بيان,29,0),0)</f>
        <v>0</v>
      </c>
      <c r="I124" s="122">
        <f>IFERROR(VLOOKUP(J110,بيان,30,0),0)</f>
        <v>0</v>
      </c>
      <c r="J124" s="114"/>
      <c r="K124" s="142" t="str">
        <f>IF(I115=0,"",IF(I115&lt;G115/2,B115,""))</f>
        <v/>
      </c>
      <c r="L124" s="143" t="str">
        <f>IF(I116=0,"",IF(I116&lt;G116/2,B116,""))</f>
        <v/>
      </c>
      <c r="M124" s="143" t="str">
        <f>IF(I117=0,"",IF(I117&lt;G117/2,B117,""))</f>
        <v/>
      </c>
      <c r="N124" s="143" t="str">
        <f>IF(I118=0,"",IF(I118&lt;G118/2,B118,""))</f>
        <v/>
      </c>
      <c r="O124" s="144" t="str">
        <f>IF(I119=0,"",IF(I119&lt;G119/2,B119,""))</f>
        <v/>
      </c>
      <c r="P124" s="112"/>
      <c r="R124" s="113"/>
      <c r="S124" s="126">
        <f>'الفترة الاولى'!$AF$8</f>
        <v>0</v>
      </c>
      <c r="T124" s="118">
        <f>'الفترة الاولى'!$AH$8</f>
        <v>0</v>
      </c>
      <c r="U124" s="119">
        <f t="shared" si="102"/>
        <v>0</v>
      </c>
      <c r="V124" s="119">
        <f t="shared" si="103"/>
        <v>0</v>
      </c>
      <c r="W124" s="120">
        <f t="shared" ref="W124" si="120">U124*0.6</f>
        <v>0</v>
      </c>
      <c r="X124" s="121">
        <f t="shared" ref="X124" si="121">U124*0.3</f>
        <v>0</v>
      </c>
      <c r="Y124" s="122">
        <f>IFERROR(VLOOKUP(AA110,بيان,29,0),0)</f>
        <v>0</v>
      </c>
      <c r="Z124" s="122">
        <f>IFERROR(VLOOKUP(AA110,بيان,30,0),0)</f>
        <v>0</v>
      </c>
      <c r="AA124" s="114"/>
      <c r="AB124" s="142" t="str">
        <f>IF(Z115=0,"",IF(Z115&lt;X115/2,S115,""))</f>
        <v/>
      </c>
      <c r="AC124" s="143" t="str">
        <f>IF(Z116=0,"",IF(Z116&lt;X116/2,S116,""))</f>
        <v/>
      </c>
      <c r="AD124" s="143" t="str">
        <f>IF(Z117=0,"",IF(Z117&lt;X117/2,S117,""))</f>
        <v/>
      </c>
      <c r="AE124" s="143" t="str">
        <f>IF(Z118=0,"",IF(Z118&lt;X118/2,S118,""))</f>
        <v/>
      </c>
      <c r="AF124" s="144" t="str">
        <f>IF(Z119=0,"",IF(Z119&lt;X119/2,S119,""))</f>
        <v/>
      </c>
      <c r="AG124" s="112"/>
      <c r="AI124" s="113"/>
      <c r="AJ124" s="126">
        <f>'الفترة الاولى'!$AF$8</f>
        <v>0</v>
      </c>
      <c r="AK124" s="118">
        <f>'الفترة الاولى'!$AH$8</f>
        <v>0</v>
      </c>
      <c r="AL124" s="119">
        <f t="shared" si="106"/>
        <v>0</v>
      </c>
      <c r="AM124" s="119">
        <f t="shared" si="107"/>
        <v>0</v>
      </c>
      <c r="AN124" s="120">
        <f t="shared" si="114"/>
        <v>0</v>
      </c>
      <c r="AO124" s="121">
        <f t="shared" si="115"/>
        <v>0</v>
      </c>
      <c r="AP124" s="122">
        <f>IFERROR(VLOOKUP(AR110,بيان,29,0),0)</f>
        <v>0</v>
      </c>
      <c r="AQ124" s="122">
        <f>IFERROR(VLOOKUP(AR110,بيان,30,0),0)</f>
        <v>0</v>
      </c>
      <c r="AR124" s="114"/>
      <c r="AS124" s="142" t="str">
        <f>IF(AQ115=0,"",IF(AQ115&lt;AO115/2,AJ115,""))</f>
        <v/>
      </c>
      <c r="AT124" s="143" t="str">
        <f>IF(AQ116=0,"",IF(AQ116&lt;AO116/2,AJ116,""))</f>
        <v/>
      </c>
      <c r="AU124" s="143" t="str">
        <f>IF(AQ117=0,"",IF(AQ117&lt;AO117/2,AJ117,""))</f>
        <v/>
      </c>
      <c r="AV124" s="143" t="str">
        <f>IF(AQ118=0,"",IF(AQ118&lt;AO118/2,AJ118,""))</f>
        <v/>
      </c>
      <c r="AW124" s="144" t="str">
        <f>IF(AQ119=0,"",IF(AQ119&lt;AO119/2,AJ119,""))</f>
        <v/>
      </c>
      <c r="AX124" s="112"/>
      <c r="AY124" s="138"/>
      <c r="AZ124" s="113"/>
      <c r="BA124" s="126">
        <f>'الفترة الاولى'!$AF$8</f>
        <v>0</v>
      </c>
      <c r="BB124" s="118">
        <f>'الفترة الاولى'!$AH$8</f>
        <v>0</v>
      </c>
      <c r="BC124" s="119">
        <f t="shared" si="110"/>
        <v>0</v>
      </c>
      <c r="BD124" s="119">
        <f t="shared" si="111"/>
        <v>0</v>
      </c>
      <c r="BE124" s="120">
        <f t="shared" si="116"/>
        <v>0</v>
      </c>
      <c r="BF124" s="121">
        <f t="shared" si="117"/>
        <v>0</v>
      </c>
      <c r="BG124" s="122">
        <f>IFERROR(VLOOKUP(BI110,بيان,29,0),0)</f>
        <v>0</v>
      </c>
      <c r="BH124" s="122">
        <f>IFERROR(VLOOKUP(BI110,بيان,30,0),0)</f>
        <v>0</v>
      </c>
      <c r="BI124" s="114"/>
      <c r="BJ124" s="142" t="str">
        <f>IF(BH115=0,"",IF(BH115&lt;BF115/2,BA115,""))</f>
        <v/>
      </c>
      <c r="BK124" s="143" t="str">
        <f>IF(BH116=0,"",IF(BH116&lt;BF116/2,BA116,""))</f>
        <v/>
      </c>
      <c r="BL124" s="143" t="str">
        <f>IF(BH117=0,"",IF(BH117&lt;BF117/2,BA117,""))</f>
        <v/>
      </c>
      <c r="BM124" s="143" t="str">
        <f>IF(BH118=0,"",IF(BH118&lt;BF118/2,BA118,""))</f>
        <v/>
      </c>
      <c r="BN124" s="144" t="str">
        <f>IF(BH119=0,"",IF(BH119&lt;BF119/2,BA119,""))</f>
        <v/>
      </c>
      <c r="BO124" s="8"/>
    </row>
    <row r="125" spans="1:74" ht="28.95" customHeight="1" thickBot="1" x14ac:dyDescent="0.3">
      <c r="A125" s="7"/>
      <c r="B125" s="58" t="s">
        <v>9</v>
      </c>
      <c r="C125" s="145"/>
      <c r="D125" s="146">
        <f>SUM(D115:D124)</f>
        <v>1120</v>
      </c>
      <c r="E125" s="119">
        <f t="shared" si="99"/>
        <v>560</v>
      </c>
      <c r="F125" s="120"/>
      <c r="G125" s="121">
        <f>SUM(G115:G124)</f>
        <v>168</v>
      </c>
      <c r="H125" s="122">
        <f>SUM(H115:H124)</f>
        <v>150</v>
      </c>
      <c r="I125" s="122">
        <f>SUM(I115:I124)</f>
        <v>158</v>
      </c>
      <c r="J125" s="114"/>
      <c r="K125" s="142" t="str">
        <f>IF(I120=0,"",IF(I120&lt;G120/2,B120,""))</f>
        <v/>
      </c>
      <c r="L125" s="143" t="str">
        <f>IF(I121=0,"",IF(I121&lt;G121/2,B121,""))</f>
        <v/>
      </c>
      <c r="M125" s="143" t="str">
        <f>IF(I122=0,"",IF(I122&lt;G122/2,B122,""))</f>
        <v/>
      </c>
      <c r="N125" s="143" t="str">
        <f>IF(I123=0,"",IF(I123&lt;G123/2,B123,""))</f>
        <v/>
      </c>
      <c r="O125" s="144" t="str">
        <f>IF(I124=0,"",IF(I124&lt;G124/2,B124,""))</f>
        <v/>
      </c>
      <c r="P125" s="112"/>
      <c r="R125" s="113"/>
      <c r="S125" s="58" t="s">
        <v>9</v>
      </c>
      <c r="T125" s="145"/>
      <c r="U125" s="146">
        <f>SUM(U115:U124)</f>
        <v>1120</v>
      </c>
      <c r="V125" s="119">
        <f t="shared" si="103"/>
        <v>560</v>
      </c>
      <c r="W125" s="120"/>
      <c r="X125" s="121">
        <f>SUM(X115:X124)</f>
        <v>168</v>
      </c>
      <c r="Y125" s="122">
        <f>SUM(Y115:Y124)</f>
        <v>157</v>
      </c>
      <c r="Z125" s="122">
        <f>SUM(Z115:Z124)</f>
        <v>164</v>
      </c>
      <c r="AA125" s="114"/>
      <c r="AB125" s="142" t="str">
        <f>IF(Z120=0,"",IF(Z120&lt;X120/2,S120,""))</f>
        <v/>
      </c>
      <c r="AC125" s="143" t="str">
        <f>IF(Z121=0,"",IF(Z121&lt;X121/2,S121,""))</f>
        <v/>
      </c>
      <c r="AD125" s="143" t="str">
        <f>IF(Z122=0,"",IF(Z122&lt;X122/2,S122,""))</f>
        <v/>
      </c>
      <c r="AE125" s="143" t="str">
        <f>IF(Z123=0,"",IF(Z123&lt;X123/2,S123,""))</f>
        <v/>
      </c>
      <c r="AF125" s="144" t="str">
        <f>IF(Z124=0,"",IF(Z124&lt;X124/2,S124,""))</f>
        <v/>
      </c>
      <c r="AG125" s="112"/>
      <c r="AI125" s="113"/>
      <c r="AJ125" s="58" t="s">
        <v>9</v>
      </c>
      <c r="AK125" s="145"/>
      <c r="AL125" s="146">
        <f>SUM(AL115:AL124)</f>
        <v>1120</v>
      </c>
      <c r="AM125" s="119">
        <f t="shared" si="107"/>
        <v>560</v>
      </c>
      <c r="AN125" s="120"/>
      <c r="AO125" s="121">
        <f>SUM(AO115:AO124)</f>
        <v>180</v>
      </c>
      <c r="AP125" s="122">
        <f>SUM(AP115:AP124)</f>
        <v>105</v>
      </c>
      <c r="AQ125" s="122">
        <f>SUM(AQ115:AQ124)</f>
        <v>103</v>
      </c>
      <c r="AR125" s="114"/>
      <c r="AS125" s="142" t="str">
        <f>IF(AQ120=0,"",IF(AQ120&lt;AO120/2,AJ120,""))</f>
        <v>الرياضيات</v>
      </c>
      <c r="AT125" s="143" t="str">
        <f>IF(AQ121=0,"",IF(AQ121&lt;AO121/2,AJ121,""))</f>
        <v/>
      </c>
      <c r="AU125" s="143" t="str">
        <f>IF(AQ122=0,"",IF(AQ122&lt;AO122/2,AJ122,""))</f>
        <v/>
      </c>
      <c r="AV125" s="143" t="str">
        <f>IF(AQ123=0,"",IF(AQ123&lt;AO123/2,AJ123,""))</f>
        <v>الجغرافيا</v>
      </c>
      <c r="AW125" s="144" t="str">
        <f>IF(AQ124=0,"",IF(AQ124&lt;AO124/2,AJ124,""))</f>
        <v/>
      </c>
      <c r="AX125" s="112"/>
      <c r="AY125" s="138"/>
      <c r="AZ125" s="113"/>
      <c r="BA125" s="58" t="s">
        <v>9</v>
      </c>
      <c r="BB125" s="145"/>
      <c r="BC125" s="146">
        <f>SUM(BC115:BC124)</f>
        <v>1120</v>
      </c>
      <c r="BD125" s="119">
        <f t="shared" si="111"/>
        <v>560</v>
      </c>
      <c r="BE125" s="120"/>
      <c r="BF125" s="121">
        <f>SUM(BF115:BF124)</f>
        <v>180</v>
      </c>
      <c r="BG125" s="122">
        <f>SUM(BG115:BG124)</f>
        <v>113</v>
      </c>
      <c r="BH125" s="122">
        <f>SUM(BH115:BH124)</f>
        <v>120</v>
      </c>
      <c r="BI125" s="114"/>
      <c r="BJ125" s="142" t="str">
        <f>IF(BH120=0,"",IF(BH120&lt;BF120/2,BA120,""))</f>
        <v>الرياضيات</v>
      </c>
      <c r="BK125" s="143" t="str">
        <f>IF(BH121=0,"",IF(BH121&lt;BF121/2,BA121,""))</f>
        <v/>
      </c>
      <c r="BL125" s="143" t="str">
        <f>IF(BH122=0,"",IF(BH122&lt;BF122/2,BA122,""))</f>
        <v/>
      </c>
      <c r="BM125" s="143" t="str">
        <f>IF(BH123=0,"",IF(BH123&lt;BF123/2,BA123,""))</f>
        <v>الجغرافيا</v>
      </c>
      <c r="BN125" s="144" t="str">
        <f>IF(BH124=0,"",IF(BH124&lt;BF124/2,BA124,""))</f>
        <v/>
      </c>
      <c r="BO125" s="8"/>
    </row>
    <row r="126" spans="1:74" ht="19.95" customHeight="1" x14ac:dyDescent="0.25">
      <c r="A126" s="7"/>
      <c r="C126" s="114"/>
      <c r="F126" s="114"/>
      <c r="G126" s="114"/>
      <c r="H126" s="114"/>
      <c r="I126" s="114"/>
      <c r="J126" s="114"/>
      <c r="K126" s="148"/>
      <c r="L126" s="148"/>
      <c r="M126" s="148"/>
      <c r="N126" s="148"/>
      <c r="O126" s="148"/>
      <c r="P126" s="112"/>
      <c r="R126" s="113"/>
      <c r="T126" s="114"/>
      <c r="W126" s="114"/>
      <c r="X126" s="114"/>
      <c r="Y126" s="114"/>
      <c r="Z126" s="114"/>
      <c r="AA126" s="114"/>
      <c r="AB126" s="148"/>
      <c r="AC126" s="148"/>
      <c r="AD126" s="148"/>
      <c r="AE126" s="148"/>
      <c r="AF126" s="148"/>
      <c r="AG126" s="112"/>
      <c r="AI126" s="113"/>
      <c r="AK126" s="114"/>
      <c r="AN126" s="114"/>
      <c r="AO126" s="114"/>
      <c r="AP126" s="114"/>
      <c r="AQ126" s="114"/>
      <c r="AR126" s="114"/>
      <c r="AS126" s="148"/>
      <c r="AT126" s="148"/>
      <c r="AU126" s="148"/>
      <c r="AV126" s="148"/>
      <c r="AW126" s="148"/>
      <c r="AX126" s="112"/>
      <c r="AY126" s="138"/>
      <c r="AZ126" s="113"/>
      <c r="BB126" s="114"/>
      <c r="BE126" s="114"/>
      <c r="BF126" s="114"/>
      <c r="BG126" s="114"/>
      <c r="BH126" s="114"/>
      <c r="BI126" s="114"/>
      <c r="BJ126" s="148"/>
      <c r="BK126" s="148"/>
      <c r="BL126" s="148"/>
      <c r="BM126" s="148"/>
      <c r="BN126" s="148"/>
      <c r="BO126" s="8"/>
    </row>
    <row r="127" spans="1:74" ht="14.25" customHeight="1" thickBot="1" x14ac:dyDescent="0.3">
      <c r="A127" s="7"/>
      <c r="B127" s="270" t="s">
        <v>39</v>
      </c>
      <c r="C127" s="260" t="s">
        <v>40</v>
      </c>
      <c r="D127" s="260"/>
      <c r="E127" s="260"/>
      <c r="F127" s="260"/>
      <c r="G127" s="260"/>
      <c r="H127" s="260"/>
      <c r="I127" s="260"/>
      <c r="J127" s="114"/>
      <c r="K127" s="114"/>
      <c r="P127" s="112"/>
      <c r="R127" s="113"/>
      <c r="S127" s="270" t="s">
        <v>39</v>
      </c>
      <c r="T127" s="260" t="s">
        <v>40</v>
      </c>
      <c r="U127" s="260"/>
      <c r="V127" s="260"/>
      <c r="W127" s="260"/>
      <c r="X127" s="260"/>
      <c r="Y127" s="260"/>
      <c r="Z127" s="260"/>
      <c r="AA127" s="114"/>
      <c r="AB127" s="114"/>
      <c r="AG127" s="112"/>
      <c r="AI127" s="113"/>
      <c r="AJ127" s="270" t="s">
        <v>39</v>
      </c>
      <c r="AK127" s="260" t="s">
        <v>40</v>
      </c>
      <c r="AL127" s="260"/>
      <c r="AM127" s="260"/>
      <c r="AN127" s="260"/>
      <c r="AO127" s="260"/>
      <c r="AP127" s="260"/>
      <c r="AQ127" s="260"/>
      <c r="AR127" s="114"/>
      <c r="AS127" s="114"/>
      <c r="AX127" s="112"/>
      <c r="AY127" s="138"/>
      <c r="AZ127" s="113"/>
      <c r="BA127" s="270" t="s">
        <v>39</v>
      </c>
      <c r="BB127" s="260" t="s">
        <v>40</v>
      </c>
      <c r="BC127" s="260"/>
      <c r="BD127" s="260"/>
      <c r="BE127" s="260"/>
      <c r="BF127" s="260"/>
      <c r="BG127" s="260"/>
      <c r="BH127" s="260"/>
      <c r="BI127" s="114"/>
      <c r="BJ127" s="114"/>
      <c r="BO127" s="8"/>
    </row>
    <row r="128" spans="1:74" ht="14.25" customHeight="1" x14ac:dyDescent="0.25">
      <c r="A128" s="7"/>
      <c r="B128" s="270"/>
      <c r="C128" s="260" t="s">
        <v>41</v>
      </c>
      <c r="D128" s="260"/>
      <c r="E128" s="260"/>
      <c r="F128" s="260"/>
      <c r="G128" s="260"/>
      <c r="H128" s="260"/>
      <c r="I128" s="260"/>
      <c r="J128" s="114"/>
      <c r="K128" s="271" t="s">
        <v>36</v>
      </c>
      <c r="L128" s="272"/>
      <c r="M128" s="272"/>
      <c r="N128" s="273"/>
      <c r="P128" s="112"/>
      <c r="R128" s="113"/>
      <c r="S128" s="270"/>
      <c r="T128" s="260" t="s">
        <v>41</v>
      </c>
      <c r="U128" s="260"/>
      <c r="V128" s="260"/>
      <c r="W128" s="260"/>
      <c r="X128" s="260"/>
      <c r="Y128" s="260"/>
      <c r="Z128" s="260"/>
      <c r="AA128" s="114"/>
      <c r="AB128" s="271" t="s">
        <v>36</v>
      </c>
      <c r="AC128" s="272"/>
      <c r="AD128" s="272"/>
      <c r="AE128" s="273"/>
      <c r="AG128" s="112"/>
      <c r="AI128" s="113"/>
      <c r="AJ128" s="270"/>
      <c r="AK128" s="260" t="s">
        <v>41</v>
      </c>
      <c r="AL128" s="260"/>
      <c r="AM128" s="260"/>
      <c r="AN128" s="260"/>
      <c r="AO128" s="260"/>
      <c r="AP128" s="260"/>
      <c r="AQ128" s="260"/>
      <c r="AR128" s="114"/>
      <c r="AS128" s="271" t="s">
        <v>36</v>
      </c>
      <c r="AT128" s="272"/>
      <c r="AU128" s="272"/>
      <c r="AV128" s="273"/>
      <c r="AX128" s="112"/>
      <c r="AY128" s="138"/>
      <c r="AZ128" s="113"/>
      <c r="BA128" s="270"/>
      <c r="BB128" s="260" t="s">
        <v>41</v>
      </c>
      <c r="BC128" s="260"/>
      <c r="BD128" s="260"/>
      <c r="BE128" s="260"/>
      <c r="BF128" s="260"/>
      <c r="BG128" s="260"/>
      <c r="BH128" s="260"/>
      <c r="BI128" s="114"/>
      <c r="BJ128" s="271" t="s">
        <v>36</v>
      </c>
      <c r="BK128" s="272"/>
      <c r="BL128" s="272"/>
      <c r="BM128" s="273"/>
      <c r="BO128" s="8"/>
    </row>
    <row r="129" spans="1:67" ht="12" customHeight="1" thickBot="1" x14ac:dyDescent="0.3">
      <c r="A129" s="7"/>
      <c r="C129" s="114"/>
      <c r="F129" s="114"/>
      <c r="G129" s="114"/>
      <c r="H129" s="114"/>
      <c r="I129" s="114"/>
      <c r="J129" s="114"/>
      <c r="K129" s="266" t="s">
        <v>37</v>
      </c>
      <c r="L129" s="267"/>
      <c r="M129" s="267"/>
      <c r="N129" s="268"/>
      <c r="P129" s="112"/>
      <c r="R129" s="113"/>
      <c r="T129" s="114"/>
      <c r="W129" s="114"/>
      <c r="X129" s="114"/>
      <c r="Y129" s="114"/>
      <c r="Z129" s="114"/>
      <c r="AA129" s="114"/>
      <c r="AB129" s="266" t="s">
        <v>37</v>
      </c>
      <c r="AC129" s="267"/>
      <c r="AD129" s="267"/>
      <c r="AE129" s="268"/>
      <c r="AG129" s="112"/>
      <c r="AI129" s="113"/>
      <c r="AK129" s="114"/>
      <c r="AN129" s="114"/>
      <c r="AO129" s="114"/>
      <c r="AP129" s="114"/>
      <c r="AQ129" s="114"/>
      <c r="AR129" s="114"/>
      <c r="AS129" s="266" t="s">
        <v>37</v>
      </c>
      <c r="AT129" s="267"/>
      <c r="AU129" s="267"/>
      <c r="AV129" s="268"/>
      <c r="AX129" s="112"/>
      <c r="AY129" s="138"/>
      <c r="AZ129" s="113"/>
      <c r="BB129" s="114"/>
      <c r="BE129" s="114"/>
      <c r="BF129" s="114"/>
      <c r="BG129" s="114"/>
      <c r="BH129" s="114"/>
      <c r="BI129" s="114"/>
      <c r="BJ129" s="266" t="s">
        <v>37</v>
      </c>
      <c r="BK129" s="267"/>
      <c r="BL129" s="267"/>
      <c r="BM129" s="268"/>
      <c r="BO129" s="8"/>
    </row>
    <row r="130" spans="1:67" ht="20.100000000000001" customHeight="1" x14ac:dyDescent="0.25">
      <c r="A130" s="7"/>
      <c r="B130" s="262" t="s">
        <v>30</v>
      </c>
      <c r="C130" s="263"/>
      <c r="D130" s="264" t="s">
        <v>29</v>
      </c>
      <c r="E130" s="264"/>
      <c r="F130" s="264"/>
      <c r="G130" s="264" t="s">
        <v>31</v>
      </c>
      <c r="H130" s="264"/>
      <c r="I130" s="264"/>
      <c r="J130" s="114"/>
      <c r="K130" s="269"/>
      <c r="L130" s="267"/>
      <c r="M130" s="267"/>
      <c r="N130" s="268"/>
      <c r="O130" s="149"/>
      <c r="P130" s="112"/>
      <c r="R130" s="113"/>
      <c r="S130" s="265" t="s">
        <v>30</v>
      </c>
      <c r="T130" s="264"/>
      <c r="U130" s="264" t="s">
        <v>29</v>
      </c>
      <c r="V130" s="264"/>
      <c r="W130" s="264"/>
      <c r="X130" s="264" t="s">
        <v>31</v>
      </c>
      <c r="Y130" s="264"/>
      <c r="Z130" s="264"/>
      <c r="AA130" s="114"/>
      <c r="AB130" s="269"/>
      <c r="AC130" s="267"/>
      <c r="AD130" s="267"/>
      <c r="AE130" s="268"/>
      <c r="AF130" s="149"/>
      <c r="AG130" s="112"/>
      <c r="AH130" s="150"/>
      <c r="AI130" s="113"/>
      <c r="AJ130" s="265" t="s">
        <v>30</v>
      </c>
      <c r="AK130" s="264"/>
      <c r="AL130" s="264" t="s">
        <v>29</v>
      </c>
      <c r="AM130" s="264"/>
      <c r="AN130" s="264"/>
      <c r="AO130" s="264" t="s">
        <v>31</v>
      </c>
      <c r="AP130" s="264"/>
      <c r="AQ130" s="264"/>
      <c r="AR130" s="114"/>
      <c r="AS130" s="269"/>
      <c r="AT130" s="267"/>
      <c r="AU130" s="267"/>
      <c r="AV130" s="268"/>
      <c r="AW130" s="149"/>
      <c r="AX130" s="112"/>
      <c r="AY130" s="138"/>
      <c r="AZ130" s="113"/>
      <c r="BA130" s="265" t="s">
        <v>30</v>
      </c>
      <c r="BB130" s="264"/>
      <c r="BC130" s="264" t="s">
        <v>29</v>
      </c>
      <c r="BD130" s="264"/>
      <c r="BE130" s="264"/>
      <c r="BF130" s="264" t="s">
        <v>31</v>
      </c>
      <c r="BG130" s="264"/>
      <c r="BH130" s="264"/>
      <c r="BI130" s="114"/>
      <c r="BJ130" s="269"/>
      <c r="BK130" s="267"/>
      <c r="BL130" s="267"/>
      <c r="BM130" s="268"/>
      <c r="BN130" s="149"/>
      <c r="BO130" s="8"/>
    </row>
    <row r="131" spans="1:67" ht="16.2" customHeight="1" x14ac:dyDescent="0.25">
      <c r="A131" s="7"/>
      <c r="B131" s="258" t="s">
        <v>32</v>
      </c>
      <c r="C131" s="259"/>
      <c r="D131" s="260"/>
      <c r="E131" s="260"/>
      <c r="F131" s="260"/>
      <c r="G131" s="260"/>
      <c r="H131" s="260"/>
      <c r="I131" s="260"/>
      <c r="J131" s="114"/>
      <c r="K131" s="252" t="s">
        <v>38</v>
      </c>
      <c r="L131" s="253"/>
      <c r="M131" s="253"/>
      <c r="N131" s="254"/>
      <c r="O131" s="114"/>
      <c r="P131" s="112"/>
      <c r="R131" s="113"/>
      <c r="S131" s="261" t="s">
        <v>32</v>
      </c>
      <c r="T131" s="260"/>
      <c r="U131" s="260"/>
      <c r="V131" s="260"/>
      <c r="W131" s="260"/>
      <c r="X131" s="260"/>
      <c r="Y131" s="260"/>
      <c r="Z131" s="260"/>
      <c r="AA131" s="114"/>
      <c r="AB131" s="252" t="s">
        <v>38</v>
      </c>
      <c r="AC131" s="253"/>
      <c r="AD131" s="253"/>
      <c r="AE131" s="254"/>
      <c r="AF131" s="114"/>
      <c r="AG131" s="112"/>
      <c r="AH131" s="150"/>
      <c r="AI131" s="113"/>
      <c r="AJ131" s="261" t="s">
        <v>32</v>
      </c>
      <c r="AK131" s="260"/>
      <c r="AL131" s="260"/>
      <c r="AM131" s="260"/>
      <c r="AN131" s="260"/>
      <c r="AO131" s="260"/>
      <c r="AP131" s="260"/>
      <c r="AQ131" s="260"/>
      <c r="AR131" s="114"/>
      <c r="AS131" s="252" t="s">
        <v>38</v>
      </c>
      <c r="AT131" s="253"/>
      <c r="AU131" s="253"/>
      <c r="AV131" s="254"/>
      <c r="AW131" s="114"/>
      <c r="AX131" s="112"/>
      <c r="AY131" s="138"/>
      <c r="AZ131" s="113"/>
      <c r="BA131" s="261" t="s">
        <v>32</v>
      </c>
      <c r="BB131" s="260"/>
      <c r="BC131" s="260"/>
      <c r="BD131" s="260"/>
      <c r="BE131" s="260"/>
      <c r="BF131" s="260"/>
      <c r="BG131" s="260"/>
      <c r="BH131" s="260"/>
      <c r="BI131" s="114"/>
      <c r="BJ131" s="252" t="s">
        <v>38</v>
      </c>
      <c r="BK131" s="253"/>
      <c r="BL131" s="253"/>
      <c r="BM131" s="254"/>
      <c r="BN131" s="114"/>
      <c r="BO131" s="8"/>
    </row>
    <row r="132" spans="1:67" ht="16.2" customHeight="1" thickBot="1" x14ac:dyDescent="0.3">
      <c r="A132" s="7"/>
      <c r="B132" s="258" t="s">
        <v>33</v>
      </c>
      <c r="C132" s="259"/>
      <c r="D132" s="260"/>
      <c r="E132" s="260"/>
      <c r="F132" s="260"/>
      <c r="G132" s="260"/>
      <c r="H132" s="260"/>
      <c r="I132" s="260"/>
      <c r="J132" s="114"/>
      <c r="K132" s="255"/>
      <c r="L132" s="256"/>
      <c r="M132" s="256"/>
      <c r="N132" s="257"/>
      <c r="P132" s="112"/>
      <c r="R132" s="113"/>
      <c r="S132" s="261" t="s">
        <v>33</v>
      </c>
      <c r="T132" s="260"/>
      <c r="U132" s="260"/>
      <c r="V132" s="260"/>
      <c r="W132" s="260"/>
      <c r="X132" s="260"/>
      <c r="Y132" s="260"/>
      <c r="Z132" s="260"/>
      <c r="AA132" s="114"/>
      <c r="AB132" s="255"/>
      <c r="AC132" s="256"/>
      <c r="AD132" s="256"/>
      <c r="AE132" s="257"/>
      <c r="AG132" s="112"/>
      <c r="AH132" s="151"/>
      <c r="AI132" s="113"/>
      <c r="AJ132" s="261" t="s">
        <v>33</v>
      </c>
      <c r="AK132" s="260"/>
      <c r="AL132" s="260"/>
      <c r="AM132" s="260"/>
      <c r="AN132" s="260"/>
      <c r="AO132" s="260"/>
      <c r="AP132" s="260"/>
      <c r="AQ132" s="260"/>
      <c r="AR132" s="114"/>
      <c r="AS132" s="255"/>
      <c r="AT132" s="256"/>
      <c r="AU132" s="256"/>
      <c r="AV132" s="257"/>
      <c r="AX132" s="112"/>
      <c r="AY132" s="138"/>
      <c r="AZ132" s="113"/>
      <c r="BA132" s="261" t="s">
        <v>33</v>
      </c>
      <c r="BB132" s="260"/>
      <c r="BC132" s="260"/>
      <c r="BD132" s="260"/>
      <c r="BE132" s="260"/>
      <c r="BF132" s="260"/>
      <c r="BG132" s="260"/>
      <c r="BH132" s="260"/>
      <c r="BI132" s="114"/>
      <c r="BJ132" s="255"/>
      <c r="BK132" s="256"/>
      <c r="BL132" s="256"/>
      <c r="BM132" s="257"/>
      <c r="BO132" s="8"/>
    </row>
    <row r="133" spans="1:67" ht="16.2" customHeight="1" thickBot="1" x14ac:dyDescent="0.3">
      <c r="A133" s="7"/>
      <c r="B133" s="250" t="s">
        <v>34</v>
      </c>
      <c r="C133" s="251"/>
      <c r="D133" s="248"/>
      <c r="E133" s="248"/>
      <c r="F133" s="248"/>
      <c r="G133" s="248"/>
      <c r="H133" s="248"/>
      <c r="I133" s="248"/>
      <c r="J133" s="114"/>
      <c r="K133" s="148"/>
      <c r="L133" s="148"/>
      <c r="M133" s="148"/>
      <c r="N133" s="148"/>
      <c r="O133" s="148"/>
      <c r="P133" s="112"/>
      <c r="R133" s="113"/>
      <c r="S133" s="249" t="s">
        <v>34</v>
      </c>
      <c r="T133" s="248"/>
      <c r="U133" s="248"/>
      <c r="V133" s="248"/>
      <c r="W133" s="248"/>
      <c r="X133" s="248"/>
      <c r="Y133" s="248"/>
      <c r="Z133" s="248"/>
      <c r="AA133" s="114"/>
      <c r="AB133" s="148"/>
      <c r="AC133" s="148"/>
      <c r="AD133" s="148"/>
      <c r="AE133" s="148"/>
      <c r="AF133" s="148"/>
      <c r="AG133" s="112"/>
      <c r="AI133" s="113"/>
      <c r="AJ133" s="249" t="s">
        <v>34</v>
      </c>
      <c r="AK133" s="248"/>
      <c r="AL133" s="248"/>
      <c r="AM133" s="248"/>
      <c r="AN133" s="248"/>
      <c r="AO133" s="248"/>
      <c r="AP133" s="248"/>
      <c r="AQ133" s="248"/>
      <c r="AR133" s="114"/>
      <c r="AS133" s="148"/>
      <c r="AT133" s="148"/>
      <c r="AU133" s="148"/>
      <c r="AV133" s="148"/>
      <c r="AW133" s="148"/>
      <c r="AX133" s="112"/>
      <c r="AY133" s="138"/>
      <c r="AZ133" s="113"/>
      <c r="BA133" s="249" t="s">
        <v>34</v>
      </c>
      <c r="BB133" s="248"/>
      <c r="BC133" s="248"/>
      <c r="BD133" s="248"/>
      <c r="BE133" s="248"/>
      <c r="BF133" s="248"/>
      <c r="BG133" s="248"/>
      <c r="BH133" s="248"/>
      <c r="BI133" s="114"/>
      <c r="BJ133" s="148"/>
      <c r="BK133" s="148"/>
      <c r="BL133" s="148"/>
      <c r="BM133" s="148"/>
      <c r="BN133" s="148"/>
      <c r="BO133" s="8"/>
    </row>
    <row r="134" spans="1:67" ht="3" customHeight="1" thickBot="1" x14ac:dyDescent="0.3">
      <c r="A134" s="12"/>
      <c r="B134" s="57"/>
      <c r="C134" s="152"/>
      <c r="D134" s="153"/>
      <c r="E134" s="153"/>
      <c r="F134" s="152"/>
      <c r="G134" s="152"/>
      <c r="H134" s="152"/>
      <c r="I134" s="152"/>
      <c r="J134" s="152"/>
      <c r="K134" s="154"/>
      <c r="L134" s="154"/>
      <c r="M134" s="154"/>
      <c r="N134" s="154"/>
      <c r="O134" s="148"/>
      <c r="P134" s="155"/>
      <c r="R134" s="156"/>
      <c r="S134" s="57"/>
      <c r="T134" s="152"/>
      <c r="U134" s="153"/>
      <c r="V134" s="153"/>
      <c r="W134" s="152"/>
      <c r="X134" s="152"/>
      <c r="Y134" s="152"/>
      <c r="Z134" s="152"/>
      <c r="AA134" s="152"/>
      <c r="AB134" s="154"/>
      <c r="AC134" s="154"/>
      <c r="AD134" s="154"/>
      <c r="AE134" s="154"/>
      <c r="AF134" s="148"/>
      <c r="AG134" s="155"/>
      <c r="AI134" s="156"/>
      <c r="AJ134" s="57"/>
      <c r="AK134" s="152"/>
      <c r="AL134" s="153"/>
      <c r="AM134" s="153"/>
      <c r="AN134" s="152"/>
      <c r="AO134" s="152"/>
      <c r="AP134" s="152"/>
      <c r="AQ134" s="152"/>
      <c r="AR134" s="152"/>
      <c r="AS134" s="154"/>
      <c r="AT134" s="154"/>
      <c r="AU134" s="154"/>
      <c r="AV134" s="154"/>
      <c r="AW134" s="148"/>
      <c r="AX134" s="155"/>
      <c r="AY134" s="138"/>
      <c r="AZ134" s="156"/>
      <c r="BA134" s="57"/>
      <c r="BB134" s="152"/>
      <c r="BC134" s="153"/>
      <c r="BD134" s="153"/>
      <c r="BE134" s="152"/>
      <c r="BF134" s="152"/>
      <c r="BG134" s="152"/>
      <c r="BH134" s="152"/>
      <c r="BI134" s="152"/>
      <c r="BJ134" s="154"/>
      <c r="BK134" s="154"/>
      <c r="BL134" s="154"/>
      <c r="BM134" s="154"/>
      <c r="BN134" s="148"/>
      <c r="BO134" s="13"/>
    </row>
    <row r="135" spans="1:67" ht="14.4" thickTop="1" x14ac:dyDescent="0.25">
      <c r="N135" s="157"/>
      <c r="AE135" s="157"/>
      <c r="BM135" s="157"/>
    </row>
  </sheetData>
  <mergeCells count="900">
    <mergeCell ref="C2:G2"/>
    <mergeCell ref="T2:X2"/>
    <mergeCell ref="AK2:AO2"/>
    <mergeCell ref="BB2:BF2"/>
    <mergeCell ref="C29:G29"/>
    <mergeCell ref="T29:X29"/>
    <mergeCell ref="AK29:AO29"/>
    <mergeCell ref="BB29:BF29"/>
    <mergeCell ref="C56:G56"/>
    <mergeCell ref="T56:X56"/>
    <mergeCell ref="AK56:AO56"/>
    <mergeCell ref="BB56:BF56"/>
    <mergeCell ref="G32:G33"/>
    <mergeCell ref="H32:H33"/>
    <mergeCell ref="I32:I33"/>
    <mergeCell ref="L32:O32"/>
    <mergeCell ref="K33:O33"/>
    <mergeCell ref="H29:I29"/>
    <mergeCell ref="J29:O29"/>
    <mergeCell ref="B25:C25"/>
    <mergeCell ref="K20:N20"/>
    <mergeCell ref="K21:N22"/>
    <mergeCell ref="K23:N24"/>
    <mergeCell ref="G22:I22"/>
    <mergeCell ref="BJ47:BM47"/>
    <mergeCell ref="B1:I1"/>
    <mergeCell ref="B4:B6"/>
    <mergeCell ref="C4:C6"/>
    <mergeCell ref="D4:E4"/>
    <mergeCell ref="F4:I4"/>
    <mergeCell ref="B3:O3"/>
    <mergeCell ref="K4:O4"/>
    <mergeCell ref="D5:D6"/>
    <mergeCell ref="E5:E6"/>
    <mergeCell ref="F5:F6"/>
    <mergeCell ref="G5:G6"/>
    <mergeCell ref="H5:H6"/>
    <mergeCell ref="I5:I6"/>
    <mergeCell ref="L5:O5"/>
    <mergeCell ref="K6:O6"/>
    <mergeCell ref="J1:M1"/>
    <mergeCell ref="D25:F25"/>
    <mergeCell ref="G25:I25"/>
    <mergeCell ref="H2:I2"/>
    <mergeCell ref="J2:O2"/>
    <mergeCell ref="B28:I28"/>
    <mergeCell ref="J28:M28"/>
    <mergeCell ref="K10:O10"/>
    <mergeCell ref="B19:B20"/>
    <mergeCell ref="C19:E19"/>
    <mergeCell ref="F19:I19"/>
    <mergeCell ref="C20:E20"/>
    <mergeCell ref="F20:I20"/>
    <mergeCell ref="K11:O11"/>
    <mergeCell ref="L12:O12"/>
    <mergeCell ref="K13:O13"/>
    <mergeCell ref="K15:O15"/>
    <mergeCell ref="L14:O14"/>
    <mergeCell ref="B23:C23"/>
    <mergeCell ref="D23:F23"/>
    <mergeCell ref="G23:I23"/>
    <mergeCell ref="B22:C22"/>
    <mergeCell ref="D22:F22"/>
    <mergeCell ref="K42:O42"/>
    <mergeCell ref="B46:B47"/>
    <mergeCell ref="C46:E46"/>
    <mergeCell ref="F46:I46"/>
    <mergeCell ref="C47:E47"/>
    <mergeCell ref="F47:I47"/>
    <mergeCell ref="K47:N47"/>
    <mergeCell ref="B24:C24"/>
    <mergeCell ref="D24:F24"/>
    <mergeCell ref="G24:I24"/>
    <mergeCell ref="K37:O37"/>
    <mergeCell ref="K38:O38"/>
    <mergeCell ref="L39:O39"/>
    <mergeCell ref="K40:O40"/>
    <mergeCell ref="L41:O41"/>
    <mergeCell ref="B30:O30"/>
    <mergeCell ref="B31:B33"/>
    <mergeCell ref="C31:C33"/>
    <mergeCell ref="D31:E31"/>
    <mergeCell ref="F31:I31"/>
    <mergeCell ref="K31:O31"/>
    <mergeCell ref="D32:D33"/>
    <mergeCell ref="E32:E33"/>
    <mergeCell ref="F32:F33"/>
    <mergeCell ref="B49:C49"/>
    <mergeCell ref="D49:F49"/>
    <mergeCell ref="G49:I49"/>
    <mergeCell ref="B50:C50"/>
    <mergeCell ref="D50:F50"/>
    <mergeCell ref="G50:I50"/>
    <mergeCell ref="K50:N51"/>
    <mergeCell ref="B51:C51"/>
    <mergeCell ref="D51:F51"/>
    <mergeCell ref="G51:I51"/>
    <mergeCell ref="K48:N49"/>
    <mergeCell ref="W5:W6"/>
    <mergeCell ref="X5:X6"/>
    <mergeCell ref="Y5:Y6"/>
    <mergeCell ref="Z5:Z6"/>
    <mergeCell ref="AC5:AF5"/>
    <mergeCell ref="AB6:AF6"/>
    <mergeCell ref="AB15:AF15"/>
    <mergeCell ref="S1:Z1"/>
    <mergeCell ref="AA1:AD1"/>
    <mergeCell ref="Y2:Z2"/>
    <mergeCell ref="AA2:AF2"/>
    <mergeCell ref="S3:AF3"/>
    <mergeCell ref="S4:S6"/>
    <mergeCell ref="T4:T6"/>
    <mergeCell ref="U4:V4"/>
    <mergeCell ref="W4:Z4"/>
    <mergeCell ref="AB4:AF4"/>
    <mergeCell ref="U5:U6"/>
    <mergeCell ref="V5:V6"/>
    <mergeCell ref="AJ1:AQ1"/>
    <mergeCell ref="AR1:AU1"/>
    <mergeCell ref="AP2:AQ2"/>
    <mergeCell ref="AR2:AW2"/>
    <mergeCell ref="AJ3:AW3"/>
    <mergeCell ref="AJ4:AJ6"/>
    <mergeCell ref="AK4:AK6"/>
    <mergeCell ref="AL4:AM4"/>
    <mergeCell ref="AN4:AQ4"/>
    <mergeCell ref="AS4:AW4"/>
    <mergeCell ref="AL5:AL6"/>
    <mergeCell ref="AM5:AM6"/>
    <mergeCell ref="AN5:AN6"/>
    <mergeCell ref="AO5:AO6"/>
    <mergeCell ref="AP5:AP6"/>
    <mergeCell ref="AQ5:AQ6"/>
    <mergeCell ref="AT5:AW5"/>
    <mergeCell ref="AS6:AW6"/>
    <mergeCell ref="X25:Z25"/>
    <mergeCell ref="AB21:AE22"/>
    <mergeCell ref="S22:T22"/>
    <mergeCell ref="U22:W22"/>
    <mergeCell ref="X22:Z22"/>
    <mergeCell ref="S23:T23"/>
    <mergeCell ref="U23:W23"/>
    <mergeCell ref="X23:Z23"/>
    <mergeCell ref="AB23:AE24"/>
    <mergeCell ref="S24:T24"/>
    <mergeCell ref="U24:W24"/>
    <mergeCell ref="X24:Z24"/>
    <mergeCell ref="S19:S20"/>
    <mergeCell ref="T19:V19"/>
    <mergeCell ref="W19:Z19"/>
    <mergeCell ref="AN20:AQ20"/>
    <mergeCell ref="AS20:AV20"/>
    <mergeCell ref="AL22:AN22"/>
    <mergeCell ref="AO22:AQ22"/>
    <mergeCell ref="AS10:AW10"/>
    <mergeCell ref="AS11:AW11"/>
    <mergeCell ref="AT12:AW12"/>
    <mergeCell ref="AS13:AW13"/>
    <mergeCell ref="AT14:AW14"/>
    <mergeCell ref="T20:V20"/>
    <mergeCell ref="W20:Z20"/>
    <mergeCell ref="AB20:AE20"/>
    <mergeCell ref="AB10:AF10"/>
    <mergeCell ref="AB11:AF11"/>
    <mergeCell ref="AC12:AF12"/>
    <mergeCell ref="AB13:AF13"/>
    <mergeCell ref="AC14:AF14"/>
    <mergeCell ref="BA1:BH1"/>
    <mergeCell ref="BI1:BL1"/>
    <mergeCell ref="BG2:BH2"/>
    <mergeCell ref="BI2:BN2"/>
    <mergeCell ref="BA3:BN3"/>
    <mergeCell ref="BA4:BA6"/>
    <mergeCell ref="BB4:BB6"/>
    <mergeCell ref="BC4:BD4"/>
    <mergeCell ref="BE4:BH4"/>
    <mergeCell ref="BJ4:BN4"/>
    <mergeCell ref="BC5:BC6"/>
    <mergeCell ref="BD5:BD6"/>
    <mergeCell ref="BK14:BN14"/>
    <mergeCell ref="BE5:BE6"/>
    <mergeCell ref="BF5:BF6"/>
    <mergeCell ref="BG5:BG6"/>
    <mergeCell ref="BH5:BH6"/>
    <mergeCell ref="BK5:BN5"/>
    <mergeCell ref="BJ6:BN6"/>
    <mergeCell ref="BJ15:BN15"/>
    <mergeCell ref="AJ23:AK23"/>
    <mergeCell ref="AL23:AN23"/>
    <mergeCell ref="AO23:AQ23"/>
    <mergeCell ref="AS23:AV24"/>
    <mergeCell ref="AJ24:AK24"/>
    <mergeCell ref="AL24:AN24"/>
    <mergeCell ref="AO24:AQ24"/>
    <mergeCell ref="BJ10:BN10"/>
    <mergeCell ref="BJ11:BN11"/>
    <mergeCell ref="BK12:BN12"/>
    <mergeCell ref="BJ13:BN13"/>
    <mergeCell ref="AS15:AW15"/>
    <mergeCell ref="AJ19:AJ20"/>
    <mergeCell ref="AK19:AM19"/>
    <mergeCell ref="AN19:AQ19"/>
    <mergeCell ref="AK20:AM20"/>
    <mergeCell ref="BA19:BA20"/>
    <mergeCell ref="BB19:BD19"/>
    <mergeCell ref="BE19:BH19"/>
    <mergeCell ref="BB20:BD20"/>
    <mergeCell ref="BE20:BH20"/>
    <mergeCell ref="BJ20:BM20"/>
    <mergeCell ref="BA25:BB25"/>
    <mergeCell ref="BC25:BE25"/>
    <mergeCell ref="BF25:BH25"/>
    <mergeCell ref="S28:Z28"/>
    <mergeCell ref="AA28:AD28"/>
    <mergeCell ref="AJ28:AQ28"/>
    <mergeCell ref="AR28:AU28"/>
    <mergeCell ref="BA28:BH28"/>
    <mergeCell ref="BJ21:BM22"/>
    <mergeCell ref="BA22:BB22"/>
    <mergeCell ref="BC22:BE22"/>
    <mergeCell ref="BF22:BH22"/>
    <mergeCell ref="BA23:BB23"/>
    <mergeCell ref="BC23:BE23"/>
    <mergeCell ref="BF23:BH23"/>
    <mergeCell ref="BJ23:BM24"/>
    <mergeCell ref="BA24:BB24"/>
    <mergeCell ref="BC24:BE24"/>
    <mergeCell ref="BF24:BH24"/>
    <mergeCell ref="AJ25:AK25"/>
    <mergeCell ref="AL25:AN25"/>
    <mergeCell ref="AO25:AQ25"/>
    <mergeCell ref="AS21:AV22"/>
    <mergeCell ref="AJ22:AK22"/>
    <mergeCell ref="BI28:BL28"/>
    <mergeCell ref="S25:T25"/>
    <mergeCell ref="U25:W25"/>
    <mergeCell ref="Y29:Z29"/>
    <mergeCell ref="AA29:AF29"/>
    <mergeCell ref="AP29:AQ29"/>
    <mergeCell ref="AR29:AW29"/>
    <mergeCell ref="BG29:BH29"/>
    <mergeCell ref="BI29:BN29"/>
    <mergeCell ref="S30:AF30"/>
    <mergeCell ref="AJ30:AW30"/>
    <mergeCell ref="BA30:BN30"/>
    <mergeCell ref="S31:S33"/>
    <mergeCell ref="T31:T33"/>
    <mergeCell ref="U31:V31"/>
    <mergeCell ref="W31:Z31"/>
    <mergeCell ref="AB31:AF31"/>
    <mergeCell ref="AJ31:AJ33"/>
    <mergeCell ref="AK31:AK33"/>
    <mergeCell ref="AL31:AM31"/>
    <mergeCell ref="AN31:AQ31"/>
    <mergeCell ref="AS31:AW31"/>
    <mergeCell ref="BA31:BA33"/>
    <mergeCell ref="BB31:BB33"/>
    <mergeCell ref="BC31:BD31"/>
    <mergeCell ref="BE31:BH31"/>
    <mergeCell ref="BJ31:BN31"/>
    <mergeCell ref="U32:U33"/>
    <mergeCell ref="V32:V33"/>
    <mergeCell ref="W32:W33"/>
    <mergeCell ref="X32:X33"/>
    <mergeCell ref="Y32:Y33"/>
    <mergeCell ref="Z32:Z33"/>
    <mergeCell ref="AB37:AF37"/>
    <mergeCell ref="AS37:AW37"/>
    <mergeCell ref="BJ37:BN37"/>
    <mergeCell ref="AB38:AF38"/>
    <mergeCell ref="AS38:AW38"/>
    <mergeCell ref="BJ38:BN38"/>
    <mergeCell ref="BK32:BN32"/>
    <mergeCell ref="AB33:AF33"/>
    <mergeCell ref="AS33:AW33"/>
    <mergeCell ref="BJ33:BN33"/>
    <mergeCell ref="BC32:BC33"/>
    <mergeCell ref="BD32:BD33"/>
    <mergeCell ref="BE32:BE33"/>
    <mergeCell ref="BF32:BF33"/>
    <mergeCell ref="BG32:BG33"/>
    <mergeCell ref="AC32:AF32"/>
    <mergeCell ref="AL32:AL33"/>
    <mergeCell ref="AM32:AM33"/>
    <mergeCell ref="AN32:AN33"/>
    <mergeCell ref="AO32:AO33"/>
    <mergeCell ref="AP32:AP33"/>
    <mergeCell ref="AQ32:AQ33"/>
    <mergeCell ref="AT32:AW32"/>
    <mergeCell ref="BH32:BH33"/>
    <mergeCell ref="AC41:AF41"/>
    <mergeCell ref="AT41:AW41"/>
    <mergeCell ref="BK41:BN41"/>
    <mergeCell ref="AB42:AF42"/>
    <mergeCell ref="AS42:AW42"/>
    <mergeCell ref="BJ42:BN42"/>
    <mergeCell ref="AC39:AF39"/>
    <mergeCell ref="AT39:AW39"/>
    <mergeCell ref="BK39:BN39"/>
    <mergeCell ref="AB40:AF40"/>
    <mergeCell ref="AS40:AW40"/>
    <mergeCell ref="BJ40:BN40"/>
    <mergeCell ref="S46:S47"/>
    <mergeCell ref="T46:V46"/>
    <mergeCell ref="W46:Z46"/>
    <mergeCell ref="AJ46:AJ47"/>
    <mergeCell ref="AK46:AM46"/>
    <mergeCell ref="AN46:AQ46"/>
    <mergeCell ref="BA46:BA47"/>
    <mergeCell ref="BB46:BD46"/>
    <mergeCell ref="BE46:BH46"/>
    <mergeCell ref="T47:V47"/>
    <mergeCell ref="W47:Z47"/>
    <mergeCell ref="AB47:AE47"/>
    <mergeCell ref="AK47:AM47"/>
    <mergeCell ref="AN47:AQ47"/>
    <mergeCell ref="AS47:AV47"/>
    <mergeCell ref="BB47:BD47"/>
    <mergeCell ref="BE47:BH47"/>
    <mergeCell ref="AB48:AE49"/>
    <mergeCell ref="AS48:AV49"/>
    <mergeCell ref="BJ48:BM49"/>
    <mergeCell ref="S49:T49"/>
    <mergeCell ref="U49:W49"/>
    <mergeCell ref="X49:Z49"/>
    <mergeCell ref="AJ49:AK49"/>
    <mergeCell ref="AL49:AN49"/>
    <mergeCell ref="AO49:AQ49"/>
    <mergeCell ref="BA49:BB49"/>
    <mergeCell ref="BC49:BE49"/>
    <mergeCell ref="BF49:BH49"/>
    <mergeCell ref="BF50:BH50"/>
    <mergeCell ref="BJ50:BM51"/>
    <mergeCell ref="S51:T51"/>
    <mergeCell ref="U51:W51"/>
    <mergeCell ref="X51:Z51"/>
    <mergeCell ref="AJ51:AK51"/>
    <mergeCell ref="AL51:AN51"/>
    <mergeCell ref="AO51:AQ51"/>
    <mergeCell ref="BA51:BB51"/>
    <mergeCell ref="BC51:BE51"/>
    <mergeCell ref="BF51:BH51"/>
    <mergeCell ref="AL50:AN50"/>
    <mergeCell ref="AO50:AQ50"/>
    <mergeCell ref="AS50:AV51"/>
    <mergeCell ref="BA50:BB50"/>
    <mergeCell ref="BC50:BE50"/>
    <mergeCell ref="S50:T50"/>
    <mergeCell ref="U50:W50"/>
    <mergeCell ref="X50:Z50"/>
    <mergeCell ref="AB50:AE51"/>
    <mergeCell ref="AJ50:AK50"/>
    <mergeCell ref="AO52:AQ52"/>
    <mergeCell ref="BA52:BB52"/>
    <mergeCell ref="BC52:BE52"/>
    <mergeCell ref="BF52:BH52"/>
    <mergeCell ref="B55:I55"/>
    <mergeCell ref="J55:M55"/>
    <mergeCell ref="S55:Z55"/>
    <mergeCell ref="AA55:AD55"/>
    <mergeCell ref="AJ55:AQ55"/>
    <mergeCell ref="AR55:AU55"/>
    <mergeCell ref="BA55:BH55"/>
    <mergeCell ref="S52:T52"/>
    <mergeCell ref="U52:W52"/>
    <mergeCell ref="X52:Z52"/>
    <mergeCell ref="AJ52:AK52"/>
    <mergeCell ref="AL52:AN52"/>
    <mergeCell ref="B52:C52"/>
    <mergeCell ref="D52:F52"/>
    <mergeCell ref="G52:I52"/>
    <mergeCell ref="BI55:BL55"/>
    <mergeCell ref="H56:I56"/>
    <mergeCell ref="J56:O56"/>
    <mergeCell ref="Y56:Z56"/>
    <mergeCell ref="AA56:AF56"/>
    <mergeCell ref="AP56:AQ56"/>
    <mergeCell ref="AR56:AW56"/>
    <mergeCell ref="BG56:BH56"/>
    <mergeCell ref="BI56:BN56"/>
    <mergeCell ref="BA57:BN57"/>
    <mergeCell ref="B58:B60"/>
    <mergeCell ref="C58:C60"/>
    <mergeCell ref="D58:E58"/>
    <mergeCell ref="F58:I58"/>
    <mergeCell ref="K58:O58"/>
    <mergeCell ref="S58:S60"/>
    <mergeCell ref="T58:T60"/>
    <mergeCell ref="U58:V58"/>
    <mergeCell ref="W58:Z58"/>
    <mergeCell ref="AB58:AF58"/>
    <mergeCell ref="AJ58:AJ60"/>
    <mergeCell ref="AK58:AK60"/>
    <mergeCell ref="BC58:BD58"/>
    <mergeCell ref="BE58:BH58"/>
    <mergeCell ref="BJ58:BN58"/>
    <mergeCell ref="D59:D60"/>
    <mergeCell ref="E59:E60"/>
    <mergeCell ref="F59:F60"/>
    <mergeCell ref="G59:G60"/>
    <mergeCell ref="H59:H60"/>
    <mergeCell ref="AL58:AM58"/>
    <mergeCell ref="K60:O60"/>
    <mergeCell ref="AB60:AF60"/>
    <mergeCell ref="AC59:AF59"/>
    <mergeCell ref="AL59:AL60"/>
    <mergeCell ref="AM59:AM60"/>
    <mergeCell ref="B57:O57"/>
    <mergeCell ref="S57:AF57"/>
    <mergeCell ref="AJ57:AW57"/>
    <mergeCell ref="AN59:AN60"/>
    <mergeCell ref="AO59:AO60"/>
    <mergeCell ref="I59:I60"/>
    <mergeCell ref="L59:O59"/>
    <mergeCell ref="U59:U60"/>
    <mergeCell ref="V59:V60"/>
    <mergeCell ref="W59:W60"/>
    <mergeCell ref="X59:X60"/>
    <mergeCell ref="Y59:Y60"/>
    <mergeCell ref="Z59:Z60"/>
    <mergeCell ref="K64:O64"/>
    <mergeCell ref="AB64:AF64"/>
    <mergeCell ref="AS64:AW64"/>
    <mergeCell ref="BJ64:BN64"/>
    <mergeCell ref="K65:O65"/>
    <mergeCell ref="AB65:AF65"/>
    <mergeCell ref="AS65:AW65"/>
    <mergeCell ref="BJ65:BN65"/>
    <mergeCell ref="AN58:AQ58"/>
    <mergeCell ref="AS58:AW58"/>
    <mergeCell ref="BA58:BA60"/>
    <mergeCell ref="BB58:BB60"/>
    <mergeCell ref="AP59:AP60"/>
    <mergeCell ref="AQ59:AQ60"/>
    <mergeCell ref="AT59:AW59"/>
    <mergeCell ref="BH59:BH60"/>
    <mergeCell ref="BK59:BN59"/>
    <mergeCell ref="AS60:AW60"/>
    <mergeCell ref="BJ60:BN60"/>
    <mergeCell ref="BC59:BC60"/>
    <mergeCell ref="BD59:BD60"/>
    <mergeCell ref="BE59:BE60"/>
    <mergeCell ref="BF59:BF60"/>
    <mergeCell ref="BG59:BG60"/>
    <mergeCell ref="L68:O68"/>
    <mergeCell ref="AC68:AF68"/>
    <mergeCell ref="AT68:AW68"/>
    <mergeCell ref="BK68:BN68"/>
    <mergeCell ref="K69:O69"/>
    <mergeCell ref="AB69:AF69"/>
    <mergeCell ref="AS69:AW69"/>
    <mergeCell ref="BJ69:BN69"/>
    <mergeCell ref="L66:O66"/>
    <mergeCell ref="AC66:AF66"/>
    <mergeCell ref="AT66:AW66"/>
    <mergeCell ref="BK66:BN66"/>
    <mergeCell ref="K67:O67"/>
    <mergeCell ref="AB67:AF67"/>
    <mergeCell ref="AS67:AW67"/>
    <mergeCell ref="BJ67:BN67"/>
    <mergeCell ref="B73:B74"/>
    <mergeCell ref="C73:E73"/>
    <mergeCell ref="F73:I73"/>
    <mergeCell ref="S73:S74"/>
    <mergeCell ref="T73:V73"/>
    <mergeCell ref="W73:Z73"/>
    <mergeCell ref="AJ73:AJ74"/>
    <mergeCell ref="AK73:AM73"/>
    <mergeCell ref="AN73:AQ73"/>
    <mergeCell ref="C74:E74"/>
    <mergeCell ref="F74:I74"/>
    <mergeCell ref="K74:N74"/>
    <mergeCell ref="T74:V74"/>
    <mergeCell ref="W74:Z74"/>
    <mergeCell ref="BA73:BA74"/>
    <mergeCell ref="BB73:BD73"/>
    <mergeCell ref="BE73:BH73"/>
    <mergeCell ref="BE74:BH74"/>
    <mergeCell ref="BJ74:BM74"/>
    <mergeCell ref="AB74:AE74"/>
    <mergeCell ref="AK74:AM74"/>
    <mergeCell ref="AN74:AQ74"/>
    <mergeCell ref="AS74:AV74"/>
    <mergeCell ref="BB74:BD74"/>
    <mergeCell ref="AB75:AE76"/>
    <mergeCell ref="AS75:AV76"/>
    <mergeCell ref="BJ75:BM76"/>
    <mergeCell ref="X76:Z76"/>
    <mergeCell ref="AJ76:AK76"/>
    <mergeCell ref="AL76:AN76"/>
    <mergeCell ref="AO76:AQ76"/>
    <mergeCell ref="BA76:BB76"/>
    <mergeCell ref="BC76:BE76"/>
    <mergeCell ref="BF76:BH76"/>
    <mergeCell ref="D77:F77"/>
    <mergeCell ref="G77:I77"/>
    <mergeCell ref="K77:N78"/>
    <mergeCell ref="S77:T77"/>
    <mergeCell ref="B76:C76"/>
    <mergeCell ref="D76:F76"/>
    <mergeCell ref="G76:I76"/>
    <mergeCell ref="S76:T76"/>
    <mergeCell ref="U76:W76"/>
    <mergeCell ref="K75:N76"/>
    <mergeCell ref="BJ77:BM78"/>
    <mergeCell ref="B78:C78"/>
    <mergeCell ref="D78:F78"/>
    <mergeCell ref="G78:I78"/>
    <mergeCell ref="S78:T78"/>
    <mergeCell ref="U78:W78"/>
    <mergeCell ref="X78:Z78"/>
    <mergeCell ref="AJ78:AK78"/>
    <mergeCell ref="AL78:AN78"/>
    <mergeCell ref="AO78:AQ78"/>
    <mergeCell ref="BA78:BB78"/>
    <mergeCell ref="BC78:BE78"/>
    <mergeCell ref="BF78:BH78"/>
    <mergeCell ref="AO77:AQ77"/>
    <mergeCell ref="AS77:AV78"/>
    <mergeCell ref="BA77:BB77"/>
    <mergeCell ref="BC77:BE77"/>
    <mergeCell ref="BF77:BH77"/>
    <mergeCell ref="U77:W77"/>
    <mergeCell ref="X77:Z77"/>
    <mergeCell ref="AB77:AE78"/>
    <mergeCell ref="AJ77:AK77"/>
    <mergeCell ref="AL77:AN77"/>
    <mergeCell ref="B77:C77"/>
    <mergeCell ref="BC79:BE79"/>
    <mergeCell ref="BF79:BH79"/>
    <mergeCell ref="B82:I82"/>
    <mergeCell ref="J82:M82"/>
    <mergeCell ref="S82:Z82"/>
    <mergeCell ref="AA82:AD82"/>
    <mergeCell ref="AJ82:AQ82"/>
    <mergeCell ref="AR82:AU82"/>
    <mergeCell ref="BA82:BH82"/>
    <mergeCell ref="X79:Z79"/>
    <mergeCell ref="AJ79:AK79"/>
    <mergeCell ref="AL79:AN79"/>
    <mergeCell ref="AO79:AQ79"/>
    <mergeCell ref="BA79:BB79"/>
    <mergeCell ref="B79:C79"/>
    <mergeCell ref="D79:F79"/>
    <mergeCell ref="G79:I79"/>
    <mergeCell ref="S79:T79"/>
    <mergeCell ref="U79:W79"/>
    <mergeCell ref="BI82:BL82"/>
    <mergeCell ref="H83:I83"/>
    <mergeCell ref="J83:O83"/>
    <mergeCell ref="Y83:Z83"/>
    <mergeCell ref="AA83:AF83"/>
    <mergeCell ref="AP83:AQ83"/>
    <mergeCell ref="AR83:AW83"/>
    <mergeCell ref="BG83:BH83"/>
    <mergeCell ref="BI83:BN83"/>
    <mergeCell ref="C83:G83"/>
    <mergeCell ref="T83:X83"/>
    <mergeCell ref="AK83:AO83"/>
    <mergeCell ref="BB83:BF83"/>
    <mergeCell ref="BA84:BN84"/>
    <mergeCell ref="B85:B87"/>
    <mergeCell ref="C85:C87"/>
    <mergeCell ref="D85:E85"/>
    <mergeCell ref="F85:I85"/>
    <mergeCell ref="K85:O85"/>
    <mergeCell ref="S85:S87"/>
    <mergeCell ref="T85:T87"/>
    <mergeCell ref="U85:V85"/>
    <mergeCell ref="W85:Z85"/>
    <mergeCell ref="AB85:AF85"/>
    <mergeCell ref="AJ85:AJ87"/>
    <mergeCell ref="AK85:AK87"/>
    <mergeCell ref="BC85:BD85"/>
    <mergeCell ref="BE85:BH85"/>
    <mergeCell ref="BJ85:BN85"/>
    <mergeCell ref="D86:D87"/>
    <mergeCell ref="E86:E87"/>
    <mergeCell ref="F86:F87"/>
    <mergeCell ref="G86:G87"/>
    <mergeCell ref="H86:H87"/>
    <mergeCell ref="AL85:AM85"/>
    <mergeCell ref="K87:O87"/>
    <mergeCell ref="AB87:AF87"/>
    <mergeCell ref="AC86:AF86"/>
    <mergeCell ref="AL86:AL87"/>
    <mergeCell ref="AM86:AM87"/>
    <mergeCell ref="B84:O84"/>
    <mergeCell ref="S84:AF84"/>
    <mergeCell ref="AJ84:AW84"/>
    <mergeCell ref="AN86:AN87"/>
    <mergeCell ref="AO86:AO87"/>
    <mergeCell ref="I86:I87"/>
    <mergeCell ref="L86:O86"/>
    <mergeCell ref="U86:U87"/>
    <mergeCell ref="V86:V87"/>
    <mergeCell ref="W86:W87"/>
    <mergeCell ref="X86:X87"/>
    <mergeCell ref="Y86:Y87"/>
    <mergeCell ref="Z86:Z87"/>
    <mergeCell ref="K91:O91"/>
    <mergeCell ref="AB91:AF91"/>
    <mergeCell ref="AS91:AW91"/>
    <mergeCell ref="BJ91:BN91"/>
    <mergeCell ref="K92:O92"/>
    <mergeCell ref="AB92:AF92"/>
    <mergeCell ref="AS92:AW92"/>
    <mergeCell ref="BJ92:BN92"/>
    <mergeCell ref="AN85:AQ85"/>
    <mergeCell ref="AS85:AW85"/>
    <mergeCell ref="BA85:BA87"/>
    <mergeCell ref="BB85:BB87"/>
    <mergeCell ref="AP86:AP87"/>
    <mergeCell ref="AQ86:AQ87"/>
    <mergeCell ref="AT86:AW86"/>
    <mergeCell ref="BH86:BH87"/>
    <mergeCell ref="BK86:BN86"/>
    <mergeCell ref="AS87:AW87"/>
    <mergeCell ref="BJ87:BN87"/>
    <mergeCell ref="BC86:BC87"/>
    <mergeCell ref="BD86:BD87"/>
    <mergeCell ref="BE86:BE87"/>
    <mergeCell ref="BF86:BF87"/>
    <mergeCell ref="BG86:BG87"/>
    <mergeCell ref="L95:O95"/>
    <mergeCell ref="AC95:AF95"/>
    <mergeCell ref="AT95:AW95"/>
    <mergeCell ref="BK95:BN95"/>
    <mergeCell ref="K96:O96"/>
    <mergeCell ref="AB96:AF96"/>
    <mergeCell ref="AS96:AW96"/>
    <mergeCell ref="BJ96:BN96"/>
    <mergeCell ref="L93:O93"/>
    <mergeCell ref="AC93:AF93"/>
    <mergeCell ref="AT93:AW93"/>
    <mergeCell ref="BK93:BN93"/>
    <mergeCell ref="K94:O94"/>
    <mergeCell ref="AB94:AF94"/>
    <mergeCell ref="AS94:AW94"/>
    <mergeCell ref="BJ94:BN94"/>
    <mergeCell ref="B100:B101"/>
    <mergeCell ref="C100:E100"/>
    <mergeCell ref="F100:I100"/>
    <mergeCell ref="S100:S101"/>
    <mergeCell ref="T100:V100"/>
    <mergeCell ref="W100:Z100"/>
    <mergeCell ref="AJ100:AJ101"/>
    <mergeCell ref="AK100:AM100"/>
    <mergeCell ref="AN100:AQ100"/>
    <mergeCell ref="C101:E101"/>
    <mergeCell ref="F101:I101"/>
    <mergeCell ref="K101:N101"/>
    <mergeCell ref="T101:V101"/>
    <mergeCell ref="W101:Z101"/>
    <mergeCell ref="BA100:BA101"/>
    <mergeCell ref="BB100:BD100"/>
    <mergeCell ref="BE100:BH100"/>
    <mergeCell ref="BE101:BH101"/>
    <mergeCell ref="BJ101:BM101"/>
    <mergeCell ref="AB101:AE101"/>
    <mergeCell ref="AK101:AM101"/>
    <mergeCell ref="AN101:AQ101"/>
    <mergeCell ref="AS101:AV101"/>
    <mergeCell ref="BB101:BD101"/>
    <mergeCell ref="AB102:AE103"/>
    <mergeCell ref="AS102:AV103"/>
    <mergeCell ref="BJ102:BM103"/>
    <mergeCell ref="X103:Z103"/>
    <mergeCell ref="AJ103:AK103"/>
    <mergeCell ref="AL103:AN103"/>
    <mergeCell ref="AO103:AQ103"/>
    <mergeCell ref="BA103:BB103"/>
    <mergeCell ref="BC103:BE103"/>
    <mergeCell ref="BF103:BH103"/>
    <mergeCell ref="D104:F104"/>
    <mergeCell ref="G104:I104"/>
    <mergeCell ref="K104:N105"/>
    <mergeCell ref="S104:T104"/>
    <mergeCell ref="B103:C103"/>
    <mergeCell ref="D103:F103"/>
    <mergeCell ref="G103:I103"/>
    <mergeCell ref="S103:T103"/>
    <mergeCell ref="U103:W103"/>
    <mergeCell ref="K102:N103"/>
    <mergeCell ref="BJ104:BM105"/>
    <mergeCell ref="B105:C105"/>
    <mergeCell ref="D105:F105"/>
    <mergeCell ref="G105:I105"/>
    <mergeCell ref="S105:T105"/>
    <mergeCell ref="U105:W105"/>
    <mergeCell ref="X105:Z105"/>
    <mergeCell ref="AJ105:AK105"/>
    <mergeCell ref="AL105:AN105"/>
    <mergeCell ref="AO105:AQ105"/>
    <mergeCell ref="BA105:BB105"/>
    <mergeCell ref="BC105:BE105"/>
    <mergeCell ref="BF105:BH105"/>
    <mergeCell ref="AO104:AQ104"/>
    <mergeCell ref="AS104:AV105"/>
    <mergeCell ref="BA104:BB104"/>
    <mergeCell ref="BC104:BE104"/>
    <mergeCell ref="BF104:BH104"/>
    <mergeCell ref="U104:W104"/>
    <mergeCell ref="X104:Z104"/>
    <mergeCell ref="AB104:AE105"/>
    <mergeCell ref="AJ104:AK104"/>
    <mergeCell ref="AL104:AN104"/>
    <mergeCell ref="B104:C104"/>
    <mergeCell ref="BC106:BE106"/>
    <mergeCell ref="BF106:BH106"/>
    <mergeCell ref="B109:I109"/>
    <mergeCell ref="J109:M109"/>
    <mergeCell ref="S109:Z109"/>
    <mergeCell ref="AA109:AD109"/>
    <mergeCell ref="AJ109:AQ109"/>
    <mergeCell ref="AR109:AU109"/>
    <mergeCell ref="BA109:BH109"/>
    <mergeCell ref="X106:Z106"/>
    <mergeCell ref="AJ106:AK106"/>
    <mergeCell ref="AL106:AN106"/>
    <mergeCell ref="AO106:AQ106"/>
    <mergeCell ref="BA106:BB106"/>
    <mergeCell ref="B106:C106"/>
    <mergeCell ref="D106:F106"/>
    <mergeCell ref="G106:I106"/>
    <mergeCell ref="S106:T106"/>
    <mergeCell ref="U106:W106"/>
    <mergeCell ref="BI109:BL109"/>
    <mergeCell ref="H110:I110"/>
    <mergeCell ref="J110:O110"/>
    <mergeCell ref="Y110:Z110"/>
    <mergeCell ref="AA110:AF110"/>
    <mergeCell ref="AP110:AQ110"/>
    <mergeCell ref="AR110:AW110"/>
    <mergeCell ref="BG110:BH110"/>
    <mergeCell ref="BI110:BN110"/>
    <mergeCell ref="C110:G110"/>
    <mergeCell ref="T110:X110"/>
    <mergeCell ref="AK110:AO110"/>
    <mergeCell ref="BB110:BF110"/>
    <mergeCell ref="BA111:BN111"/>
    <mergeCell ref="B112:B114"/>
    <mergeCell ref="C112:C114"/>
    <mergeCell ref="D112:E112"/>
    <mergeCell ref="F112:I112"/>
    <mergeCell ref="K112:O112"/>
    <mergeCell ref="S112:S114"/>
    <mergeCell ref="T112:T114"/>
    <mergeCell ref="U112:V112"/>
    <mergeCell ref="W112:Z112"/>
    <mergeCell ref="AB112:AF112"/>
    <mergeCell ref="AJ112:AJ114"/>
    <mergeCell ref="AK112:AK114"/>
    <mergeCell ref="BC112:BD112"/>
    <mergeCell ref="BE112:BH112"/>
    <mergeCell ref="BJ112:BN112"/>
    <mergeCell ref="D113:D114"/>
    <mergeCell ref="E113:E114"/>
    <mergeCell ref="F113:F114"/>
    <mergeCell ref="G113:G114"/>
    <mergeCell ref="H113:H114"/>
    <mergeCell ref="AL112:AM112"/>
    <mergeCell ref="K114:O114"/>
    <mergeCell ref="AB114:AF114"/>
    <mergeCell ref="AC113:AF113"/>
    <mergeCell ref="AL113:AL114"/>
    <mergeCell ref="AM113:AM114"/>
    <mergeCell ref="B111:O111"/>
    <mergeCell ref="S111:AF111"/>
    <mergeCell ref="AJ111:AW111"/>
    <mergeCell ref="AN113:AN114"/>
    <mergeCell ref="AO113:AO114"/>
    <mergeCell ref="I113:I114"/>
    <mergeCell ref="L113:O113"/>
    <mergeCell ref="U113:U114"/>
    <mergeCell ref="V113:V114"/>
    <mergeCell ref="W113:W114"/>
    <mergeCell ref="X113:X114"/>
    <mergeCell ref="Y113:Y114"/>
    <mergeCell ref="Z113:Z114"/>
    <mergeCell ref="K118:O118"/>
    <mergeCell ref="AB118:AF118"/>
    <mergeCell ref="AS118:AW118"/>
    <mergeCell ref="BJ118:BN118"/>
    <mergeCell ref="K119:O119"/>
    <mergeCell ref="AB119:AF119"/>
    <mergeCell ref="AS119:AW119"/>
    <mergeCell ref="BJ119:BN119"/>
    <mergeCell ref="AN112:AQ112"/>
    <mergeCell ref="AS112:AW112"/>
    <mergeCell ref="BA112:BA114"/>
    <mergeCell ref="BB112:BB114"/>
    <mergeCell ref="AP113:AP114"/>
    <mergeCell ref="AQ113:AQ114"/>
    <mergeCell ref="AT113:AW113"/>
    <mergeCell ref="BH113:BH114"/>
    <mergeCell ref="BK113:BN113"/>
    <mergeCell ref="AS114:AW114"/>
    <mergeCell ref="BJ114:BN114"/>
    <mergeCell ref="BC113:BC114"/>
    <mergeCell ref="BD113:BD114"/>
    <mergeCell ref="BE113:BE114"/>
    <mergeCell ref="BF113:BF114"/>
    <mergeCell ref="BG113:BG114"/>
    <mergeCell ref="L122:O122"/>
    <mergeCell ref="AC122:AF122"/>
    <mergeCell ref="AT122:AW122"/>
    <mergeCell ref="BK122:BN122"/>
    <mergeCell ref="K123:O123"/>
    <mergeCell ref="AB123:AF123"/>
    <mergeCell ref="AS123:AW123"/>
    <mergeCell ref="BJ123:BN123"/>
    <mergeCell ref="L120:O120"/>
    <mergeCell ref="AC120:AF120"/>
    <mergeCell ref="AT120:AW120"/>
    <mergeCell ref="BK120:BN120"/>
    <mergeCell ref="K121:O121"/>
    <mergeCell ref="AB121:AF121"/>
    <mergeCell ref="AS121:AW121"/>
    <mergeCell ref="BJ121:BN121"/>
    <mergeCell ref="B127:B128"/>
    <mergeCell ref="C127:E127"/>
    <mergeCell ref="F127:I127"/>
    <mergeCell ref="S127:S128"/>
    <mergeCell ref="T127:V127"/>
    <mergeCell ref="W127:Z127"/>
    <mergeCell ref="AJ127:AJ128"/>
    <mergeCell ref="AK127:AM127"/>
    <mergeCell ref="AN127:AQ127"/>
    <mergeCell ref="C128:E128"/>
    <mergeCell ref="F128:I128"/>
    <mergeCell ref="K128:N128"/>
    <mergeCell ref="T128:V128"/>
    <mergeCell ref="W128:Z128"/>
    <mergeCell ref="BA127:BA128"/>
    <mergeCell ref="BB127:BD127"/>
    <mergeCell ref="BE127:BH127"/>
    <mergeCell ref="BE128:BH128"/>
    <mergeCell ref="BJ128:BM128"/>
    <mergeCell ref="AB128:AE128"/>
    <mergeCell ref="AK128:AM128"/>
    <mergeCell ref="AN128:AQ128"/>
    <mergeCell ref="AS128:AV128"/>
    <mergeCell ref="BB128:BD128"/>
    <mergeCell ref="AB129:AE130"/>
    <mergeCell ref="AS129:AV130"/>
    <mergeCell ref="BJ129:BM130"/>
    <mergeCell ref="X130:Z130"/>
    <mergeCell ref="AJ130:AK130"/>
    <mergeCell ref="AL130:AN130"/>
    <mergeCell ref="AO130:AQ130"/>
    <mergeCell ref="BA130:BB130"/>
    <mergeCell ref="BC130:BE130"/>
    <mergeCell ref="BF130:BH130"/>
    <mergeCell ref="D131:F131"/>
    <mergeCell ref="G131:I131"/>
    <mergeCell ref="K131:N132"/>
    <mergeCell ref="S131:T131"/>
    <mergeCell ref="B130:C130"/>
    <mergeCell ref="D130:F130"/>
    <mergeCell ref="G130:I130"/>
    <mergeCell ref="S130:T130"/>
    <mergeCell ref="U130:W130"/>
    <mergeCell ref="K129:N130"/>
    <mergeCell ref="BJ131:BM132"/>
    <mergeCell ref="B132:C132"/>
    <mergeCell ref="D132:F132"/>
    <mergeCell ref="G132:I132"/>
    <mergeCell ref="S132:T132"/>
    <mergeCell ref="U132:W132"/>
    <mergeCell ref="X132:Z132"/>
    <mergeCell ref="AJ132:AK132"/>
    <mergeCell ref="AL132:AN132"/>
    <mergeCell ref="AO132:AQ132"/>
    <mergeCell ref="BA132:BB132"/>
    <mergeCell ref="BC132:BE132"/>
    <mergeCell ref="BF132:BH132"/>
    <mergeCell ref="AO131:AQ131"/>
    <mergeCell ref="AS131:AV132"/>
    <mergeCell ref="BA131:BB131"/>
    <mergeCell ref="BC131:BE131"/>
    <mergeCell ref="BF131:BH131"/>
    <mergeCell ref="U131:W131"/>
    <mergeCell ref="X131:Z131"/>
    <mergeCell ref="AB131:AE132"/>
    <mergeCell ref="AJ131:AK131"/>
    <mergeCell ref="AL131:AN131"/>
    <mergeCell ref="B131:C131"/>
    <mergeCell ref="BC133:BE133"/>
    <mergeCell ref="BF133:BH133"/>
    <mergeCell ref="X133:Z133"/>
    <mergeCell ref="AJ133:AK133"/>
    <mergeCell ref="AL133:AN133"/>
    <mergeCell ref="AO133:AQ133"/>
    <mergeCell ref="BA133:BB133"/>
    <mergeCell ref="B133:C133"/>
    <mergeCell ref="D133:F133"/>
    <mergeCell ref="G133:I133"/>
    <mergeCell ref="S133:T133"/>
    <mergeCell ref="U133:W133"/>
  </mergeCells>
  <dataValidations count="1">
    <dataValidation type="list" allowBlank="1" showInputMessage="1" showErrorMessage="1" sqref="O1 AF1 AW1 BN1 O28 AF28 AW28 BN28 O55 AF55 AW55 BN55 O82 AF82 AW82 BN82 O109 AF109 AW109 BN109" xr:uid="{00000000-0002-0000-0100-000000000000}">
      <formula1>تسلسل</formula1>
    </dataValidation>
  </dataValidations>
  <printOptions horizontalCentered="1" verticalCentered="1"/>
  <pageMargins left="0" right="0" top="0" bottom="0" header="0" footer="0"/>
  <pageSetup paperSize="9" scale="132" orientation="portrait" verticalDpi="300" r:id="rId1"/>
  <rowBreaks count="4" manualBreakCount="4">
    <brk id="27" max="66" man="1"/>
    <brk id="54" max="66" man="1"/>
    <brk id="81" max="66" man="1"/>
    <brk id="108" max="66" man="1"/>
  </rowBreaks>
  <colBreaks count="2" manualBreakCount="2">
    <brk id="17" max="133" man="1"/>
    <brk id="32" max="13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M310"/>
  <sheetViews>
    <sheetView showZeros="0" rightToLeft="1" topLeftCell="AL15" zoomScale="95" zoomScaleNormal="95" zoomScaleSheetLayoutView="100" zoomScalePageLayoutView="170" workbookViewId="0">
      <selection activeCell="AM18" sqref="AM18"/>
    </sheetView>
  </sheetViews>
  <sheetFormatPr defaultColWidth="8.8984375" defaultRowHeight="15" x14ac:dyDescent="0.25"/>
  <cols>
    <col min="1" max="1" width="3.296875" customWidth="1"/>
    <col min="2" max="2" width="8.796875" customWidth="1"/>
    <col min="3" max="3" width="32.796875" style="96" customWidth="1"/>
    <col min="4" max="4" width="17" customWidth="1"/>
    <col min="5" max="34" width="5" customWidth="1"/>
    <col min="35" max="35" width="5" style="159" customWidth="1"/>
    <col min="36" max="36" width="9.8984375" style="96" customWidth="1"/>
    <col min="37" max="37" width="7.19921875" style="63" customWidth="1"/>
    <col min="38" max="38" width="5.69921875" customWidth="1"/>
    <col min="39" max="39" width="3.296875" customWidth="1"/>
    <col min="40" max="40" width="8.796875" customWidth="1"/>
    <col min="41" max="41" width="27" style="96" customWidth="1"/>
    <col min="42" max="42" width="17" customWidth="1"/>
    <col min="43" max="72" width="4.796875" customWidth="1"/>
    <col min="73" max="73" width="5" customWidth="1"/>
    <col min="74" max="74" width="11.09765625" style="96" customWidth="1"/>
    <col min="75" max="75" width="7.796875" style="63" customWidth="1"/>
    <col min="78" max="78" width="22.19921875" customWidth="1"/>
    <col min="79" max="79" width="22.69921875" customWidth="1"/>
  </cols>
  <sheetData>
    <row r="1" spans="1:91" x14ac:dyDescent="0.25">
      <c r="C1" s="96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 s="159">
        <v>33</v>
      </c>
      <c r="AJ1" s="96">
        <v>34</v>
      </c>
      <c r="AK1">
        <v>35</v>
      </c>
      <c r="AL1">
        <v>36</v>
      </c>
      <c r="AM1">
        <v>37</v>
      </c>
      <c r="AN1">
        <v>38</v>
      </c>
      <c r="AO1" s="96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 s="96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</row>
    <row r="2" spans="1:91" ht="21" x14ac:dyDescent="0.4">
      <c r="A2" s="1"/>
      <c r="B2" s="247" t="s">
        <v>0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K2" s="247"/>
      <c r="AL2" s="6"/>
      <c r="AM2" s="1"/>
      <c r="AN2" s="1"/>
      <c r="AO2" s="97"/>
      <c r="AP2" s="2"/>
      <c r="AQ2" s="3"/>
      <c r="AR2" s="3"/>
      <c r="AS2" s="1"/>
      <c r="AT2" s="4"/>
      <c r="AU2" s="4"/>
      <c r="AV2" s="247" t="s">
        <v>0</v>
      </c>
      <c r="AW2" s="247"/>
      <c r="AX2" s="247"/>
      <c r="AY2" s="247"/>
      <c r="AZ2" s="247"/>
      <c r="BA2" s="247"/>
      <c r="BB2" s="247"/>
      <c r="BC2" s="247"/>
      <c r="BD2" s="247"/>
      <c r="BE2" s="247"/>
      <c r="BF2" s="247"/>
      <c r="BG2" s="247"/>
      <c r="BH2" s="247"/>
      <c r="BI2" s="247"/>
      <c r="BJ2" s="247"/>
      <c r="BK2" s="247"/>
      <c r="BL2" s="247"/>
      <c r="BM2" s="247"/>
      <c r="BN2" s="247"/>
      <c r="BO2" s="247"/>
      <c r="BP2" s="247"/>
      <c r="BQ2" s="247"/>
      <c r="BR2" s="247"/>
      <c r="BS2" s="247"/>
      <c r="BT2" s="247"/>
      <c r="BU2" s="5"/>
      <c r="BV2" s="203"/>
      <c r="BW2" s="62"/>
      <c r="BX2" s="104">
        <v>0</v>
      </c>
      <c r="BY2" s="104" t="s">
        <v>49</v>
      </c>
      <c r="BZ2" s="105"/>
    </row>
    <row r="3" spans="1:91" ht="21" x14ac:dyDescent="0.4">
      <c r="A3" s="4"/>
      <c r="B3" s="247" t="s">
        <v>78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247"/>
      <c r="AJ3" s="247"/>
      <c r="AK3" s="247"/>
      <c r="AL3" s="6"/>
      <c r="AM3" s="4"/>
      <c r="AN3" s="4"/>
      <c r="AO3" s="97"/>
      <c r="AP3" s="6"/>
      <c r="AQ3" s="6"/>
      <c r="AR3" s="6"/>
      <c r="AS3" s="6"/>
      <c r="AT3" s="6"/>
      <c r="AU3" s="6"/>
      <c r="AV3" s="247" t="s">
        <v>1</v>
      </c>
      <c r="AW3" s="247"/>
      <c r="AX3" s="247"/>
      <c r="AY3" s="247"/>
      <c r="AZ3" s="247"/>
      <c r="BA3" s="247"/>
      <c r="BB3" s="247"/>
      <c r="BC3" s="247"/>
      <c r="BD3" s="247"/>
      <c r="BE3" s="247"/>
      <c r="BF3" s="247"/>
      <c r="BG3" s="247"/>
      <c r="BH3" s="247"/>
      <c r="BI3" s="247"/>
      <c r="BJ3" s="247"/>
      <c r="BK3" s="247"/>
      <c r="BL3" s="247"/>
      <c r="BM3" s="247"/>
      <c r="BN3" s="247"/>
      <c r="BO3" s="247"/>
      <c r="BP3" s="247"/>
      <c r="BQ3" s="247"/>
      <c r="BR3" s="247"/>
      <c r="BS3" s="247"/>
      <c r="BT3" s="247"/>
      <c r="BW3" s="62"/>
      <c r="BX3" s="104">
        <f>BZ2*0.5</f>
        <v>0</v>
      </c>
      <c r="BY3" s="104" t="s">
        <v>14</v>
      </c>
      <c r="BZ3" s="106"/>
    </row>
    <row r="4" spans="1:91" ht="21" x14ac:dyDescent="0.4">
      <c r="A4" s="4"/>
      <c r="B4" s="247" t="s">
        <v>3</v>
      </c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5"/>
      <c r="AM4" s="4"/>
      <c r="AN4" s="4"/>
      <c r="AO4" s="97"/>
      <c r="AP4" s="6"/>
      <c r="AQ4" s="6"/>
      <c r="AR4" s="6"/>
      <c r="AS4" s="6"/>
      <c r="AT4" s="6"/>
      <c r="AU4" s="6"/>
      <c r="AV4" s="247" t="s">
        <v>3</v>
      </c>
      <c r="AW4" s="247"/>
      <c r="AX4" s="247"/>
      <c r="AY4" s="247"/>
      <c r="AZ4" s="247"/>
      <c r="BA4" s="247"/>
      <c r="BB4" s="247"/>
      <c r="BC4" s="247"/>
      <c r="BD4" s="247"/>
      <c r="BE4" s="247"/>
      <c r="BF4" s="247"/>
      <c r="BG4" s="247"/>
      <c r="BH4" s="247"/>
      <c r="BI4" s="247"/>
      <c r="BJ4" s="247"/>
      <c r="BK4" s="247"/>
      <c r="BL4" s="247"/>
      <c r="BM4" s="247"/>
      <c r="BN4" s="247"/>
      <c r="BO4" s="247"/>
      <c r="BP4" s="247"/>
      <c r="BQ4" s="247"/>
      <c r="BR4" s="247"/>
      <c r="BS4" s="247"/>
      <c r="BT4" s="247"/>
      <c r="BV4" s="97"/>
      <c r="BW4" s="64"/>
      <c r="BX4" s="104">
        <f>BZ2*0.65</f>
        <v>0</v>
      </c>
      <c r="BY4" s="104" t="s">
        <v>13</v>
      </c>
      <c r="BZ4" s="107"/>
    </row>
    <row r="5" spans="1:91" ht="20.25" customHeight="1" x14ac:dyDescent="0.25">
      <c r="A5" s="224" t="s">
        <v>87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5"/>
      <c r="AM5" s="224" t="str">
        <f>A5</f>
        <v xml:space="preserve">                كشف رصد النتائج النهائية للصف التاسع من مرحلة التعليم الاساسي     1446 - 1447 هجرية  الموافق 2025 - 2026 ميلادية</v>
      </c>
      <c r="AN5" s="351"/>
      <c r="AO5" s="351"/>
      <c r="AP5" s="351"/>
      <c r="AQ5" s="351"/>
      <c r="AR5" s="351"/>
      <c r="AS5" s="351"/>
      <c r="AT5" s="351"/>
      <c r="AU5" s="351"/>
      <c r="AV5" s="351"/>
      <c r="AW5" s="351"/>
      <c r="AX5" s="351"/>
      <c r="AY5" s="351"/>
      <c r="AZ5" s="351"/>
      <c r="BA5" s="351"/>
      <c r="BB5" s="351"/>
      <c r="BC5" s="351"/>
      <c r="BD5" s="351"/>
      <c r="BE5" s="351"/>
      <c r="BF5" s="351"/>
      <c r="BG5" s="351"/>
      <c r="BH5" s="351"/>
      <c r="BI5" s="351"/>
      <c r="BJ5" s="351"/>
      <c r="BK5" s="351"/>
      <c r="BL5" s="351"/>
      <c r="BM5" s="351"/>
      <c r="BN5" s="351"/>
      <c r="BO5" s="351"/>
      <c r="BP5" s="351"/>
      <c r="BQ5" s="351"/>
      <c r="BR5" s="351"/>
      <c r="BS5" s="351"/>
      <c r="BT5" s="351"/>
      <c r="BU5" s="351"/>
      <c r="BV5" s="351"/>
      <c r="BW5" s="64"/>
      <c r="BX5" s="104">
        <f>BZ2*0.75</f>
        <v>0</v>
      </c>
      <c r="BY5" s="104" t="s">
        <v>46</v>
      </c>
      <c r="BZ5" s="107"/>
    </row>
    <row r="6" spans="1:91" ht="21" customHeight="1" thickBot="1" x14ac:dyDescent="0.35">
      <c r="A6" s="246" t="s">
        <v>77</v>
      </c>
      <c r="B6" s="246"/>
      <c r="C6" s="246" t="s">
        <v>85</v>
      </c>
      <c r="D6" s="246"/>
      <c r="E6" s="82"/>
      <c r="F6" s="82"/>
      <c r="H6" s="6"/>
      <c r="I6" s="6"/>
      <c r="J6" s="6"/>
      <c r="K6" s="235"/>
      <c r="L6" s="235"/>
      <c r="M6" s="235"/>
      <c r="N6" s="235"/>
      <c r="O6" s="235"/>
      <c r="P6" s="235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97"/>
      <c r="AK6" s="62"/>
      <c r="AL6" s="6"/>
      <c r="AM6" s="352"/>
      <c r="AN6" s="352"/>
      <c r="AO6" s="352"/>
      <c r="AP6" s="352"/>
      <c r="AQ6" s="352"/>
      <c r="AR6" s="352"/>
      <c r="AT6" s="6"/>
      <c r="AU6" s="6"/>
      <c r="AV6" s="6"/>
      <c r="AW6" s="235"/>
      <c r="AX6" s="235"/>
      <c r="AY6" s="235"/>
      <c r="AZ6" s="235"/>
      <c r="BA6" s="235"/>
      <c r="BB6" s="235"/>
      <c r="BE6" s="236"/>
      <c r="BF6" s="236"/>
      <c r="BG6" s="236"/>
      <c r="BH6" s="236"/>
      <c r="BI6" s="236"/>
      <c r="BJ6" s="236"/>
      <c r="BK6" s="236"/>
      <c r="BL6" s="236"/>
      <c r="BM6" s="236"/>
      <c r="BN6" s="236"/>
      <c r="BO6" s="236"/>
      <c r="BP6" s="236"/>
      <c r="BQ6" s="236"/>
      <c r="BR6" s="236"/>
      <c r="BS6" s="236"/>
      <c r="BT6" s="236"/>
      <c r="BU6" s="236"/>
      <c r="BV6" s="97"/>
      <c r="BW6" s="62"/>
      <c r="BX6" s="104">
        <f>BZ2*0.85</f>
        <v>0</v>
      </c>
      <c r="BY6" s="104" t="s">
        <v>12</v>
      </c>
      <c r="BZ6" s="106"/>
    </row>
    <row r="7" spans="1:91" ht="15" customHeight="1" thickBot="1" x14ac:dyDescent="0.3">
      <c r="A7" s="237" t="s">
        <v>4</v>
      </c>
      <c r="B7" s="359" t="s">
        <v>15</v>
      </c>
      <c r="C7" s="356" t="s">
        <v>5</v>
      </c>
      <c r="D7" s="353" t="s">
        <v>80</v>
      </c>
      <c r="E7" s="340" t="s">
        <v>6</v>
      </c>
      <c r="F7" s="341"/>
      <c r="G7" s="341"/>
      <c r="H7" s="341"/>
      <c r="I7" s="341"/>
      <c r="J7" s="341"/>
      <c r="K7" s="341"/>
      <c r="L7" s="341"/>
      <c r="M7" s="341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30" t="s">
        <v>7</v>
      </c>
      <c r="AK7" s="333" t="s">
        <v>8</v>
      </c>
      <c r="AL7" s="6"/>
      <c r="AM7" s="237" t="s">
        <v>4</v>
      </c>
      <c r="AN7" s="345" t="s">
        <v>15</v>
      </c>
      <c r="AO7" s="348" t="s">
        <v>5</v>
      </c>
      <c r="AP7" s="353" t="s">
        <v>80</v>
      </c>
      <c r="AQ7" s="342" t="s">
        <v>6</v>
      </c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  <c r="BG7" s="342"/>
      <c r="BH7" s="342"/>
      <c r="BI7" s="342"/>
      <c r="BJ7" s="342"/>
      <c r="BK7" s="342"/>
      <c r="BL7" s="342"/>
      <c r="BM7" s="342"/>
      <c r="BN7" s="342"/>
      <c r="BO7" s="342"/>
      <c r="BP7" s="342"/>
      <c r="BQ7" s="342"/>
      <c r="BR7" s="342"/>
      <c r="BS7" s="342"/>
      <c r="BT7" s="342"/>
      <c r="BU7" s="342"/>
      <c r="BV7" s="330" t="s">
        <v>7</v>
      </c>
      <c r="BW7" s="333" t="s">
        <v>8</v>
      </c>
      <c r="BX7" s="6"/>
      <c r="BY7" s="6"/>
      <c r="BZ7" s="6"/>
    </row>
    <row r="8" spans="1:91" ht="33" customHeight="1" thickBot="1" x14ac:dyDescent="0.3">
      <c r="A8" s="238"/>
      <c r="B8" s="360"/>
      <c r="C8" s="357"/>
      <c r="D8" s="354"/>
      <c r="E8" s="343" t="s">
        <v>74</v>
      </c>
      <c r="F8" s="344"/>
      <c r="G8" s="179">
        <v>2</v>
      </c>
      <c r="H8" s="343" t="s">
        <v>72</v>
      </c>
      <c r="I8" s="344"/>
      <c r="J8" s="179">
        <v>4</v>
      </c>
      <c r="K8" s="336" t="s">
        <v>83</v>
      </c>
      <c r="L8" s="337"/>
      <c r="M8" s="179">
        <v>2</v>
      </c>
      <c r="N8" s="336" t="s">
        <v>73</v>
      </c>
      <c r="O8" s="337"/>
      <c r="P8" s="179">
        <v>4</v>
      </c>
      <c r="Q8" s="336" t="s">
        <v>75</v>
      </c>
      <c r="R8" s="337"/>
      <c r="S8" s="179">
        <v>2</v>
      </c>
      <c r="T8" s="336" t="s">
        <v>71</v>
      </c>
      <c r="U8" s="337"/>
      <c r="V8" s="179">
        <v>5</v>
      </c>
      <c r="W8" s="336" t="s">
        <v>70</v>
      </c>
      <c r="X8" s="337"/>
      <c r="Y8" s="179">
        <v>5</v>
      </c>
      <c r="Z8" s="336" t="s">
        <v>44</v>
      </c>
      <c r="AA8" s="337"/>
      <c r="AB8" s="179">
        <v>2</v>
      </c>
      <c r="AC8" s="336" t="s">
        <v>76</v>
      </c>
      <c r="AD8" s="337"/>
      <c r="AE8" s="179">
        <v>2</v>
      </c>
      <c r="AF8" s="338"/>
      <c r="AG8" s="339"/>
      <c r="AH8" s="89"/>
      <c r="AI8" s="362" t="s">
        <v>11</v>
      </c>
      <c r="AJ8" s="331"/>
      <c r="AK8" s="334"/>
      <c r="AM8" s="238"/>
      <c r="AN8" s="346"/>
      <c r="AO8" s="349"/>
      <c r="AP8" s="354"/>
      <c r="AQ8" s="343" t="str">
        <f>E8</f>
        <v>التربية الإسلامية</v>
      </c>
      <c r="AR8" s="344"/>
      <c r="AS8" s="179">
        <f>G8</f>
        <v>2</v>
      </c>
      <c r="AT8" s="343" t="str">
        <f>H8</f>
        <v>النحو والقراءة والنصوص</v>
      </c>
      <c r="AU8" s="344"/>
      <c r="AV8" s="179">
        <f>J8</f>
        <v>4</v>
      </c>
      <c r="AW8" s="336" t="str">
        <f>K8</f>
        <v>الكتابة (الخط والاملاء والخط )</v>
      </c>
      <c r="AX8" s="337"/>
      <c r="AY8" s="179">
        <f>M8</f>
        <v>2</v>
      </c>
      <c r="AZ8" s="336" t="str">
        <f>N8</f>
        <v>الإنجليزي</v>
      </c>
      <c r="BA8" s="337"/>
      <c r="BB8" s="179">
        <f>P8</f>
        <v>4</v>
      </c>
      <c r="BC8" s="336" t="str">
        <f>Q8</f>
        <v>الحاسوب</v>
      </c>
      <c r="BD8" s="337"/>
      <c r="BE8" s="179">
        <f>S8</f>
        <v>2</v>
      </c>
      <c r="BF8" s="336" t="str">
        <f>T8</f>
        <v>الرياضيات</v>
      </c>
      <c r="BG8" s="337"/>
      <c r="BH8" s="179">
        <f>V8</f>
        <v>5</v>
      </c>
      <c r="BI8" s="336" t="str">
        <f>W8</f>
        <v>العلوم</v>
      </c>
      <c r="BJ8" s="337"/>
      <c r="BK8" s="179">
        <f>Y8</f>
        <v>5</v>
      </c>
      <c r="BL8" s="336" t="str">
        <f>Z8</f>
        <v>التاريخ</v>
      </c>
      <c r="BM8" s="337"/>
      <c r="BN8" s="179">
        <f>AB8</f>
        <v>2</v>
      </c>
      <c r="BO8" s="365" t="str">
        <f>AC8</f>
        <v>الجغرافيا</v>
      </c>
      <c r="BP8" s="366"/>
      <c r="BQ8" s="78">
        <f>AE8</f>
        <v>2</v>
      </c>
      <c r="BR8" s="365">
        <f t="shared" ref="BR8:BT8" si="0">AF8</f>
        <v>0</v>
      </c>
      <c r="BS8" s="366"/>
      <c r="BT8" s="78">
        <f t="shared" si="0"/>
        <v>0</v>
      </c>
      <c r="BU8" s="367" t="s">
        <v>11</v>
      </c>
      <c r="BV8" s="331"/>
      <c r="BW8" s="334"/>
    </row>
    <row r="9" spans="1:91" ht="60" customHeight="1" x14ac:dyDescent="0.25">
      <c r="A9" s="238"/>
      <c r="B9" s="360"/>
      <c r="C9" s="357"/>
      <c r="D9" s="354"/>
      <c r="E9" s="180" t="s">
        <v>10</v>
      </c>
      <c r="F9" s="181" t="s">
        <v>82</v>
      </c>
      <c r="G9" s="182" t="s">
        <v>9</v>
      </c>
      <c r="H9" s="183" t="s">
        <v>10</v>
      </c>
      <c r="I9" s="181" t="s">
        <v>82</v>
      </c>
      <c r="J9" s="182" t="s">
        <v>9</v>
      </c>
      <c r="K9" s="183" t="s">
        <v>10</v>
      </c>
      <c r="L9" s="181" t="s">
        <v>82</v>
      </c>
      <c r="M9" s="182" t="s">
        <v>9</v>
      </c>
      <c r="N9" s="183" t="s">
        <v>10</v>
      </c>
      <c r="O9" s="181" t="s">
        <v>82</v>
      </c>
      <c r="P9" s="182" t="s">
        <v>9</v>
      </c>
      <c r="Q9" s="183" t="s">
        <v>10</v>
      </c>
      <c r="R9" s="181" t="s">
        <v>82</v>
      </c>
      <c r="S9" s="182" t="s">
        <v>9</v>
      </c>
      <c r="T9" s="183" t="s">
        <v>10</v>
      </c>
      <c r="U9" s="181" t="s">
        <v>82</v>
      </c>
      <c r="V9" s="182" t="s">
        <v>9</v>
      </c>
      <c r="W9" s="183" t="s">
        <v>10</v>
      </c>
      <c r="X9" s="181" t="s">
        <v>82</v>
      </c>
      <c r="Y9" s="182" t="s">
        <v>9</v>
      </c>
      <c r="Z9" s="183" t="s">
        <v>10</v>
      </c>
      <c r="AA9" s="181" t="s">
        <v>82</v>
      </c>
      <c r="AB9" s="182" t="s">
        <v>9</v>
      </c>
      <c r="AC9" s="183" t="s">
        <v>10</v>
      </c>
      <c r="AD9" s="181" t="s">
        <v>82</v>
      </c>
      <c r="AE9" s="182" t="s">
        <v>9</v>
      </c>
      <c r="AF9" s="183" t="s">
        <v>10</v>
      </c>
      <c r="AG9" s="181" t="s">
        <v>82</v>
      </c>
      <c r="AH9" s="182" t="s">
        <v>9</v>
      </c>
      <c r="AI9" s="363"/>
      <c r="AJ9" s="331"/>
      <c r="AK9" s="334"/>
      <c r="AM9" s="238"/>
      <c r="AN9" s="346"/>
      <c r="AO9" s="349"/>
      <c r="AP9" s="354"/>
      <c r="AQ9" s="180" t="s">
        <v>10</v>
      </c>
      <c r="AR9" s="181" t="s">
        <v>82</v>
      </c>
      <c r="AS9" s="182" t="s">
        <v>9</v>
      </c>
      <c r="AT9" s="183" t="s">
        <v>10</v>
      </c>
      <c r="AU9" s="181" t="s">
        <v>82</v>
      </c>
      <c r="AV9" s="182" t="s">
        <v>9</v>
      </c>
      <c r="AW9" s="183" t="s">
        <v>10</v>
      </c>
      <c r="AX9" s="181" t="s">
        <v>82</v>
      </c>
      <c r="AY9" s="182" t="s">
        <v>9</v>
      </c>
      <c r="AZ9" s="183" t="s">
        <v>10</v>
      </c>
      <c r="BA9" s="181" t="s">
        <v>82</v>
      </c>
      <c r="BB9" s="182" t="s">
        <v>9</v>
      </c>
      <c r="BC9" s="183" t="s">
        <v>10</v>
      </c>
      <c r="BD9" s="181" t="s">
        <v>82</v>
      </c>
      <c r="BE9" s="182" t="s">
        <v>9</v>
      </c>
      <c r="BF9" s="183" t="s">
        <v>10</v>
      </c>
      <c r="BG9" s="181" t="s">
        <v>82</v>
      </c>
      <c r="BH9" s="182" t="s">
        <v>9</v>
      </c>
      <c r="BI9" s="183" t="s">
        <v>10</v>
      </c>
      <c r="BJ9" s="181" t="s">
        <v>82</v>
      </c>
      <c r="BK9" s="182" t="s">
        <v>9</v>
      </c>
      <c r="BL9" s="183" t="s">
        <v>10</v>
      </c>
      <c r="BM9" s="181" t="s">
        <v>82</v>
      </c>
      <c r="BN9" s="182" t="s">
        <v>9</v>
      </c>
      <c r="BO9" s="16" t="s">
        <v>10</v>
      </c>
      <c r="BP9" s="16" t="s">
        <v>82</v>
      </c>
      <c r="BQ9" s="16" t="s">
        <v>9</v>
      </c>
      <c r="BR9" s="16" t="s">
        <v>10</v>
      </c>
      <c r="BS9" s="16" t="s">
        <v>82</v>
      </c>
      <c r="BT9" s="16" t="s">
        <v>9</v>
      </c>
      <c r="BU9" s="367"/>
      <c r="BV9" s="331"/>
      <c r="BW9" s="334"/>
      <c r="BZ9" s="328" t="s">
        <v>56</v>
      </c>
      <c r="CA9" s="329"/>
    </row>
    <row r="10" spans="1:91" ht="21" customHeight="1" thickBot="1" x14ac:dyDescent="0.3">
      <c r="A10" s="239"/>
      <c r="B10" s="361"/>
      <c r="C10" s="358"/>
      <c r="D10" s="355"/>
      <c r="E10" s="184">
        <f>G8*0.075*40</f>
        <v>6</v>
      </c>
      <c r="F10" s="185">
        <f>G8*0.075*40</f>
        <v>6</v>
      </c>
      <c r="G10" s="186">
        <f>SUM(E10:F10)</f>
        <v>12</v>
      </c>
      <c r="H10" s="184">
        <f t="shared" ref="H10" si="1">J8*0.075*40</f>
        <v>12</v>
      </c>
      <c r="I10" s="185">
        <f t="shared" ref="I10" si="2">J8*0.075*40</f>
        <v>12</v>
      </c>
      <c r="J10" s="186">
        <f t="shared" ref="J10" si="3">SUM(H10:I10)</f>
        <v>24</v>
      </c>
      <c r="K10" s="184">
        <f t="shared" ref="K10" si="4">M8*0.075*40</f>
        <v>6</v>
      </c>
      <c r="L10" s="185">
        <f t="shared" ref="L10" si="5">M8*0.075*40</f>
        <v>6</v>
      </c>
      <c r="M10" s="186">
        <f t="shared" ref="M10" si="6">SUM(K10:L10)</f>
        <v>12</v>
      </c>
      <c r="N10" s="184">
        <f t="shared" ref="N10" si="7">P8*0.075*40</f>
        <v>12</v>
      </c>
      <c r="O10" s="185">
        <f t="shared" ref="O10" si="8">P8*0.075*40</f>
        <v>12</v>
      </c>
      <c r="P10" s="186">
        <f t="shared" ref="P10" si="9">SUM(N10:O10)</f>
        <v>24</v>
      </c>
      <c r="Q10" s="184">
        <f t="shared" ref="Q10" si="10">S8*0.075*40</f>
        <v>6</v>
      </c>
      <c r="R10" s="185">
        <f t="shared" ref="R10" si="11">S8*0.075*40</f>
        <v>6</v>
      </c>
      <c r="S10" s="186">
        <f t="shared" ref="S10" si="12">SUM(Q10:R10)</f>
        <v>12</v>
      </c>
      <c r="T10" s="184">
        <f t="shared" ref="T10" si="13">V8*0.075*40</f>
        <v>15</v>
      </c>
      <c r="U10" s="185">
        <f t="shared" ref="U10" si="14">V8*0.075*40</f>
        <v>15</v>
      </c>
      <c r="V10" s="186">
        <f t="shared" ref="V10" si="15">SUM(T10:U10)</f>
        <v>30</v>
      </c>
      <c r="W10" s="184">
        <f t="shared" ref="W10" si="16">Y8*0.075*40</f>
        <v>15</v>
      </c>
      <c r="X10" s="185">
        <f t="shared" ref="X10" si="17">Y8*0.075*40</f>
        <v>15</v>
      </c>
      <c r="Y10" s="186">
        <f t="shared" ref="Y10" si="18">SUM(W10:X10)</f>
        <v>30</v>
      </c>
      <c r="Z10" s="184">
        <f t="shared" ref="Z10" si="19">AB8*0.075*40</f>
        <v>6</v>
      </c>
      <c r="AA10" s="185">
        <f t="shared" ref="AA10" si="20">AB8*0.075*40</f>
        <v>6</v>
      </c>
      <c r="AB10" s="186">
        <f t="shared" ref="AB10" si="21">SUM(Z10:AA10)</f>
        <v>12</v>
      </c>
      <c r="AC10" s="184">
        <f t="shared" ref="AC10" si="22">AE8*0.075*40</f>
        <v>6</v>
      </c>
      <c r="AD10" s="185">
        <f t="shared" ref="AD10" si="23">AE8*0.075*40</f>
        <v>6</v>
      </c>
      <c r="AE10" s="186">
        <f t="shared" ref="AE10" si="24">SUM(AC10:AD10)</f>
        <v>12</v>
      </c>
      <c r="AF10" s="184">
        <f t="shared" ref="AF10" si="25">AH8*0.075*40</f>
        <v>0</v>
      </c>
      <c r="AG10" s="185">
        <f t="shared" ref="AG10" si="26">AH8*0.075*40</f>
        <v>0</v>
      </c>
      <c r="AH10" s="186">
        <f t="shared" ref="AH10" si="27">SUM(AF10:AG10)</f>
        <v>0</v>
      </c>
      <c r="AI10" s="204"/>
      <c r="AJ10" s="332"/>
      <c r="AK10" s="335"/>
      <c r="AM10" s="239"/>
      <c r="AN10" s="347"/>
      <c r="AO10" s="350"/>
      <c r="AP10" s="355"/>
      <c r="AQ10" s="184">
        <f>AS8*0.075*40</f>
        <v>6</v>
      </c>
      <c r="AR10" s="185">
        <f>AS8*0.075*40</f>
        <v>6</v>
      </c>
      <c r="AS10" s="186">
        <f>SUM(AQ10:AR10)</f>
        <v>12</v>
      </c>
      <c r="AT10" s="184">
        <f t="shared" ref="AT10" si="28">AV8*0.075*40</f>
        <v>12</v>
      </c>
      <c r="AU10" s="185">
        <f t="shared" ref="AU10" si="29">AV8*0.075*40</f>
        <v>12</v>
      </c>
      <c r="AV10" s="186">
        <f t="shared" ref="AV10:AV30" si="30">SUM(AT10:AU10)</f>
        <v>24</v>
      </c>
      <c r="AW10" s="184">
        <f t="shared" ref="AW10" si="31">AY8*0.075*40</f>
        <v>6</v>
      </c>
      <c r="AX10" s="185">
        <f t="shared" ref="AX10" si="32">AY8*0.075*40</f>
        <v>6</v>
      </c>
      <c r="AY10" s="186">
        <f t="shared" ref="AY10" si="33">SUM(AW10:AX10)</f>
        <v>12</v>
      </c>
      <c r="AZ10" s="184">
        <f t="shared" ref="AZ10" si="34">BB8*0.075*40</f>
        <v>12</v>
      </c>
      <c r="BA10" s="185">
        <f t="shared" ref="BA10" si="35">BB8*0.075*40</f>
        <v>12</v>
      </c>
      <c r="BB10" s="186">
        <f t="shared" ref="BB10" si="36">SUM(AZ10:BA10)</f>
        <v>24</v>
      </c>
      <c r="BC10" s="184">
        <f t="shared" ref="BC10" si="37">BE8*0.075*40</f>
        <v>6</v>
      </c>
      <c r="BD10" s="185">
        <f t="shared" ref="BD10" si="38">BE8*0.075*40</f>
        <v>6</v>
      </c>
      <c r="BE10" s="186">
        <f t="shared" ref="BE10" si="39">SUM(BC10:BD10)</f>
        <v>12</v>
      </c>
      <c r="BF10" s="184">
        <f t="shared" ref="BF10" si="40">BH8*0.075*40</f>
        <v>15</v>
      </c>
      <c r="BG10" s="185">
        <f t="shared" ref="BG10" si="41">BH8*0.075*40</f>
        <v>15</v>
      </c>
      <c r="BH10" s="186">
        <f t="shared" ref="BH10" si="42">SUM(BF10:BG10)</f>
        <v>30</v>
      </c>
      <c r="BI10" s="184">
        <f t="shared" ref="BI10" si="43">BK8*0.075*40</f>
        <v>15</v>
      </c>
      <c r="BJ10" s="185">
        <f t="shared" ref="BJ10" si="44">BK8*0.075*40</f>
        <v>15</v>
      </c>
      <c r="BK10" s="186">
        <f t="shared" ref="BK10" si="45">SUM(BI10:BJ10)</f>
        <v>30</v>
      </c>
      <c r="BL10" s="184">
        <f t="shared" ref="BL10:BL49" si="46">BN8*0.075*40</f>
        <v>6</v>
      </c>
      <c r="BM10" s="185">
        <f t="shared" ref="BM10:BM50" si="47">BN8*0.075*40</f>
        <v>6</v>
      </c>
      <c r="BN10" s="186">
        <f t="shared" ref="BN10" si="48">SUM(BL10:BM10)</f>
        <v>12</v>
      </c>
      <c r="BO10" s="184">
        <f t="shared" ref="BO10" si="49">BQ8*0.075*40</f>
        <v>6</v>
      </c>
      <c r="BP10" s="185">
        <f t="shared" ref="BP10" si="50">BQ8*0.075*40</f>
        <v>6</v>
      </c>
      <c r="BQ10" s="186">
        <f t="shared" ref="BQ10" si="51">SUM(BO10:BP10)</f>
        <v>12</v>
      </c>
      <c r="BR10" s="187">
        <f t="shared" ref="BR10:BR11" si="52">AF10</f>
        <v>0</v>
      </c>
      <c r="BS10" s="185"/>
      <c r="BT10" s="193">
        <f>SUM(BR10:BS10)</f>
        <v>0</v>
      </c>
      <c r="BU10" s="368"/>
      <c r="BV10" s="369"/>
      <c r="BW10" s="364"/>
      <c r="BZ10" s="42" t="s">
        <v>21</v>
      </c>
      <c r="CA10" s="43"/>
    </row>
    <row r="11" spans="1:91" ht="25.2" customHeight="1" thickBot="1" x14ac:dyDescent="0.3">
      <c r="A11" s="50">
        <v>1</v>
      </c>
      <c r="B11" s="53"/>
      <c r="C11" s="205" t="s">
        <v>88</v>
      </c>
      <c r="D11" s="206"/>
      <c r="E11" s="168">
        <v>5</v>
      </c>
      <c r="F11" s="163">
        <v>5</v>
      </c>
      <c r="G11" s="89">
        <f>SUM(E11:F11)</f>
        <v>10</v>
      </c>
      <c r="H11" s="176">
        <v>9</v>
      </c>
      <c r="I11" s="91">
        <v>8</v>
      </c>
      <c r="J11" s="173">
        <f>SUM(H11:I11)</f>
        <v>17</v>
      </c>
      <c r="K11" s="90">
        <v>4</v>
      </c>
      <c r="L11" s="91">
        <v>4</v>
      </c>
      <c r="M11" s="89">
        <f>SUM(K11:L11)</f>
        <v>8</v>
      </c>
      <c r="N11" s="176">
        <v>10</v>
      </c>
      <c r="O11" s="91">
        <v>9</v>
      </c>
      <c r="P11" s="173">
        <f>SUM(N11:O11)</f>
        <v>19</v>
      </c>
      <c r="Q11" s="90">
        <v>5</v>
      </c>
      <c r="R11" s="91">
        <v>6</v>
      </c>
      <c r="S11" s="89">
        <f>SUM(Q11:R11)</f>
        <v>11</v>
      </c>
      <c r="T11" s="176">
        <v>6</v>
      </c>
      <c r="U11" s="91">
        <v>6</v>
      </c>
      <c r="V11" s="173">
        <f>SUM(T11:U11)</f>
        <v>12</v>
      </c>
      <c r="W11" s="90">
        <v>11</v>
      </c>
      <c r="X11" s="91">
        <v>6</v>
      </c>
      <c r="Y11" s="89">
        <f>SUM(W11:X11)</f>
        <v>17</v>
      </c>
      <c r="Z11" s="176">
        <v>4</v>
      </c>
      <c r="AA11" s="91">
        <v>5</v>
      </c>
      <c r="AB11" s="173">
        <f>SUM(Z11:AA11)</f>
        <v>9</v>
      </c>
      <c r="AC11" s="90">
        <v>5</v>
      </c>
      <c r="AD11" s="91">
        <v>4</v>
      </c>
      <c r="AE11" s="89">
        <f>SUM(AC11:AD11)</f>
        <v>9</v>
      </c>
      <c r="AF11" s="176"/>
      <c r="AG11" s="91"/>
      <c r="AH11" s="89">
        <f>SUM(AF11:AG11)</f>
        <v>0</v>
      </c>
      <c r="AI11" s="165">
        <f>SUM(AH11,AE11,AB11,Y11,V11,S11,P11,M11,J11,G11)</f>
        <v>112</v>
      </c>
      <c r="AJ11" s="197" t="str">
        <f t="shared" ref="AJ11:AJ74" si="53">LOOKUP(AI11,$BX$2:$BY$6)</f>
        <v>ممتاز</v>
      </c>
      <c r="AK11" s="65" t="e">
        <f t="shared" ref="AK11:AK74" si="54">AI11/$BZ$2</f>
        <v>#DIV/0!</v>
      </c>
      <c r="AM11" s="50">
        <f>A11</f>
        <v>1</v>
      </c>
      <c r="AN11" s="86">
        <f t="shared" ref="AN11:AP13" si="55">B11</f>
        <v>0</v>
      </c>
      <c r="AO11" s="98" t="str">
        <f t="shared" si="55"/>
        <v>احمد توفيق احمد وحيده</v>
      </c>
      <c r="AP11" s="86">
        <f t="shared" si="55"/>
        <v>0</v>
      </c>
      <c r="AQ11" s="168">
        <v>5</v>
      </c>
      <c r="AR11" s="163">
        <v>5</v>
      </c>
      <c r="AS11" s="89">
        <f>SUM(AQ11:AR11)</f>
        <v>10</v>
      </c>
      <c r="AT11" s="184">
        <v>10</v>
      </c>
      <c r="AU11" s="185">
        <v>8</v>
      </c>
      <c r="AV11" s="186">
        <f t="shared" si="30"/>
        <v>18</v>
      </c>
      <c r="AW11" s="168">
        <v>6</v>
      </c>
      <c r="AX11" s="163">
        <v>3</v>
      </c>
      <c r="AY11" s="89">
        <f>SUM(AW11:AX11)</f>
        <v>9</v>
      </c>
      <c r="AZ11" s="184">
        <v>8</v>
      </c>
      <c r="BA11" s="185">
        <v>12</v>
      </c>
      <c r="BB11" s="89">
        <f>SUM(AZ11:BA11)</f>
        <v>20</v>
      </c>
      <c r="BC11" s="184">
        <v>6</v>
      </c>
      <c r="BD11" s="185">
        <v>5</v>
      </c>
      <c r="BE11" s="89">
        <f>SUM(BC11:BD11)</f>
        <v>11</v>
      </c>
      <c r="BF11" s="184">
        <v>8</v>
      </c>
      <c r="BG11" s="185">
        <v>4</v>
      </c>
      <c r="BH11" s="89">
        <f>SUM(BF11:BG11)</f>
        <v>12</v>
      </c>
      <c r="BI11" s="184">
        <v>10</v>
      </c>
      <c r="BJ11" s="185">
        <v>8</v>
      </c>
      <c r="BK11" s="89">
        <f>SUM(BI11:BJ11)</f>
        <v>18</v>
      </c>
      <c r="BL11" s="184">
        <v>3</v>
      </c>
      <c r="BM11" s="185">
        <v>6</v>
      </c>
      <c r="BN11" s="89">
        <f t="shared" ref="BN11" si="56">SUM(BL11:BM11)</f>
        <v>9</v>
      </c>
      <c r="BO11" s="184">
        <v>3</v>
      </c>
      <c r="BP11" s="185">
        <v>4</v>
      </c>
      <c r="BQ11" s="89">
        <f>SUM(BO11:BP11)</f>
        <v>7</v>
      </c>
      <c r="BR11" s="168">
        <f t="shared" si="52"/>
        <v>0</v>
      </c>
      <c r="BS11" s="163"/>
      <c r="BT11" s="89">
        <f t="shared" ref="BT11" si="57">SUM(BR11:BS11)</f>
        <v>0</v>
      </c>
      <c r="BU11" s="191">
        <f>SUM(AS11,AV11,AY11,BB11,BE11,BH11,BK11,BN11,BQ11,BT11)</f>
        <v>114</v>
      </c>
      <c r="BV11" s="195" t="str">
        <f>LOOKUP(BU11,'الفترة الاولى'!$BX$2:$BY$6)</f>
        <v>ممتاز</v>
      </c>
      <c r="BW11" s="73" t="e">
        <f>BU11/'الفترة الاولى'!$BZ$2</f>
        <v>#DIV/0!</v>
      </c>
      <c r="BZ11" s="42" t="s">
        <v>57</v>
      </c>
      <c r="CA11" s="43"/>
    </row>
    <row r="12" spans="1:91" ht="25.2" customHeight="1" thickBot="1" x14ac:dyDescent="0.3">
      <c r="A12" s="51">
        <v>2</v>
      </c>
      <c r="B12" s="54"/>
      <c r="C12" s="207" t="s">
        <v>89</v>
      </c>
      <c r="D12" s="206"/>
      <c r="E12" s="169">
        <v>6</v>
      </c>
      <c r="F12" s="92">
        <v>6</v>
      </c>
      <c r="G12" s="89">
        <f t="shared" ref="G12:G37" si="58">SUM(E12:F12)</f>
        <v>12</v>
      </c>
      <c r="H12" s="177">
        <v>11</v>
      </c>
      <c r="I12" s="92">
        <v>9</v>
      </c>
      <c r="J12" s="173">
        <f t="shared" ref="J12:J59" si="59">SUM(H12:I12)</f>
        <v>20</v>
      </c>
      <c r="K12" s="93">
        <v>6</v>
      </c>
      <c r="L12" s="92">
        <v>5</v>
      </c>
      <c r="M12" s="89">
        <f t="shared" ref="M12:M69" si="60">SUM(K12:L12)</f>
        <v>11</v>
      </c>
      <c r="N12" s="177">
        <v>12</v>
      </c>
      <c r="O12" s="92">
        <v>10</v>
      </c>
      <c r="P12" s="173">
        <f t="shared" ref="P12:P75" si="61">SUM(N12:O12)</f>
        <v>22</v>
      </c>
      <c r="Q12" s="90">
        <v>6</v>
      </c>
      <c r="R12" s="92">
        <v>6</v>
      </c>
      <c r="S12" s="89">
        <f t="shared" ref="S12:S75" si="62">SUM(Q12:R12)</f>
        <v>12</v>
      </c>
      <c r="T12" s="177">
        <v>12</v>
      </c>
      <c r="U12" s="92">
        <v>9</v>
      </c>
      <c r="V12" s="173">
        <f t="shared" ref="V12:V57" si="63">SUM(T12:U12)</f>
        <v>21</v>
      </c>
      <c r="W12" s="93">
        <v>14</v>
      </c>
      <c r="X12" s="92">
        <v>11</v>
      </c>
      <c r="Y12" s="89">
        <f t="shared" ref="Y12:Y75" si="64">SUM(W12:X12)</f>
        <v>25</v>
      </c>
      <c r="Z12" s="177">
        <v>6</v>
      </c>
      <c r="AA12" s="92">
        <v>6</v>
      </c>
      <c r="AB12" s="173">
        <f t="shared" ref="AB12:AB75" si="65">SUM(Z12:AA12)</f>
        <v>12</v>
      </c>
      <c r="AC12" s="93">
        <v>6</v>
      </c>
      <c r="AD12" s="92">
        <v>5</v>
      </c>
      <c r="AE12" s="89">
        <f t="shared" ref="AE12:AE75" si="66">SUM(AC12:AD12)</f>
        <v>11</v>
      </c>
      <c r="AF12" s="177"/>
      <c r="AG12" s="92"/>
      <c r="AH12" s="170">
        <f t="shared" ref="AH12:AH14" si="67">SUM(AF12:AG12)</f>
        <v>0</v>
      </c>
      <c r="AI12" s="166">
        <f t="shared" ref="AI12:AI14" si="68">SUM(AH12,AE12,AB12,Y12,V12,S12,P12,M12,J12,G12)</f>
        <v>146</v>
      </c>
      <c r="AJ12" s="198" t="str">
        <f t="shared" si="53"/>
        <v>ممتاز</v>
      </c>
      <c r="AK12" s="66" t="e">
        <f t="shared" si="54"/>
        <v>#DIV/0!</v>
      </c>
      <c r="AM12" s="51">
        <f>A12</f>
        <v>2</v>
      </c>
      <c r="AN12" s="87">
        <f t="shared" si="55"/>
        <v>0</v>
      </c>
      <c r="AO12" s="99" t="str">
        <f t="shared" si="55"/>
        <v xml:space="preserve">اسلام محمد عوض الحداد </v>
      </c>
      <c r="AP12" s="87">
        <f t="shared" si="55"/>
        <v>0</v>
      </c>
      <c r="AQ12" s="169">
        <v>6</v>
      </c>
      <c r="AR12" s="188">
        <v>6</v>
      </c>
      <c r="AS12" s="89">
        <f t="shared" ref="AS12:AS75" si="69">SUM(AQ12:AR12)</f>
        <v>12</v>
      </c>
      <c r="AT12" s="184">
        <v>11</v>
      </c>
      <c r="AU12" s="185">
        <v>11</v>
      </c>
      <c r="AV12" s="186">
        <f t="shared" si="30"/>
        <v>22</v>
      </c>
      <c r="AW12" s="169">
        <v>6</v>
      </c>
      <c r="AX12" s="188">
        <v>5</v>
      </c>
      <c r="AY12" s="89">
        <f t="shared" ref="AY12:AY60" si="70">SUM(AW12:AX12)</f>
        <v>11</v>
      </c>
      <c r="AZ12" s="184">
        <v>11</v>
      </c>
      <c r="BA12" s="185">
        <v>12</v>
      </c>
      <c r="BB12" s="89">
        <f t="shared" ref="BB12:BB45" si="71">SUM(AZ12:BA12)</f>
        <v>23</v>
      </c>
      <c r="BC12" s="184">
        <v>6</v>
      </c>
      <c r="BD12" s="185">
        <v>6</v>
      </c>
      <c r="BE12" s="89">
        <f>SUM(BC12:BD12)</f>
        <v>12</v>
      </c>
      <c r="BF12" s="184">
        <v>14</v>
      </c>
      <c r="BG12" s="185">
        <v>11</v>
      </c>
      <c r="BH12" s="89">
        <f t="shared" ref="BH12:BH71" si="72">SUM(BF12:BG12)</f>
        <v>25</v>
      </c>
      <c r="BI12" s="184">
        <v>15</v>
      </c>
      <c r="BJ12" s="185">
        <v>13</v>
      </c>
      <c r="BK12" s="89">
        <f t="shared" ref="BK12:BK53" si="73">SUM(BI12:BJ12)</f>
        <v>28</v>
      </c>
      <c r="BL12" s="184">
        <v>6</v>
      </c>
      <c r="BM12" s="185">
        <v>6</v>
      </c>
      <c r="BN12" s="170">
        <f t="shared" ref="BN12:BN14" si="74">SUM(BL12:BM12)</f>
        <v>12</v>
      </c>
      <c r="BO12" s="184">
        <v>5</v>
      </c>
      <c r="BP12" s="185">
        <v>6</v>
      </c>
      <c r="BQ12" s="89">
        <f t="shared" ref="BQ12:BQ71" si="75">SUM(BO12:BP12)</f>
        <v>11</v>
      </c>
      <c r="BR12" s="169">
        <f t="shared" ref="BR12:BR14" si="76">AF12</f>
        <v>0</v>
      </c>
      <c r="BS12" s="188"/>
      <c r="BT12" s="170">
        <f t="shared" ref="BT12:BT14" si="77">SUM(BR12:BS12)</f>
        <v>0</v>
      </c>
      <c r="BU12" s="190">
        <f t="shared" ref="BU12:BU14" si="78">SUM(AS12,AV12,AY12,BB12,BE12,BH12,BK12,BN12,BQ12,BT12)</f>
        <v>156</v>
      </c>
      <c r="BV12" s="195" t="str">
        <f>LOOKUP(BU12,'الفترة الاولى'!$BX$2:$BY$6)</f>
        <v>ممتاز</v>
      </c>
      <c r="BW12" s="75" t="e">
        <f>BU12/'الفترة الاولى'!$BZ$2</f>
        <v>#DIV/0!</v>
      </c>
      <c r="BZ12" s="44" t="s">
        <v>58</v>
      </c>
      <c r="CA12" s="43"/>
    </row>
    <row r="13" spans="1:91" ht="25.2" customHeight="1" thickBot="1" x14ac:dyDescent="0.3">
      <c r="A13" s="52">
        <v>3</v>
      </c>
      <c r="B13" s="55"/>
      <c r="C13" s="207" t="s">
        <v>90</v>
      </c>
      <c r="D13" s="206"/>
      <c r="E13" s="171">
        <v>4</v>
      </c>
      <c r="F13" s="94">
        <v>5</v>
      </c>
      <c r="G13" s="89">
        <f t="shared" si="58"/>
        <v>9</v>
      </c>
      <c r="H13" s="178">
        <v>8</v>
      </c>
      <c r="I13" s="94">
        <v>7</v>
      </c>
      <c r="J13" s="173">
        <f t="shared" si="59"/>
        <v>15</v>
      </c>
      <c r="K13" s="95">
        <v>4</v>
      </c>
      <c r="L13" s="94">
        <v>5</v>
      </c>
      <c r="M13" s="89">
        <f t="shared" si="60"/>
        <v>9</v>
      </c>
      <c r="N13" s="178">
        <v>12</v>
      </c>
      <c r="O13" s="94">
        <v>8</v>
      </c>
      <c r="P13" s="173">
        <f t="shared" si="61"/>
        <v>20</v>
      </c>
      <c r="Q13" s="90">
        <v>5</v>
      </c>
      <c r="R13" s="94">
        <v>6</v>
      </c>
      <c r="S13" s="89">
        <f t="shared" si="62"/>
        <v>11</v>
      </c>
      <c r="T13" s="178">
        <v>6</v>
      </c>
      <c r="U13" s="94">
        <v>6</v>
      </c>
      <c r="V13" s="173">
        <f t="shared" si="63"/>
        <v>12</v>
      </c>
      <c r="W13" s="95">
        <v>12</v>
      </c>
      <c r="X13" s="94">
        <v>6</v>
      </c>
      <c r="Y13" s="89">
        <f t="shared" si="64"/>
        <v>18</v>
      </c>
      <c r="Z13" s="178">
        <v>3</v>
      </c>
      <c r="AA13" s="94">
        <v>5</v>
      </c>
      <c r="AB13" s="173">
        <f t="shared" si="65"/>
        <v>8</v>
      </c>
      <c r="AC13" s="95">
        <v>5</v>
      </c>
      <c r="AD13" s="94">
        <v>5</v>
      </c>
      <c r="AE13" s="89">
        <f t="shared" si="66"/>
        <v>10</v>
      </c>
      <c r="AF13" s="178"/>
      <c r="AG13" s="94"/>
      <c r="AH13" s="172">
        <f t="shared" si="67"/>
        <v>0</v>
      </c>
      <c r="AI13" s="167">
        <f t="shared" si="68"/>
        <v>112</v>
      </c>
      <c r="AJ13" s="199" t="str">
        <f t="shared" si="53"/>
        <v>ممتاز</v>
      </c>
      <c r="AK13" s="67" t="e">
        <f t="shared" si="54"/>
        <v>#DIV/0!</v>
      </c>
      <c r="AM13" s="52">
        <f>A13</f>
        <v>3</v>
      </c>
      <c r="AN13" s="88">
        <f t="shared" si="55"/>
        <v>0</v>
      </c>
      <c r="AO13" s="100" t="str">
        <f t="shared" si="55"/>
        <v>اسيل فاروق فيصل ابو الطويرات</v>
      </c>
      <c r="AP13" s="88">
        <f t="shared" si="55"/>
        <v>0</v>
      </c>
      <c r="AQ13" s="171">
        <v>4</v>
      </c>
      <c r="AR13" s="189">
        <v>6</v>
      </c>
      <c r="AS13" s="89">
        <f t="shared" si="69"/>
        <v>10</v>
      </c>
      <c r="AT13" s="184">
        <v>9</v>
      </c>
      <c r="AU13" s="185">
        <v>11</v>
      </c>
      <c r="AV13" s="186">
        <f t="shared" si="30"/>
        <v>20</v>
      </c>
      <c r="AW13" s="171">
        <v>4</v>
      </c>
      <c r="AX13" s="189">
        <v>4</v>
      </c>
      <c r="AY13" s="89">
        <f t="shared" si="70"/>
        <v>8</v>
      </c>
      <c r="AZ13" s="184">
        <v>9</v>
      </c>
      <c r="BA13" s="185">
        <v>12</v>
      </c>
      <c r="BB13" s="89">
        <f t="shared" si="71"/>
        <v>21</v>
      </c>
      <c r="BC13" s="184">
        <v>6</v>
      </c>
      <c r="BD13" s="185">
        <v>5</v>
      </c>
      <c r="BE13" s="89">
        <f t="shared" ref="BE13:BE49" si="79">SUM(BC13:BD13)</f>
        <v>11</v>
      </c>
      <c r="BF13" s="184">
        <v>7</v>
      </c>
      <c r="BG13" s="185">
        <v>6</v>
      </c>
      <c r="BH13" s="89">
        <f t="shared" si="72"/>
        <v>13</v>
      </c>
      <c r="BI13" s="184">
        <v>9</v>
      </c>
      <c r="BJ13" s="185">
        <v>12</v>
      </c>
      <c r="BK13" s="89">
        <f t="shared" si="73"/>
        <v>21</v>
      </c>
      <c r="BL13" s="184">
        <v>3</v>
      </c>
      <c r="BM13" s="185">
        <v>5</v>
      </c>
      <c r="BN13" s="172">
        <f t="shared" si="74"/>
        <v>8</v>
      </c>
      <c r="BO13" s="184">
        <v>3</v>
      </c>
      <c r="BP13" s="185">
        <v>6</v>
      </c>
      <c r="BQ13" s="89">
        <f t="shared" si="75"/>
        <v>9</v>
      </c>
      <c r="BR13" s="171">
        <f t="shared" si="76"/>
        <v>0</v>
      </c>
      <c r="BS13" s="189"/>
      <c r="BT13" s="172">
        <f t="shared" si="77"/>
        <v>0</v>
      </c>
      <c r="BU13" s="192">
        <f t="shared" si="78"/>
        <v>121</v>
      </c>
      <c r="BV13" s="196" t="str">
        <f>LOOKUP(BU13,'الفترة الاولى'!$BX$2:$BY$6)</f>
        <v>ممتاز</v>
      </c>
      <c r="BW13" s="77" t="e">
        <f>BU13/'الفترة الاولى'!$BZ$2</f>
        <v>#DIV/0!</v>
      </c>
      <c r="BZ13" s="44" t="s">
        <v>59</v>
      </c>
      <c r="CA13" s="43"/>
    </row>
    <row r="14" spans="1:91" ht="25.2" customHeight="1" thickBot="1" x14ac:dyDescent="0.3">
      <c r="A14" s="50">
        <v>4</v>
      </c>
      <c r="B14" s="53"/>
      <c r="C14" s="207" t="s">
        <v>91</v>
      </c>
      <c r="D14" s="206"/>
      <c r="E14" s="168">
        <v>6</v>
      </c>
      <c r="F14" s="163">
        <v>6</v>
      </c>
      <c r="G14" s="89">
        <f t="shared" si="58"/>
        <v>12</v>
      </c>
      <c r="H14" s="176">
        <v>11</v>
      </c>
      <c r="I14" s="91">
        <v>10</v>
      </c>
      <c r="J14" s="173">
        <f t="shared" si="59"/>
        <v>21</v>
      </c>
      <c r="K14" s="95">
        <v>5</v>
      </c>
      <c r="L14" s="94">
        <v>5</v>
      </c>
      <c r="M14" s="89">
        <f t="shared" si="60"/>
        <v>10</v>
      </c>
      <c r="N14" s="176">
        <v>12</v>
      </c>
      <c r="O14" s="91">
        <v>12</v>
      </c>
      <c r="P14" s="173">
        <f t="shared" si="61"/>
        <v>24</v>
      </c>
      <c r="Q14" s="90">
        <v>6</v>
      </c>
      <c r="R14" s="91">
        <v>6</v>
      </c>
      <c r="S14" s="89">
        <f t="shared" si="62"/>
        <v>12</v>
      </c>
      <c r="T14" s="176">
        <v>12</v>
      </c>
      <c r="U14" s="91">
        <v>10</v>
      </c>
      <c r="V14" s="173">
        <f t="shared" si="63"/>
        <v>22</v>
      </c>
      <c r="W14" s="90">
        <v>13</v>
      </c>
      <c r="X14" s="91">
        <v>13</v>
      </c>
      <c r="Y14" s="89">
        <f t="shared" si="64"/>
        <v>26</v>
      </c>
      <c r="Z14" s="176">
        <v>6</v>
      </c>
      <c r="AA14" s="91">
        <v>6</v>
      </c>
      <c r="AB14" s="173">
        <f t="shared" si="65"/>
        <v>12</v>
      </c>
      <c r="AC14" s="90">
        <v>6</v>
      </c>
      <c r="AD14" s="91">
        <v>5</v>
      </c>
      <c r="AE14" s="89">
        <f t="shared" si="66"/>
        <v>11</v>
      </c>
      <c r="AF14" s="176"/>
      <c r="AG14" s="91"/>
      <c r="AH14" s="89">
        <f t="shared" si="67"/>
        <v>0</v>
      </c>
      <c r="AI14" s="160">
        <f t="shared" si="68"/>
        <v>150</v>
      </c>
      <c r="AJ14" s="200" t="str">
        <f t="shared" si="53"/>
        <v>ممتاز</v>
      </c>
      <c r="AK14" s="65" t="e">
        <f t="shared" si="54"/>
        <v>#DIV/0!</v>
      </c>
      <c r="AM14" s="50">
        <f t="shared" ref="AM14:AM77" si="80">A14</f>
        <v>4</v>
      </c>
      <c r="AN14" s="86">
        <f t="shared" ref="AN14:AN77" si="81">B14</f>
        <v>0</v>
      </c>
      <c r="AO14" s="98" t="str">
        <f t="shared" ref="AO14:AO77" si="82">C14</f>
        <v>انس محمد عبدالكريم ابوحميده</v>
      </c>
      <c r="AP14" s="79">
        <f t="shared" ref="AP14:AP77" si="83">D14</f>
        <v>0</v>
      </c>
      <c r="AQ14" s="168">
        <v>6</v>
      </c>
      <c r="AR14" s="163">
        <v>6</v>
      </c>
      <c r="AS14" s="89">
        <f t="shared" si="69"/>
        <v>12</v>
      </c>
      <c r="AT14" s="184">
        <v>12</v>
      </c>
      <c r="AU14" s="185">
        <v>11</v>
      </c>
      <c r="AV14" s="186">
        <f t="shared" si="30"/>
        <v>23</v>
      </c>
      <c r="AW14" s="168">
        <v>6</v>
      </c>
      <c r="AX14" s="163">
        <v>5</v>
      </c>
      <c r="AY14" s="89">
        <f t="shared" si="70"/>
        <v>11</v>
      </c>
      <c r="AZ14" s="184">
        <v>10</v>
      </c>
      <c r="BA14" s="185">
        <v>12</v>
      </c>
      <c r="BB14" s="89">
        <f t="shared" si="71"/>
        <v>22</v>
      </c>
      <c r="BC14" s="184">
        <v>6</v>
      </c>
      <c r="BD14" s="185">
        <v>6</v>
      </c>
      <c r="BE14" s="89">
        <f t="shared" si="79"/>
        <v>12</v>
      </c>
      <c r="BF14" s="184">
        <v>13</v>
      </c>
      <c r="BG14" s="185">
        <v>12</v>
      </c>
      <c r="BH14" s="89">
        <f t="shared" si="72"/>
        <v>25</v>
      </c>
      <c r="BI14" s="184">
        <v>15</v>
      </c>
      <c r="BJ14" s="185">
        <v>14</v>
      </c>
      <c r="BK14" s="89">
        <f t="shared" si="73"/>
        <v>29</v>
      </c>
      <c r="BL14" s="184">
        <v>6</v>
      </c>
      <c r="BM14" s="185">
        <v>6</v>
      </c>
      <c r="BN14" s="89">
        <f t="shared" si="74"/>
        <v>12</v>
      </c>
      <c r="BO14" s="184">
        <v>6</v>
      </c>
      <c r="BP14" s="185">
        <v>6</v>
      </c>
      <c r="BQ14" s="89">
        <f t="shared" si="75"/>
        <v>12</v>
      </c>
      <c r="BR14" s="168">
        <f t="shared" si="76"/>
        <v>0</v>
      </c>
      <c r="BS14" s="163"/>
      <c r="BT14" s="89">
        <f t="shared" si="77"/>
        <v>0</v>
      </c>
      <c r="BU14" s="72">
        <f t="shared" si="78"/>
        <v>158</v>
      </c>
      <c r="BV14" s="194" t="str">
        <f>LOOKUP(BU14,'الفترة الاولى'!$BX$2:$BY$6)</f>
        <v>ممتاز</v>
      </c>
      <c r="BW14" s="73" t="e">
        <f>BU14/'الفترة الاولى'!$BZ$2</f>
        <v>#DIV/0!</v>
      </c>
      <c r="BZ14" s="47" t="s">
        <v>60</v>
      </c>
      <c r="CA14" s="43"/>
    </row>
    <row r="15" spans="1:91" ht="25.2" customHeight="1" thickBot="1" x14ac:dyDescent="0.3">
      <c r="A15" s="51">
        <v>5</v>
      </c>
      <c r="B15" s="54"/>
      <c r="C15" s="207" t="s">
        <v>92</v>
      </c>
      <c r="D15" s="206"/>
      <c r="E15" s="169">
        <v>5</v>
      </c>
      <c r="F15" s="92">
        <v>5</v>
      </c>
      <c r="G15" s="89">
        <f t="shared" si="58"/>
        <v>10</v>
      </c>
      <c r="H15" s="177">
        <v>7</v>
      </c>
      <c r="I15" s="92">
        <v>8</v>
      </c>
      <c r="J15" s="173">
        <f t="shared" si="59"/>
        <v>15</v>
      </c>
      <c r="K15" s="95">
        <v>4</v>
      </c>
      <c r="L15" s="94">
        <v>5</v>
      </c>
      <c r="M15" s="89">
        <f t="shared" si="60"/>
        <v>9</v>
      </c>
      <c r="N15" s="177">
        <v>12</v>
      </c>
      <c r="O15" s="92">
        <v>12</v>
      </c>
      <c r="P15" s="173">
        <f t="shared" si="61"/>
        <v>24</v>
      </c>
      <c r="Q15" s="90">
        <v>5</v>
      </c>
      <c r="R15" s="92">
        <v>6</v>
      </c>
      <c r="S15" s="89">
        <f t="shared" si="62"/>
        <v>11</v>
      </c>
      <c r="T15" s="177">
        <v>6</v>
      </c>
      <c r="U15" s="92">
        <v>6</v>
      </c>
      <c r="V15" s="173">
        <f t="shared" si="63"/>
        <v>12</v>
      </c>
      <c r="W15" s="93">
        <v>11</v>
      </c>
      <c r="X15" s="92">
        <v>8</v>
      </c>
      <c r="Y15" s="89">
        <f t="shared" si="64"/>
        <v>19</v>
      </c>
      <c r="Z15" s="177">
        <v>3</v>
      </c>
      <c r="AA15" s="92">
        <v>5</v>
      </c>
      <c r="AB15" s="173">
        <f t="shared" si="65"/>
        <v>8</v>
      </c>
      <c r="AC15" s="93">
        <v>4</v>
      </c>
      <c r="AD15" s="92">
        <v>5</v>
      </c>
      <c r="AE15" s="89">
        <f t="shared" si="66"/>
        <v>9</v>
      </c>
      <c r="AF15" s="177"/>
      <c r="AG15" s="92"/>
      <c r="AH15" s="170">
        <f t="shared" ref="AH15:AH78" si="84">SUM(AF15:AG15)</f>
        <v>0</v>
      </c>
      <c r="AI15" s="161">
        <f t="shared" ref="AI15:AI78" si="85">SUM(AH15,AE15,AB15,Y15,V15,S15,P15,M15,J15,G15)</f>
        <v>117</v>
      </c>
      <c r="AJ15" s="201" t="str">
        <f t="shared" si="53"/>
        <v>ممتاز</v>
      </c>
      <c r="AK15" s="66" t="e">
        <f t="shared" si="54"/>
        <v>#DIV/0!</v>
      </c>
      <c r="AM15" s="51">
        <f t="shared" si="80"/>
        <v>5</v>
      </c>
      <c r="AN15" s="87">
        <f t="shared" si="81"/>
        <v>0</v>
      </c>
      <c r="AO15" s="99" t="str">
        <f t="shared" si="82"/>
        <v>إيناس فاروق فيصل ابو الطويرات</v>
      </c>
      <c r="AP15" s="80">
        <f t="shared" si="83"/>
        <v>0</v>
      </c>
      <c r="AQ15" s="169">
        <v>4</v>
      </c>
      <c r="AR15" s="188">
        <v>6</v>
      </c>
      <c r="AS15" s="89">
        <f t="shared" si="69"/>
        <v>10</v>
      </c>
      <c r="AT15" s="184">
        <v>8</v>
      </c>
      <c r="AU15" s="185">
        <v>9</v>
      </c>
      <c r="AV15" s="186">
        <f t="shared" si="30"/>
        <v>17</v>
      </c>
      <c r="AW15" s="169">
        <v>3</v>
      </c>
      <c r="AX15" s="188">
        <v>5</v>
      </c>
      <c r="AY15" s="89">
        <f t="shared" si="70"/>
        <v>8</v>
      </c>
      <c r="AZ15" s="184">
        <v>8</v>
      </c>
      <c r="BA15" s="185">
        <v>12</v>
      </c>
      <c r="BB15" s="89">
        <f t="shared" si="71"/>
        <v>20</v>
      </c>
      <c r="BC15" s="184">
        <v>6</v>
      </c>
      <c r="BD15" s="185">
        <v>6</v>
      </c>
      <c r="BE15" s="89">
        <f t="shared" si="79"/>
        <v>12</v>
      </c>
      <c r="BF15" s="184">
        <v>8</v>
      </c>
      <c r="BG15" s="185">
        <v>4</v>
      </c>
      <c r="BH15" s="89">
        <f t="shared" si="72"/>
        <v>12</v>
      </c>
      <c r="BI15" s="184">
        <v>9</v>
      </c>
      <c r="BJ15" s="185">
        <v>14</v>
      </c>
      <c r="BK15" s="89">
        <f t="shared" si="73"/>
        <v>23</v>
      </c>
      <c r="BL15" s="184">
        <v>3</v>
      </c>
      <c r="BM15" s="185">
        <v>5</v>
      </c>
      <c r="BN15" s="170">
        <f t="shared" ref="BN15:BN78" si="86">SUM(BL15:BM15)</f>
        <v>8</v>
      </c>
      <c r="BO15" s="184">
        <v>3</v>
      </c>
      <c r="BP15" s="185">
        <v>6</v>
      </c>
      <c r="BQ15" s="89">
        <f t="shared" si="75"/>
        <v>9</v>
      </c>
      <c r="BR15" s="169">
        <f t="shared" ref="BR15:BR78" si="87">AF15</f>
        <v>0</v>
      </c>
      <c r="BS15" s="188"/>
      <c r="BT15" s="170">
        <f t="shared" ref="BT15:BT78" si="88">SUM(BR15:BS15)</f>
        <v>0</v>
      </c>
      <c r="BU15" s="74">
        <f t="shared" ref="BU15:BU78" si="89">SUM(AS15,AV15,AY15,BB15,BE15,BH15,BK15,BN15,BQ15,BT15)</f>
        <v>119</v>
      </c>
      <c r="BV15" s="195" t="str">
        <f>LOOKUP(BU15,'الفترة الاولى'!$BX$2:$BY$6)</f>
        <v>ممتاز</v>
      </c>
      <c r="BW15" s="75" t="e">
        <f>BU15/'الفترة الاولى'!$BZ$2</f>
        <v>#DIV/0!</v>
      </c>
      <c r="BZ15" s="42" t="s">
        <v>61</v>
      </c>
      <c r="CA15" s="43" t="s">
        <v>109</v>
      </c>
    </row>
    <row r="16" spans="1:91" ht="25.2" customHeight="1" thickBot="1" x14ac:dyDescent="0.3">
      <c r="A16" s="52">
        <v>6</v>
      </c>
      <c r="B16" s="55"/>
      <c r="C16" s="207" t="s">
        <v>93</v>
      </c>
      <c r="D16" s="206"/>
      <c r="E16" s="171">
        <v>5</v>
      </c>
      <c r="F16" s="94">
        <v>5</v>
      </c>
      <c r="G16" s="89">
        <f t="shared" si="58"/>
        <v>10</v>
      </c>
      <c r="H16" s="178">
        <v>10</v>
      </c>
      <c r="I16" s="94">
        <v>8</v>
      </c>
      <c r="J16" s="173">
        <f t="shared" si="59"/>
        <v>18</v>
      </c>
      <c r="K16" s="95">
        <v>4</v>
      </c>
      <c r="L16" s="94">
        <v>4</v>
      </c>
      <c r="M16" s="89">
        <f t="shared" si="60"/>
        <v>8</v>
      </c>
      <c r="N16" s="178">
        <v>11</v>
      </c>
      <c r="O16" s="94">
        <v>9</v>
      </c>
      <c r="P16" s="173">
        <f t="shared" si="61"/>
        <v>20</v>
      </c>
      <c r="Q16" s="90">
        <v>6</v>
      </c>
      <c r="R16" s="94">
        <v>6</v>
      </c>
      <c r="S16" s="89">
        <f t="shared" si="62"/>
        <v>12</v>
      </c>
      <c r="T16" s="178">
        <v>7</v>
      </c>
      <c r="U16" s="94">
        <v>6</v>
      </c>
      <c r="V16" s="173">
        <f t="shared" si="63"/>
        <v>13</v>
      </c>
      <c r="W16" s="95">
        <v>11</v>
      </c>
      <c r="X16" s="94">
        <v>8</v>
      </c>
      <c r="Y16" s="89">
        <f t="shared" si="64"/>
        <v>19</v>
      </c>
      <c r="Z16" s="178">
        <v>5</v>
      </c>
      <c r="AA16" s="94">
        <v>4</v>
      </c>
      <c r="AB16" s="173">
        <f t="shared" si="65"/>
        <v>9</v>
      </c>
      <c r="AC16" s="95">
        <v>5</v>
      </c>
      <c r="AD16" s="94">
        <v>5</v>
      </c>
      <c r="AE16" s="89">
        <f t="shared" si="66"/>
        <v>10</v>
      </c>
      <c r="AF16" s="178"/>
      <c r="AG16" s="94"/>
      <c r="AH16" s="172">
        <f t="shared" si="84"/>
        <v>0</v>
      </c>
      <c r="AI16" s="162">
        <f t="shared" si="85"/>
        <v>119</v>
      </c>
      <c r="AJ16" s="202" t="str">
        <f t="shared" si="53"/>
        <v>ممتاز</v>
      </c>
      <c r="AK16" s="67" t="e">
        <f t="shared" si="54"/>
        <v>#DIV/0!</v>
      </c>
      <c r="AM16" s="52">
        <f t="shared" si="80"/>
        <v>6</v>
      </c>
      <c r="AN16" s="88">
        <f t="shared" si="81"/>
        <v>0</v>
      </c>
      <c r="AO16" s="100" t="str">
        <f t="shared" si="82"/>
        <v>جمعة خيرى عبدالله الدرهوبي</v>
      </c>
      <c r="AP16" s="81">
        <f t="shared" si="83"/>
        <v>0</v>
      </c>
      <c r="AQ16" s="171">
        <v>6</v>
      </c>
      <c r="AR16" s="189">
        <v>5</v>
      </c>
      <c r="AS16" s="89">
        <f t="shared" si="69"/>
        <v>11</v>
      </c>
      <c r="AT16" s="184">
        <v>9</v>
      </c>
      <c r="AU16" s="185">
        <v>8</v>
      </c>
      <c r="AV16" s="186">
        <f t="shared" si="30"/>
        <v>17</v>
      </c>
      <c r="AW16" s="171">
        <v>4</v>
      </c>
      <c r="AX16" s="189">
        <v>4</v>
      </c>
      <c r="AY16" s="89">
        <f t="shared" si="70"/>
        <v>8</v>
      </c>
      <c r="AZ16" s="184">
        <v>10</v>
      </c>
      <c r="BA16" s="185">
        <v>12</v>
      </c>
      <c r="BB16" s="89">
        <f t="shared" si="71"/>
        <v>22</v>
      </c>
      <c r="BC16" s="184">
        <v>5</v>
      </c>
      <c r="BD16" s="185">
        <v>6</v>
      </c>
      <c r="BE16" s="89">
        <f t="shared" si="79"/>
        <v>11</v>
      </c>
      <c r="BF16" s="184">
        <v>8</v>
      </c>
      <c r="BG16" s="185">
        <v>9</v>
      </c>
      <c r="BH16" s="89">
        <f t="shared" si="72"/>
        <v>17</v>
      </c>
      <c r="BI16" s="184">
        <v>10</v>
      </c>
      <c r="BJ16" s="185">
        <v>8</v>
      </c>
      <c r="BK16" s="89">
        <f t="shared" si="73"/>
        <v>18</v>
      </c>
      <c r="BL16" s="184">
        <v>6</v>
      </c>
      <c r="BM16" s="185">
        <v>5</v>
      </c>
      <c r="BN16" s="172">
        <f t="shared" si="86"/>
        <v>11</v>
      </c>
      <c r="BO16" s="184">
        <v>6</v>
      </c>
      <c r="BP16" s="185">
        <v>5</v>
      </c>
      <c r="BQ16" s="89">
        <f t="shared" si="75"/>
        <v>11</v>
      </c>
      <c r="BR16" s="171">
        <f t="shared" si="87"/>
        <v>0</v>
      </c>
      <c r="BS16" s="189"/>
      <c r="BT16" s="172">
        <f t="shared" si="88"/>
        <v>0</v>
      </c>
      <c r="BU16" s="76">
        <f t="shared" si="89"/>
        <v>126</v>
      </c>
      <c r="BV16" s="196" t="str">
        <f>LOOKUP(BU16,'الفترة الاولى'!$BX$2:$BY$6)</f>
        <v>ممتاز</v>
      </c>
      <c r="BW16" s="77" t="e">
        <f>BU16/'الفترة الاولى'!$BZ$2</f>
        <v>#DIV/0!</v>
      </c>
      <c r="BZ16" s="42" t="s">
        <v>33</v>
      </c>
      <c r="CA16" s="43" t="s">
        <v>110</v>
      </c>
    </row>
    <row r="17" spans="1:79" ht="25.2" customHeight="1" thickBot="1" x14ac:dyDescent="0.3">
      <c r="A17" s="50">
        <v>7</v>
      </c>
      <c r="B17" s="53"/>
      <c r="C17" s="207" t="s">
        <v>94</v>
      </c>
      <c r="D17" s="206"/>
      <c r="E17" s="168">
        <v>6</v>
      </c>
      <c r="F17" s="163">
        <v>6</v>
      </c>
      <c r="G17" s="89">
        <f t="shared" si="58"/>
        <v>12</v>
      </c>
      <c r="H17" s="176">
        <v>12</v>
      </c>
      <c r="I17" s="91">
        <v>11</v>
      </c>
      <c r="J17" s="173">
        <f t="shared" si="59"/>
        <v>23</v>
      </c>
      <c r="K17" s="95">
        <v>6</v>
      </c>
      <c r="L17" s="94">
        <v>5</v>
      </c>
      <c r="M17" s="89">
        <f t="shared" si="60"/>
        <v>11</v>
      </c>
      <c r="N17" s="176">
        <v>12</v>
      </c>
      <c r="O17" s="91">
        <v>11</v>
      </c>
      <c r="P17" s="173">
        <f t="shared" si="61"/>
        <v>23</v>
      </c>
      <c r="Q17" s="90">
        <v>6</v>
      </c>
      <c r="R17" s="91">
        <v>6</v>
      </c>
      <c r="S17" s="89">
        <f t="shared" si="62"/>
        <v>12</v>
      </c>
      <c r="T17" s="176">
        <v>13</v>
      </c>
      <c r="U17" s="91">
        <v>10</v>
      </c>
      <c r="V17" s="173">
        <f t="shared" si="63"/>
        <v>23</v>
      </c>
      <c r="W17" s="90">
        <v>13</v>
      </c>
      <c r="X17" s="91">
        <v>11</v>
      </c>
      <c r="Y17" s="89">
        <f t="shared" si="64"/>
        <v>24</v>
      </c>
      <c r="Z17" s="176">
        <v>6</v>
      </c>
      <c r="AA17" s="91">
        <v>6</v>
      </c>
      <c r="AB17" s="173">
        <f t="shared" si="65"/>
        <v>12</v>
      </c>
      <c r="AC17" s="90">
        <v>6</v>
      </c>
      <c r="AD17" s="91">
        <v>5</v>
      </c>
      <c r="AE17" s="89">
        <f t="shared" si="66"/>
        <v>11</v>
      </c>
      <c r="AF17" s="176"/>
      <c r="AG17" s="91"/>
      <c r="AH17" s="89">
        <f t="shared" si="84"/>
        <v>0</v>
      </c>
      <c r="AI17" s="160">
        <f t="shared" si="85"/>
        <v>151</v>
      </c>
      <c r="AJ17" s="200" t="str">
        <f t="shared" si="53"/>
        <v>ممتاز</v>
      </c>
      <c r="AK17" s="65" t="e">
        <f t="shared" si="54"/>
        <v>#DIV/0!</v>
      </c>
      <c r="AM17" s="50">
        <f t="shared" si="80"/>
        <v>7</v>
      </c>
      <c r="AN17" s="86">
        <f t="shared" si="81"/>
        <v>0</v>
      </c>
      <c r="AO17" s="98" t="str">
        <f t="shared" si="82"/>
        <v>دنيه علي حمد القبائلى</v>
      </c>
      <c r="AP17" s="79">
        <f t="shared" si="83"/>
        <v>0</v>
      </c>
      <c r="AQ17" s="168">
        <v>6</v>
      </c>
      <c r="AR17" s="163">
        <v>6</v>
      </c>
      <c r="AS17" s="89">
        <f t="shared" si="69"/>
        <v>12</v>
      </c>
      <c r="AT17" s="184">
        <v>12</v>
      </c>
      <c r="AU17" s="185">
        <v>11</v>
      </c>
      <c r="AV17" s="186">
        <f t="shared" si="30"/>
        <v>23</v>
      </c>
      <c r="AW17" s="168">
        <v>6</v>
      </c>
      <c r="AX17" s="163">
        <v>5</v>
      </c>
      <c r="AY17" s="89">
        <f t="shared" si="70"/>
        <v>11</v>
      </c>
      <c r="AZ17" s="184">
        <v>12</v>
      </c>
      <c r="BA17" s="185">
        <v>12</v>
      </c>
      <c r="BB17" s="89">
        <f t="shared" si="71"/>
        <v>24</v>
      </c>
      <c r="BC17" s="184">
        <v>6</v>
      </c>
      <c r="BD17" s="185">
        <v>6</v>
      </c>
      <c r="BE17" s="89">
        <f t="shared" si="79"/>
        <v>12</v>
      </c>
      <c r="BF17" s="184">
        <v>14</v>
      </c>
      <c r="BG17" s="185">
        <v>10</v>
      </c>
      <c r="BH17" s="89">
        <f t="shared" si="72"/>
        <v>24</v>
      </c>
      <c r="BI17" s="184">
        <v>15</v>
      </c>
      <c r="BJ17" s="185">
        <v>14</v>
      </c>
      <c r="BK17" s="89">
        <f t="shared" si="73"/>
        <v>29</v>
      </c>
      <c r="BL17" s="184">
        <v>5</v>
      </c>
      <c r="BM17" s="185">
        <v>6</v>
      </c>
      <c r="BN17" s="89">
        <f t="shared" si="86"/>
        <v>11</v>
      </c>
      <c r="BO17" s="184">
        <v>6</v>
      </c>
      <c r="BP17" s="185">
        <v>6</v>
      </c>
      <c r="BQ17" s="89">
        <f t="shared" si="75"/>
        <v>12</v>
      </c>
      <c r="BR17" s="168">
        <f t="shared" si="87"/>
        <v>0</v>
      </c>
      <c r="BS17" s="163"/>
      <c r="BT17" s="89">
        <f t="shared" si="88"/>
        <v>0</v>
      </c>
      <c r="BU17" s="72">
        <f t="shared" si="89"/>
        <v>158</v>
      </c>
      <c r="BV17" s="194" t="str">
        <f>LOOKUP(BU17,'الفترة الاولى'!$BX$2:$BY$6)</f>
        <v>ممتاز</v>
      </c>
      <c r="BW17" s="73" t="e">
        <f>BU17/'الفترة الاولى'!$BZ$2</f>
        <v>#DIV/0!</v>
      </c>
      <c r="BZ17" s="42" t="s">
        <v>62</v>
      </c>
      <c r="CA17" s="43"/>
    </row>
    <row r="18" spans="1:79" ht="25.2" customHeight="1" thickBot="1" x14ac:dyDescent="0.3">
      <c r="A18" s="51">
        <v>8</v>
      </c>
      <c r="B18" s="54"/>
      <c r="C18" s="207" t="s">
        <v>95</v>
      </c>
      <c r="D18" s="206"/>
      <c r="E18" s="169">
        <v>6</v>
      </c>
      <c r="F18" s="92">
        <v>6</v>
      </c>
      <c r="G18" s="89">
        <f t="shared" si="58"/>
        <v>12</v>
      </c>
      <c r="H18" s="177">
        <v>12</v>
      </c>
      <c r="I18" s="92">
        <v>10</v>
      </c>
      <c r="J18" s="173">
        <f t="shared" si="59"/>
        <v>22</v>
      </c>
      <c r="K18" s="95">
        <v>5</v>
      </c>
      <c r="L18" s="94">
        <v>5</v>
      </c>
      <c r="M18" s="89">
        <f t="shared" si="60"/>
        <v>10</v>
      </c>
      <c r="N18" s="177">
        <v>12</v>
      </c>
      <c r="O18" s="92">
        <v>12</v>
      </c>
      <c r="P18" s="173">
        <f t="shared" si="61"/>
        <v>24</v>
      </c>
      <c r="Q18" s="90">
        <v>6</v>
      </c>
      <c r="R18" s="92">
        <v>6</v>
      </c>
      <c r="S18" s="89">
        <f t="shared" si="62"/>
        <v>12</v>
      </c>
      <c r="T18" s="177">
        <v>13</v>
      </c>
      <c r="U18" s="92">
        <v>9</v>
      </c>
      <c r="V18" s="173">
        <f t="shared" si="63"/>
        <v>22</v>
      </c>
      <c r="W18" s="93">
        <v>14</v>
      </c>
      <c r="X18" s="92">
        <v>12</v>
      </c>
      <c r="Y18" s="89">
        <f t="shared" si="64"/>
        <v>26</v>
      </c>
      <c r="Z18" s="177">
        <v>6</v>
      </c>
      <c r="AA18" s="91">
        <v>6</v>
      </c>
      <c r="AB18" s="173">
        <f t="shared" si="65"/>
        <v>12</v>
      </c>
      <c r="AC18" s="93">
        <v>6</v>
      </c>
      <c r="AD18" s="92">
        <v>5</v>
      </c>
      <c r="AE18" s="89">
        <f t="shared" si="66"/>
        <v>11</v>
      </c>
      <c r="AF18" s="177"/>
      <c r="AG18" s="92"/>
      <c r="AH18" s="170">
        <f t="shared" si="84"/>
        <v>0</v>
      </c>
      <c r="AI18" s="161">
        <f t="shared" si="85"/>
        <v>151</v>
      </c>
      <c r="AJ18" s="201" t="str">
        <f t="shared" si="53"/>
        <v>ممتاز</v>
      </c>
      <c r="AK18" s="66" t="e">
        <f t="shared" si="54"/>
        <v>#DIV/0!</v>
      </c>
      <c r="AM18" s="51">
        <f t="shared" si="80"/>
        <v>8</v>
      </c>
      <c r="AN18" s="87">
        <f t="shared" si="81"/>
        <v>0</v>
      </c>
      <c r="AO18" s="99" t="str">
        <f t="shared" si="82"/>
        <v>رزان خليل محمد المغربي</v>
      </c>
      <c r="AP18" s="80">
        <f t="shared" si="83"/>
        <v>0</v>
      </c>
      <c r="AQ18" s="169">
        <v>5</v>
      </c>
      <c r="AR18" s="188">
        <v>6</v>
      </c>
      <c r="AS18" s="89">
        <f t="shared" si="69"/>
        <v>11</v>
      </c>
      <c r="AT18" s="184">
        <v>12</v>
      </c>
      <c r="AU18" s="185">
        <v>11</v>
      </c>
      <c r="AV18" s="186">
        <f t="shared" si="30"/>
        <v>23</v>
      </c>
      <c r="AW18" s="169">
        <v>6</v>
      </c>
      <c r="AX18" s="188">
        <v>5</v>
      </c>
      <c r="AY18" s="89">
        <f t="shared" si="70"/>
        <v>11</v>
      </c>
      <c r="AZ18" s="184">
        <v>12</v>
      </c>
      <c r="BA18" s="185">
        <v>12</v>
      </c>
      <c r="BB18" s="89">
        <f t="shared" si="71"/>
        <v>24</v>
      </c>
      <c r="BC18" s="184">
        <v>6</v>
      </c>
      <c r="BD18" s="185">
        <v>6</v>
      </c>
      <c r="BE18" s="89">
        <f t="shared" si="79"/>
        <v>12</v>
      </c>
      <c r="BF18" s="184">
        <v>15</v>
      </c>
      <c r="BG18" s="185">
        <v>7</v>
      </c>
      <c r="BH18" s="89">
        <f t="shared" si="72"/>
        <v>22</v>
      </c>
      <c r="BI18" s="184">
        <v>14</v>
      </c>
      <c r="BJ18" s="185">
        <v>14</v>
      </c>
      <c r="BK18" s="89">
        <f t="shared" si="73"/>
        <v>28</v>
      </c>
      <c r="BL18" s="184">
        <v>5</v>
      </c>
      <c r="BM18" s="185">
        <v>6</v>
      </c>
      <c r="BN18" s="170">
        <f t="shared" si="86"/>
        <v>11</v>
      </c>
      <c r="BO18" s="184">
        <v>6</v>
      </c>
      <c r="BP18" s="185">
        <v>6</v>
      </c>
      <c r="BQ18" s="89">
        <f t="shared" si="75"/>
        <v>12</v>
      </c>
      <c r="BR18" s="169">
        <f t="shared" si="87"/>
        <v>0</v>
      </c>
      <c r="BS18" s="188"/>
      <c r="BT18" s="170">
        <f t="shared" si="88"/>
        <v>0</v>
      </c>
      <c r="BU18" s="74">
        <f t="shared" si="89"/>
        <v>154</v>
      </c>
      <c r="BV18" s="195" t="str">
        <f>LOOKUP(BU18,'الفترة الاولى'!$BX$2:$BY$6)</f>
        <v>ممتاز</v>
      </c>
      <c r="BW18" s="75" t="e">
        <f>BU18/'الفترة الاولى'!$BZ$2</f>
        <v>#DIV/0!</v>
      </c>
      <c r="BZ18" s="42"/>
      <c r="CA18" s="45"/>
    </row>
    <row r="19" spans="1:79" ht="25.2" customHeight="1" thickBot="1" x14ac:dyDescent="0.3">
      <c r="A19" s="52">
        <v>9</v>
      </c>
      <c r="B19" s="55"/>
      <c r="C19" s="207" t="s">
        <v>96</v>
      </c>
      <c r="D19" s="206"/>
      <c r="E19" s="171">
        <v>5</v>
      </c>
      <c r="F19" s="94">
        <v>6</v>
      </c>
      <c r="G19" s="89">
        <f t="shared" si="58"/>
        <v>11</v>
      </c>
      <c r="H19" s="178">
        <v>10</v>
      </c>
      <c r="I19" s="94">
        <v>11</v>
      </c>
      <c r="J19" s="173">
        <f t="shared" si="59"/>
        <v>21</v>
      </c>
      <c r="K19" s="95">
        <v>6</v>
      </c>
      <c r="L19" s="94">
        <v>6</v>
      </c>
      <c r="M19" s="89">
        <f t="shared" si="60"/>
        <v>12</v>
      </c>
      <c r="N19" s="178">
        <v>12</v>
      </c>
      <c r="O19" s="94">
        <v>12</v>
      </c>
      <c r="P19" s="173">
        <f t="shared" si="61"/>
        <v>24</v>
      </c>
      <c r="Q19" s="90">
        <v>6</v>
      </c>
      <c r="R19" s="94">
        <v>6</v>
      </c>
      <c r="S19" s="89">
        <f t="shared" si="62"/>
        <v>12</v>
      </c>
      <c r="T19" s="178">
        <v>12</v>
      </c>
      <c r="U19" s="94">
        <v>12</v>
      </c>
      <c r="V19" s="173">
        <f t="shared" si="63"/>
        <v>24</v>
      </c>
      <c r="W19" s="95">
        <v>15</v>
      </c>
      <c r="X19" s="94">
        <v>14</v>
      </c>
      <c r="Y19" s="89">
        <f t="shared" si="64"/>
        <v>29</v>
      </c>
      <c r="Z19" s="178">
        <v>6</v>
      </c>
      <c r="AA19" s="91">
        <v>6</v>
      </c>
      <c r="AB19" s="173">
        <f t="shared" si="65"/>
        <v>12</v>
      </c>
      <c r="AC19" s="95">
        <v>6</v>
      </c>
      <c r="AD19" s="94">
        <v>6</v>
      </c>
      <c r="AE19" s="89">
        <f t="shared" si="66"/>
        <v>12</v>
      </c>
      <c r="AF19" s="178"/>
      <c r="AG19" s="94"/>
      <c r="AH19" s="172">
        <f t="shared" si="84"/>
        <v>0</v>
      </c>
      <c r="AI19" s="162">
        <f t="shared" si="85"/>
        <v>157</v>
      </c>
      <c r="AJ19" s="202" t="str">
        <f t="shared" si="53"/>
        <v>ممتاز</v>
      </c>
      <c r="AK19" s="67" t="e">
        <f t="shared" si="54"/>
        <v>#DIV/0!</v>
      </c>
      <c r="AM19" s="52">
        <f t="shared" si="80"/>
        <v>9</v>
      </c>
      <c r="AN19" s="88">
        <f t="shared" si="81"/>
        <v>0</v>
      </c>
      <c r="AO19" s="100" t="str">
        <f t="shared" si="82"/>
        <v>رفال عبدالحميد سالم القاضي</v>
      </c>
      <c r="AP19" s="81">
        <f t="shared" si="83"/>
        <v>0</v>
      </c>
      <c r="AQ19" s="171">
        <v>6</v>
      </c>
      <c r="AR19" s="189">
        <v>6</v>
      </c>
      <c r="AS19" s="89">
        <f t="shared" si="69"/>
        <v>12</v>
      </c>
      <c r="AT19" s="184">
        <v>12</v>
      </c>
      <c r="AU19" s="185">
        <v>12</v>
      </c>
      <c r="AV19" s="186">
        <f t="shared" si="30"/>
        <v>24</v>
      </c>
      <c r="AW19" s="171">
        <v>6</v>
      </c>
      <c r="AX19" s="189">
        <v>6</v>
      </c>
      <c r="AY19" s="89">
        <f t="shared" si="70"/>
        <v>12</v>
      </c>
      <c r="AZ19" s="184">
        <v>12</v>
      </c>
      <c r="BA19" s="185">
        <v>12</v>
      </c>
      <c r="BB19" s="89">
        <f t="shared" si="71"/>
        <v>24</v>
      </c>
      <c r="BC19" s="184">
        <v>6</v>
      </c>
      <c r="BD19" s="185">
        <v>6</v>
      </c>
      <c r="BE19" s="89">
        <f t="shared" si="79"/>
        <v>12</v>
      </c>
      <c r="BF19" s="184">
        <v>14</v>
      </c>
      <c r="BG19" s="185">
        <v>14</v>
      </c>
      <c r="BH19" s="89">
        <f t="shared" si="72"/>
        <v>28</v>
      </c>
      <c r="BI19" s="184">
        <v>14</v>
      </c>
      <c r="BJ19" s="185">
        <v>14</v>
      </c>
      <c r="BK19" s="89">
        <f t="shared" si="73"/>
        <v>28</v>
      </c>
      <c r="BL19" s="184">
        <v>6</v>
      </c>
      <c r="BM19" s="185">
        <v>6</v>
      </c>
      <c r="BN19" s="172">
        <f t="shared" si="86"/>
        <v>12</v>
      </c>
      <c r="BO19" s="184">
        <v>6</v>
      </c>
      <c r="BP19" s="185">
        <v>6</v>
      </c>
      <c r="BQ19" s="89">
        <f t="shared" si="75"/>
        <v>12</v>
      </c>
      <c r="BR19" s="171">
        <f t="shared" si="87"/>
        <v>0</v>
      </c>
      <c r="BS19" s="189"/>
      <c r="BT19" s="172">
        <f t="shared" si="88"/>
        <v>0</v>
      </c>
      <c r="BU19" s="76">
        <f t="shared" si="89"/>
        <v>164</v>
      </c>
      <c r="BV19" s="196" t="str">
        <f>LOOKUP(BU19,'الفترة الاولى'!$BX$2:$BY$6)</f>
        <v>ممتاز</v>
      </c>
      <c r="BW19" s="77" t="e">
        <f>BU19/'الفترة الاولى'!$BZ$2</f>
        <v>#DIV/0!</v>
      </c>
      <c r="BZ19" s="42"/>
      <c r="CA19" s="45"/>
    </row>
    <row r="20" spans="1:79" ht="25.2" customHeight="1" thickBot="1" x14ac:dyDescent="0.3">
      <c r="A20" s="50">
        <v>10</v>
      </c>
      <c r="B20" s="53"/>
      <c r="C20" s="207" t="s">
        <v>97</v>
      </c>
      <c r="D20" s="206"/>
      <c r="E20" s="168">
        <v>6</v>
      </c>
      <c r="F20" s="163">
        <v>6</v>
      </c>
      <c r="G20" s="89">
        <f t="shared" si="58"/>
        <v>12</v>
      </c>
      <c r="H20" s="176">
        <v>12</v>
      </c>
      <c r="I20" s="91">
        <v>9</v>
      </c>
      <c r="J20" s="173">
        <f t="shared" si="59"/>
        <v>21</v>
      </c>
      <c r="K20" s="95">
        <v>4</v>
      </c>
      <c r="L20" s="91">
        <v>5</v>
      </c>
      <c r="M20" s="89">
        <f t="shared" si="60"/>
        <v>9</v>
      </c>
      <c r="N20" s="176">
        <v>12</v>
      </c>
      <c r="O20" s="91">
        <v>12</v>
      </c>
      <c r="P20" s="173">
        <f t="shared" si="61"/>
        <v>24</v>
      </c>
      <c r="Q20" s="90">
        <v>6</v>
      </c>
      <c r="R20" s="91">
        <v>6</v>
      </c>
      <c r="S20" s="89">
        <f t="shared" si="62"/>
        <v>12</v>
      </c>
      <c r="T20" s="176">
        <v>13</v>
      </c>
      <c r="U20" s="91">
        <v>10</v>
      </c>
      <c r="V20" s="173">
        <f t="shared" si="63"/>
        <v>23</v>
      </c>
      <c r="W20" s="90">
        <v>15</v>
      </c>
      <c r="X20" s="91">
        <v>14</v>
      </c>
      <c r="Y20" s="89">
        <f t="shared" si="64"/>
        <v>29</v>
      </c>
      <c r="Z20" s="176">
        <v>6</v>
      </c>
      <c r="AA20" s="91">
        <v>6</v>
      </c>
      <c r="AB20" s="173">
        <f t="shared" si="65"/>
        <v>12</v>
      </c>
      <c r="AC20" s="90">
        <v>6</v>
      </c>
      <c r="AD20" s="91">
        <v>4</v>
      </c>
      <c r="AE20" s="89">
        <f t="shared" si="66"/>
        <v>10</v>
      </c>
      <c r="AF20" s="176"/>
      <c r="AG20" s="91"/>
      <c r="AH20" s="89">
        <f t="shared" si="84"/>
        <v>0</v>
      </c>
      <c r="AI20" s="160">
        <f t="shared" si="85"/>
        <v>152</v>
      </c>
      <c r="AJ20" s="200" t="str">
        <f t="shared" si="53"/>
        <v>ممتاز</v>
      </c>
      <c r="AK20" s="65" t="e">
        <f t="shared" si="54"/>
        <v>#DIV/0!</v>
      </c>
      <c r="AM20" s="50">
        <f t="shared" si="80"/>
        <v>10</v>
      </c>
      <c r="AN20" s="86">
        <f t="shared" si="81"/>
        <v>0</v>
      </c>
      <c r="AO20" s="98" t="str">
        <f t="shared" si="82"/>
        <v>رنا عبدالحميد سيد ابوبكر</v>
      </c>
      <c r="AP20" s="79">
        <f t="shared" si="83"/>
        <v>0</v>
      </c>
      <c r="AQ20" s="168">
        <v>5</v>
      </c>
      <c r="AR20" s="163">
        <v>6</v>
      </c>
      <c r="AS20" s="89">
        <f t="shared" si="69"/>
        <v>11</v>
      </c>
      <c r="AT20" s="184">
        <v>12</v>
      </c>
      <c r="AU20" s="185">
        <v>10</v>
      </c>
      <c r="AV20" s="186">
        <f t="shared" si="30"/>
        <v>22</v>
      </c>
      <c r="AW20" s="168">
        <v>6</v>
      </c>
      <c r="AX20" s="163">
        <v>4</v>
      </c>
      <c r="AY20" s="89">
        <f t="shared" si="70"/>
        <v>10</v>
      </c>
      <c r="AZ20" s="184">
        <v>12</v>
      </c>
      <c r="BA20" s="185">
        <v>12</v>
      </c>
      <c r="BB20" s="89">
        <f t="shared" si="71"/>
        <v>24</v>
      </c>
      <c r="BC20" s="184">
        <v>6</v>
      </c>
      <c r="BD20" s="185">
        <v>6</v>
      </c>
      <c r="BE20" s="89">
        <f t="shared" si="79"/>
        <v>12</v>
      </c>
      <c r="BF20" s="184">
        <v>13</v>
      </c>
      <c r="BG20" s="185">
        <v>11</v>
      </c>
      <c r="BH20" s="89">
        <f t="shared" si="72"/>
        <v>24</v>
      </c>
      <c r="BI20" s="184">
        <v>15</v>
      </c>
      <c r="BJ20" s="185">
        <v>14</v>
      </c>
      <c r="BK20" s="89">
        <f t="shared" si="73"/>
        <v>29</v>
      </c>
      <c r="BL20" s="184">
        <v>5</v>
      </c>
      <c r="BM20" s="185">
        <v>6</v>
      </c>
      <c r="BN20" s="89">
        <f t="shared" si="86"/>
        <v>11</v>
      </c>
      <c r="BO20" s="184">
        <v>6</v>
      </c>
      <c r="BP20" s="185">
        <v>6</v>
      </c>
      <c r="BQ20" s="89">
        <f t="shared" si="75"/>
        <v>12</v>
      </c>
      <c r="BR20" s="168">
        <f t="shared" si="87"/>
        <v>0</v>
      </c>
      <c r="BS20" s="163"/>
      <c r="BT20" s="89">
        <f t="shared" si="88"/>
        <v>0</v>
      </c>
      <c r="BU20" s="72">
        <f t="shared" si="89"/>
        <v>155</v>
      </c>
      <c r="BV20" s="194" t="str">
        <f>LOOKUP(BU20,'الفترة الاولى'!$BX$2:$BY$6)</f>
        <v>ممتاز</v>
      </c>
      <c r="BW20" s="73" t="e">
        <f>BU20/'الفترة الاولى'!$BZ$2</f>
        <v>#DIV/0!</v>
      </c>
      <c r="BZ20" s="46"/>
      <c r="CA20" s="48"/>
    </row>
    <row r="21" spans="1:79" ht="25.2" customHeight="1" thickBot="1" x14ac:dyDescent="0.3">
      <c r="A21" s="51">
        <v>11</v>
      </c>
      <c r="B21" s="54"/>
      <c r="C21" s="207" t="s">
        <v>98</v>
      </c>
      <c r="D21" s="206"/>
      <c r="E21" s="168">
        <v>5</v>
      </c>
      <c r="F21" s="163">
        <v>5</v>
      </c>
      <c r="G21" s="89">
        <f t="shared" si="58"/>
        <v>10</v>
      </c>
      <c r="H21" s="176">
        <v>10</v>
      </c>
      <c r="I21" s="91">
        <v>8</v>
      </c>
      <c r="J21" s="173">
        <f t="shared" si="59"/>
        <v>18</v>
      </c>
      <c r="K21" s="95">
        <v>4</v>
      </c>
      <c r="L21" s="91">
        <v>3</v>
      </c>
      <c r="M21" s="89">
        <f t="shared" si="60"/>
        <v>7</v>
      </c>
      <c r="N21" s="176">
        <v>12</v>
      </c>
      <c r="O21" s="91">
        <v>10</v>
      </c>
      <c r="P21" s="173">
        <f t="shared" si="61"/>
        <v>22</v>
      </c>
      <c r="Q21" s="90">
        <v>5</v>
      </c>
      <c r="R21" s="91">
        <v>6</v>
      </c>
      <c r="S21" s="89">
        <f t="shared" si="62"/>
        <v>11</v>
      </c>
      <c r="T21" s="176">
        <v>11</v>
      </c>
      <c r="U21" s="91">
        <v>7</v>
      </c>
      <c r="V21" s="173">
        <f t="shared" si="63"/>
        <v>18</v>
      </c>
      <c r="W21" s="90">
        <v>14</v>
      </c>
      <c r="X21" s="91">
        <v>12</v>
      </c>
      <c r="Y21" s="89">
        <f t="shared" si="64"/>
        <v>26</v>
      </c>
      <c r="Z21" s="176">
        <v>5</v>
      </c>
      <c r="AA21" s="91">
        <v>6</v>
      </c>
      <c r="AB21" s="173">
        <f t="shared" si="65"/>
        <v>11</v>
      </c>
      <c r="AC21" s="90">
        <v>6</v>
      </c>
      <c r="AD21" s="91">
        <v>5</v>
      </c>
      <c r="AE21" s="89">
        <f t="shared" si="66"/>
        <v>11</v>
      </c>
      <c r="AF21" s="177"/>
      <c r="AG21" s="92"/>
      <c r="AH21" s="170">
        <f t="shared" si="84"/>
        <v>0</v>
      </c>
      <c r="AI21" s="161">
        <f t="shared" si="85"/>
        <v>134</v>
      </c>
      <c r="AJ21" s="201" t="str">
        <f t="shared" si="53"/>
        <v>ممتاز</v>
      </c>
      <c r="AK21" s="66" t="e">
        <f t="shared" si="54"/>
        <v>#DIV/0!</v>
      </c>
      <c r="AM21" s="51">
        <f t="shared" si="80"/>
        <v>11</v>
      </c>
      <c r="AN21" s="87">
        <f t="shared" si="81"/>
        <v>0</v>
      </c>
      <c r="AO21" s="99" t="str">
        <f t="shared" si="82"/>
        <v>ريناد محمد ابراهيم السلامي</v>
      </c>
      <c r="AP21" s="80">
        <f t="shared" si="83"/>
        <v>0</v>
      </c>
      <c r="AQ21" s="169">
        <v>5</v>
      </c>
      <c r="AR21" s="188">
        <v>6</v>
      </c>
      <c r="AS21" s="89">
        <f t="shared" si="69"/>
        <v>11</v>
      </c>
      <c r="AT21" s="184">
        <v>11</v>
      </c>
      <c r="AU21" s="185">
        <v>11</v>
      </c>
      <c r="AV21" s="186">
        <f t="shared" si="30"/>
        <v>22</v>
      </c>
      <c r="AW21" s="169">
        <v>6</v>
      </c>
      <c r="AX21" s="188">
        <v>5</v>
      </c>
      <c r="AY21" s="89">
        <f t="shared" si="70"/>
        <v>11</v>
      </c>
      <c r="AZ21" s="184">
        <v>12</v>
      </c>
      <c r="BA21" s="185">
        <v>12</v>
      </c>
      <c r="BB21" s="89">
        <f t="shared" si="71"/>
        <v>24</v>
      </c>
      <c r="BC21" s="184">
        <v>6</v>
      </c>
      <c r="BD21" s="185">
        <v>6</v>
      </c>
      <c r="BE21" s="89">
        <f t="shared" si="79"/>
        <v>12</v>
      </c>
      <c r="BF21" s="184">
        <v>10</v>
      </c>
      <c r="BG21" s="185">
        <v>8</v>
      </c>
      <c r="BH21" s="89">
        <f t="shared" si="72"/>
        <v>18</v>
      </c>
      <c r="BI21" s="184">
        <v>12</v>
      </c>
      <c r="BJ21" s="185">
        <v>13</v>
      </c>
      <c r="BK21" s="89">
        <f t="shared" si="73"/>
        <v>25</v>
      </c>
      <c r="BL21" s="184">
        <v>5</v>
      </c>
      <c r="BM21" s="185">
        <v>5</v>
      </c>
      <c r="BN21" s="170">
        <f t="shared" si="86"/>
        <v>10</v>
      </c>
      <c r="BO21" s="184">
        <v>5</v>
      </c>
      <c r="BP21" s="185">
        <v>6</v>
      </c>
      <c r="BQ21" s="89">
        <f t="shared" si="75"/>
        <v>11</v>
      </c>
      <c r="BR21" s="169"/>
      <c r="BS21" s="188"/>
      <c r="BT21" s="170"/>
      <c r="BU21" s="74">
        <f t="shared" si="89"/>
        <v>144</v>
      </c>
      <c r="BV21" s="195" t="str">
        <f>LOOKUP(BU21,'الفترة الاولى'!$BX$2:$BY$6)</f>
        <v>ممتاز</v>
      </c>
      <c r="BW21" s="75" t="e">
        <f>BU21/'الفترة الاولى'!$BZ$2</f>
        <v>#DIV/0!</v>
      </c>
    </row>
    <row r="22" spans="1:79" ht="25.2" customHeight="1" thickBot="1" x14ac:dyDescent="0.3">
      <c r="A22" s="52">
        <v>12</v>
      </c>
      <c r="B22" s="55"/>
      <c r="C22" s="207" t="s">
        <v>99</v>
      </c>
      <c r="D22" s="206"/>
      <c r="E22" s="168">
        <v>4</v>
      </c>
      <c r="F22" s="163">
        <v>3</v>
      </c>
      <c r="G22" s="89">
        <f t="shared" si="58"/>
        <v>7</v>
      </c>
      <c r="H22" s="176">
        <v>5</v>
      </c>
      <c r="I22" s="91">
        <v>7</v>
      </c>
      <c r="J22" s="173">
        <f t="shared" si="59"/>
        <v>12</v>
      </c>
      <c r="K22" s="95">
        <v>2</v>
      </c>
      <c r="L22" s="91">
        <v>3</v>
      </c>
      <c r="M22" s="89">
        <f t="shared" si="60"/>
        <v>5</v>
      </c>
      <c r="N22" s="176">
        <v>11</v>
      </c>
      <c r="O22" s="91">
        <v>8</v>
      </c>
      <c r="P22" s="173">
        <f t="shared" si="61"/>
        <v>19</v>
      </c>
      <c r="Q22" s="90">
        <v>5</v>
      </c>
      <c r="R22" s="91">
        <v>6</v>
      </c>
      <c r="S22" s="89">
        <f t="shared" si="62"/>
        <v>11</v>
      </c>
      <c r="T22" s="176">
        <v>8</v>
      </c>
      <c r="U22" s="91">
        <v>6</v>
      </c>
      <c r="V22" s="173">
        <f t="shared" si="63"/>
        <v>14</v>
      </c>
      <c r="W22" s="90">
        <v>11</v>
      </c>
      <c r="X22" s="91">
        <v>5</v>
      </c>
      <c r="Y22" s="89">
        <f t="shared" si="64"/>
        <v>16</v>
      </c>
      <c r="Z22" s="176">
        <v>5</v>
      </c>
      <c r="AA22" s="91">
        <v>4</v>
      </c>
      <c r="AB22" s="173">
        <f t="shared" si="65"/>
        <v>9</v>
      </c>
      <c r="AC22" s="90">
        <v>5</v>
      </c>
      <c r="AD22" s="91">
        <v>5</v>
      </c>
      <c r="AE22" s="89">
        <f t="shared" si="66"/>
        <v>10</v>
      </c>
      <c r="AF22" s="178"/>
      <c r="AG22" s="94"/>
      <c r="AH22" s="172">
        <f t="shared" si="84"/>
        <v>0</v>
      </c>
      <c r="AI22" s="162">
        <f t="shared" si="85"/>
        <v>103</v>
      </c>
      <c r="AJ22" s="202" t="str">
        <f t="shared" si="53"/>
        <v>ممتاز</v>
      </c>
      <c r="AK22" s="67" t="e">
        <f t="shared" si="54"/>
        <v>#DIV/0!</v>
      </c>
      <c r="AM22" s="52">
        <f t="shared" si="80"/>
        <v>12</v>
      </c>
      <c r="AN22" s="88">
        <f t="shared" si="81"/>
        <v>0</v>
      </c>
      <c r="AO22" s="100" t="str">
        <f t="shared" si="82"/>
        <v>عبدالرحيم عبدالمولي الجمل</v>
      </c>
      <c r="AP22" s="81">
        <f t="shared" si="83"/>
        <v>0</v>
      </c>
      <c r="AQ22" s="171">
        <v>5</v>
      </c>
      <c r="AR22" s="189">
        <v>3</v>
      </c>
      <c r="AS22" s="89">
        <f t="shared" si="69"/>
        <v>8</v>
      </c>
      <c r="AT22" s="184">
        <v>6</v>
      </c>
      <c r="AU22" s="185">
        <v>8</v>
      </c>
      <c r="AV22" s="186">
        <f t="shared" si="30"/>
        <v>14</v>
      </c>
      <c r="AW22" s="171">
        <v>5</v>
      </c>
      <c r="AX22" s="189">
        <v>2</v>
      </c>
      <c r="AY22" s="89">
        <f t="shared" si="70"/>
        <v>7</v>
      </c>
      <c r="AZ22" s="184">
        <v>10</v>
      </c>
      <c r="BA22" s="185">
        <v>10</v>
      </c>
      <c r="BB22" s="89">
        <f t="shared" si="71"/>
        <v>20</v>
      </c>
      <c r="BC22" s="184">
        <v>5</v>
      </c>
      <c r="BD22" s="185">
        <v>6</v>
      </c>
      <c r="BE22" s="89">
        <f t="shared" si="79"/>
        <v>11</v>
      </c>
      <c r="BF22" s="184">
        <v>8</v>
      </c>
      <c r="BG22" s="185">
        <v>5</v>
      </c>
      <c r="BH22" s="89">
        <f t="shared" si="72"/>
        <v>13</v>
      </c>
      <c r="BI22" s="184">
        <v>8</v>
      </c>
      <c r="BJ22" s="185">
        <v>8</v>
      </c>
      <c r="BK22" s="89">
        <f t="shared" si="73"/>
        <v>16</v>
      </c>
      <c r="BL22" s="184">
        <v>3</v>
      </c>
      <c r="BM22" s="185">
        <v>4</v>
      </c>
      <c r="BN22" s="172">
        <f t="shared" si="86"/>
        <v>7</v>
      </c>
      <c r="BO22" s="184">
        <v>4</v>
      </c>
      <c r="BP22" s="185">
        <v>5</v>
      </c>
      <c r="BQ22" s="89">
        <f t="shared" si="75"/>
        <v>9</v>
      </c>
      <c r="BR22" s="171"/>
      <c r="BS22" s="189"/>
      <c r="BT22" s="172"/>
      <c r="BU22" s="76">
        <f t="shared" si="89"/>
        <v>105</v>
      </c>
      <c r="BV22" s="196" t="str">
        <f>LOOKUP(BU22,'الفترة الاولى'!$BX$2:$BY$6)</f>
        <v>ممتاز</v>
      </c>
      <c r="BW22" s="77" t="e">
        <f>BU22/'الفترة الاولى'!$BZ$2</f>
        <v>#DIV/0!</v>
      </c>
    </row>
    <row r="23" spans="1:79" ht="38.25" customHeight="1" thickBot="1" x14ac:dyDescent="0.3">
      <c r="A23" s="50">
        <v>13</v>
      </c>
      <c r="B23" s="53"/>
      <c r="C23" s="207" t="s">
        <v>100</v>
      </c>
      <c r="D23" s="206"/>
      <c r="E23" s="168">
        <v>6</v>
      </c>
      <c r="F23" s="163">
        <v>6</v>
      </c>
      <c r="G23" s="89">
        <f t="shared" si="58"/>
        <v>12</v>
      </c>
      <c r="H23" s="176">
        <v>9</v>
      </c>
      <c r="I23" s="91">
        <v>7</v>
      </c>
      <c r="J23" s="173">
        <f t="shared" si="59"/>
        <v>16</v>
      </c>
      <c r="K23" s="95">
        <v>4</v>
      </c>
      <c r="L23" s="91">
        <v>3</v>
      </c>
      <c r="M23" s="89">
        <f t="shared" si="60"/>
        <v>7</v>
      </c>
      <c r="N23" s="176">
        <v>12</v>
      </c>
      <c r="O23" s="91">
        <v>10</v>
      </c>
      <c r="P23" s="173">
        <f t="shared" si="61"/>
        <v>22</v>
      </c>
      <c r="Q23" s="90">
        <v>6</v>
      </c>
      <c r="R23" s="91">
        <v>6</v>
      </c>
      <c r="S23" s="89">
        <f t="shared" si="62"/>
        <v>12</v>
      </c>
      <c r="T23" s="176">
        <v>6</v>
      </c>
      <c r="U23" s="91">
        <v>6</v>
      </c>
      <c r="V23" s="173">
        <f t="shared" si="63"/>
        <v>12</v>
      </c>
      <c r="W23" s="90">
        <v>13</v>
      </c>
      <c r="X23" s="91">
        <v>7</v>
      </c>
      <c r="Y23" s="89">
        <f t="shared" si="64"/>
        <v>20</v>
      </c>
      <c r="Z23" s="176">
        <v>6</v>
      </c>
      <c r="AA23" s="91">
        <v>6</v>
      </c>
      <c r="AB23" s="173">
        <f t="shared" si="65"/>
        <v>12</v>
      </c>
      <c r="AC23" s="90">
        <v>5</v>
      </c>
      <c r="AD23" s="91">
        <v>5</v>
      </c>
      <c r="AE23" s="89">
        <f t="shared" si="66"/>
        <v>10</v>
      </c>
      <c r="AF23" s="176"/>
      <c r="AG23" s="91"/>
      <c r="AH23" s="89">
        <f t="shared" si="84"/>
        <v>0</v>
      </c>
      <c r="AI23" s="160">
        <f t="shared" si="85"/>
        <v>123</v>
      </c>
      <c r="AJ23" s="200" t="str">
        <f t="shared" si="53"/>
        <v>ممتاز</v>
      </c>
      <c r="AK23" s="65" t="e">
        <f t="shared" si="54"/>
        <v>#DIV/0!</v>
      </c>
      <c r="AM23" s="50">
        <f t="shared" si="80"/>
        <v>13</v>
      </c>
      <c r="AN23" s="86">
        <f t="shared" si="81"/>
        <v>0</v>
      </c>
      <c r="AO23" s="98" t="str">
        <f t="shared" si="82"/>
        <v>عبدالله احمد سالم العزيبي</v>
      </c>
      <c r="AP23" s="79">
        <f t="shared" si="83"/>
        <v>0</v>
      </c>
      <c r="AQ23" s="168">
        <v>5</v>
      </c>
      <c r="AR23" s="163">
        <v>5</v>
      </c>
      <c r="AS23" s="89">
        <f t="shared" si="69"/>
        <v>10</v>
      </c>
      <c r="AT23" s="184">
        <v>6</v>
      </c>
      <c r="AU23" s="185">
        <v>6</v>
      </c>
      <c r="AV23" s="186">
        <f t="shared" si="30"/>
        <v>12</v>
      </c>
      <c r="AW23" s="168">
        <v>5</v>
      </c>
      <c r="AX23" s="163">
        <v>3</v>
      </c>
      <c r="AY23" s="89">
        <f t="shared" si="70"/>
        <v>8</v>
      </c>
      <c r="AZ23" s="184">
        <v>12</v>
      </c>
      <c r="BA23" s="185">
        <v>10</v>
      </c>
      <c r="BB23" s="89">
        <f t="shared" si="71"/>
        <v>22</v>
      </c>
      <c r="BC23" s="184">
        <v>5</v>
      </c>
      <c r="BD23" s="185">
        <v>6</v>
      </c>
      <c r="BE23" s="89">
        <f t="shared" si="79"/>
        <v>11</v>
      </c>
      <c r="BF23" s="184">
        <v>8</v>
      </c>
      <c r="BG23" s="185">
        <v>12</v>
      </c>
      <c r="BH23" s="89">
        <f t="shared" si="72"/>
        <v>20</v>
      </c>
      <c r="BI23" s="184">
        <v>12</v>
      </c>
      <c r="BJ23" s="185">
        <v>8</v>
      </c>
      <c r="BK23" s="89">
        <f t="shared" si="73"/>
        <v>20</v>
      </c>
      <c r="BL23" s="184">
        <v>5</v>
      </c>
      <c r="BM23" s="185">
        <v>5</v>
      </c>
      <c r="BN23" s="89">
        <f t="shared" si="86"/>
        <v>10</v>
      </c>
      <c r="BO23" s="184">
        <v>5</v>
      </c>
      <c r="BP23" s="185">
        <v>6</v>
      </c>
      <c r="BQ23" s="89">
        <f t="shared" si="75"/>
        <v>11</v>
      </c>
      <c r="BR23" s="168"/>
      <c r="BS23" s="163"/>
      <c r="BT23" s="89"/>
      <c r="BU23" s="72">
        <f t="shared" si="89"/>
        <v>124</v>
      </c>
      <c r="BV23" s="194" t="str">
        <f>LOOKUP(BU23,'الفترة الاولى'!$BX$2:$BY$6)</f>
        <v>ممتاز</v>
      </c>
      <c r="BW23" s="73" t="e">
        <f>BU23/'الفترة الاولى'!$BZ$2</f>
        <v>#DIV/0!</v>
      </c>
    </row>
    <row r="24" spans="1:79" ht="25.2" customHeight="1" thickBot="1" x14ac:dyDescent="0.3">
      <c r="A24" s="51">
        <v>14</v>
      </c>
      <c r="B24" s="54"/>
      <c r="C24" s="207" t="s">
        <v>101</v>
      </c>
      <c r="D24" s="206"/>
      <c r="E24" s="169">
        <v>4</v>
      </c>
      <c r="F24" s="92">
        <v>4</v>
      </c>
      <c r="G24" s="89">
        <f t="shared" si="58"/>
        <v>8</v>
      </c>
      <c r="H24" s="177">
        <v>7</v>
      </c>
      <c r="I24" s="92">
        <v>9</v>
      </c>
      <c r="J24" s="173">
        <f t="shared" si="59"/>
        <v>16</v>
      </c>
      <c r="K24" s="93">
        <v>3</v>
      </c>
      <c r="L24" s="92">
        <v>4</v>
      </c>
      <c r="M24" s="89">
        <f t="shared" si="60"/>
        <v>7</v>
      </c>
      <c r="N24" s="177">
        <v>10</v>
      </c>
      <c r="O24" s="92">
        <v>8</v>
      </c>
      <c r="P24" s="173">
        <f t="shared" si="61"/>
        <v>18</v>
      </c>
      <c r="Q24" s="93">
        <v>5</v>
      </c>
      <c r="R24" s="92">
        <v>6</v>
      </c>
      <c r="S24" s="89">
        <f t="shared" si="62"/>
        <v>11</v>
      </c>
      <c r="T24" s="177">
        <v>6</v>
      </c>
      <c r="U24" s="92">
        <v>6</v>
      </c>
      <c r="V24" s="173">
        <f t="shared" si="63"/>
        <v>12</v>
      </c>
      <c r="W24" s="93">
        <v>8</v>
      </c>
      <c r="X24" s="92">
        <v>10</v>
      </c>
      <c r="Y24" s="89">
        <f t="shared" si="64"/>
        <v>18</v>
      </c>
      <c r="Z24" s="177">
        <v>4</v>
      </c>
      <c r="AA24" s="92">
        <v>3</v>
      </c>
      <c r="AB24" s="173">
        <f t="shared" si="65"/>
        <v>7</v>
      </c>
      <c r="AC24" s="93">
        <v>3</v>
      </c>
      <c r="AD24" s="92">
        <v>5</v>
      </c>
      <c r="AE24" s="89">
        <f t="shared" si="66"/>
        <v>8</v>
      </c>
      <c r="AF24" s="177"/>
      <c r="AG24" s="92"/>
      <c r="AH24" s="170">
        <f t="shared" si="84"/>
        <v>0</v>
      </c>
      <c r="AI24" s="161">
        <f t="shared" si="85"/>
        <v>105</v>
      </c>
      <c r="AJ24" s="201" t="str">
        <f t="shared" si="53"/>
        <v>ممتاز</v>
      </c>
      <c r="AK24" s="66" t="e">
        <f t="shared" si="54"/>
        <v>#DIV/0!</v>
      </c>
      <c r="AM24" s="51">
        <f t="shared" si="80"/>
        <v>14</v>
      </c>
      <c r="AN24" s="87">
        <f t="shared" si="81"/>
        <v>0</v>
      </c>
      <c r="AO24" s="99" t="str">
        <f t="shared" si="82"/>
        <v>علاء الدين لطفي الهادى  امعمر</v>
      </c>
      <c r="AP24" s="80">
        <f t="shared" si="83"/>
        <v>0</v>
      </c>
      <c r="AQ24" s="169">
        <v>5</v>
      </c>
      <c r="AR24" s="188">
        <v>4</v>
      </c>
      <c r="AS24" s="89">
        <f t="shared" si="69"/>
        <v>9</v>
      </c>
      <c r="AT24" s="184">
        <v>6</v>
      </c>
      <c r="AU24" s="185">
        <v>7</v>
      </c>
      <c r="AV24" s="186">
        <f t="shared" si="30"/>
        <v>13</v>
      </c>
      <c r="AW24" s="169">
        <v>3</v>
      </c>
      <c r="AX24" s="188">
        <v>3</v>
      </c>
      <c r="AY24" s="89">
        <f t="shared" si="70"/>
        <v>6</v>
      </c>
      <c r="AZ24" s="184">
        <v>10</v>
      </c>
      <c r="BA24" s="185">
        <v>9</v>
      </c>
      <c r="BB24" s="89">
        <f t="shared" si="71"/>
        <v>19</v>
      </c>
      <c r="BC24" s="184">
        <v>6</v>
      </c>
      <c r="BD24" s="185">
        <v>5</v>
      </c>
      <c r="BE24" s="89">
        <f t="shared" si="79"/>
        <v>11</v>
      </c>
      <c r="BF24" s="184">
        <v>2</v>
      </c>
      <c r="BG24" s="185">
        <v>8</v>
      </c>
      <c r="BH24" s="89">
        <f t="shared" si="72"/>
        <v>10</v>
      </c>
      <c r="BI24" s="184">
        <v>8</v>
      </c>
      <c r="BJ24" s="185">
        <v>10</v>
      </c>
      <c r="BK24" s="89">
        <f t="shared" si="73"/>
        <v>18</v>
      </c>
      <c r="BL24" s="184">
        <v>3</v>
      </c>
      <c r="BM24" s="185">
        <v>6</v>
      </c>
      <c r="BN24" s="170">
        <f t="shared" si="86"/>
        <v>9</v>
      </c>
      <c r="BO24" s="184">
        <v>3</v>
      </c>
      <c r="BP24" s="185">
        <v>5</v>
      </c>
      <c r="BQ24" s="89">
        <f t="shared" si="75"/>
        <v>8</v>
      </c>
      <c r="BR24" s="169"/>
      <c r="BS24" s="188"/>
      <c r="BT24" s="170"/>
      <c r="BU24" s="74">
        <f t="shared" si="89"/>
        <v>103</v>
      </c>
      <c r="BV24" s="195" t="str">
        <f>LOOKUP(BU24,'الفترة الاولى'!$BX$2:$BY$6)</f>
        <v>ممتاز</v>
      </c>
      <c r="BW24" s="75" t="e">
        <f>BU24/'الفترة الاولى'!$BZ$2</f>
        <v>#DIV/0!</v>
      </c>
    </row>
    <row r="25" spans="1:79" ht="25.2" customHeight="1" thickBot="1" x14ac:dyDescent="0.3">
      <c r="A25" s="52">
        <v>15</v>
      </c>
      <c r="B25" s="55"/>
      <c r="C25" s="207" t="s">
        <v>102</v>
      </c>
      <c r="D25" s="206"/>
      <c r="E25" s="171">
        <v>4</v>
      </c>
      <c r="F25" s="94">
        <v>3</v>
      </c>
      <c r="G25" s="89">
        <f t="shared" si="58"/>
        <v>7</v>
      </c>
      <c r="H25" s="178">
        <v>4</v>
      </c>
      <c r="I25" s="94">
        <v>5</v>
      </c>
      <c r="J25" s="173">
        <f t="shared" si="59"/>
        <v>9</v>
      </c>
      <c r="K25" s="95">
        <v>3</v>
      </c>
      <c r="L25" s="94">
        <v>4</v>
      </c>
      <c r="M25" s="89">
        <f t="shared" si="60"/>
        <v>7</v>
      </c>
      <c r="N25" s="178">
        <v>10</v>
      </c>
      <c r="O25" s="94">
        <v>9</v>
      </c>
      <c r="P25" s="173">
        <f t="shared" si="61"/>
        <v>19</v>
      </c>
      <c r="Q25" s="95">
        <v>5</v>
      </c>
      <c r="R25" s="94">
        <v>6</v>
      </c>
      <c r="S25" s="89">
        <f t="shared" si="62"/>
        <v>11</v>
      </c>
      <c r="T25" s="178">
        <v>6</v>
      </c>
      <c r="U25" s="94">
        <v>6</v>
      </c>
      <c r="V25" s="173">
        <f t="shared" si="63"/>
        <v>12</v>
      </c>
      <c r="W25" s="95">
        <v>8</v>
      </c>
      <c r="X25" s="94">
        <v>5</v>
      </c>
      <c r="Y25" s="89">
        <f t="shared" si="64"/>
        <v>13</v>
      </c>
      <c r="Z25" s="178">
        <v>3</v>
      </c>
      <c r="AA25" s="94">
        <v>4</v>
      </c>
      <c r="AB25" s="173">
        <f t="shared" si="65"/>
        <v>7</v>
      </c>
      <c r="AC25" s="95">
        <v>3</v>
      </c>
      <c r="AD25" s="94">
        <v>4</v>
      </c>
      <c r="AE25" s="89">
        <f t="shared" si="66"/>
        <v>7</v>
      </c>
      <c r="AF25" s="178"/>
      <c r="AG25" s="94"/>
      <c r="AH25" s="172">
        <f t="shared" si="84"/>
        <v>0</v>
      </c>
      <c r="AI25" s="162">
        <f t="shared" si="85"/>
        <v>92</v>
      </c>
      <c r="AJ25" s="202" t="str">
        <f t="shared" si="53"/>
        <v>ممتاز</v>
      </c>
      <c r="AK25" s="67" t="e">
        <f t="shared" si="54"/>
        <v>#DIV/0!</v>
      </c>
      <c r="AM25" s="52">
        <f t="shared" si="80"/>
        <v>15</v>
      </c>
      <c r="AN25" s="88">
        <f t="shared" si="81"/>
        <v>0</v>
      </c>
      <c r="AO25" s="100" t="str">
        <f t="shared" si="82"/>
        <v>عمران أسامة سالم طاهر</v>
      </c>
      <c r="AP25" s="81">
        <f t="shared" si="83"/>
        <v>0</v>
      </c>
      <c r="AQ25" s="171">
        <v>4</v>
      </c>
      <c r="AR25" s="189">
        <v>4</v>
      </c>
      <c r="AS25" s="89">
        <f t="shared" si="69"/>
        <v>8</v>
      </c>
      <c r="AT25" s="184">
        <v>6</v>
      </c>
      <c r="AU25" s="185">
        <v>8</v>
      </c>
      <c r="AV25" s="186">
        <f t="shared" si="30"/>
        <v>14</v>
      </c>
      <c r="AW25" s="171">
        <v>4</v>
      </c>
      <c r="AX25" s="189">
        <v>3</v>
      </c>
      <c r="AY25" s="89">
        <f t="shared" si="70"/>
        <v>7</v>
      </c>
      <c r="AZ25" s="184">
        <v>10</v>
      </c>
      <c r="BA25" s="185">
        <v>9</v>
      </c>
      <c r="BB25" s="89">
        <f t="shared" si="71"/>
        <v>19</v>
      </c>
      <c r="BC25" s="184">
        <v>6</v>
      </c>
      <c r="BD25" s="185">
        <v>4</v>
      </c>
      <c r="BE25" s="89">
        <f t="shared" si="79"/>
        <v>10</v>
      </c>
      <c r="BF25" s="184">
        <v>5</v>
      </c>
      <c r="BG25" s="185">
        <v>6</v>
      </c>
      <c r="BH25" s="89">
        <f t="shared" si="72"/>
        <v>11</v>
      </c>
      <c r="BI25" s="184">
        <v>8</v>
      </c>
      <c r="BJ25" s="185">
        <v>10</v>
      </c>
      <c r="BK25" s="89">
        <f t="shared" si="73"/>
        <v>18</v>
      </c>
      <c r="BL25" s="184">
        <v>5</v>
      </c>
      <c r="BM25" s="185">
        <v>6</v>
      </c>
      <c r="BN25" s="172">
        <f t="shared" si="86"/>
        <v>11</v>
      </c>
      <c r="BO25" s="184">
        <v>3</v>
      </c>
      <c r="BP25" s="185">
        <v>5</v>
      </c>
      <c r="BQ25" s="89">
        <f t="shared" si="75"/>
        <v>8</v>
      </c>
      <c r="BR25" s="171"/>
      <c r="BS25" s="189"/>
      <c r="BT25" s="172"/>
      <c r="BU25" s="76">
        <f t="shared" si="89"/>
        <v>106</v>
      </c>
      <c r="BV25" s="196" t="str">
        <f>LOOKUP(BU25,'الفترة الاولى'!$BX$2:$BY$6)</f>
        <v>ممتاز</v>
      </c>
      <c r="BW25" s="77" t="e">
        <f>BU25/'الفترة الاولى'!$BZ$2</f>
        <v>#DIV/0!</v>
      </c>
    </row>
    <row r="26" spans="1:79" ht="25.2" customHeight="1" thickBot="1" x14ac:dyDescent="0.3">
      <c r="A26" s="50">
        <v>16</v>
      </c>
      <c r="B26" s="53"/>
      <c r="C26" s="207" t="s">
        <v>103</v>
      </c>
      <c r="D26" s="206"/>
      <c r="E26" s="168">
        <v>5</v>
      </c>
      <c r="F26" s="163">
        <v>6</v>
      </c>
      <c r="G26" s="89">
        <f t="shared" si="58"/>
        <v>11</v>
      </c>
      <c r="H26" s="176">
        <v>11</v>
      </c>
      <c r="I26" s="91">
        <v>8</v>
      </c>
      <c r="J26" s="173">
        <f t="shared" si="59"/>
        <v>19</v>
      </c>
      <c r="K26" s="90">
        <v>4</v>
      </c>
      <c r="L26" s="91">
        <v>4</v>
      </c>
      <c r="M26" s="89">
        <f t="shared" si="60"/>
        <v>8</v>
      </c>
      <c r="N26" s="176">
        <v>12</v>
      </c>
      <c r="O26" s="91">
        <v>10</v>
      </c>
      <c r="P26" s="173">
        <f t="shared" si="61"/>
        <v>22</v>
      </c>
      <c r="Q26" s="90">
        <v>6</v>
      </c>
      <c r="R26" s="91">
        <v>6</v>
      </c>
      <c r="S26" s="89">
        <f t="shared" si="62"/>
        <v>12</v>
      </c>
      <c r="T26" s="176">
        <v>6</v>
      </c>
      <c r="U26" s="91">
        <v>6</v>
      </c>
      <c r="V26" s="173">
        <f t="shared" si="63"/>
        <v>12</v>
      </c>
      <c r="W26" s="90">
        <v>12</v>
      </c>
      <c r="X26" s="91">
        <v>5</v>
      </c>
      <c r="Y26" s="89">
        <f t="shared" si="64"/>
        <v>17</v>
      </c>
      <c r="Z26" s="176">
        <v>6</v>
      </c>
      <c r="AA26" s="91">
        <v>4</v>
      </c>
      <c r="AB26" s="173">
        <f t="shared" si="65"/>
        <v>10</v>
      </c>
      <c r="AC26" s="90">
        <v>6</v>
      </c>
      <c r="AD26" s="91">
        <v>3</v>
      </c>
      <c r="AE26" s="89">
        <f t="shared" si="66"/>
        <v>9</v>
      </c>
      <c r="AF26" s="176"/>
      <c r="AG26" s="91"/>
      <c r="AH26" s="89">
        <f t="shared" si="84"/>
        <v>0</v>
      </c>
      <c r="AI26" s="160">
        <f t="shared" si="85"/>
        <v>120</v>
      </c>
      <c r="AJ26" s="200" t="str">
        <f t="shared" si="53"/>
        <v>ممتاز</v>
      </c>
      <c r="AK26" s="65" t="e">
        <f t="shared" si="54"/>
        <v>#DIV/0!</v>
      </c>
      <c r="AM26" s="50">
        <f t="shared" si="80"/>
        <v>16</v>
      </c>
      <c r="AN26" s="86">
        <f t="shared" si="81"/>
        <v>0</v>
      </c>
      <c r="AO26" s="98" t="str">
        <f t="shared" si="82"/>
        <v>مالك  علي حمد القبائلى</v>
      </c>
      <c r="AP26" s="79">
        <f t="shared" si="83"/>
        <v>0</v>
      </c>
      <c r="AQ26" s="168">
        <v>5</v>
      </c>
      <c r="AR26" s="163">
        <v>6</v>
      </c>
      <c r="AS26" s="89">
        <f t="shared" si="69"/>
        <v>11</v>
      </c>
      <c r="AT26" s="184">
        <v>10</v>
      </c>
      <c r="AU26" s="185">
        <v>8</v>
      </c>
      <c r="AV26" s="186">
        <f t="shared" si="30"/>
        <v>18</v>
      </c>
      <c r="AW26" s="168">
        <v>6</v>
      </c>
      <c r="AX26" s="163">
        <v>5</v>
      </c>
      <c r="AY26" s="89">
        <f t="shared" si="70"/>
        <v>11</v>
      </c>
      <c r="AZ26" s="184">
        <v>12</v>
      </c>
      <c r="BA26" s="185">
        <v>12</v>
      </c>
      <c r="BB26" s="89">
        <f t="shared" si="71"/>
        <v>24</v>
      </c>
      <c r="BC26" s="184">
        <v>5</v>
      </c>
      <c r="BD26" s="185">
        <v>6</v>
      </c>
      <c r="BE26" s="89">
        <f t="shared" si="79"/>
        <v>11</v>
      </c>
      <c r="BF26" s="184">
        <v>10</v>
      </c>
      <c r="BG26" s="185">
        <v>8</v>
      </c>
      <c r="BH26" s="89">
        <f t="shared" si="72"/>
        <v>18</v>
      </c>
      <c r="BI26" s="184">
        <v>12</v>
      </c>
      <c r="BJ26" s="185">
        <v>9</v>
      </c>
      <c r="BK26" s="89">
        <f t="shared" si="73"/>
        <v>21</v>
      </c>
      <c r="BL26" s="184">
        <v>4</v>
      </c>
      <c r="BM26" s="185">
        <v>4</v>
      </c>
      <c r="BN26" s="89">
        <f t="shared" si="86"/>
        <v>8</v>
      </c>
      <c r="BO26" s="184">
        <v>5</v>
      </c>
      <c r="BP26" s="185">
        <v>5</v>
      </c>
      <c r="BQ26" s="89">
        <f t="shared" si="75"/>
        <v>10</v>
      </c>
      <c r="BR26" s="168"/>
      <c r="BS26" s="163"/>
      <c r="BT26" s="89"/>
      <c r="BU26" s="72">
        <f t="shared" si="89"/>
        <v>132</v>
      </c>
      <c r="BV26" s="194" t="str">
        <f>LOOKUP(BU26,'الفترة الاولى'!$BX$2:$BY$6)</f>
        <v>ممتاز</v>
      </c>
      <c r="BW26" s="73" t="e">
        <f>BU26/'الفترة الاولى'!$BZ$2</f>
        <v>#DIV/0!</v>
      </c>
    </row>
    <row r="27" spans="1:79" ht="25.2" customHeight="1" thickBot="1" x14ac:dyDescent="0.3">
      <c r="A27" s="51">
        <v>17</v>
      </c>
      <c r="B27" s="54"/>
      <c r="C27" s="207" t="s">
        <v>104</v>
      </c>
      <c r="D27" s="206"/>
      <c r="E27" s="169">
        <v>5</v>
      </c>
      <c r="F27" s="92">
        <v>5</v>
      </c>
      <c r="G27" s="89">
        <f t="shared" si="58"/>
        <v>10</v>
      </c>
      <c r="H27" s="177">
        <v>9</v>
      </c>
      <c r="I27" s="92">
        <v>6</v>
      </c>
      <c r="J27" s="173">
        <f t="shared" si="59"/>
        <v>15</v>
      </c>
      <c r="K27" s="93">
        <v>4</v>
      </c>
      <c r="L27" s="92">
        <v>3</v>
      </c>
      <c r="M27" s="89">
        <f t="shared" si="60"/>
        <v>7</v>
      </c>
      <c r="N27" s="177">
        <v>11</v>
      </c>
      <c r="O27" s="92">
        <v>8</v>
      </c>
      <c r="P27" s="173">
        <f t="shared" si="61"/>
        <v>19</v>
      </c>
      <c r="Q27" s="93">
        <v>6</v>
      </c>
      <c r="R27" s="92">
        <v>6</v>
      </c>
      <c r="S27" s="89">
        <f t="shared" si="62"/>
        <v>12</v>
      </c>
      <c r="T27" s="177">
        <v>8</v>
      </c>
      <c r="U27" s="92">
        <v>7</v>
      </c>
      <c r="V27" s="173">
        <f t="shared" si="63"/>
        <v>15</v>
      </c>
      <c r="W27" s="93">
        <v>10</v>
      </c>
      <c r="X27" s="92">
        <v>7</v>
      </c>
      <c r="Y27" s="89">
        <f t="shared" si="64"/>
        <v>17</v>
      </c>
      <c r="Z27" s="177">
        <v>5</v>
      </c>
      <c r="AA27" s="92">
        <v>4</v>
      </c>
      <c r="AB27" s="173">
        <f t="shared" si="65"/>
        <v>9</v>
      </c>
      <c r="AC27" s="93">
        <v>5</v>
      </c>
      <c r="AD27" s="92">
        <v>5</v>
      </c>
      <c r="AE27" s="89">
        <f t="shared" si="66"/>
        <v>10</v>
      </c>
      <c r="AF27" s="177"/>
      <c r="AG27" s="92"/>
      <c r="AH27" s="170">
        <f t="shared" si="84"/>
        <v>0</v>
      </c>
      <c r="AI27" s="161">
        <f t="shared" si="85"/>
        <v>114</v>
      </c>
      <c r="AJ27" s="201" t="str">
        <f t="shared" si="53"/>
        <v>ممتاز</v>
      </c>
      <c r="AK27" s="66" t="e">
        <f t="shared" si="54"/>
        <v>#DIV/0!</v>
      </c>
      <c r="AM27" s="51">
        <f t="shared" si="80"/>
        <v>17</v>
      </c>
      <c r="AN27" s="87">
        <f t="shared" si="81"/>
        <v>0</v>
      </c>
      <c r="AO27" s="99" t="str">
        <f t="shared" si="82"/>
        <v>محمد جمعة رمضان العزيبي</v>
      </c>
      <c r="AP27" s="80">
        <f t="shared" si="83"/>
        <v>0</v>
      </c>
      <c r="AQ27" s="169">
        <v>4</v>
      </c>
      <c r="AR27" s="188">
        <v>5</v>
      </c>
      <c r="AS27" s="89">
        <f t="shared" si="69"/>
        <v>9</v>
      </c>
      <c r="AT27" s="184">
        <v>10</v>
      </c>
      <c r="AU27" s="185">
        <v>6</v>
      </c>
      <c r="AV27" s="186">
        <f t="shared" si="30"/>
        <v>16</v>
      </c>
      <c r="AW27" s="169">
        <v>6</v>
      </c>
      <c r="AX27" s="188">
        <v>4</v>
      </c>
      <c r="AY27" s="89">
        <f t="shared" si="70"/>
        <v>10</v>
      </c>
      <c r="AZ27" s="184">
        <v>10</v>
      </c>
      <c r="BA27" s="185">
        <v>10</v>
      </c>
      <c r="BB27" s="89">
        <f t="shared" si="71"/>
        <v>20</v>
      </c>
      <c r="BC27" s="184">
        <v>5</v>
      </c>
      <c r="BD27" s="185">
        <v>6</v>
      </c>
      <c r="BE27" s="89">
        <f t="shared" si="79"/>
        <v>11</v>
      </c>
      <c r="BF27" s="184">
        <v>7</v>
      </c>
      <c r="BG27" s="185">
        <v>5</v>
      </c>
      <c r="BH27" s="89">
        <f t="shared" si="72"/>
        <v>12</v>
      </c>
      <c r="BI27" s="184">
        <v>9</v>
      </c>
      <c r="BJ27" s="185">
        <v>9</v>
      </c>
      <c r="BK27" s="89">
        <f t="shared" si="73"/>
        <v>18</v>
      </c>
      <c r="BL27" s="184">
        <v>4</v>
      </c>
      <c r="BM27" s="185">
        <v>6</v>
      </c>
      <c r="BN27" s="170">
        <f t="shared" si="86"/>
        <v>10</v>
      </c>
      <c r="BO27" s="184">
        <v>4</v>
      </c>
      <c r="BP27" s="185">
        <v>6</v>
      </c>
      <c r="BQ27" s="89">
        <f t="shared" si="75"/>
        <v>10</v>
      </c>
      <c r="BR27" s="169"/>
      <c r="BS27" s="188"/>
      <c r="BT27" s="170"/>
      <c r="BU27" s="74">
        <f t="shared" si="89"/>
        <v>116</v>
      </c>
      <c r="BV27" s="195" t="str">
        <f>LOOKUP(BU27,'الفترة الاولى'!$BX$2:$BY$6)</f>
        <v>ممتاز</v>
      </c>
      <c r="BW27" s="75" t="e">
        <f>BU27/'الفترة الاولى'!$BZ$2</f>
        <v>#DIV/0!</v>
      </c>
    </row>
    <row r="28" spans="1:79" ht="25.2" customHeight="1" thickBot="1" x14ac:dyDescent="0.3">
      <c r="A28" s="52">
        <v>18</v>
      </c>
      <c r="B28" s="55"/>
      <c r="C28" s="207" t="s">
        <v>105</v>
      </c>
      <c r="D28" s="206"/>
      <c r="E28" s="171">
        <v>6</v>
      </c>
      <c r="F28" s="94">
        <v>6</v>
      </c>
      <c r="G28" s="89">
        <f t="shared" si="58"/>
        <v>12</v>
      </c>
      <c r="H28" s="178">
        <v>8</v>
      </c>
      <c r="I28" s="94">
        <v>8</v>
      </c>
      <c r="J28" s="173">
        <f t="shared" si="59"/>
        <v>16</v>
      </c>
      <c r="K28" s="95">
        <v>4</v>
      </c>
      <c r="L28" s="94">
        <v>3</v>
      </c>
      <c r="M28" s="89">
        <f t="shared" si="60"/>
        <v>7</v>
      </c>
      <c r="N28" s="178">
        <v>10</v>
      </c>
      <c r="O28" s="94">
        <v>9</v>
      </c>
      <c r="P28" s="173">
        <f t="shared" si="61"/>
        <v>19</v>
      </c>
      <c r="Q28" s="95">
        <v>6</v>
      </c>
      <c r="R28" s="94">
        <v>6</v>
      </c>
      <c r="S28" s="89">
        <f t="shared" si="62"/>
        <v>12</v>
      </c>
      <c r="T28" s="178">
        <v>8</v>
      </c>
      <c r="U28" s="94">
        <v>7</v>
      </c>
      <c r="V28" s="173">
        <f t="shared" si="63"/>
        <v>15</v>
      </c>
      <c r="W28" s="95">
        <v>13</v>
      </c>
      <c r="X28" s="94">
        <v>11</v>
      </c>
      <c r="Y28" s="89">
        <f t="shared" si="64"/>
        <v>24</v>
      </c>
      <c r="Z28" s="178">
        <v>6</v>
      </c>
      <c r="AA28" s="94">
        <v>6</v>
      </c>
      <c r="AB28" s="173">
        <f t="shared" si="65"/>
        <v>12</v>
      </c>
      <c r="AC28" s="95">
        <v>6</v>
      </c>
      <c r="AD28" s="94">
        <v>5</v>
      </c>
      <c r="AE28" s="89">
        <f t="shared" si="66"/>
        <v>11</v>
      </c>
      <c r="AF28" s="178"/>
      <c r="AG28" s="94"/>
      <c r="AH28" s="172">
        <f t="shared" si="84"/>
        <v>0</v>
      </c>
      <c r="AI28" s="162">
        <f t="shared" si="85"/>
        <v>128</v>
      </c>
      <c r="AJ28" s="202" t="str">
        <f t="shared" si="53"/>
        <v>ممتاز</v>
      </c>
      <c r="AK28" s="67" t="e">
        <f t="shared" si="54"/>
        <v>#DIV/0!</v>
      </c>
      <c r="AM28" s="52">
        <f t="shared" si="80"/>
        <v>18</v>
      </c>
      <c r="AN28" s="88">
        <f t="shared" si="81"/>
        <v>0</v>
      </c>
      <c r="AO28" s="100" t="str">
        <f t="shared" si="82"/>
        <v>محمد على عامر الخالقي</v>
      </c>
      <c r="AP28" s="81">
        <f t="shared" si="83"/>
        <v>0</v>
      </c>
      <c r="AQ28" s="171">
        <v>4</v>
      </c>
      <c r="AR28" s="189">
        <v>5</v>
      </c>
      <c r="AS28" s="89">
        <f t="shared" si="69"/>
        <v>9</v>
      </c>
      <c r="AT28" s="184">
        <v>10</v>
      </c>
      <c r="AU28" s="185">
        <v>8</v>
      </c>
      <c r="AV28" s="186">
        <f t="shared" si="30"/>
        <v>18</v>
      </c>
      <c r="AW28" s="171">
        <v>6</v>
      </c>
      <c r="AX28" s="189">
        <v>4</v>
      </c>
      <c r="AY28" s="89">
        <f t="shared" si="70"/>
        <v>10</v>
      </c>
      <c r="AZ28" s="184">
        <v>9</v>
      </c>
      <c r="BA28" s="185">
        <v>10</v>
      </c>
      <c r="BB28" s="89">
        <f t="shared" si="71"/>
        <v>19</v>
      </c>
      <c r="BC28" s="184">
        <v>5</v>
      </c>
      <c r="BD28" s="185">
        <v>5</v>
      </c>
      <c r="BE28" s="89">
        <f t="shared" si="79"/>
        <v>10</v>
      </c>
      <c r="BF28" s="184">
        <v>7</v>
      </c>
      <c r="BG28" s="185">
        <v>5</v>
      </c>
      <c r="BH28" s="89">
        <f t="shared" si="72"/>
        <v>12</v>
      </c>
      <c r="BI28" s="184">
        <v>13</v>
      </c>
      <c r="BJ28" s="185">
        <v>10</v>
      </c>
      <c r="BK28" s="89">
        <f t="shared" si="73"/>
        <v>23</v>
      </c>
      <c r="BL28" s="184">
        <v>4</v>
      </c>
      <c r="BM28" s="185">
        <v>6</v>
      </c>
      <c r="BN28" s="172">
        <f t="shared" si="86"/>
        <v>10</v>
      </c>
      <c r="BO28" s="184">
        <v>4</v>
      </c>
      <c r="BP28" s="185">
        <v>5</v>
      </c>
      <c r="BQ28" s="89">
        <f t="shared" si="75"/>
        <v>9</v>
      </c>
      <c r="BR28" s="171"/>
      <c r="BS28" s="189"/>
      <c r="BT28" s="172"/>
      <c r="BU28" s="76">
        <f t="shared" si="89"/>
        <v>120</v>
      </c>
      <c r="BV28" s="196" t="str">
        <f>LOOKUP(BU28,'الفترة الاولى'!$BX$2:$BY$6)</f>
        <v>ممتاز</v>
      </c>
      <c r="BW28" s="77" t="e">
        <f>BU28/'الفترة الاولى'!$BZ$2</f>
        <v>#DIV/0!</v>
      </c>
    </row>
    <row r="29" spans="1:79" ht="25.2" customHeight="1" thickBot="1" x14ac:dyDescent="0.3">
      <c r="A29" s="50">
        <v>19</v>
      </c>
      <c r="B29" s="53"/>
      <c r="C29" s="207" t="s">
        <v>106</v>
      </c>
      <c r="D29" s="206"/>
      <c r="E29" s="168">
        <v>5</v>
      </c>
      <c r="F29" s="163">
        <v>4</v>
      </c>
      <c r="G29" s="89">
        <f t="shared" si="58"/>
        <v>9</v>
      </c>
      <c r="H29" s="176">
        <v>7</v>
      </c>
      <c r="I29" s="91">
        <v>7</v>
      </c>
      <c r="J29" s="173">
        <f t="shared" si="59"/>
        <v>14</v>
      </c>
      <c r="K29" s="90">
        <v>4</v>
      </c>
      <c r="L29" s="91">
        <v>4</v>
      </c>
      <c r="M29" s="89">
        <f t="shared" si="60"/>
        <v>8</v>
      </c>
      <c r="N29" s="176">
        <v>11</v>
      </c>
      <c r="O29" s="91">
        <v>10</v>
      </c>
      <c r="P29" s="173">
        <f t="shared" si="61"/>
        <v>21</v>
      </c>
      <c r="Q29" s="90">
        <v>6</v>
      </c>
      <c r="R29" s="91">
        <v>6</v>
      </c>
      <c r="S29" s="89">
        <f t="shared" si="62"/>
        <v>12</v>
      </c>
      <c r="T29" s="176">
        <v>8</v>
      </c>
      <c r="U29" s="91">
        <v>8</v>
      </c>
      <c r="V29" s="173">
        <f t="shared" si="63"/>
        <v>16</v>
      </c>
      <c r="W29" s="90">
        <v>11</v>
      </c>
      <c r="X29" s="91">
        <v>8</v>
      </c>
      <c r="Y29" s="89">
        <f t="shared" si="64"/>
        <v>19</v>
      </c>
      <c r="Z29" s="176">
        <v>4</v>
      </c>
      <c r="AA29" s="91">
        <v>2</v>
      </c>
      <c r="AB29" s="173">
        <f t="shared" si="65"/>
        <v>6</v>
      </c>
      <c r="AC29" s="90">
        <v>4</v>
      </c>
      <c r="AD29" s="91">
        <v>4</v>
      </c>
      <c r="AE29" s="89">
        <f t="shared" si="66"/>
        <v>8</v>
      </c>
      <c r="AF29" s="176"/>
      <c r="AG29" s="91"/>
      <c r="AH29" s="89">
        <f t="shared" si="84"/>
        <v>0</v>
      </c>
      <c r="AI29" s="160">
        <f t="shared" si="85"/>
        <v>113</v>
      </c>
      <c r="AJ29" s="200" t="str">
        <f t="shared" si="53"/>
        <v>ممتاز</v>
      </c>
      <c r="AK29" s="65" t="e">
        <f t="shared" si="54"/>
        <v>#DIV/0!</v>
      </c>
      <c r="AM29" s="50">
        <f t="shared" si="80"/>
        <v>19</v>
      </c>
      <c r="AN29" s="86">
        <f t="shared" si="81"/>
        <v>0</v>
      </c>
      <c r="AO29" s="98" t="str">
        <f t="shared" si="82"/>
        <v xml:space="preserve">محمد وسام حسن دريدر </v>
      </c>
      <c r="AP29" s="79">
        <f t="shared" si="83"/>
        <v>0</v>
      </c>
      <c r="AQ29" s="168">
        <v>6</v>
      </c>
      <c r="AR29" s="163">
        <v>5</v>
      </c>
      <c r="AS29" s="89">
        <f t="shared" si="69"/>
        <v>11</v>
      </c>
      <c r="AT29" s="184">
        <v>9</v>
      </c>
      <c r="AU29" s="185">
        <v>8</v>
      </c>
      <c r="AV29" s="186">
        <f t="shared" si="30"/>
        <v>17</v>
      </c>
      <c r="AW29" s="168">
        <v>5</v>
      </c>
      <c r="AX29" s="163">
        <v>5</v>
      </c>
      <c r="AY29" s="89">
        <f t="shared" si="70"/>
        <v>10</v>
      </c>
      <c r="AZ29" s="184">
        <v>12</v>
      </c>
      <c r="BA29" s="185">
        <v>10</v>
      </c>
      <c r="BB29" s="89">
        <f t="shared" si="71"/>
        <v>22</v>
      </c>
      <c r="BC29" s="184">
        <v>5</v>
      </c>
      <c r="BD29" s="185">
        <v>5</v>
      </c>
      <c r="BE29" s="89">
        <f t="shared" si="79"/>
        <v>10</v>
      </c>
      <c r="BF29" s="184">
        <v>7</v>
      </c>
      <c r="BG29" s="185">
        <v>5</v>
      </c>
      <c r="BH29" s="89">
        <f t="shared" si="72"/>
        <v>12</v>
      </c>
      <c r="BI29" s="184">
        <v>10</v>
      </c>
      <c r="BJ29" s="185">
        <v>10</v>
      </c>
      <c r="BK29" s="89">
        <f t="shared" si="73"/>
        <v>20</v>
      </c>
      <c r="BL29" s="184">
        <v>3</v>
      </c>
      <c r="BM29" s="185">
        <v>6</v>
      </c>
      <c r="BN29" s="89">
        <f t="shared" si="86"/>
        <v>9</v>
      </c>
      <c r="BO29" s="184">
        <v>4</v>
      </c>
      <c r="BP29" s="185">
        <v>5</v>
      </c>
      <c r="BQ29" s="89">
        <f t="shared" si="75"/>
        <v>9</v>
      </c>
      <c r="BR29" s="168"/>
      <c r="BS29" s="163"/>
      <c r="BT29" s="89"/>
      <c r="BU29" s="72">
        <f t="shared" si="89"/>
        <v>120</v>
      </c>
      <c r="BV29" s="194" t="str">
        <f>LOOKUP(BU29,'الفترة الاولى'!$BX$2:$BY$6)</f>
        <v>ممتاز</v>
      </c>
      <c r="BW29" s="73" t="e">
        <f>BU29/'الفترة الاولى'!$BZ$2</f>
        <v>#DIV/0!</v>
      </c>
    </row>
    <row r="30" spans="1:79" ht="25.2" customHeight="1" thickBot="1" x14ac:dyDescent="0.3">
      <c r="A30" s="51">
        <v>20</v>
      </c>
      <c r="B30" s="54"/>
      <c r="C30" s="207" t="s">
        <v>107</v>
      </c>
      <c r="D30" s="206"/>
      <c r="E30" s="169">
        <v>5</v>
      </c>
      <c r="F30" s="92">
        <v>4</v>
      </c>
      <c r="G30" s="89">
        <f t="shared" si="58"/>
        <v>9</v>
      </c>
      <c r="H30" s="177">
        <v>4</v>
      </c>
      <c r="I30" s="92">
        <v>8</v>
      </c>
      <c r="J30" s="173">
        <f t="shared" si="59"/>
        <v>12</v>
      </c>
      <c r="K30" s="93">
        <v>4</v>
      </c>
      <c r="L30" s="92">
        <v>4</v>
      </c>
      <c r="M30" s="89">
        <f t="shared" si="60"/>
        <v>8</v>
      </c>
      <c r="N30" s="177">
        <v>10</v>
      </c>
      <c r="O30" s="92">
        <v>9</v>
      </c>
      <c r="P30" s="173">
        <f t="shared" si="61"/>
        <v>19</v>
      </c>
      <c r="Q30" s="93">
        <v>6</v>
      </c>
      <c r="R30" s="92">
        <v>6</v>
      </c>
      <c r="S30" s="89">
        <f t="shared" si="62"/>
        <v>12</v>
      </c>
      <c r="T30" s="177">
        <v>8</v>
      </c>
      <c r="U30" s="92">
        <v>5</v>
      </c>
      <c r="V30" s="173">
        <f t="shared" si="63"/>
        <v>13</v>
      </c>
      <c r="W30" s="93">
        <v>10</v>
      </c>
      <c r="X30" s="92">
        <v>8</v>
      </c>
      <c r="Y30" s="89">
        <f t="shared" si="64"/>
        <v>18</v>
      </c>
      <c r="Z30" s="177">
        <v>5</v>
      </c>
      <c r="AA30" s="92">
        <v>4</v>
      </c>
      <c r="AB30" s="173">
        <f t="shared" si="65"/>
        <v>9</v>
      </c>
      <c r="AC30" s="93">
        <v>4</v>
      </c>
      <c r="AD30" s="92">
        <v>4</v>
      </c>
      <c r="AE30" s="89">
        <f t="shared" si="66"/>
        <v>8</v>
      </c>
      <c r="AF30" s="177"/>
      <c r="AG30" s="92"/>
      <c r="AH30" s="170">
        <f t="shared" si="84"/>
        <v>0</v>
      </c>
      <c r="AI30" s="161">
        <f t="shared" si="85"/>
        <v>108</v>
      </c>
      <c r="AJ30" s="201" t="str">
        <f t="shared" si="53"/>
        <v>ممتاز</v>
      </c>
      <c r="AK30" s="66" t="e">
        <f t="shared" si="54"/>
        <v>#DIV/0!</v>
      </c>
      <c r="AM30" s="51">
        <f t="shared" si="80"/>
        <v>20</v>
      </c>
      <c r="AN30" s="87">
        <f t="shared" si="81"/>
        <v>0</v>
      </c>
      <c r="AO30" s="99" t="str">
        <f t="shared" si="82"/>
        <v>نورالدين الشعاب سليمان رجب</v>
      </c>
      <c r="AP30" s="80">
        <f t="shared" si="83"/>
        <v>0</v>
      </c>
      <c r="AQ30" s="169">
        <v>6</v>
      </c>
      <c r="AR30" s="188">
        <v>5</v>
      </c>
      <c r="AS30" s="89">
        <f t="shared" si="69"/>
        <v>11</v>
      </c>
      <c r="AT30" s="184">
        <v>6</v>
      </c>
      <c r="AU30" s="185">
        <v>6</v>
      </c>
      <c r="AV30" s="186">
        <f t="shared" si="30"/>
        <v>12</v>
      </c>
      <c r="AW30" s="169">
        <v>3</v>
      </c>
      <c r="AX30" s="188">
        <v>3</v>
      </c>
      <c r="AY30" s="89">
        <f t="shared" si="70"/>
        <v>6</v>
      </c>
      <c r="AZ30" s="184">
        <v>10</v>
      </c>
      <c r="BA30" s="185">
        <v>11</v>
      </c>
      <c r="BB30" s="89">
        <f t="shared" si="71"/>
        <v>21</v>
      </c>
      <c r="BC30" s="184">
        <v>5</v>
      </c>
      <c r="BD30" s="188">
        <v>5</v>
      </c>
      <c r="BE30" s="89">
        <f t="shared" si="79"/>
        <v>10</v>
      </c>
      <c r="BF30" s="184">
        <v>4</v>
      </c>
      <c r="BG30" s="185">
        <v>2</v>
      </c>
      <c r="BH30" s="89">
        <f t="shared" si="72"/>
        <v>6</v>
      </c>
      <c r="BI30" s="184">
        <v>8</v>
      </c>
      <c r="BJ30" s="185">
        <v>12</v>
      </c>
      <c r="BK30" s="89">
        <f t="shared" si="73"/>
        <v>20</v>
      </c>
      <c r="BL30" s="184">
        <v>3</v>
      </c>
      <c r="BM30" s="185">
        <v>6</v>
      </c>
      <c r="BN30" s="170">
        <f t="shared" si="86"/>
        <v>9</v>
      </c>
      <c r="BO30" s="184">
        <v>3</v>
      </c>
      <c r="BP30" s="185">
        <v>5</v>
      </c>
      <c r="BQ30" s="89">
        <f t="shared" si="75"/>
        <v>8</v>
      </c>
      <c r="BR30" s="169"/>
      <c r="BS30" s="188"/>
      <c r="BT30" s="170"/>
      <c r="BU30" s="74">
        <f t="shared" si="89"/>
        <v>103</v>
      </c>
      <c r="BV30" s="195" t="str">
        <f>LOOKUP(BU30,'الفترة الاولى'!$BX$2:$BY$6)</f>
        <v>ممتاز</v>
      </c>
      <c r="BW30" s="75" t="e">
        <f>BU30/'الفترة الاولى'!$BZ$2</f>
        <v>#DIV/0!</v>
      </c>
    </row>
    <row r="31" spans="1:79" ht="25.2" customHeight="1" thickBot="1" x14ac:dyDescent="0.3">
      <c r="A31" s="52">
        <v>21</v>
      </c>
      <c r="B31" s="55"/>
      <c r="C31" s="103"/>
      <c r="D31" s="81"/>
      <c r="E31" s="171"/>
      <c r="F31" s="94"/>
      <c r="G31" s="89">
        <f t="shared" si="58"/>
        <v>0</v>
      </c>
      <c r="H31" s="178"/>
      <c r="I31" s="94"/>
      <c r="J31" s="173">
        <f t="shared" si="59"/>
        <v>0</v>
      </c>
      <c r="K31" s="95"/>
      <c r="L31" s="94"/>
      <c r="M31" s="89">
        <f t="shared" si="60"/>
        <v>0</v>
      </c>
      <c r="N31" s="178"/>
      <c r="O31" s="94"/>
      <c r="P31" s="173">
        <f t="shared" si="61"/>
        <v>0</v>
      </c>
      <c r="Q31" s="95"/>
      <c r="R31" s="94"/>
      <c r="S31" s="89">
        <f t="shared" si="62"/>
        <v>0</v>
      </c>
      <c r="T31" s="178"/>
      <c r="U31" s="94"/>
      <c r="V31" s="173">
        <f t="shared" si="63"/>
        <v>0</v>
      </c>
      <c r="W31" s="95"/>
      <c r="X31" s="94"/>
      <c r="Y31" s="89">
        <f t="shared" si="64"/>
        <v>0</v>
      </c>
      <c r="Z31" s="178"/>
      <c r="AA31" s="94"/>
      <c r="AB31" s="173">
        <f t="shared" si="65"/>
        <v>0</v>
      </c>
      <c r="AC31" s="95"/>
      <c r="AD31" s="94"/>
      <c r="AE31" s="89">
        <f t="shared" si="66"/>
        <v>0</v>
      </c>
      <c r="AF31" s="178"/>
      <c r="AG31" s="94"/>
      <c r="AH31" s="172">
        <f t="shared" si="84"/>
        <v>0</v>
      </c>
      <c r="AI31" s="162">
        <f t="shared" si="85"/>
        <v>0</v>
      </c>
      <c r="AJ31" s="202" t="str">
        <f t="shared" si="53"/>
        <v>ممتاز</v>
      </c>
      <c r="AK31" s="67" t="e">
        <f t="shared" si="54"/>
        <v>#DIV/0!</v>
      </c>
      <c r="AM31" s="52">
        <f t="shared" si="80"/>
        <v>21</v>
      </c>
      <c r="AN31" s="88">
        <f t="shared" si="81"/>
        <v>0</v>
      </c>
      <c r="AO31" s="100">
        <f t="shared" si="82"/>
        <v>0</v>
      </c>
      <c r="AP31" s="81">
        <f t="shared" si="83"/>
        <v>0</v>
      </c>
      <c r="AQ31" s="171"/>
      <c r="AR31" s="189"/>
      <c r="AS31" s="89">
        <f t="shared" si="69"/>
        <v>0</v>
      </c>
      <c r="AT31" s="184"/>
      <c r="AU31" s="185"/>
      <c r="AV31" s="186"/>
      <c r="AW31" s="171"/>
      <c r="AX31" s="189"/>
      <c r="AY31" s="89">
        <f t="shared" si="70"/>
        <v>0</v>
      </c>
      <c r="AZ31" s="184"/>
      <c r="BA31" s="185"/>
      <c r="BB31" s="89">
        <f t="shared" si="71"/>
        <v>0</v>
      </c>
      <c r="BC31" s="184"/>
      <c r="BD31" s="189"/>
      <c r="BE31" s="89">
        <f t="shared" si="79"/>
        <v>0</v>
      </c>
      <c r="BF31" s="184"/>
      <c r="BG31" s="185"/>
      <c r="BH31" s="89">
        <f t="shared" si="72"/>
        <v>0</v>
      </c>
      <c r="BI31" s="184"/>
      <c r="BJ31" s="185"/>
      <c r="BK31" s="89">
        <f t="shared" si="73"/>
        <v>0</v>
      </c>
      <c r="BL31" s="184"/>
      <c r="BM31" s="185"/>
      <c r="BN31" s="172"/>
      <c r="BO31" s="171"/>
      <c r="BP31" s="189"/>
      <c r="BQ31" s="89">
        <f t="shared" si="75"/>
        <v>0</v>
      </c>
      <c r="BR31" s="171"/>
      <c r="BS31" s="189"/>
      <c r="BT31" s="172"/>
      <c r="BU31" s="76">
        <f t="shared" si="89"/>
        <v>0</v>
      </c>
      <c r="BV31" s="196" t="str">
        <f>LOOKUP(BU31,'الفترة الاولى'!$BX$2:$BY$6)</f>
        <v>ممتاز</v>
      </c>
      <c r="BW31" s="77" t="e">
        <f>BU31/'الفترة الاولى'!$BZ$2</f>
        <v>#DIV/0!</v>
      </c>
    </row>
    <row r="32" spans="1:79" ht="25.2" customHeight="1" thickBot="1" x14ac:dyDescent="0.3">
      <c r="A32" s="50">
        <v>22</v>
      </c>
      <c r="B32" s="53"/>
      <c r="C32" s="101"/>
      <c r="D32" s="79"/>
      <c r="E32" s="168"/>
      <c r="F32" s="163"/>
      <c r="G32" s="89">
        <f t="shared" si="58"/>
        <v>0</v>
      </c>
      <c r="H32" s="176"/>
      <c r="I32" s="91"/>
      <c r="J32" s="173">
        <f t="shared" si="59"/>
        <v>0</v>
      </c>
      <c r="K32" s="90"/>
      <c r="L32" s="91"/>
      <c r="M32" s="89">
        <f t="shared" si="60"/>
        <v>0</v>
      </c>
      <c r="N32" s="176"/>
      <c r="O32" s="91"/>
      <c r="P32" s="173">
        <f t="shared" si="61"/>
        <v>0</v>
      </c>
      <c r="Q32" s="90"/>
      <c r="R32" s="91"/>
      <c r="S32" s="89">
        <f t="shared" si="62"/>
        <v>0</v>
      </c>
      <c r="T32" s="176"/>
      <c r="U32" s="91"/>
      <c r="V32" s="173">
        <f t="shared" si="63"/>
        <v>0</v>
      </c>
      <c r="W32" s="90"/>
      <c r="X32" s="91"/>
      <c r="Y32" s="89">
        <f t="shared" si="64"/>
        <v>0</v>
      </c>
      <c r="Z32" s="176"/>
      <c r="AA32" s="91"/>
      <c r="AB32" s="173">
        <f t="shared" si="65"/>
        <v>0</v>
      </c>
      <c r="AC32" s="90"/>
      <c r="AD32" s="91"/>
      <c r="AE32" s="89">
        <f t="shared" si="66"/>
        <v>0</v>
      </c>
      <c r="AF32" s="176"/>
      <c r="AG32" s="91"/>
      <c r="AH32" s="89">
        <f t="shared" si="84"/>
        <v>0</v>
      </c>
      <c r="AI32" s="160">
        <f t="shared" si="85"/>
        <v>0</v>
      </c>
      <c r="AJ32" s="200" t="str">
        <f t="shared" si="53"/>
        <v>ممتاز</v>
      </c>
      <c r="AK32" s="65" t="e">
        <f t="shared" si="54"/>
        <v>#DIV/0!</v>
      </c>
      <c r="AM32" s="50">
        <f t="shared" si="80"/>
        <v>22</v>
      </c>
      <c r="AN32" s="86">
        <f t="shared" si="81"/>
        <v>0</v>
      </c>
      <c r="AO32" s="98">
        <f t="shared" si="82"/>
        <v>0</v>
      </c>
      <c r="AP32" s="79">
        <f t="shared" si="83"/>
        <v>0</v>
      </c>
      <c r="AQ32" s="168"/>
      <c r="AR32" s="163"/>
      <c r="AS32" s="89">
        <f t="shared" si="69"/>
        <v>0</v>
      </c>
      <c r="AT32" s="184"/>
      <c r="AU32" s="185"/>
      <c r="AV32" s="186"/>
      <c r="AW32" s="168"/>
      <c r="AX32" s="163"/>
      <c r="AY32" s="89">
        <f t="shared" si="70"/>
        <v>0</v>
      </c>
      <c r="AZ32" s="184"/>
      <c r="BA32" s="185"/>
      <c r="BB32" s="89">
        <f t="shared" si="71"/>
        <v>0</v>
      </c>
      <c r="BC32" s="184"/>
      <c r="BD32" s="163"/>
      <c r="BE32" s="89">
        <f t="shared" si="79"/>
        <v>0</v>
      </c>
      <c r="BF32" s="184"/>
      <c r="BG32" s="185"/>
      <c r="BH32" s="89">
        <f t="shared" si="72"/>
        <v>0</v>
      </c>
      <c r="BI32" s="184"/>
      <c r="BJ32" s="185"/>
      <c r="BK32" s="89">
        <f t="shared" si="73"/>
        <v>0</v>
      </c>
      <c r="BL32" s="184"/>
      <c r="BM32" s="185"/>
      <c r="BN32" s="89"/>
      <c r="BO32" s="168"/>
      <c r="BP32" s="163"/>
      <c r="BQ32" s="89">
        <f t="shared" si="75"/>
        <v>0</v>
      </c>
      <c r="BR32" s="168"/>
      <c r="BS32" s="163"/>
      <c r="BT32" s="89"/>
      <c r="BU32" s="72">
        <f t="shared" si="89"/>
        <v>0</v>
      </c>
      <c r="BV32" s="194" t="str">
        <f>LOOKUP(BU32,'الفترة الاولى'!$BX$2:$BY$6)</f>
        <v>ممتاز</v>
      </c>
      <c r="BW32" s="73" t="e">
        <f>BU32/'الفترة الاولى'!$BZ$2</f>
        <v>#DIV/0!</v>
      </c>
    </row>
    <row r="33" spans="1:75" ht="25.2" customHeight="1" thickBot="1" x14ac:dyDescent="0.3">
      <c r="A33" s="51">
        <v>23</v>
      </c>
      <c r="B33" s="54"/>
      <c r="C33" s="102"/>
      <c r="D33" s="80"/>
      <c r="E33" s="169"/>
      <c r="F33" s="92"/>
      <c r="G33" s="89">
        <f t="shared" si="58"/>
        <v>0</v>
      </c>
      <c r="H33" s="177"/>
      <c r="I33" s="92"/>
      <c r="J33" s="173">
        <f t="shared" si="59"/>
        <v>0</v>
      </c>
      <c r="K33" s="93"/>
      <c r="L33" s="92"/>
      <c r="M33" s="89">
        <f t="shared" si="60"/>
        <v>0</v>
      </c>
      <c r="N33" s="177"/>
      <c r="O33" s="92"/>
      <c r="P33" s="173">
        <f t="shared" si="61"/>
        <v>0</v>
      </c>
      <c r="Q33" s="93"/>
      <c r="R33" s="92"/>
      <c r="S33" s="89">
        <f t="shared" si="62"/>
        <v>0</v>
      </c>
      <c r="T33" s="177"/>
      <c r="U33" s="92"/>
      <c r="V33" s="173">
        <f t="shared" si="63"/>
        <v>0</v>
      </c>
      <c r="W33" s="93"/>
      <c r="X33" s="92"/>
      <c r="Y33" s="89">
        <f t="shared" si="64"/>
        <v>0</v>
      </c>
      <c r="Z33" s="177"/>
      <c r="AA33" s="92"/>
      <c r="AB33" s="173">
        <f t="shared" si="65"/>
        <v>0</v>
      </c>
      <c r="AC33" s="93"/>
      <c r="AD33" s="92"/>
      <c r="AE33" s="89">
        <f t="shared" si="66"/>
        <v>0</v>
      </c>
      <c r="AF33" s="177"/>
      <c r="AG33" s="92"/>
      <c r="AH33" s="170">
        <f t="shared" si="84"/>
        <v>0</v>
      </c>
      <c r="AI33" s="161">
        <f t="shared" si="85"/>
        <v>0</v>
      </c>
      <c r="AJ33" s="201" t="str">
        <f t="shared" si="53"/>
        <v>ممتاز</v>
      </c>
      <c r="AK33" s="66" t="e">
        <f t="shared" si="54"/>
        <v>#DIV/0!</v>
      </c>
      <c r="AM33" s="51">
        <f t="shared" si="80"/>
        <v>23</v>
      </c>
      <c r="AN33" s="87">
        <f t="shared" si="81"/>
        <v>0</v>
      </c>
      <c r="AO33" s="99">
        <f t="shared" si="82"/>
        <v>0</v>
      </c>
      <c r="AP33" s="80">
        <f t="shared" si="83"/>
        <v>0</v>
      </c>
      <c r="AQ33" s="169"/>
      <c r="AR33" s="188"/>
      <c r="AS33" s="89">
        <f t="shared" si="69"/>
        <v>0</v>
      </c>
      <c r="AT33" s="184"/>
      <c r="AU33" s="185"/>
      <c r="AV33" s="186"/>
      <c r="AW33" s="169"/>
      <c r="AX33" s="188"/>
      <c r="AY33" s="89">
        <f t="shared" si="70"/>
        <v>0</v>
      </c>
      <c r="AZ33" s="184"/>
      <c r="BA33" s="185"/>
      <c r="BB33" s="89">
        <f t="shared" si="71"/>
        <v>0</v>
      </c>
      <c r="BC33" s="184"/>
      <c r="BD33" s="188"/>
      <c r="BE33" s="89">
        <f t="shared" si="79"/>
        <v>0</v>
      </c>
      <c r="BF33" s="184"/>
      <c r="BG33" s="185"/>
      <c r="BH33" s="89">
        <f t="shared" si="72"/>
        <v>0</v>
      </c>
      <c r="BI33" s="184"/>
      <c r="BJ33" s="185"/>
      <c r="BK33" s="89">
        <f t="shared" si="73"/>
        <v>0</v>
      </c>
      <c r="BL33" s="184">
        <f t="shared" si="46"/>
        <v>0</v>
      </c>
      <c r="BM33" s="185"/>
      <c r="BN33" s="170"/>
      <c r="BO33" s="169"/>
      <c r="BP33" s="188"/>
      <c r="BQ33" s="89">
        <f t="shared" si="75"/>
        <v>0</v>
      </c>
      <c r="BR33" s="169"/>
      <c r="BS33" s="188"/>
      <c r="BT33" s="170"/>
      <c r="BU33" s="74">
        <f t="shared" si="89"/>
        <v>0</v>
      </c>
      <c r="BV33" s="195" t="str">
        <f>LOOKUP(BU33,'الفترة الاولى'!$BX$2:$BY$6)</f>
        <v>ممتاز</v>
      </c>
      <c r="BW33" s="75" t="e">
        <f>BU33/'الفترة الاولى'!$BZ$2</f>
        <v>#DIV/0!</v>
      </c>
    </row>
    <row r="34" spans="1:75" ht="25.2" customHeight="1" thickBot="1" x14ac:dyDescent="0.3">
      <c r="A34" s="52">
        <v>24</v>
      </c>
      <c r="B34" s="55"/>
      <c r="C34" s="103"/>
      <c r="D34" s="81"/>
      <c r="E34" s="171"/>
      <c r="F34" s="94"/>
      <c r="G34" s="89">
        <f t="shared" si="58"/>
        <v>0</v>
      </c>
      <c r="H34" s="178"/>
      <c r="I34" s="94"/>
      <c r="J34" s="173">
        <f t="shared" si="59"/>
        <v>0</v>
      </c>
      <c r="K34" s="95"/>
      <c r="L34" s="94"/>
      <c r="M34" s="89">
        <f t="shared" si="60"/>
        <v>0</v>
      </c>
      <c r="N34" s="178"/>
      <c r="O34" s="94"/>
      <c r="P34" s="173">
        <f t="shared" si="61"/>
        <v>0</v>
      </c>
      <c r="Q34" s="95"/>
      <c r="R34" s="94"/>
      <c r="S34" s="89">
        <f t="shared" si="62"/>
        <v>0</v>
      </c>
      <c r="T34" s="178"/>
      <c r="U34" s="94"/>
      <c r="V34" s="173">
        <f t="shared" si="63"/>
        <v>0</v>
      </c>
      <c r="W34" s="95"/>
      <c r="X34" s="94"/>
      <c r="Y34" s="89">
        <f t="shared" si="64"/>
        <v>0</v>
      </c>
      <c r="Z34" s="178"/>
      <c r="AA34" s="94"/>
      <c r="AB34" s="173">
        <f t="shared" si="65"/>
        <v>0</v>
      </c>
      <c r="AC34" s="95"/>
      <c r="AD34" s="94"/>
      <c r="AE34" s="89">
        <f t="shared" si="66"/>
        <v>0</v>
      </c>
      <c r="AF34" s="178"/>
      <c r="AG34" s="94"/>
      <c r="AH34" s="172">
        <f t="shared" si="84"/>
        <v>0</v>
      </c>
      <c r="AI34" s="162">
        <f t="shared" si="85"/>
        <v>0</v>
      </c>
      <c r="AJ34" s="202" t="str">
        <f t="shared" si="53"/>
        <v>ممتاز</v>
      </c>
      <c r="AK34" s="67" t="e">
        <f t="shared" si="54"/>
        <v>#DIV/0!</v>
      </c>
      <c r="AM34" s="52">
        <f t="shared" si="80"/>
        <v>24</v>
      </c>
      <c r="AN34" s="88">
        <f t="shared" si="81"/>
        <v>0</v>
      </c>
      <c r="AO34" s="100">
        <f t="shared" si="82"/>
        <v>0</v>
      </c>
      <c r="AP34" s="81">
        <f t="shared" si="83"/>
        <v>0</v>
      </c>
      <c r="AQ34" s="171"/>
      <c r="AR34" s="189"/>
      <c r="AS34" s="89">
        <f t="shared" si="69"/>
        <v>0</v>
      </c>
      <c r="AT34" s="184"/>
      <c r="AU34" s="185"/>
      <c r="AV34" s="186"/>
      <c r="AW34" s="171"/>
      <c r="AX34" s="189"/>
      <c r="AY34" s="89">
        <f t="shared" si="70"/>
        <v>0</v>
      </c>
      <c r="AZ34" s="184"/>
      <c r="BA34" s="185"/>
      <c r="BB34" s="89">
        <f t="shared" si="71"/>
        <v>0</v>
      </c>
      <c r="BC34" s="184"/>
      <c r="BD34" s="189"/>
      <c r="BE34" s="89">
        <f t="shared" si="79"/>
        <v>0</v>
      </c>
      <c r="BF34" s="184"/>
      <c r="BG34" s="185"/>
      <c r="BH34" s="89">
        <f t="shared" si="72"/>
        <v>0</v>
      </c>
      <c r="BI34" s="184"/>
      <c r="BJ34" s="185"/>
      <c r="BK34" s="89">
        <f t="shared" si="73"/>
        <v>0</v>
      </c>
      <c r="BL34" s="184">
        <f t="shared" si="46"/>
        <v>0</v>
      </c>
      <c r="BM34" s="185"/>
      <c r="BN34" s="172"/>
      <c r="BO34" s="171"/>
      <c r="BP34" s="189"/>
      <c r="BQ34" s="89">
        <f t="shared" si="75"/>
        <v>0</v>
      </c>
      <c r="BR34" s="171"/>
      <c r="BS34" s="189"/>
      <c r="BT34" s="172"/>
      <c r="BU34" s="76">
        <f t="shared" si="89"/>
        <v>0</v>
      </c>
      <c r="BV34" s="196" t="str">
        <f>LOOKUP(BU34,'الفترة الاولى'!$BX$2:$BY$6)</f>
        <v>ممتاز</v>
      </c>
      <c r="BW34" s="77" t="e">
        <f>BU34/'الفترة الاولى'!$BZ$2</f>
        <v>#DIV/0!</v>
      </c>
    </row>
    <row r="35" spans="1:75" ht="25.2" customHeight="1" thickBot="1" x14ac:dyDescent="0.3">
      <c r="A35" s="50">
        <v>25</v>
      </c>
      <c r="B35" s="53"/>
      <c r="C35" s="101"/>
      <c r="D35" s="79"/>
      <c r="E35" s="168"/>
      <c r="F35" s="163"/>
      <c r="G35" s="89">
        <f t="shared" si="58"/>
        <v>0</v>
      </c>
      <c r="H35" s="176"/>
      <c r="I35" s="91"/>
      <c r="J35" s="173">
        <f t="shared" si="59"/>
        <v>0</v>
      </c>
      <c r="K35" s="90"/>
      <c r="L35" s="91"/>
      <c r="M35" s="89">
        <f t="shared" si="60"/>
        <v>0</v>
      </c>
      <c r="N35" s="176"/>
      <c r="O35" s="91"/>
      <c r="P35" s="173">
        <f t="shared" si="61"/>
        <v>0</v>
      </c>
      <c r="Q35" s="90"/>
      <c r="R35" s="91"/>
      <c r="S35" s="89">
        <f t="shared" si="62"/>
        <v>0</v>
      </c>
      <c r="T35" s="176"/>
      <c r="U35" s="91"/>
      <c r="V35" s="173">
        <f t="shared" si="63"/>
        <v>0</v>
      </c>
      <c r="W35" s="90"/>
      <c r="X35" s="91"/>
      <c r="Y35" s="89">
        <f t="shared" si="64"/>
        <v>0</v>
      </c>
      <c r="Z35" s="176"/>
      <c r="AA35" s="91"/>
      <c r="AB35" s="173">
        <f t="shared" si="65"/>
        <v>0</v>
      </c>
      <c r="AC35" s="90"/>
      <c r="AD35" s="91"/>
      <c r="AE35" s="89">
        <f t="shared" si="66"/>
        <v>0</v>
      </c>
      <c r="AF35" s="176"/>
      <c r="AG35" s="91"/>
      <c r="AH35" s="89">
        <f t="shared" si="84"/>
        <v>0</v>
      </c>
      <c r="AI35" s="160">
        <f t="shared" si="85"/>
        <v>0</v>
      </c>
      <c r="AJ35" s="200" t="str">
        <f t="shared" si="53"/>
        <v>ممتاز</v>
      </c>
      <c r="AK35" s="65" t="e">
        <f t="shared" si="54"/>
        <v>#DIV/0!</v>
      </c>
      <c r="AM35" s="50">
        <f t="shared" si="80"/>
        <v>25</v>
      </c>
      <c r="AN35" s="86">
        <f t="shared" si="81"/>
        <v>0</v>
      </c>
      <c r="AO35" s="98">
        <f t="shared" si="82"/>
        <v>0</v>
      </c>
      <c r="AP35" s="79">
        <f t="shared" si="83"/>
        <v>0</v>
      </c>
      <c r="AQ35" s="168"/>
      <c r="AR35" s="163"/>
      <c r="AS35" s="89">
        <f t="shared" si="69"/>
        <v>0</v>
      </c>
      <c r="AT35" s="184"/>
      <c r="AU35" s="185"/>
      <c r="AV35" s="186"/>
      <c r="AW35" s="168"/>
      <c r="AX35" s="163"/>
      <c r="AY35" s="89">
        <f t="shared" si="70"/>
        <v>0</v>
      </c>
      <c r="AZ35" s="184"/>
      <c r="BA35" s="185"/>
      <c r="BB35" s="89">
        <f t="shared" si="71"/>
        <v>0</v>
      </c>
      <c r="BC35" s="184"/>
      <c r="BD35" s="163"/>
      <c r="BE35" s="89">
        <f t="shared" si="79"/>
        <v>0</v>
      </c>
      <c r="BF35" s="184"/>
      <c r="BG35" s="185"/>
      <c r="BH35" s="89">
        <f t="shared" si="72"/>
        <v>0</v>
      </c>
      <c r="BI35" s="184"/>
      <c r="BJ35" s="185"/>
      <c r="BK35" s="89">
        <f t="shared" si="73"/>
        <v>0</v>
      </c>
      <c r="BL35" s="184">
        <f t="shared" si="46"/>
        <v>0</v>
      </c>
      <c r="BM35" s="185"/>
      <c r="BN35" s="89"/>
      <c r="BO35" s="168"/>
      <c r="BP35" s="163"/>
      <c r="BQ35" s="89">
        <f t="shared" si="75"/>
        <v>0</v>
      </c>
      <c r="BR35" s="168"/>
      <c r="BS35" s="163"/>
      <c r="BT35" s="89"/>
      <c r="BU35" s="72">
        <f t="shared" si="89"/>
        <v>0</v>
      </c>
      <c r="BV35" s="194" t="str">
        <f>LOOKUP(BU35,'الفترة الاولى'!$BX$2:$BY$6)</f>
        <v>ممتاز</v>
      </c>
      <c r="BW35" s="73" t="e">
        <f>BU35/'الفترة الاولى'!$BZ$2</f>
        <v>#DIV/0!</v>
      </c>
    </row>
    <row r="36" spans="1:75" ht="25.2" customHeight="1" thickBot="1" x14ac:dyDescent="0.3">
      <c r="A36" s="51">
        <v>26</v>
      </c>
      <c r="B36" s="54"/>
      <c r="C36" s="102"/>
      <c r="D36" s="80"/>
      <c r="E36" s="169"/>
      <c r="F36" s="92"/>
      <c r="G36" s="89">
        <f t="shared" si="58"/>
        <v>0</v>
      </c>
      <c r="H36" s="177"/>
      <c r="I36" s="92"/>
      <c r="J36" s="173">
        <f t="shared" si="59"/>
        <v>0</v>
      </c>
      <c r="K36" s="93"/>
      <c r="L36" s="92"/>
      <c r="M36" s="89">
        <f t="shared" si="60"/>
        <v>0</v>
      </c>
      <c r="N36" s="177"/>
      <c r="O36" s="92"/>
      <c r="P36" s="173">
        <f t="shared" si="61"/>
        <v>0</v>
      </c>
      <c r="Q36" s="93"/>
      <c r="R36" s="92"/>
      <c r="S36" s="89">
        <f t="shared" si="62"/>
        <v>0</v>
      </c>
      <c r="T36" s="177"/>
      <c r="U36" s="92"/>
      <c r="V36" s="173">
        <f t="shared" si="63"/>
        <v>0</v>
      </c>
      <c r="W36" s="93"/>
      <c r="X36" s="92"/>
      <c r="Y36" s="89">
        <f t="shared" si="64"/>
        <v>0</v>
      </c>
      <c r="Z36" s="177"/>
      <c r="AA36" s="92"/>
      <c r="AB36" s="173">
        <f t="shared" si="65"/>
        <v>0</v>
      </c>
      <c r="AC36" s="93"/>
      <c r="AD36" s="92"/>
      <c r="AE36" s="89">
        <f t="shared" si="66"/>
        <v>0</v>
      </c>
      <c r="AF36" s="177"/>
      <c r="AG36" s="92"/>
      <c r="AH36" s="170">
        <f t="shared" si="84"/>
        <v>0</v>
      </c>
      <c r="AI36" s="161">
        <f t="shared" si="85"/>
        <v>0</v>
      </c>
      <c r="AJ36" s="201" t="str">
        <f t="shared" si="53"/>
        <v>ممتاز</v>
      </c>
      <c r="AK36" s="66" t="e">
        <f t="shared" si="54"/>
        <v>#DIV/0!</v>
      </c>
      <c r="AM36" s="51">
        <f t="shared" si="80"/>
        <v>26</v>
      </c>
      <c r="AN36" s="87">
        <f t="shared" si="81"/>
        <v>0</v>
      </c>
      <c r="AO36" s="99">
        <f t="shared" si="82"/>
        <v>0</v>
      </c>
      <c r="AP36" s="80">
        <f t="shared" si="83"/>
        <v>0</v>
      </c>
      <c r="AQ36" s="169">
        <f t="shared" ref="AQ36:AQ78" si="90">E36</f>
        <v>0</v>
      </c>
      <c r="AR36" s="188"/>
      <c r="AS36" s="89">
        <f t="shared" si="69"/>
        <v>0</v>
      </c>
      <c r="AT36" s="184"/>
      <c r="AU36" s="185"/>
      <c r="AV36" s="186"/>
      <c r="AW36" s="169">
        <f t="shared" ref="AW36:AW78" si="91">K36</f>
        <v>0</v>
      </c>
      <c r="AX36" s="188"/>
      <c r="AY36" s="89">
        <f t="shared" si="70"/>
        <v>0</v>
      </c>
      <c r="AZ36" s="184"/>
      <c r="BA36" s="185"/>
      <c r="BB36" s="89">
        <f t="shared" si="71"/>
        <v>0</v>
      </c>
      <c r="BC36" s="184"/>
      <c r="BD36" s="188"/>
      <c r="BE36" s="89">
        <f t="shared" si="79"/>
        <v>0</v>
      </c>
      <c r="BF36" s="184"/>
      <c r="BG36" s="185"/>
      <c r="BH36" s="89">
        <f t="shared" si="72"/>
        <v>0</v>
      </c>
      <c r="BI36" s="184"/>
      <c r="BJ36" s="185"/>
      <c r="BK36" s="89">
        <f t="shared" si="73"/>
        <v>0</v>
      </c>
      <c r="BL36" s="184">
        <f t="shared" si="46"/>
        <v>0</v>
      </c>
      <c r="BM36" s="185"/>
      <c r="BN36" s="170">
        <f t="shared" si="86"/>
        <v>0</v>
      </c>
      <c r="BO36" s="169"/>
      <c r="BP36" s="188"/>
      <c r="BQ36" s="89">
        <f t="shared" si="75"/>
        <v>0</v>
      </c>
      <c r="BR36" s="169">
        <f t="shared" si="87"/>
        <v>0</v>
      </c>
      <c r="BS36" s="188"/>
      <c r="BT36" s="170">
        <f t="shared" si="88"/>
        <v>0</v>
      </c>
      <c r="BU36" s="74">
        <f t="shared" si="89"/>
        <v>0</v>
      </c>
      <c r="BV36" s="195" t="str">
        <f>LOOKUP(BU36,'الفترة الاولى'!$BX$2:$BY$6)</f>
        <v>ممتاز</v>
      </c>
      <c r="BW36" s="75" t="e">
        <f>BU36/'الفترة الاولى'!$BZ$2</f>
        <v>#DIV/0!</v>
      </c>
    </row>
    <row r="37" spans="1:75" ht="25.2" customHeight="1" thickBot="1" x14ac:dyDescent="0.3">
      <c r="A37" s="52">
        <v>27</v>
      </c>
      <c r="B37" s="55"/>
      <c r="C37" s="103"/>
      <c r="D37" s="81"/>
      <c r="E37" s="171"/>
      <c r="F37" s="94"/>
      <c r="G37" s="89">
        <f t="shared" si="58"/>
        <v>0</v>
      </c>
      <c r="H37" s="178"/>
      <c r="I37" s="94"/>
      <c r="J37" s="173">
        <f t="shared" si="59"/>
        <v>0</v>
      </c>
      <c r="K37" s="95"/>
      <c r="L37" s="94"/>
      <c r="M37" s="89">
        <f t="shared" si="60"/>
        <v>0</v>
      </c>
      <c r="N37" s="178"/>
      <c r="O37" s="94"/>
      <c r="P37" s="173">
        <f t="shared" si="61"/>
        <v>0</v>
      </c>
      <c r="Q37" s="95"/>
      <c r="R37" s="94"/>
      <c r="S37" s="89">
        <f t="shared" si="62"/>
        <v>0</v>
      </c>
      <c r="T37" s="178"/>
      <c r="U37" s="94"/>
      <c r="V37" s="173">
        <f t="shared" si="63"/>
        <v>0</v>
      </c>
      <c r="W37" s="95"/>
      <c r="X37" s="94"/>
      <c r="Y37" s="89">
        <f t="shared" si="64"/>
        <v>0</v>
      </c>
      <c r="Z37" s="178"/>
      <c r="AA37" s="94"/>
      <c r="AB37" s="173">
        <f t="shared" si="65"/>
        <v>0</v>
      </c>
      <c r="AC37" s="95"/>
      <c r="AD37" s="94"/>
      <c r="AE37" s="89">
        <f t="shared" si="66"/>
        <v>0</v>
      </c>
      <c r="AF37" s="178"/>
      <c r="AG37" s="94"/>
      <c r="AH37" s="172">
        <f t="shared" si="84"/>
        <v>0</v>
      </c>
      <c r="AI37" s="162">
        <f t="shared" si="85"/>
        <v>0</v>
      </c>
      <c r="AJ37" s="202" t="str">
        <f t="shared" si="53"/>
        <v>ممتاز</v>
      </c>
      <c r="AK37" s="67" t="e">
        <f t="shared" si="54"/>
        <v>#DIV/0!</v>
      </c>
      <c r="AM37" s="52">
        <f t="shared" si="80"/>
        <v>27</v>
      </c>
      <c r="AN37" s="88">
        <f t="shared" si="81"/>
        <v>0</v>
      </c>
      <c r="AO37" s="100">
        <f t="shared" si="82"/>
        <v>0</v>
      </c>
      <c r="AP37" s="81">
        <f t="shared" si="83"/>
        <v>0</v>
      </c>
      <c r="AQ37" s="171">
        <f t="shared" si="90"/>
        <v>0</v>
      </c>
      <c r="AR37" s="189"/>
      <c r="AS37" s="89">
        <f t="shared" si="69"/>
        <v>0</v>
      </c>
      <c r="AT37" s="184"/>
      <c r="AU37" s="185"/>
      <c r="AV37" s="186"/>
      <c r="AW37" s="171">
        <f t="shared" si="91"/>
        <v>0</v>
      </c>
      <c r="AX37" s="189"/>
      <c r="AY37" s="89">
        <f t="shared" si="70"/>
        <v>0</v>
      </c>
      <c r="AZ37" s="184"/>
      <c r="BA37" s="185"/>
      <c r="BB37" s="89">
        <f t="shared" si="71"/>
        <v>0</v>
      </c>
      <c r="BC37" s="184"/>
      <c r="BD37" s="189"/>
      <c r="BE37" s="89">
        <f t="shared" si="79"/>
        <v>0</v>
      </c>
      <c r="BF37" s="184"/>
      <c r="BG37" s="185"/>
      <c r="BH37" s="89">
        <f t="shared" si="72"/>
        <v>0</v>
      </c>
      <c r="BI37" s="184"/>
      <c r="BJ37" s="185"/>
      <c r="BK37" s="89">
        <f t="shared" si="73"/>
        <v>0</v>
      </c>
      <c r="BL37" s="184">
        <f t="shared" si="46"/>
        <v>0</v>
      </c>
      <c r="BM37" s="185"/>
      <c r="BN37" s="172">
        <f t="shared" si="86"/>
        <v>0</v>
      </c>
      <c r="BO37" s="171"/>
      <c r="BP37" s="189"/>
      <c r="BQ37" s="89">
        <f t="shared" si="75"/>
        <v>0</v>
      </c>
      <c r="BR37" s="171">
        <f t="shared" si="87"/>
        <v>0</v>
      </c>
      <c r="BS37" s="189"/>
      <c r="BT37" s="172">
        <f t="shared" si="88"/>
        <v>0</v>
      </c>
      <c r="BU37" s="76">
        <f t="shared" si="89"/>
        <v>0</v>
      </c>
      <c r="BV37" s="196" t="str">
        <f>LOOKUP(BU37,'الفترة الاولى'!$BX$2:$BY$6)</f>
        <v>ممتاز</v>
      </c>
      <c r="BW37" s="77" t="e">
        <f>BU37/'الفترة الاولى'!$BZ$2</f>
        <v>#DIV/0!</v>
      </c>
    </row>
    <row r="38" spans="1:75" ht="25.2" customHeight="1" thickBot="1" x14ac:dyDescent="0.3">
      <c r="A38" s="50">
        <v>28</v>
      </c>
      <c r="B38" s="53"/>
      <c r="C38" s="101"/>
      <c r="D38" s="79"/>
      <c r="E38" s="168"/>
      <c r="F38" s="163"/>
      <c r="G38" s="89">
        <f t="shared" ref="G38:G78" si="92">SUM(E38:F38)</f>
        <v>0</v>
      </c>
      <c r="H38" s="176"/>
      <c r="I38" s="91"/>
      <c r="J38" s="173">
        <f t="shared" si="59"/>
        <v>0</v>
      </c>
      <c r="K38" s="90"/>
      <c r="L38" s="91"/>
      <c r="M38" s="89">
        <f t="shared" si="60"/>
        <v>0</v>
      </c>
      <c r="N38" s="176"/>
      <c r="O38" s="91"/>
      <c r="P38" s="173">
        <f t="shared" si="61"/>
        <v>0</v>
      </c>
      <c r="Q38" s="90"/>
      <c r="R38" s="91"/>
      <c r="S38" s="89">
        <f t="shared" si="62"/>
        <v>0</v>
      </c>
      <c r="T38" s="176"/>
      <c r="U38" s="91"/>
      <c r="V38" s="173">
        <f t="shared" si="63"/>
        <v>0</v>
      </c>
      <c r="W38" s="90"/>
      <c r="X38" s="91"/>
      <c r="Y38" s="89">
        <f t="shared" si="64"/>
        <v>0</v>
      </c>
      <c r="Z38" s="176"/>
      <c r="AA38" s="91"/>
      <c r="AB38" s="173">
        <f t="shared" si="65"/>
        <v>0</v>
      </c>
      <c r="AC38" s="90"/>
      <c r="AD38" s="91"/>
      <c r="AE38" s="89">
        <f t="shared" si="66"/>
        <v>0</v>
      </c>
      <c r="AF38" s="176"/>
      <c r="AG38" s="91"/>
      <c r="AH38" s="89">
        <f t="shared" si="84"/>
        <v>0</v>
      </c>
      <c r="AI38" s="160">
        <f t="shared" si="85"/>
        <v>0</v>
      </c>
      <c r="AJ38" s="200" t="str">
        <f t="shared" si="53"/>
        <v>ممتاز</v>
      </c>
      <c r="AK38" s="65" t="e">
        <f t="shared" si="54"/>
        <v>#DIV/0!</v>
      </c>
      <c r="AM38" s="50">
        <f t="shared" si="80"/>
        <v>28</v>
      </c>
      <c r="AN38" s="86">
        <f t="shared" si="81"/>
        <v>0</v>
      </c>
      <c r="AO38" s="98">
        <f t="shared" si="82"/>
        <v>0</v>
      </c>
      <c r="AP38" s="79">
        <f t="shared" si="83"/>
        <v>0</v>
      </c>
      <c r="AQ38" s="168">
        <f t="shared" si="90"/>
        <v>0</v>
      </c>
      <c r="AR38" s="163"/>
      <c r="AS38" s="89">
        <f t="shared" si="69"/>
        <v>0</v>
      </c>
      <c r="AT38" s="184"/>
      <c r="AU38" s="185"/>
      <c r="AV38" s="186"/>
      <c r="AW38" s="168">
        <f t="shared" si="91"/>
        <v>0</v>
      </c>
      <c r="AX38" s="163"/>
      <c r="AY38" s="89">
        <f t="shared" si="70"/>
        <v>0</v>
      </c>
      <c r="AZ38" s="184"/>
      <c r="BA38" s="185"/>
      <c r="BB38" s="89">
        <f t="shared" si="71"/>
        <v>0</v>
      </c>
      <c r="BC38" s="184"/>
      <c r="BD38" s="163"/>
      <c r="BE38" s="89">
        <f t="shared" si="79"/>
        <v>0</v>
      </c>
      <c r="BF38" s="184"/>
      <c r="BG38" s="185"/>
      <c r="BH38" s="89">
        <f t="shared" si="72"/>
        <v>0</v>
      </c>
      <c r="BI38" s="184"/>
      <c r="BJ38" s="185"/>
      <c r="BK38" s="89">
        <f t="shared" si="73"/>
        <v>0</v>
      </c>
      <c r="BL38" s="184">
        <f t="shared" si="46"/>
        <v>0</v>
      </c>
      <c r="BM38" s="185"/>
      <c r="BN38" s="89">
        <f t="shared" si="86"/>
        <v>0</v>
      </c>
      <c r="BO38" s="168"/>
      <c r="BP38" s="163"/>
      <c r="BQ38" s="89">
        <f t="shared" si="75"/>
        <v>0</v>
      </c>
      <c r="BR38" s="168">
        <f t="shared" si="87"/>
        <v>0</v>
      </c>
      <c r="BS38" s="163"/>
      <c r="BT38" s="89">
        <f t="shared" si="88"/>
        <v>0</v>
      </c>
      <c r="BU38" s="72">
        <f t="shared" si="89"/>
        <v>0</v>
      </c>
      <c r="BV38" s="194" t="str">
        <f>LOOKUP(BU38,'الفترة الاولى'!$BX$2:$BY$6)</f>
        <v>ممتاز</v>
      </c>
      <c r="BW38" s="73" t="e">
        <f>BU38/'الفترة الاولى'!$BZ$2</f>
        <v>#DIV/0!</v>
      </c>
    </row>
    <row r="39" spans="1:75" ht="25.2" customHeight="1" thickBot="1" x14ac:dyDescent="0.3">
      <c r="A39" s="51">
        <v>29</v>
      </c>
      <c r="B39" s="54"/>
      <c r="C39" s="102"/>
      <c r="D39" s="80"/>
      <c r="E39" s="169"/>
      <c r="F39" s="92"/>
      <c r="G39" s="170">
        <f t="shared" si="92"/>
        <v>0</v>
      </c>
      <c r="H39" s="177"/>
      <c r="I39" s="92"/>
      <c r="J39" s="173">
        <f t="shared" si="59"/>
        <v>0</v>
      </c>
      <c r="K39" s="93"/>
      <c r="L39" s="92"/>
      <c r="M39" s="89">
        <f t="shared" si="60"/>
        <v>0</v>
      </c>
      <c r="N39" s="177"/>
      <c r="O39" s="92"/>
      <c r="P39" s="173">
        <f t="shared" si="61"/>
        <v>0</v>
      </c>
      <c r="Q39" s="93"/>
      <c r="R39" s="92"/>
      <c r="S39" s="89">
        <f t="shared" si="62"/>
        <v>0</v>
      </c>
      <c r="T39" s="177"/>
      <c r="U39" s="92"/>
      <c r="V39" s="173">
        <f t="shared" si="63"/>
        <v>0</v>
      </c>
      <c r="W39" s="93"/>
      <c r="X39" s="92"/>
      <c r="Y39" s="89">
        <f t="shared" si="64"/>
        <v>0</v>
      </c>
      <c r="Z39" s="177"/>
      <c r="AA39" s="92"/>
      <c r="AB39" s="173">
        <f t="shared" si="65"/>
        <v>0</v>
      </c>
      <c r="AC39" s="93"/>
      <c r="AD39" s="92"/>
      <c r="AE39" s="89">
        <f t="shared" si="66"/>
        <v>0</v>
      </c>
      <c r="AF39" s="177"/>
      <c r="AG39" s="92"/>
      <c r="AH39" s="170">
        <f t="shared" si="84"/>
        <v>0</v>
      </c>
      <c r="AI39" s="161">
        <f t="shared" si="85"/>
        <v>0</v>
      </c>
      <c r="AJ39" s="201" t="str">
        <f t="shared" si="53"/>
        <v>ممتاز</v>
      </c>
      <c r="AK39" s="66" t="e">
        <f t="shared" si="54"/>
        <v>#DIV/0!</v>
      </c>
      <c r="AM39" s="51">
        <f t="shared" si="80"/>
        <v>29</v>
      </c>
      <c r="AN39" s="87">
        <f t="shared" si="81"/>
        <v>0</v>
      </c>
      <c r="AO39" s="99">
        <f t="shared" si="82"/>
        <v>0</v>
      </c>
      <c r="AP39" s="80">
        <f t="shared" si="83"/>
        <v>0</v>
      </c>
      <c r="AQ39" s="169">
        <f t="shared" si="90"/>
        <v>0</v>
      </c>
      <c r="AR39" s="188"/>
      <c r="AS39" s="89">
        <f t="shared" si="69"/>
        <v>0</v>
      </c>
      <c r="AT39" s="184"/>
      <c r="AU39" s="185"/>
      <c r="AV39" s="186"/>
      <c r="AW39" s="169">
        <f t="shared" si="91"/>
        <v>0</v>
      </c>
      <c r="AX39" s="188"/>
      <c r="AY39" s="89">
        <f t="shared" si="70"/>
        <v>0</v>
      </c>
      <c r="AZ39" s="184"/>
      <c r="BA39" s="185"/>
      <c r="BB39" s="89">
        <f t="shared" si="71"/>
        <v>0</v>
      </c>
      <c r="BC39" s="184"/>
      <c r="BD39" s="188"/>
      <c r="BE39" s="89">
        <f t="shared" si="79"/>
        <v>0</v>
      </c>
      <c r="BF39" s="184"/>
      <c r="BG39" s="185"/>
      <c r="BH39" s="89">
        <f t="shared" si="72"/>
        <v>0</v>
      </c>
      <c r="BI39" s="184"/>
      <c r="BJ39" s="185"/>
      <c r="BK39" s="89">
        <f t="shared" si="73"/>
        <v>0</v>
      </c>
      <c r="BL39" s="184">
        <f t="shared" si="46"/>
        <v>0</v>
      </c>
      <c r="BM39" s="185"/>
      <c r="BN39" s="170">
        <f t="shared" si="86"/>
        <v>0</v>
      </c>
      <c r="BO39" s="169"/>
      <c r="BP39" s="188"/>
      <c r="BQ39" s="89">
        <f t="shared" si="75"/>
        <v>0</v>
      </c>
      <c r="BR39" s="169">
        <f t="shared" si="87"/>
        <v>0</v>
      </c>
      <c r="BS39" s="188"/>
      <c r="BT39" s="170">
        <f t="shared" si="88"/>
        <v>0</v>
      </c>
      <c r="BU39" s="74">
        <f t="shared" si="89"/>
        <v>0</v>
      </c>
      <c r="BV39" s="195" t="str">
        <f>LOOKUP(BU39,'الفترة الاولى'!$BX$2:$BY$6)</f>
        <v>ممتاز</v>
      </c>
      <c r="BW39" s="75" t="e">
        <f>BU39/'الفترة الاولى'!$BZ$2</f>
        <v>#DIV/0!</v>
      </c>
    </row>
    <row r="40" spans="1:75" ht="25.2" customHeight="1" thickBot="1" x14ac:dyDescent="0.3">
      <c r="A40" s="52">
        <v>30</v>
      </c>
      <c r="B40" s="55"/>
      <c r="C40" s="103"/>
      <c r="D40" s="81"/>
      <c r="E40" s="171"/>
      <c r="F40" s="94"/>
      <c r="G40" s="172">
        <f t="shared" si="92"/>
        <v>0</v>
      </c>
      <c r="H40" s="178"/>
      <c r="I40" s="94"/>
      <c r="J40" s="173">
        <f t="shared" si="59"/>
        <v>0</v>
      </c>
      <c r="K40" s="95"/>
      <c r="L40" s="94"/>
      <c r="M40" s="89">
        <f t="shared" si="60"/>
        <v>0</v>
      </c>
      <c r="N40" s="178"/>
      <c r="O40" s="94"/>
      <c r="P40" s="173">
        <f t="shared" si="61"/>
        <v>0</v>
      </c>
      <c r="Q40" s="95"/>
      <c r="R40" s="94"/>
      <c r="S40" s="89">
        <f t="shared" si="62"/>
        <v>0</v>
      </c>
      <c r="T40" s="178"/>
      <c r="U40" s="94"/>
      <c r="V40" s="173">
        <f t="shared" si="63"/>
        <v>0</v>
      </c>
      <c r="W40" s="95"/>
      <c r="X40" s="94"/>
      <c r="Y40" s="89">
        <f t="shared" si="64"/>
        <v>0</v>
      </c>
      <c r="Z40" s="178"/>
      <c r="AA40" s="94"/>
      <c r="AB40" s="173">
        <f t="shared" si="65"/>
        <v>0</v>
      </c>
      <c r="AC40" s="95"/>
      <c r="AD40" s="94"/>
      <c r="AE40" s="89">
        <f t="shared" si="66"/>
        <v>0</v>
      </c>
      <c r="AF40" s="178"/>
      <c r="AG40" s="94"/>
      <c r="AH40" s="172">
        <f t="shared" si="84"/>
        <v>0</v>
      </c>
      <c r="AI40" s="162">
        <f t="shared" si="85"/>
        <v>0</v>
      </c>
      <c r="AJ40" s="202" t="str">
        <f t="shared" si="53"/>
        <v>ممتاز</v>
      </c>
      <c r="AK40" s="67" t="e">
        <f t="shared" si="54"/>
        <v>#DIV/0!</v>
      </c>
      <c r="AM40" s="52">
        <f t="shared" si="80"/>
        <v>30</v>
      </c>
      <c r="AN40" s="88">
        <f t="shared" si="81"/>
        <v>0</v>
      </c>
      <c r="AO40" s="100">
        <f t="shared" si="82"/>
        <v>0</v>
      </c>
      <c r="AP40" s="81">
        <f t="shared" si="83"/>
        <v>0</v>
      </c>
      <c r="AQ40" s="171">
        <f t="shared" si="90"/>
        <v>0</v>
      </c>
      <c r="AR40" s="189"/>
      <c r="AS40" s="89">
        <f t="shared" si="69"/>
        <v>0</v>
      </c>
      <c r="AT40" s="184"/>
      <c r="AU40" s="185"/>
      <c r="AV40" s="186"/>
      <c r="AW40" s="171">
        <f t="shared" si="91"/>
        <v>0</v>
      </c>
      <c r="AX40" s="189"/>
      <c r="AY40" s="89">
        <f t="shared" si="70"/>
        <v>0</v>
      </c>
      <c r="AZ40" s="184"/>
      <c r="BA40" s="185"/>
      <c r="BB40" s="89">
        <f t="shared" si="71"/>
        <v>0</v>
      </c>
      <c r="BC40" s="184"/>
      <c r="BD40" s="189"/>
      <c r="BE40" s="89">
        <f t="shared" si="79"/>
        <v>0</v>
      </c>
      <c r="BF40" s="184"/>
      <c r="BG40" s="185"/>
      <c r="BH40" s="89">
        <f t="shared" si="72"/>
        <v>0</v>
      </c>
      <c r="BI40" s="184"/>
      <c r="BJ40" s="185"/>
      <c r="BK40" s="89">
        <f t="shared" si="73"/>
        <v>0</v>
      </c>
      <c r="BL40" s="184">
        <f t="shared" si="46"/>
        <v>0</v>
      </c>
      <c r="BM40" s="185"/>
      <c r="BN40" s="172">
        <f t="shared" si="86"/>
        <v>0</v>
      </c>
      <c r="BO40" s="171"/>
      <c r="BP40" s="189"/>
      <c r="BQ40" s="89">
        <f t="shared" si="75"/>
        <v>0</v>
      </c>
      <c r="BR40" s="171">
        <f t="shared" si="87"/>
        <v>0</v>
      </c>
      <c r="BS40" s="189"/>
      <c r="BT40" s="172">
        <f t="shared" si="88"/>
        <v>0</v>
      </c>
      <c r="BU40" s="76">
        <f t="shared" si="89"/>
        <v>0</v>
      </c>
      <c r="BV40" s="196" t="str">
        <f>LOOKUP(BU40,'الفترة الاولى'!$BX$2:$BY$6)</f>
        <v>ممتاز</v>
      </c>
      <c r="BW40" s="77" t="e">
        <f>BU40/'الفترة الاولى'!$BZ$2</f>
        <v>#DIV/0!</v>
      </c>
    </row>
    <row r="41" spans="1:75" ht="25.2" customHeight="1" thickBot="1" x14ac:dyDescent="0.3">
      <c r="A41" s="50">
        <v>31</v>
      </c>
      <c r="B41" s="53"/>
      <c r="C41" s="101"/>
      <c r="D41" s="79"/>
      <c r="E41" s="168"/>
      <c r="F41" s="163"/>
      <c r="G41" s="89">
        <f t="shared" si="92"/>
        <v>0</v>
      </c>
      <c r="H41" s="176"/>
      <c r="I41" s="91"/>
      <c r="J41" s="173">
        <f t="shared" si="59"/>
        <v>0</v>
      </c>
      <c r="K41" s="90"/>
      <c r="L41" s="91"/>
      <c r="M41" s="89">
        <f t="shared" si="60"/>
        <v>0</v>
      </c>
      <c r="N41" s="176"/>
      <c r="O41" s="91"/>
      <c r="P41" s="173">
        <f t="shared" si="61"/>
        <v>0</v>
      </c>
      <c r="Q41" s="90"/>
      <c r="R41" s="91"/>
      <c r="S41" s="89">
        <f t="shared" si="62"/>
        <v>0</v>
      </c>
      <c r="T41" s="176"/>
      <c r="U41" s="91"/>
      <c r="V41" s="173">
        <f t="shared" si="63"/>
        <v>0</v>
      </c>
      <c r="W41" s="90"/>
      <c r="X41" s="91"/>
      <c r="Y41" s="89">
        <f t="shared" si="64"/>
        <v>0</v>
      </c>
      <c r="Z41" s="176"/>
      <c r="AA41" s="91"/>
      <c r="AB41" s="173">
        <f t="shared" si="65"/>
        <v>0</v>
      </c>
      <c r="AC41" s="90"/>
      <c r="AD41" s="91"/>
      <c r="AE41" s="89">
        <f t="shared" si="66"/>
        <v>0</v>
      </c>
      <c r="AF41" s="176"/>
      <c r="AG41" s="91"/>
      <c r="AH41" s="89">
        <f t="shared" si="84"/>
        <v>0</v>
      </c>
      <c r="AI41" s="160">
        <f t="shared" si="85"/>
        <v>0</v>
      </c>
      <c r="AJ41" s="200" t="str">
        <f t="shared" si="53"/>
        <v>ممتاز</v>
      </c>
      <c r="AK41" s="65" t="e">
        <f t="shared" si="54"/>
        <v>#DIV/0!</v>
      </c>
      <c r="AM41" s="50">
        <f t="shared" si="80"/>
        <v>31</v>
      </c>
      <c r="AN41" s="86">
        <f t="shared" si="81"/>
        <v>0</v>
      </c>
      <c r="AO41" s="98">
        <f t="shared" si="82"/>
        <v>0</v>
      </c>
      <c r="AP41" s="79">
        <f t="shared" si="83"/>
        <v>0</v>
      </c>
      <c r="AQ41" s="168">
        <f t="shared" si="90"/>
        <v>0</v>
      </c>
      <c r="AR41" s="163"/>
      <c r="AS41" s="89">
        <f t="shared" si="69"/>
        <v>0</v>
      </c>
      <c r="AT41" s="184"/>
      <c r="AU41" s="185"/>
      <c r="AV41" s="186"/>
      <c r="AW41" s="168">
        <f t="shared" si="91"/>
        <v>0</v>
      </c>
      <c r="AX41" s="163"/>
      <c r="AY41" s="89">
        <f t="shared" si="70"/>
        <v>0</v>
      </c>
      <c r="AZ41" s="184"/>
      <c r="BA41" s="185"/>
      <c r="BB41" s="89">
        <f t="shared" si="71"/>
        <v>0</v>
      </c>
      <c r="BC41" s="184"/>
      <c r="BD41" s="163"/>
      <c r="BE41" s="89">
        <f t="shared" si="79"/>
        <v>0</v>
      </c>
      <c r="BF41" s="184"/>
      <c r="BG41" s="185"/>
      <c r="BH41" s="89">
        <f t="shared" si="72"/>
        <v>0</v>
      </c>
      <c r="BI41" s="184"/>
      <c r="BJ41" s="185"/>
      <c r="BK41" s="89">
        <f t="shared" si="73"/>
        <v>0</v>
      </c>
      <c r="BL41" s="184">
        <f t="shared" si="46"/>
        <v>0</v>
      </c>
      <c r="BM41" s="185"/>
      <c r="BN41" s="89">
        <f t="shared" si="86"/>
        <v>0</v>
      </c>
      <c r="BO41" s="168"/>
      <c r="BP41" s="163"/>
      <c r="BQ41" s="89">
        <f t="shared" si="75"/>
        <v>0</v>
      </c>
      <c r="BR41" s="168">
        <f t="shared" si="87"/>
        <v>0</v>
      </c>
      <c r="BS41" s="163"/>
      <c r="BT41" s="89">
        <f t="shared" si="88"/>
        <v>0</v>
      </c>
      <c r="BU41" s="72">
        <f t="shared" si="89"/>
        <v>0</v>
      </c>
      <c r="BV41" s="194" t="str">
        <f>LOOKUP(BU41,'الفترة الاولى'!$BX$2:$BY$6)</f>
        <v>ممتاز</v>
      </c>
      <c r="BW41" s="73" t="e">
        <f>BU41/'الفترة الاولى'!$BZ$2</f>
        <v>#DIV/0!</v>
      </c>
    </row>
    <row r="42" spans="1:75" ht="25.2" customHeight="1" thickBot="1" x14ac:dyDescent="0.3">
      <c r="A42" s="51">
        <v>32</v>
      </c>
      <c r="B42" s="54"/>
      <c r="C42" s="102"/>
      <c r="D42" s="80"/>
      <c r="E42" s="169"/>
      <c r="F42" s="92"/>
      <c r="G42" s="170">
        <f t="shared" si="92"/>
        <v>0</v>
      </c>
      <c r="H42" s="177"/>
      <c r="I42" s="92"/>
      <c r="J42" s="173">
        <f t="shared" si="59"/>
        <v>0</v>
      </c>
      <c r="K42" s="93"/>
      <c r="L42" s="92"/>
      <c r="M42" s="89">
        <f t="shared" si="60"/>
        <v>0</v>
      </c>
      <c r="N42" s="177"/>
      <c r="O42" s="92"/>
      <c r="P42" s="173">
        <f t="shared" si="61"/>
        <v>0</v>
      </c>
      <c r="Q42" s="93"/>
      <c r="R42" s="92"/>
      <c r="S42" s="89">
        <f t="shared" si="62"/>
        <v>0</v>
      </c>
      <c r="T42" s="177"/>
      <c r="U42" s="92"/>
      <c r="V42" s="173">
        <f t="shared" si="63"/>
        <v>0</v>
      </c>
      <c r="W42" s="93"/>
      <c r="X42" s="92"/>
      <c r="Y42" s="89">
        <f t="shared" si="64"/>
        <v>0</v>
      </c>
      <c r="Z42" s="177"/>
      <c r="AA42" s="92"/>
      <c r="AB42" s="173">
        <f t="shared" si="65"/>
        <v>0</v>
      </c>
      <c r="AC42" s="93"/>
      <c r="AD42" s="92"/>
      <c r="AE42" s="89">
        <f t="shared" si="66"/>
        <v>0</v>
      </c>
      <c r="AF42" s="177"/>
      <c r="AG42" s="92"/>
      <c r="AH42" s="170">
        <f t="shared" si="84"/>
        <v>0</v>
      </c>
      <c r="AI42" s="161">
        <f t="shared" si="85"/>
        <v>0</v>
      </c>
      <c r="AJ42" s="201" t="str">
        <f t="shared" si="53"/>
        <v>ممتاز</v>
      </c>
      <c r="AK42" s="66" t="e">
        <f t="shared" si="54"/>
        <v>#DIV/0!</v>
      </c>
      <c r="AM42" s="51">
        <f t="shared" si="80"/>
        <v>32</v>
      </c>
      <c r="AN42" s="87">
        <f t="shared" si="81"/>
        <v>0</v>
      </c>
      <c r="AO42" s="99">
        <f t="shared" si="82"/>
        <v>0</v>
      </c>
      <c r="AP42" s="80">
        <f t="shared" si="83"/>
        <v>0</v>
      </c>
      <c r="AQ42" s="169">
        <f t="shared" si="90"/>
        <v>0</v>
      </c>
      <c r="AR42" s="188"/>
      <c r="AS42" s="89">
        <f t="shared" si="69"/>
        <v>0</v>
      </c>
      <c r="AT42" s="184"/>
      <c r="AU42" s="185"/>
      <c r="AV42" s="186"/>
      <c r="AW42" s="169">
        <f t="shared" si="91"/>
        <v>0</v>
      </c>
      <c r="AX42" s="188"/>
      <c r="AY42" s="89">
        <f t="shared" si="70"/>
        <v>0</v>
      </c>
      <c r="AZ42" s="184"/>
      <c r="BA42" s="185"/>
      <c r="BB42" s="89">
        <f t="shared" si="71"/>
        <v>0</v>
      </c>
      <c r="BC42" s="184"/>
      <c r="BD42" s="188"/>
      <c r="BE42" s="89">
        <f t="shared" si="79"/>
        <v>0</v>
      </c>
      <c r="BF42" s="184"/>
      <c r="BG42" s="185"/>
      <c r="BH42" s="89">
        <f t="shared" si="72"/>
        <v>0</v>
      </c>
      <c r="BI42" s="184"/>
      <c r="BJ42" s="185"/>
      <c r="BK42" s="89">
        <f t="shared" si="73"/>
        <v>0</v>
      </c>
      <c r="BL42" s="184">
        <f t="shared" si="46"/>
        <v>0</v>
      </c>
      <c r="BM42" s="185"/>
      <c r="BN42" s="170">
        <f t="shared" si="86"/>
        <v>0</v>
      </c>
      <c r="BO42" s="169"/>
      <c r="BP42" s="188"/>
      <c r="BQ42" s="89">
        <f t="shared" si="75"/>
        <v>0</v>
      </c>
      <c r="BR42" s="169">
        <f t="shared" si="87"/>
        <v>0</v>
      </c>
      <c r="BS42" s="188"/>
      <c r="BT42" s="170">
        <f t="shared" si="88"/>
        <v>0</v>
      </c>
      <c r="BU42" s="74">
        <f t="shared" si="89"/>
        <v>0</v>
      </c>
      <c r="BV42" s="195" t="str">
        <f>LOOKUP(BU42,'الفترة الاولى'!$BX$2:$BY$6)</f>
        <v>ممتاز</v>
      </c>
      <c r="BW42" s="75" t="e">
        <f>BU42/'الفترة الاولى'!$BZ$2</f>
        <v>#DIV/0!</v>
      </c>
    </row>
    <row r="43" spans="1:75" ht="25.2" customHeight="1" thickBot="1" x14ac:dyDescent="0.3">
      <c r="A43" s="52">
        <v>33</v>
      </c>
      <c r="B43" s="55"/>
      <c r="C43" s="103"/>
      <c r="D43" s="81"/>
      <c r="E43" s="171"/>
      <c r="F43" s="94"/>
      <c r="G43" s="172">
        <f t="shared" si="92"/>
        <v>0</v>
      </c>
      <c r="H43" s="178"/>
      <c r="I43" s="94"/>
      <c r="J43" s="173">
        <f t="shared" si="59"/>
        <v>0</v>
      </c>
      <c r="K43" s="95"/>
      <c r="L43" s="94"/>
      <c r="M43" s="89">
        <f t="shared" si="60"/>
        <v>0</v>
      </c>
      <c r="N43" s="178"/>
      <c r="O43" s="94"/>
      <c r="P43" s="173">
        <f t="shared" si="61"/>
        <v>0</v>
      </c>
      <c r="Q43" s="95"/>
      <c r="R43" s="94"/>
      <c r="S43" s="89">
        <f t="shared" si="62"/>
        <v>0</v>
      </c>
      <c r="T43" s="178"/>
      <c r="U43" s="94"/>
      <c r="V43" s="173">
        <f t="shared" si="63"/>
        <v>0</v>
      </c>
      <c r="W43" s="95"/>
      <c r="X43" s="94"/>
      <c r="Y43" s="89">
        <f t="shared" si="64"/>
        <v>0</v>
      </c>
      <c r="Z43" s="178"/>
      <c r="AA43" s="94"/>
      <c r="AB43" s="173">
        <f t="shared" si="65"/>
        <v>0</v>
      </c>
      <c r="AC43" s="95"/>
      <c r="AD43" s="94"/>
      <c r="AE43" s="89">
        <f t="shared" si="66"/>
        <v>0</v>
      </c>
      <c r="AF43" s="178"/>
      <c r="AG43" s="94"/>
      <c r="AH43" s="172">
        <f t="shared" si="84"/>
        <v>0</v>
      </c>
      <c r="AI43" s="162">
        <f t="shared" si="85"/>
        <v>0</v>
      </c>
      <c r="AJ43" s="202" t="str">
        <f t="shared" si="53"/>
        <v>ممتاز</v>
      </c>
      <c r="AK43" s="67" t="e">
        <f t="shared" si="54"/>
        <v>#DIV/0!</v>
      </c>
      <c r="AM43" s="52">
        <f t="shared" si="80"/>
        <v>33</v>
      </c>
      <c r="AN43" s="88">
        <f t="shared" si="81"/>
        <v>0</v>
      </c>
      <c r="AO43" s="100">
        <f t="shared" si="82"/>
        <v>0</v>
      </c>
      <c r="AP43" s="81">
        <f t="shared" si="83"/>
        <v>0</v>
      </c>
      <c r="AQ43" s="171">
        <f t="shared" si="90"/>
        <v>0</v>
      </c>
      <c r="AR43" s="189"/>
      <c r="AS43" s="89">
        <f t="shared" si="69"/>
        <v>0</v>
      </c>
      <c r="AT43" s="184"/>
      <c r="AU43" s="189"/>
      <c r="AV43" s="186"/>
      <c r="AW43" s="171">
        <f t="shared" si="91"/>
        <v>0</v>
      </c>
      <c r="AX43" s="189"/>
      <c r="AY43" s="89">
        <f t="shared" si="70"/>
        <v>0</v>
      </c>
      <c r="AZ43" s="184"/>
      <c r="BA43" s="185"/>
      <c r="BB43" s="89">
        <f t="shared" si="71"/>
        <v>0</v>
      </c>
      <c r="BC43" s="184"/>
      <c r="BD43" s="189"/>
      <c r="BE43" s="89">
        <f t="shared" si="79"/>
        <v>0</v>
      </c>
      <c r="BF43" s="184"/>
      <c r="BG43" s="185"/>
      <c r="BH43" s="89">
        <f t="shared" si="72"/>
        <v>0</v>
      </c>
      <c r="BI43" s="184"/>
      <c r="BJ43" s="185"/>
      <c r="BK43" s="89">
        <f t="shared" si="73"/>
        <v>0</v>
      </c>
      <c r="BL43" s="184">
        <f t="shared" si="46"/>
        <v>0</v>
      </c>
      <c r="BM43" s="185"/>
      <c r="BN43" s="172">
        <f t="shared" si="86"/>
        <v>0</v>
      </c>
      <c r="BO43" s="171"/>
      <c r="BP43" s="189"/>
      <c r="BQ43" s="89">
        <f t="shared" si="75"/>
        <v>0</v>
      </c>
      <c r="BR43" s="171">
        <f t="shared" si="87"/>
        <v>0</v>
      </c>
      <c r="BS43" s="189"/>
      <c r="BT43" s="172">
        <f t="shared" si="88"/>
        <v>0</v>
      </c>
      <c r="BU43" s="76">
        <f t="shared" si="89"/>
        <v>0</v>
      </c>
      <c r="BV43" s="196" t="str">
        <f>LOOKUP(BU43,'الفترة الاولى'!$BX$2:$BY$6)</f>
        <v>ممتاز</v>
      </c>
      <c r="BW43" s="77" t="e">
        <f>BU43/'الفترة الاولى'!$BZ$2</f>
        <v>#DIV/0!</v>
      </c>
    </row>
    <row r="44" spans="1:75" ht="25.2" customHeight="1" thickBot="1" x14ac:dyDescent="0.3">
      <c r="A44" s="50">
        <v>34</v>
      </c>
      <c r="B44" s="53"/>
      <c r="C44" s="101"/>
      <c r="D44" s="79"/>
      <c r="E44" s="168"/>
      <c r="F44" s="163"/>
      <c r="G44" s="89">
        <f t="shared" si="92"/>
        <v>0</v>
      </c>
      <c r="H44" s="176"/>
      <c r="I44" s="91"/>
      <c r="J44" s="173">
        <f t="shared" si="59"/>
        <v>0</v>
      </c>
      <c r="K44" s="90"/>
      <c r="L44" s="91"/>
      <c r="M44" s="89">
        <f t="shared" si="60"/>
        <v>0</v>
      </c>
      <c r="N44" s="176"/>
      <c r="O44" s="91"/>
      <c r="P44" s="173">
        <f t="shared" si="61"/>
        <v>0</v>
      </c>
      <c r="Q44" s="90"/>
      <c r="R44" s="91"/>
      <c r="S44" s="89">
        <f t="shared" si="62"/>
        <v>0</v>
      </c>
      <c r="T44" s="176"/>
      <c r="U44" s="91"/>
      <c r="V44" s="173">
        <f t="shared" si="63"/>
        <v>0</v>
      </c>
      <c r="W44" s="90"/>
      <c r="X44" s="91"/>
      <c r="Y44" s="89">
        <f t="shared" si="64"/>
        <v>0</v>
      </c>
      <c r="Z44" s="176"/>
      <c r="AA44" s="91"/>
      <c r="AB44" s="173">
        <f t="shared" si="65"/>
        <v>0</v>
      </c>
      <c r="AC44" s="90"/>
      <c r="AD44" s="91"/>
      <c r="AE44" s="89">
        <f t="shared" si="66"/>
        <v>0</v>
      </c>
      <c r="AF44" s="176"/>
      <c r="AG44" s="91"/>
      <c r="AH44" s="89">
        <f t="shared" si="84"/>
        <v>0</v>
      </c>
      <c r="AI44" s="160">
        <f t="shared" si="85"/>
        <v>0</v>
      </c>
      <c r="AJ44" s="200" t="str">
        <f t="shared" si="53"/>
        <v>ممتاز</v>
      </c>
      <c r="AK44" s="65" t="e">
        <f t="shared" si="54"/>
        <v>#DIV/0!</v>
      </c>
      <c r="AM44" s="50">
        <f t="shared" si="80"/>
        <v>34</v>
      </c>
      <c r="AN44" s="86">
        <f t="shared" si="81"/>
        <v>0</v>
      </c>
      <c r="AO44" s="98">
        <f t="shared" si="82"/>
        <v>0</v>
      </c>
      <c r="AP44" s="79">
        <f t="shared" si="83"/>
        <v>0</v>
      </c>
      <c r="AQ44" s="168">
        <f t="shared" si="90"/>
        <v>0</v>
      </c>
      <c r="AR44" s="163"/>
      <c r="AS44" s="89">
        <f t="shared" si="69"/>
        <v>0</v>
      </c>
      <c r="AT44" s="184"/>
      <c r="AU44" s="163"/>
      <c r="AV44" s="186"/>
      <c r="AW44" s="168">
        <f t="shared" si="91"/>
        <v>0</v>
      </c>
      <c r="AX44" s="163"/>
      <c r="AY44" s="89">
        <f t="shared" si="70"/>
        <v>0</v>
      </c>
      <c r="AZ44" s="184"/>
      <c r="BA44" s="185"/>
      <c r="BB44" s="89">
        <f t="shared" si="71"/>
        <v>0</v>
      </c>
      <c r="BC44" s="184"/>
      <c r="BD44" s="163"/>
      <c r="BE44" s="89">
        <f t="shared" si="79"/>
        <v>0</v>
      </c>
      <c r="BF44" s="184"/>
      <c r="BG44" s="185"/>
      <c r="BH44" s="89">
        <f t="shared" si="72"/>
        <v>0</v>
      </c>
      <c r="BI44" s="184"/>
      <c r="BJ44" s="185"/>
      <c r="BK44" s="89">
        <f t="shared" si="73"/>
        <v>0</v>
      </c>
      <c r="BL44" s="184">
        <f t="shared" si="46"/>
        <v>0</v>
      </c>
      <c r="BM44" s="185"/>
      <c r="BN44" s="89">
        <f t="shared" si="86"/>
        <v>0</v>
      </c>
      <c r="BO44" s="168"/>
      <c r="BP44" s="163"/>
      <c r="BQ44" s="89">
        <f t="shared" si="75"/>
        <v>0</v>
      </c>
      <c r="BR44" s="168">
        <f t="shared" si="87"/>
        <v>0</v>
      </c>
      <c r="BS44" s="163"/>
      <c r="BT44" s="89">
        <f t="shared" si="88"/>
        <v>0</v>
      </c>
      <c r="BU44" s="72">
        <f t="shared" si="89"/>
        <v>0</v>
      </c>
      <c r="BV44" s="194" t="str">
        <f>LOOKUP(BU44,'الفترة الاولى'!$BX$2:$BY$6)</f>
        <v>ممتاز</v>
      </c>
      <c r="BW44" s="73" t="e">
        <f>BU44/'الفترة الاولى'!$BZ$2</f>
        <v>#DIV/0!</v>
      </c>
    </row>
    <row r="45" spans="1:75" ht="25.2" customHeight="1" thickBot="1" x14ac:dyDescent="0.3">
      <c r="A45" s="51">
        <v>35</v>
      </c>
      <c r="B45" s="54"/>
      <c r="C45" s="102"/>
      <c r="D45" s="80"/>
      <c r="E45" s="169"/>
      <c r="F45" s="92"/>
      <c r="G45" s="170">
        <f t="shared" si="92"/>
        <v>0</v>
      </c>
      <c r="H45" s="177"/>
      <c r="I45" s="92"/>
      <c r="J45" s="173">
        <f t="shared" si="59"/>
        <v>0</v>
      </c>
      <c r="K45" s="93"/>
      <c r="L45" s="92"/>
      <c r="M45" s="89">
        <f t="shared" si="60"/>
        <v>0</v>
      </c>
      <c r="N45" s="177"/>
      <c r="O45" s="92"/>
      <c r="P45" s="173">
        <f t="shared" si="61"/>
        <v>0</v>
      </c>
      <c r="Q45" s="93"/>
      <c r="R45" s="92"/>
      <c r="S45" s="89">
        <f t="shared" si="62"/>
        <v>0</v>
      </c>
      <c r="T45" s="177"/>
      <c r="U45" s="92"/>
      <c r="V45" s="173">
        <f t="shared" si="63"/>
        <v>0</v>
      </c>
      <c r="W45" s="93"/>
      <c r="X45" s="92"/>
      <c r="Y45" s="89">
        <f t="shared" si="64"/>
        <v>0</v>
      </c>
      <c r="Z45" s="177"/>
      <c r="AA45" s="92"/>
      <c r="AB45" s="173">
        <f t="shared" si="65"/>
        <v>0</v>
      </c>
      <c r="AC45" s="93"/>
      <c r="AD45" s="92"/>
      <c r="AE45" s="89">
        <f t="shared" si="66"/>
        <v>0</v>
      </c>
      <c r="AF45" s="177"/>
      <c r="AG45" s="92"/>
      <c r="AH45" s="170">
        <f t="shared" si="84"/>
        <v>0</v>
      </c>
      <c r="AI45" s="161">
        <f t="shared" si="85"/>
        <v>0</v>
      </c>
      <c r="AJ45" s="201" t="str">
        <f t="shared" si="53"/>
        <v>ممتاز</v>
      </c>
      <c r="AK45" s="66" t="e">
        <f t="shared" si="54"/>
        <v>#DIV/0!</v>
      </c>
      <c r="AM45" s="51">
        <f t="shared" si="80"/>
        <v>35</v>
      </c>
      <c r="AN45" s="87">
        <f t="shared" si="81"/>
        <v>0</v>
      </c>
      <c r="AO45" s="99">
        <f t="shared" si="82"/>
        <v>0</v>
      </c>
      <c r="AP45" s="80">
        <f t="shared" si="83"/>
        <v>0</v>
      </c>
      <c r="AQ45" s="169">
        <f t="shared" si="90"/>
        <v>0</v>
      </c>
      <c r="AR45" s="188"/>
      <c r="AS45" s="89">
        <f t="shared" si="69"/>
        <v>0</v>
      </c>
      <c r="AT45" s="184"/>
      <c r="AU45" s="188"/>
      <c r="AV45" s="186"/>
      <c r="AW45" s="169">
        <f t="shared" si="91"/>
        <v>0</v>
      </c>
      <c r="AX45" s="188"/>
      <c r="AY45" s="89">
        <f t="shared" si="70"/>
        <v>0</v>
      </c>
      <c r="AZ45" s="184"/>
      <c r="BA45" s="185"/>
      <c r="BB45" s="89">
        <f t="shared" si="71"/>
        <v>0</v>
      </c>
      <c r="BC45" s="184"/>
      <c r="BD45" s="188"/>
      <c r="BE45" s="89">
        <f t="shared" si="79"/>
        <v>0</v>
      </c>
      <c r="BF45" s="184"/>
      <c r="BG45" s="185"/>
      <c r="BH45" s="89">
        <f t="shared" si="72"/>
        <v>0</v>
      </c>
      <c r="BI45" s="184"/>
      <c r="BJ45" s="185"/>
      <c r="BK45" s="89">
        <f t="shared" si="73"/>
        <v>0</v>
      </c>
      <c r="BL45" s="184">
        <f t="shared" si="46"/>
        <v>0</v>
      </c>
      <c r="BM45" s="185">
        <f t="shared" si="47"/>
        <v>0</v>
      </c>
      <c r="BN45" s="170">
        <f t="shared" si="86"/>
        <v>0</v>
      </c>
      <c r="BO45" s="169">
        <f t="shared" ref="BO45:BO78" si="93">AC45</f>
        <v>0</v>
      </c>
      <c r="BP45" s="188"/>
      <c r="BQ45" s="89">
        <f t="shared" si="75"/>
        <v>0</v>
      </c>
      <c r="BR45" s="169">
        <f t="shared" si="87"/>
        <v>0</v>
      </c>
      <c r="BS45" s="188"/>
      <c r="BT45" s="170">
        <f t="shared" si="88"/>
        <v>0</v>
      </c>
      <c r="BU45" s="74">
        <f t="shared" si="89"/>
        <v>0</v>
      </c>
      <c r="BV45" s="195" t="str">
        <f>LOOKUP(BU45,'الفترة الاولى'!$BX$2:$BY$6)</f>
        <v>ممتاز</v>
      </c>
      <c r="BW45" s="75" t="e">
        <f>BU45/'الفترة الاولى'!$BZ$2</f>
        <v>#DIV/0!</v>
      </c>
    </row>
    <row r="46" spans="1:75" ht="25.2" customHeight="1" thickBot="1" x14ac:dyDescent="0.3">
      <c r="A46" s="52">
        <v>36</v>
      </c>
      <c r="B46" s="55"/>
      <c r="C46" s="103"/>
      <c r="D46" s="81"/>
      <c r="E46" s="171"/>
      <c r="F46" s="94"/>
      <c r="G46" s="172">
        <f t="shared" si="92"/>
        <v>0</v>
      </c>
      <c r="H46" s="178"/>
      <c r="I46" s="94"/>
      <c r="J46" s="173">
        <f t="shared" si="59"/>
        <v>0</v>
      </c>
      <c r="K46" s="95"/>
      <c r="L46" s="94"/>
      <c r="M46" s="89">
        <f t="shared" si="60"/>
        <v>0</v>
      </c>
      <c r="N46" s="178"/>
      <c r="O46" s="94"/>
      <c r="P46" s="173">
        <f t="shared" si="61"/>
        <v>0</v>
      </c>
      <c r="Q46" s="95"/>
      <c r="R46" s="94"/>
      <c r="S46" s="89">
        <f t="shared" si="62"/>
        <v>0</v>
      </c>
      <c r="T46" s="178"/>
      <c r="U46" s="94"/>
      <c r="V46" s="173">
        <f t="shared" si="63"/>
        <v>0</v>
      </c>
      <c r="W46" s="95"/>
      <c r="X46" s="94"/>
      <c r="Y46" s="89">
        <f t="shared" si="64"/>
        <v>0</v>
      </c>
      <c r="Z46" s="178"/>
      <c r="AA46" s="94"/>
      <c r="AB46" s="173">
        <f t="shared" si="65"/>
        <v>0</v>
      </c>
      <c r="AC46" s="95"/>
      <c r="AD46" s="94"/>
      <c r="AE46" s="89">
        <f t="shared" si="66"/>
        <v>0</v>
      </c>
      <c r="AF46" s="178"/>
      <c r="AG46" s="94"/>
      <c r="AH46" s="172">
        <f t="shared" si="84"/>
        <v>0</v>
      </c>
      <c r="AI46" s="162">
        <f t="shared" si="85"/>
        <v>0</v>
      </c>
      <c r="AJ46" s="202" t="str">
        <f t="shared" si="53"/>
        <v>ممتاز</v>
      </c>
      <c r="AK46" s="67" t="e">
        <f t="shared" si="54"/>
        <v>#DIV/0!</v>
      </c>
      <c r="AM46" s="52">
        <f t="shared" si="80"/>
        <v>36</v>
      </c>
      <c r="AN46" s="88">
        <f t="shared" si="81"/>
        <v>0</v>
      </c>
      <c r="AO46" s="100">
        <f t="shared" si="82"/>
        <v>0</v>
      </c>
      <c r="AP46" s="81">
        <f t="shared" si="83"/>
        <v>0</v>
      </c>
      <c r="AQ46" s="171">
        <f t="shared" si="90"/>
        <v>0</v>
      </c>
      <c r="AR46" s="189"/>
      <c r="AS46" s="89">
        <f t="shared" si="69"/>
        <v>0</v>
      </c>
      <c r="AT46" s="184"/>
      <c r="AU46" s="189"/>
      <c r="AV46" s="186"/>
      <c r="AW46" s="171">
        <f t="shared" si="91"/>
        <v>0</v>
      </c>
      <c r="AX46" s="189"/>
      <c r="AY46" s="89">
        <f t="shared" si="70"/>
        <v>0</v>
      </c>
      <c r="AZ46" s="184"/>
      <c r="BA46" s="185"/>
      <c r="BB46" s="172"/>
      <c r="BC46" s="184"/>
      <c r="BD46" s="189"/>
      <c r="BE46" s="89">
        <f t="shared" si="79"/>
        <v>0</v>
      </c>
      <c r="BF46" s="184"/>
      <c r="BG46" s="185"/>
      <c r="BH46" s="89">
        <f t="shared" si="72"/>
        <v>0</v>
      </c>
      <c r="BI46" s="184"/>
      <c r="BJ46" s="185"/>
      <c r="BK46" s="89">
        <f t="shared" si="73"/>
        <v>0</v>
      </c>
      <c r="BL46" s="184">
        <f t="shared" si="46"/>
        <v>0</v>
      </c>
      <c r="BM46" s="185">
        <f t="shared" si="47"/>
        <v>0</v>
      </c>
      <c r="BN46" s="172">
        <f t="shared" si="86"/>
        <v>0</v>
      </c>
      <c r="BO46" s="171">
        <f t="shared" si="93"/>
        <v>0</v>
      </c>
      <c r="BP46" s="189"/>
      <c r="BQ46" s="89">
        <f t="shared" si="75"/>
        <v>0</v>
      </c>
      <c r="BR46" s="171">
        <f t="shared" si="87"/>
        <v>0</v>
      </c>
      <c r="BS46" s="189"/>
      <c r="BT46" s="172">
        <f t="shared" si="88"/>
        <v>0</v>
      </c>
      <c r="BU46" s="76">
        <f t="shared" si="89"/>
        <v>0</v>
      </c>
      <c r="BV46" s="196" t="str">
        <f>LOOKUP(BU46,'الفترة الاولى'!$BX$2:$BY$6)</f>
        <v>ممتاز</v>
      </c>
      <c r="BW46" s="77" t="e">
        <f>BU46/'الفترة الاولى'!$BZ$2</f>
        <v>#DIV/0!</v>
      </c>
    </row>
    <row r="47" spans="1:75" ht="25.2" customHeight="1" thickBot="1" x14ac:dyDescent="0.3">
      <c r="A47" s="50">
        <v>37</v>
      </c>
      <c r="B47" s="53"/>
      <c r="C47" s="101"/>
      <c r="D47" s="79"/>
      <c r="E47" s="168"/>
      <c r="F47" s="163"/>
      <c r="G47" s="89">
        <f t="shared" si="92"/>
        <v>0</v>
      </c>
      <c r="H47" s="176"/>
      <c r="I47" s="91"/>
      <c r="J47" s="173">
        <f t="shared" si="59"/>
        <v>0</v>
      </c>
      <c r="K47" s="90"/>
      <c r="L47" s="91"/>
      <c r="M47" s="89">
        <f t="shared" si="60"/>
        <v>0</v>
      </c>
      <c r="N47" s="176"/>
      <c r="O47" s="91"/>
      <c r="P47" s="173">
        <f t="shared" si="61"/>
        <v>0</v>
      </c>
      <c r="Q47" s="90"/>
      <c r="R47" s="91"/>
      <c r="S47" s="89">
        <f t="shared" si="62"/>
        <v>0</v>
      </c>
      <c r="T47" s="176"/>
      <c r="U47" s="91"/>
      <c r="V47" s="173">
        <f t="shared" si="63"/>
        <v>0</v>
      </c>
      <c r="W47" s="90"/>
      <c r="X47" s="91"/>
      <c r="Y47" s="89">
        <f t="shared" si="64"/>
        <v>0</v>
      </c>
      <c r="Z47" s="176"/>
      <c r="AA47" s="91"/>
      <c r="AB47" s="173">
        <f t="shared" si="65"/>
        <v>0</v>
      </c>
      <c r="AC47" s="90"/>
      <c r="AD47" s="91"/>
      <c r="AE47" s="89">
        <f t="shared" si="66"/>
        <v>0</v>
      </c>
      <c r="AF47" s="176"/>
      <c r="AG47" s="91"/>
      <c r="AH47" s="89">
        <f t="shared" si="84"/>
        <v>0</v>
      </c>
      <c r="AI47" s="160">
        <f t="shared" si="85"/>
        <v>0</v>
      </c>
      <c r="AJ47" s="200" t="str">
        <f t="shared" si="53"/>
        <v>ممتاز</v>
      </c>
      <c r="AK47" s="65" t="e">
        <f t="shared" si="54"/>
        <v>#DIV/0!</v>
      </c>
      <c r="AM47" s="50">
        <f t="shared" si="80"/>
        <v>37</v>
      </c>
      <c r="AN47" s="86">
        <f t="shared" si="81"/>
        <v>0</v>
      </c>
      <c r="AO47" s="98">
        <f t="shared" si="82"/>
        <v>0</v>
      </c>
      <c r="AP47" s="79">
        <f t="shared" si="83"/>
        <v>0</v>
      </c>
      <c r="AQ47" s="168">
        <f t="shared" si="90"/>
        <v>0</v>
      </c>
      <c r="AR47" s="163"/>
      <c r="AS47" s="89">
        <f t="shared" si="69"/>
        <v>0</v>
      </c>
      <c r="AT47" s="184"/>
      <c r="AU47" s="163"/>
      <c r="AV47" s="186"/>
      <c r="AW47" s="168">
        <f t="shared" si="91"/>
        <v>0</v>
      </c>
      <c r="AX47" s="163"/>
      <c r="AY47" s="89">
        <f t="shared" si="70"/>
        <v>0</v>
      </c>
      <c r="AZ47" s="184"/>
      <c r="BA47" s="185"/>
      <c r="BB47" s="89"/>
      <c r="BC47" s="184"/>
      <c r="BD47" s="163"/>
      <c r="BE47" s="89">
        <f t="shared" si="79"/>
        <v>0</v>
      </c>
      <c r="BF47" s="184"/>
      <c r="BG47" s="185"/>
      <c r="BH47" s="89">
        <f t="shared" si="72"/>
        <v>0</v>
      </c>
      <c r="BI47" s="184"/>
      <c r="BJ47" s="185"/>
      <c r="BK47" s="89">
        <f t="shared" si="73"/>
        <v>0</v>
      </c>
      <c r="BL47" s="184">
        <f t="shared" si="46"/>
        <v>0</v>
      </c>
      <c r="BM47" s="185">
        <f t="shared" si="47"/>
        <v>0</v>
      </c>
      <c r="BN47" s="89">
        <f t="shared" si="86"/>
        <v>0</v>
      </c>
      <c r="BO47" s="168">
        <f t="shared" si="93"/>
        <v>0</v>
      </c>
      <c r="BP47" s="163"/>
      <c r="BQ47" s="89">
        <f t="shared" si="75"/>
        <v>0</v>
      </c>
      <c r="BR47" s="168">
        <f t="shared" si="87"/>
        <v>0</v>
      </c>
      <c r="BS47" s="163"/>
      <c r="BT47" s="89">
        <f t="shared" si="88"/>
        <v>0</v>
      </c>
      <c r="BU47" s="72">
        <f t="shared" si="89"/>
        <v>0</v>
      </c>
      <c r="BV47" s="194" t="str">
        <f>LOOKUP(BU47,'الفترة الاولى'!$BX$2:$BY$6)</f>
        <v>ممتاز</v>
      </c>
      <c r="BW47" s="73" t="e">
        <f>BU47/'الفترة الاولى'!$BZ$2</f>
        <v>#DIV/0!</v>
      </c>
    </row>
    <row r="48" spans="1:75" ht="25.2" customHeight="1" thickBot="1" x14ac:dyDescent="0.3">
      <c r="A48" s="51">
        <v>38</v>
      </c>
      <c r="B48" s="54"/>
      <c r="C48" s="102"/>
      <c r="D48" s="80"/>
      <c r="E48" s="169"/>
      <c r="F48" s="92"/>
      <c r="G48" s="170">
        <f t="shared" si="92"/>
        <v>0</v>
      </c>
      <c r="H48" s="177"/>
      <c r="I48" s="92"/>
      <c r="J48" s="173">
        <f t="shared" si="59"/>
        <v>0</v>
      </c>
      <c r="K48" s="93"/>
      <c r="L48" s="92"/>
      <c r="M48" s="89">
        <f t="shared" si="60"/>
        <v>0</v>
      </c>
      <c r="N48" s="177"/>
      <c r="O48" s="92"/>
      <c r="P48" s="173">
        <f t="shared" si="61"/>
        <v>0</v>
      </c>
      <c r="Q48" s="93"/>
      <c r="R48" s="92"/>
      <c r="S48" s="89">
        <f t="shared" si="62"/>
        <v>0</v>
      </c>
      <c r="T48" s="177"/>
      <c r="U48" s="92"/>
      <c r="V48" s="173">
        <f t="shared" si="63"/>
        <v>0</v>
      </c>
      <c r="W48" s="93"/>
      <c r="X48" s="92"/>
      <c r="Y48" s="89">
        <f t="shared" si="64"/>
        <v>0</v>
      </c>
      <c r="Z48" s="177"/>
      <c r="AA48" s="92"/>
      <c r="AB48" s="173">
        <f t="shared" si="65"/>
        <v>0</v>
      </c>
      <c r="AC48" s="93"/>
      <c r="AD48" s="92"/>
      <c r="AE48" s="89">
        <f t="shared" si="66"/>
        <v>0</v>
      </c>
      <c r="AF48" s="177"/>
      <c r="AG48" s="92"/>
      <c r="AH48" s="170">
        <f t="shared" si="84"/>
        <v>0</v>
      </c>
      <c r="AI48" s="161">
        <f t="shared" si="85"/>
        <v>0</v>
      </c>
      <c r="AJ48" s="201" t="str">
        <f t="shared" si="53"/>
        <v>ممتاز</v>
      </c>
      <c r="AK48" s="66" t="e">
        <f t="shared" si="54"/>
        <v>#DIV/0!</v>
      </c>
      <c r="AM48" s="51">
        <f t="shared" si="80"/>
        <v>38</v>
      </c>
      <c r="AN48" s="87">
        <f t="shared" si="81"/>
        <v>0</v>
      </c>
      <c r="AO48" s="99">
        <f t="shared" si="82"/>
        <v>0</v>
      </c>
      <c r="AP48" s="80">
        <f t="shared" si="83"/>
        <v>0</v>
      </c>
      <c r="AQ48" s="169">
        <f t="shared" si="90"/>
        <v>0</v>
      </c>
      <c r="AR48" s="188"/>
      <c r="AS48" s="89">
        <f t="shared" si="69"/>
        <v>0</v>
      </c>
      <c r="AT48" s="184"/>
      <c r="AU48" s="188"/>
      <c r="AV48" s="186"/>
      <c r="AW48" s="169">
        <f t="shared" si="91"/>
        <v>0</v>
      </c>
      <c r="AX48" s="188"/>
      <c r="AY48" s="89">
        <f t="shared" si="70"/>
        <v>0</v>
      </c>
      <c r="AZ48" s="184"/>
      <c r="BA48" s="185"/>
      <c r="BB48" s="170"/>
      <c r="BC48" s="184"/>
      <c r="BD48" s="188"/>
      <c r="BE48" s="89">
        <f t="shared" si="79"/>
        <v>0</v>
      </c>
      <c r="BF48" s="184"/>
      <c r="BG48" s="185"/>
      <c r="BH48" s="89">
        <f t="shared" si="72"/>
        <v>0</v>
      </c>
      <c r="BI48" s="184"/>
      <c r="BJ48" s="185"/>
      <c r="BK48" s="89">
        <f t="shared" si="73"/>
        <v>0</v>
      </c>
      <c r="BL48" s="184">
        <f t="shared" si="46"/>
        <v>0</v>
      </c>
      <c r="BM48" s="185">
        <f t="shared" si="47"/>
        <v>0</v>
      </c>
      <c r="BN48" s="170">
        <f t="shared" si="86"/>
        <v>0</v>
      </c>
      <c r="BO48" s="169">
        <f t="shared" si="93"/>
        <v>0</v>
      </c>
      <c r="BP48" s="188"/>
      <c r="BQ48" s="89">
        <f t="shared" si="75"/>
        <v>0</v>
      </c>
      <c r="BR48" s="169">
        <f t="shared" si="87"/>
        <v>0</v>
      </c>
      <c r="BS48" s="188"/>
      <c r="BT48" s="170">
        <f t="shared" si="88"/>
        <v>0</v>
      </c>
      <c r="BU48" s="74">
        <f t="shared" si="89"/>
        <v>0</v>
      </c>
      <c r="BV48" s="195" t="str">
        <f>LOOKUP(BU48,'الفترة الاولى'!$BX$2:$BY$6)</f>
        <v>ممتاز</v>
      </c>
      <c r="BW48" s="75" t="e">
        <f>BU48/'الفترة الاولى'!$BZ$2</f>
        <v>#DIV/0!</v>
      </c>
    </row>
    <row r="49" spans="1:75" ht="25.2" customHeight="1" thickBot="1" x14ac:dyDescent="0.3">
      <c r="A49" s="52">
        <v>39</v>
      </c>
      <c r="B49" s="55"/>
      <c r="C49" s="103"/>
      <c r="D49" s="81"/>
      <c r="E49" s="171"/>
      <c r="F49" s="94"/>
      <c r="G49" s="172">
        <f t="shared" si="92"/>
        <v>0</v>
      </c>
      <c r="H49" s="178"/>
      <c r="I49" s="94"/>
      <c r="J49" s="173">
        <f t="shared" si="59"/>
        <v>0</v>
      </c>
      <c r="K49" s="95"/>
      <c r="L49" s="94"/>
      <c r="M49" s="89">
        <f t="shared" si="60"/>
        <v>0</v>
      </c>
      <c r="N49" s="178"/>
      <c r="O49" s="94"/>
      <c r="P49" s="173">
        <f t="shared" si="61"/>
        <v>0</v>
      </c>
      <c r="Q49" s="95"/>
      <c r="R49" s="94"/>
      <c r="S49" s="89">
        <f t="shared" si="62"/>
        <v>0</v>
      </c>
      <c r="T49" s="178"/>
      <c r="U49" s="94"/>
      <c r="V49" s="173">
        <f t="shared" si="63"/>
        <v>0</v>
      </c>
      <c r="W49" s="95"/>
      <c r="X49" s="94"/>
      <c r="Y49" s="89">
        <f t="shared" si="64"/>
        <v>0</v>
      </c>
      <c r="Z49" s="178"/>
      <c r="AA49" s="94"/>
      <c r="AB49" s="173">
        <f t="shared" si="65"/>
        <v>0</v>
      </c>
      <c r="AC49" s="95"/>
      <c r="AD49" s="94"/>
      <c r="AE49" s="89">
        <f t="shared" si="66"/>
        <v>0</v>
      </c>
      <c r="AF49" s="178"/>
      <c r="AG49" s="94"/>
      <c r="AH49" s="172">
        <f t="shared" si="84"/>
        <v>0</v>
      </c>
      <c r="AI49" s="162">
        <f t="shared" si="85"/>
        <v>0</v>
      </c>
      <c r="AJ49" s="202" t="str">
        <f t="shared" si="53"/>
        <v>ممتاز</v>
      </c>
      <c r="AK49" s="67" t="e">
        <f t="shared" si="54"/>
        <v>#DIV/0!</v>
      </c>
      <c r="AM49" s="52">
        <f t="shared" si="80"/>
        <v>39</v>
      </c>
      <c r="AN49" s="88">
        <f t="shared" si="81"/>
        <v>0</v>
      </c>
      <c r="AO49" s="100">
        <f t="shared" si="82"/>
        <v>0</v>
      </c>
      <c r="AP49" s="81">
        <f t="shared" si="83"/>
        <v>0</v>
      </c>
      <c r="AQ49" s="171">
        <f t="shared" si="90"/>
        <v>0</v>
      </c>
      <c r="AR49" s="189"/>
      <c r="AS49" s="89">
        <f t="shared" si="69"/>
        <v>0</v>
      </c>
      <c r="AT49" s="184"/>
      <c r="AU49" s="189"/>
      <c r="AV49" s="186"/>
      <c r="AW49" s="171">
        <f t="shared" si="91"/>
        <v>0</v>
      </c>
      <c r="AX49" s="189"/>
      <c r="AY49" s="89">
        <f t="shared" si="70"/>
        <v>0</v>
      </c>
      <c r="AZ49" s="184"/>
      <c r="BA49" s="185"/>
      <c r="BB49" s="172"/>
      <c r="BC49" s="184"/>
      <c r="BD49" s="189"/>
      <c r="BE49" s="89">
        <f t="shared" si="79"/>
        <v>0</v>
      </c>
      <c r="BF49" s="184"/>
      <c r="BG49" s="185"/>
      <c r="BH49" s="89">
        <f t="shared" si="72"/>
        <v>0</v>
      </c>
      <c r="BI49" s="184"/>
      <c r="BJ49" s="185"/>
      <c r="BK49" s="89">
        <f t="shared" si="73"/>
        <v>0</v>
      </c>
      <c r="BL49" s="184">
        <f t="shared" si="46"/>
        <v>0</v>
      </c>
      <c r="BM49" s="185">
        <f t="shared" si="47"/>
        <v>0</v>
      </c>
      <c r="BN49" s="172">
        <f t="shared" si="86"/>
        <v>0</v>
      </c>
      <c r="BO49" s="171">
        <f t="shared" si="93"/>
        <v>0</v>
      </c>
      <c r="BP49" s="189"/>
      <c r="BQ49" s="89">
        <f t="shared" si="75"/>
        <v>0</v>
      </c>
      <c r="BR49" s="171">
        <f t="shared" si="87"/>
        <v>0</v>
      </c>
      <c r="BS49" s="189"/>
      <c r="BT49" s="172">
        <f t="shared" si="88"/>
        <v>0</v>
      </c>
      <c r="BU49" s="76">
        <f t="shared" si="89"/>
        <v>0</v>
      </c>
      <c r="BV49" s="196" t="str">
        <f>LOOKUP(BU49,'الفترة الاولى'!$BX$2:$BY$6)</f>
        <v>ممتاز</v>
      </c>
      <c r="BW49" s="77" t="e">
        <f>BU49/'الفترة الاولى'!$BZ$2</f>
        <v>#DIV/0!</v>
      </c>
    </row>
    <row r="50" spans="1:75" ht="25.2" customHeight="1" thickBot="1" x14ac:dyDescent="0.3">
      <c r="A50" s="50">
        <v>40</v>
      </c>
      <c r="B50" s="53"/>
      <c r="C50" s="101"/>
      <c r="D50" s="79"/>
      <c r="E50" s="168"/>
      <c r="F50" s="163"/>
      <c r="G50" s="89">
        <f t="shared" si="92"/>
        <v>0</v>
      </c>
      <c r="H50" s="176"/>
      <c r="I50" s="91"/>
      <c r="J50" s="173">
        <f t="shared" si="59"/>
        <v>0</v>
      </c>
      <c r="K50" s="90"/>
      <c r="L50" s="91"/>
      <c r="M50" s="89">
        <f t="shared" si="60"/>
        <v>0</v>
      </c>
      <c r="N50" s="176"/>
      <c r="O50" s="91"/>
      <c r="P50" s="173">
        <f t="shared" si="61"/>
        <v>0</v>
      </c>
      <c r="Q50" s="90"/>
      <c r="R50" s="91"/>
      <c r="S50" s="89">
        <f t="shared" si="62"/>
        <v>0</v>
      </c>
      <c r="T50" s="176"/>
      <c r="U50" s="91"/>
      <c r="V50" s="173">
        <f t="shared" si="63"/>
        <v>0</v>
      </c>
      <c r="W50" s="90"/>
      <c r="X50" s="91"/>
      <c r="Y50" s="89">
        <f t="shared" si="64"/>
        <v>0</v>
      </c>
      <c r="Z50" s="176"/>
      <c r="AA50" s="91"/>
      <c r="AB50" s="173">
        <f t="shared" si="65"/>
        <v>0</v>
      </c>
      <c r="AC50" s="90"/>
      <c r="AD50" s="91"/>
      <c r="AE50" s="89">
        <f t="shared" si="66"/>
        <v>0</v>
      </c>
      <c r="AF50" s="176"/>
      <c r="AG50" s="91"/>
      <c r="AH50" s="89">
        <f t="shared" si="84"/>
        <v>0</v>
      </c>
      <c r="AI50" s="160">
        <f t="shared" si="85"/>
        <v>0</v>
      </c>
      <c r="AJ50" s="200" t="str">
        <f t="shared" si="53"/>
        <v>ممتاز</v>
      </c>
      <c r="AK50" s="65" t="e">
        <f t="shared" si="54"/>
        <v>#DIV/0!</v>
      </c>
      <c r="AM50" s="50">
        <f t="shared" si="80"/>
        <v>40</v>
      </c>
      <c r="AN50" s="86">
        <f t="shared" si="81"/>
        <v>0</v>
      </c>
      <c r="AO50" s="98">
        <f t="shared" si="82"/>
        <v>0</v>
      </c>
      <c r="AP50" s="79">
        <f t="shared" si="83"/>
        <v>0</v>
      </c>
      <c r="AQ50" s="168">
        <f t="shared" si="90"/>
        <v>0</v>
      </c>
      <c r="AR50" s="163"/>
      <c r="AS50" s="89">
        <f t="shared" si="69"/>
        <v>0</v>
      </c>
      <c r="AT50" s="184"/>
      <c r="AU50" s="163"/>
      <c r="AV50" s="186"/>
      <c r="AW50" s="168">
        <f t="shared" si="91"/>
        <v>0</v>
      </c>
      <c r="AX50" s="163"/>
      <c r="AY50" s="89">
        <f t="shared" si="70"/>
        <v>0</v>
      </c>
      <c r="AZ50" s="184"/>
      <c r="BA50" s="185"/>
      <c r="BB50" s="89"/>
      <c r="BC50" s="184"/>
      <c r="BD50" s="163"/>
      <c r="BE50" s="89"/>
      <c r="BF50" s="184"/>
      <c r="BG50" s="185"/>
      <c r="BH50" s="89">
        <f t="shared" si="72"/>
        <v>0</v>
      </c>
      <c r="BI50" s="184"/>
      <c r="BJ50" s="185"/>
      <c r="BK50" s="89">
        <f t="shared" si="73"/>
        <v>0</v>
      </c>
      <c r="BL50" s="168">
        <f t="shared" ref="BL50:BL78" si="94">Z50</f>
        <v>0</v>
      </c>
      <c r="BM50" s="185">
        <f t="shared" si="47"/>
        <v>0</v>
      </c>
      <c r="BN50" s="89">
        <f t="shared" si="86"/>
        <v>0</v>
      </c>
      <c r="BO50" s="168">
        <f t="shared" si="93"/>
        <v>0</v>
      </c>
      <c r="BP50" s="163"/>
      <c r="BQ50" s="89">
        <f t="shared" si="75"/>
        <v>0</v>
      </c>
      <c r="BR50" s="168">
        <f t="shared" si="87"/>
        <v>0</v>
      </c>
      <c r="BS50" s="163"/>
      <c r="BT50" s="89">
        <f t="shared" si="88"/>
        <v>0</v>
      </c>
      <c r="BU50" s="72">
        <f t="shared" si="89"/>
        <v>0</v>
      </c>
      <c r="BV50" s="194" t="str">
        <f>LOOKUP(BU50,'الفترة الاولى'!$BX$2:$BY$6)</f>
        <v>ممتاز</v>
      </c>
      <c r="BW50" s="73" t="e">
        <f>BU50/'الفترة الاولى'!$BZ$2</f>
        <v>#DIV/0!</v>
      </c>
    </row>
    <row r="51" spans="1:75" ht="25.2" customHeight="1" thickBot="1" x14ac:dyDescent="0.3">
      <c r="A51" s="51">
        <v>41</v>
      </c>
      <c r="B51" s="54"/>
      <c r="C51" s="102"/>
      <c r="D51" s="80"/>
      <c r="E51" s="169"/>
      <c r="F51" s="92"/>
      <c r="G51" s="170">
        <f t="shared" si="92"/>
        <v>0</v>
      </c>
      <c r="H51" s="177"/>
      <c r="I51" s="92"/>
      <c r="J51" s="173">
        <f t="shared" si="59"/>
        <v>0</v>
      </c>
      <c r="K51" s="93"/>
      <c r="L51" s="92"/>
      <c r="M51" s="89">
        <f t="shared" si="60"/>
        <v>0</v>
      </c>
      <c r="N51" s="177"/>
      <c r="O51" s="92"/>
      <c r="P51" s="173">
        <f t="shared" si="61"/>
        <v>0</v>
      </c>
      <c r="Q51" s="93"/>
      <c r="R51" s="92"/>
      <c r="S51" s="89">
        <f t="shared" si="62"/>
        <v>0</v>
      </c>
      <c r="T51" s="177"/>
      <c r="U51" s="92"/>
      <c r="V51" s="173">
        <f t="shared" si="63"/>
        <v>0</v>
      </c>
      <c r="W51" s="93"/>
      <c r="X51" s="92"/>
      <c r="Y51" s="89">
        <f t="shared" si="64"/>
        <v>0</v>
      </c>
      <c r="Z51" s="177"/>
      <c r="AA51" s="92"/>
      <c r="AB51" s="173">
        <f t="shared" si="65"/>
        <v>0</v>
      </c>
      <c r="AC51" s="93"/>
      <c r="AD51" s="92"/>
      <c r="AE51" s="89">
        <f t="shared" si="66"/>
        <v>0</v>
      </c>
      <c r="AF51" s="177"/>
      <c r="AG51" s="92"/>
      <c r="AH51" s="170">
        <f t="shared" si="84"/>
        <v>0</v>
      </c>
      <c r="AI51" s="161">
        <f t="shared" si="85"/>
        <v>0</v>
      </c>
      <c r="AJ51" s="201" t="str">
        <f t="shared" si="53"/>
        <v>ممتاز</v>
      </c>
      <c r="AK51" s="66" t="e">
        <f t="shared" si="54"/>
        <v>#DIV/0!</v>
      </c>
      <c r="AM51" s="51">
        <f t="shared" si="80"/>
        <v>41</v>
      </c>
      <c r="AN51" s="87">
        <f t="shared" si="81"/>
        <v>0</v>
      </c>
      <c r="AO51" s="99">
        <f t="shared" si="82"/>
        <v>0</v>
      </c>
      <c r="AP51" s="80">
        <f t="shared" si="83"/>
        <v>0</v>
      </c>
      <c r="AQ51" s="169">
        <f t="shared" si="90"/>
        <v>0</v>
      </c>
      <c r="AR51" s="188"/>
      <c r="AS51" s="89">
        <f t="shared" si="69"/>
        <v>0</v>
      </c>
      <c r="AT51" s="184"/>
      <c r="AU51" s="188"/>
      <c r="AV51" s="186"/>
      <c r="AW51" s="169">
        <f t="shared" si="91"/>
        <v>0</v>
      </c>
      <c r="AX51" s="188"/>
      <c r="AY51" s="89">
        <f t="shared" si="70"/>
        <v>0</v>
      </c>
      <c r="AZ51" s="184"/>
      <c r="BA51" s="185"/>
      <c r="BB51" s="170"/>
      <c r="BC51" s="184"/>
      <c r="BD51" s="188"/>
      <c r="BE51" s="170"/>
      <c r="BF51" s="184"/>
      <c r="BG51" s="185"/>
      <c r="BH51" s="89">
        <f t="shared" si="72"/>
        <v>0</v>
      </c>
      <c r="BI51" s="184"/>
      <c r="BJ51" s="185"/>
      <c r="BK51" s="89">
        <f t="shared" si="73"/>
        <v>0</v>
      </c>
      <c r="BL51" s="169">
        <f t="shared" si="94"/>
        <v>0</v>
      </c>
      <c r="BM51" s="188"/>
      <c r="BN51" s="170">
        <f t="shared" si="86"/>
        <v>0</v>
      </c>
      <c r="BO51" s="169">
        <f t="shared" si="93"/>
        <v>0</v>
      </c>
      <c r="BP51" s="188"/>
      <c r="BQ51" s="89">
        <f t="shared" si="75"/>
        <v>0</v>
      </c>
      <c r="BR51" s="169">
        <f t="shared" si="87"/>
        <v>0</v>
      </c>
      <c r="BS51" s="188"/>
      <c r="BT51" s="170">
        <f t="shared" si="88"/>
        <v>0</v>
      </c>
      <c r="BU51" s="74">
        <f t="shared" si="89"/>
        <v>0</v>
      </c>
      <c r="BV51" s="195" t="str">
        <f>LOOKUP(BU51,'الفترة الاولى'!$BX$2:$BY$6)</f>
        <v>ممتاز</v>
      </c>
      <c r="BW51" s="75" t="e">
        <f>BU51/'الفترة الاولى'!$BZ$2</f>
        <v>#DIV/0!</v>
      </c>
    </row>
    <row r="52" spans="1:75" ht="25.2" customHeight="1" thickBot="1" x14ac:dyDescent="0.3">
      <c r="A52" s="52">
        <v>42</v>
      </c>
      <c r="B52" s="55"/>
      <c r="C52" s="103"/>
      <c r="D52" s="81"/>
      <c r="E52" s="171"/>
      <c r="F52" s="94"/>
      <c r="G52" s="172">
        <f t="shared" si="92"/>
        <v>0</v>
      </c>
      <c r="H52" s="178"/>
      <c r="I52" s="94"/>
      <c r="J52" s="173">
        <f t="shared" si="59"/>
        <v>0</v>
      </c>
      <c r="K52" s="95"/>
      <c r="L52" s="94"/>
      <c r="M52" s="89">
        <f t="shared" si="60"/>
        <v>0</v>
      </c>
      <c r="N52" s="178"/>
      <c r="O52" s="94"/>
      <c r="P52" s="173">
        <f t="shared" si="61"/>
        <v>0</v>
      </c>
      <c r="Q52" s="95"/>
      <c r="R52" s="94"/>
      <c r="S52" s="89">
        <f t="shared" si="62"/>
        <v>0</v>
      </c>
      <c r="T52" s="178"/>
      <c r="U52" s="94"/>
      <c r="V52" s="173">
        <f t="shared" si="63"/>
        <v>0</v>
      </c>
      <c r="W52" s="95"/>
      <c r="X52" s="94"/>
      <c r="Y52" s="89">
        <f t="shared" si="64"/>
        <v>0</v>
      </c>
      <c r="Z52" s="178"/>
      <c r="AA52" s="94"/>
      <c r="AB52" s="173">
        <f t="shared" si="65"/>
        <v>0</v>
      </c>
      <c r="AC52" s="95"/>
      <c r="AD52" s="94"/>
      <c r="AE52" s="89">
        <f t="shared" si="66"/>
        <v>0</v>
      </c>
      <c r="AF52" s="178"/>
      <c r="AG52" s="94"/>
      <c r="AH52" s="172">
        <f t="shared" si="84"/>
        <v>0</v>
      </c>
      <c r="AI52" s="162">
        <f t="shared" si="85"/>
        <v>0</v>
      </c>
      <c r="AJ52" s="202" t="str">
        <f t="shared" si="53"/>
        <v>ممتاز</v>
      </c>
      <c r="AK52" s="67" t="e">
        <f t="shared" si="54"/>
        <v>#DIV/0!</v>
      </c>
      <c r="AM52" s="52">
        <f t="shared" si="80"/>
        <v>42</v>
      </c>
      <c r="AN52" s="88">
        <f t="shared" si="81"/>
        <v>0</v>
      </c>
      <c r="AO52" s="100">
        <f t="shared" si="82"/>
        <v>0</v>
      </c>
      <c r="AP52" s="81">
        <f t="shared" si="83"/>
        <v>0</v>
      </c>
      <c r="AQ52" s="171">
        <f t="shared" si="90"/>
        <v>0</v>
      </c>
      <c r="AR52" s="189"/>
      <c r="AS52" s="89">
        <f t="shared" si="69"/>
        <v>0</v>
      </c>
      <c r="AT52" s="184"/>
      <c r="AU52" s="189"/>
      <c r="AV52" s="186"/>
      <c r="AW52" s="171">
        <f t="shared" si="91"/>
        <v>0</v>
      </c>
      <c r="AX52" s="189"/>
      <c r="AY52" s="89">
        <f t="shared" si="70"/>
        <v>0</v>
      </c>
      <c r="AZ52" s="184"/>
      <c r="BA52" s="185"/>
      <c r="BB52" s="172"/>
      <c r="BC52" s="184"/>
      <c r="BD52" s="189"/>
      <c r="BE52" s="172"/>
      <c r="BF52" s="184"/>
      <c r="BG52" s="185"/>
      <c r="BH52" s="89">
        <f t="shared" si="72"/>
        <v>0</v>
      </c>
      <c r="BI52" s="184"/>
      <c r="BJ52" s="185"/>
      <c r="BK52" s="89">
        <f t="shared" si="73"/>
        <v>0</v>
      </c>
      <c r="BL52" s="171">
        <f t="shared" si="94"/>
        <v>0</v>
      </c>
      <c r="BM52" s="189"/>
      <c r="BN52" s="172">
        <f t="shared" si="86"/>
        <v>0</v>
      </c>
      <c r="BO52" s="171">
        <f t="shared" si="93"/>
        <v>0</v>
      </c>
      <c r="BP52" s="189"/>
      <c r="BQ52" s="89">
        <f t="shared" si="75"/>
        <v>0</v>
      </c>
      <c r="BR52" s="171">
        <f t="shared" si="87"/>
        <v>0</v>
      </c>
      <c r="BS52" s="189"/>
      <c r="BT52" s="172">
        <f t="shared" si="88"/>
        <v>0</v>
      </c>
      <c r="BU52" s="76">
        <f t="shared" si="89"/>
        <v>0</v>
      </c>
      <c r="BV52" s="196" t="str">
        <f>LOOKUP(BU52,'الفترة الاولى'!$BX$2:$BY$6)</f>
        <v>ممتاز</v>
      </c>
      <c r="BW52" s="77" t="e">
        <f>BU52/'الفترة الاولى'!$BZ$2</f>
        <v>#DIV/0!</v>
      </c>
    </row>
    <row r="53" spans="1:75" ht="25.2" customHeight="1" thickBot="1" x14ac:dyDescent="0.3">
      <c r="A53" s="50">
        <v>43</v>
      </c>
      <c r="B53" s="53"/>
      <c r="C53" s="101"/>
      <c r="D53" s="79"/>
      <c r="E53" s="168"/>
      <c r="F53" s="163"/>
      <c r="G53" s="89">
        <f t="shared" si="92"/>
        <v>0</v>
      </c>
      <c r="H53" s="176"/>
      <c r="I53" s="91"/>
      <c r="J53" s="173">
        <f t="shared" si="59"/>
        <v>0</v>
      </c>
      <c r="K53" s="90"/>
      <c r="L53" s="91"/>
      <c r="M53" s="89">
        <f t="shared" si="60"/>
        <v>0</v>
      </c>
      <c r="N53" s="176"/>
      <c r="O53" s="91"/>
      <c r="P53" s="173">
        <f t="shared" si="61"/>
        <v>0</v>
      </c>
      <c r="Q53" s="90"/>
      <c r="R53" s="91"/>
      <c r="S53" s="89">
        <f t="shared" si="62"/>
        <v>0</v>
      </c>
      <c r="T53" s="176"/>
      <c r="U53" s="91"/>
      <c r="V53" s="173">
        <f t="shared" si="63"/>
        <v>0</v>
      </c>
      <c r="W53" s="90"/>
      <c r="X53" s="91"/>
      <c r="Y53" s="89">
        <f t="shared" si="64"/>
        <v>0</v>
      </c>
      <c r="Z53" s="176"/>
      <c r="AA53" s="91"/>
      <c r="AB53" s="173">
        <f t="shared" si="65"/>
        <v>0</v>
      </c>
      <c r="AC53" s="90"/>
      <c r="AD53" s="91"/>
      <c r="AE53" s="89">
        <f t="shared" si="66"/>
        <v>0</v>
      </c>
      <c r="AF53" s="176"/>
      <c r="AG53" s="91"/>
      <c r="AH53" s="89">
        <f t="shared" si="84"/>
        <v>0</v>
      </c>
      <c r="AI53" s="160">
        <f t="shared" si="85"/>
        <v>0</v>
      </c>
      <c r="AJ53" s="200" t="str">
        <f t="shared" si="53"/>
        <v>ممتاز</v>
      </c>
      <c r="AK53" s="65" t="e">
        <f t="shared" si="54"/>
        <v>#DIV/0!</v>
      </c>
      <c r="AM53" s="50">
        <f t="shared" si="80"/>
        <v>43</v>
      </c>
      <c r="AN53" s="86">
        <f t="shared" si="81"/>
        <v>0</v>
      </c>
      <c r="AO53" s="98">
        <f t="shared" si="82"/>
        <v>0</v>
      </c>
      <c r="AP53" s="79">
        <f t="shared" si="83"/>
        <v>0</v>
      </c>
      <c r="AQ53" s="168">
        <f t="shared" si="90"/>
        <v>0</v>
      </c>
      <c r="AR53" s="163"/>
      <c r="AS53" s="89">
        <f t="shared" si="69"/>
        <v>0</v>
      </c>
      <c r="AT53" s="184"/>
      <c r="AU53" s="163"/>
      <c r="AV53" s="89"/>
      <c r="AW53" s="168">
        <f t="shared" si="91"/>
        <v>0</v>
      </c>
      <c r="AX53" s="163"/>
      <c r="AY53" s="89">
        <f t="shared" si="70"/>
        <v>0</v>
      </c>
      <c r="AZ53" s="184"/>
      <c r="BA53" s="185"/>
      <c r="BB53" s="89"/>
      <c r="BC53" s="184"/>
      <c r="BD53" s="163"/>
      <c r="BE53" s="89"/>
      <c r="BF53" s="184"/>
      <c r="BG53" s="185"/>
      <c r="BH53" s="89">
        <f t="shared" si="72"/>
        <v>0</v>
      </c>
      <c r="BI53" s="184"/>
      <c r="BJ53" s="185"/>
      <c r="BK53" s="89">
        <f t="shared" si="73"/>
        <v>0</v>
      </c>
      <c r="BL53" s="168">
        <f t="shared" si="94"/>
        <v>0</v>
      </c>
      <c r="BM53" s="163"/>
      <c r="BN53" s="89">
        <f t="shared" si="86"/>
        <v>0</v>
      </c>
      <c r="BO53" s="168">
        <f t="shared" si="93"/>
        <v>0</v>
      </c>
      <c r="BP53" s="163"/>
      <c r="BQ53" s="89">
        <f t="shared" si="75"/>
        <v>0</v>
      </c>
      <c r="BR53" s="168">
        <f t="shared" si="87"/>
        <v>0</v>
      </c>
      <c r="BS53" s="163"/>
      <c r="BT53" s="89">
        <f t="shared" si="88"/>
        <v>0</v>
      </c>
      <c r="BU53" s="72">
        <f t="shared" si="89"/>
        <v>0</v>
      </c>
      <c r="BV53" s="194" t="str">
        <f>LOOKUP(BU53,'الفترة الاولى'!$BX$2:$BY$6)</f>
        <v>ممتاز</v>
      </c>
      <c r="BW53" s="73" t="e">
        <f>BU53/'الفترة الاولى'!$BZ$2</f>
        <v>#DIV/0!</v>
      </c>
    </row>
    <row r="54" spans="1:75" ht="25.2" customHeight="1" thickBot="1" x14ac:dyDescent="0.3">
      <c r="A54" s="51">
        <v>44</v>
      </c>
      <c r="B54" s="54"/>
      <c r="C54" s="102"/>
      <c r="D54" s="80"/>
      <c r="E54" s="169"/>
      <c r="F54" s="92"/>
      <c r="G54" s="170">
        <f t="shared" si="92"/>
        <v>0</v>
      </c>
      <c r="H54" s="177"/>
      <c r="I54" s="92"/>
      <c r="J54" s="173">
        <f t="shared" si="59"/>
        <v>0</v>
      </c>
      <c r="K54" s="93"/>
      <c r="L54" s="92"/>
      <c r="M54" s="89">
        <f t="shared" si="60"/>
        <v>0</v>
      </c>
      <c r="N54" s="177"/>
      <c r="O54" s="92"/>
      <c r="P54" s="173">
        <f t="shared" si="61"/>
        <v>0</v>
      </c>
      <c r="Q54" s="93"/>
      <c r="R54" s="92"/>
      <c r="S54" s="89">
        <f t="shared" si="62"/>
        <v>0</v>
      </c>
      <c r="T54" s="177"/>
      <c r="U54" s="92"/>
      <c r="V54" s="173">
        <f t="shared" si="63"/>
        <v>0</v>
      </c>
      <c r="W54" s="93"/>
      <c r="X54" s="92"/>
      <c r="Y54" s="89">
        <f t="shared" si="64"/>
        <v>0</v>
      </c>
      <c r="Z54" s="177"/>
      <c r="AA54" s="92"/>
      <c r="AB54" s="173">
        <f t="shared" si="65"/>
        <v>0</v>
      </c>
      <c r="AC54" s="93"/>
      <c r="AD54" s="92"/>
      <c r="AE54" s="89">
        <f t="shared" si="66"/>
        <v>0</v>
      </c>
      <c r="AF54" s="177"/>
      <c r="AG54" s="92"/>
      <c r="AH54" s="170">
        <f t="shared" si="84"/>
        <v>0</v>
      </c>
      <c r="AI54" s="161">
        <f t="shared" si="85"/>
        <v>0</v>
      </c>
      <c r="AJ54" s="201" t="str">
        <f t="shared" si="53"/>
        <v>ممتاز</v>
      </c>
      <c r="AK54" s="66" t="e">
        <f t="shared" si="54"/>
        <v>#DIV/0!</v>
      </c>
      <c r="AM54" s="51">
        <f t="shared" si="80"/>
        <v>44</v>
      </c>
      <c r="AN54" s="87">
        <f t="shared" si="81"/>
        <v>0</v>
      </c>
      <c r="AO54" s="99">
        <f t="shared" si="82"/>
        <v>0</v>
      </c>
      <c r="AP54" s="80">
        <f t="shared" si="83"/>
        <v>0</v>
      </c>
      <c r="AQ54" s="169">
        <f t="shared" si="90"/>
        <v>0</v>
      </c>
      <c r="AR54" s="188"/>
      <c r="AS54" s="89">
        <f t="shared" si="69"/>
        <v>0</v>
      </c>
      <c r="AT54" s="184"/>
      <c r="AU54" s="188"/>
      <c r="AV54" s="170"/>
      <c r="AW54" s="169">
        <f t="shared" si="91"/>
        <v>0</v>
      </c>
      <c r="AX54" s="188"/>
      <c r="AY54" s="89">
        <f t="shared" si="70"/>
        <v>0</v>
      </c>
      <c r="AZ54" s="184"/>
      <c r="BA54" s="185"/>
      <c r="BB54" s="170"/>
      <c r="BC54" s="184"/>
      <c r="BD54" s="188"/>
      <c r="BE54" s="170"/>
      <c r="BF54" s="184"/>
      <c r="BG54" s="185"/>
      <c r="BH54" s="89">
        <f t="shared" si="72"/>
        <v>0</v>
      </c>
      <c r="BI54" s="184"/>
      <c r="BJ54" s="185"/>
      <c r="BK54" s="170">
        <f t="shared" ref="BK54:BK78" si="95">SUM(BI54:BJ54)</f>
        <v>0</v>
      </c>
      <c r="BL54" s="169">
        <f t="shared" si="94"/>
        <v>0</v>
      </c>
      <c r="BM54" s="188"/>
      <c r="BN54" s="170">
        <f t="shared" si="86"/>
        <v>0</v>
      </c>
      <c r="BO54" s="169">
        <f t="shared" si="93"/>
        <v>0</v>
      </c>
      <c r="BP54" s="188"/>
      <c r="BQ54" s="89">
        <f t="shared" si="75"/>
        <v>0</v>
      </c>
      <c r="BR54" s="169">
        <f t="shared" si="87"/>
        <v>0</v>
      </c>
      <c r="BS54" s="188"/>
      <c r="BT54" s="170">
        <f t="shared" si="88"/>
        <v>0</v>
      </c>
      <c r="BU54" s="74">
        <f t="shared" si="89"/>
        <v>0</v>
      </c>
      <c r="BV54" s="195" t="str">
        <f>LOOKUP(BU54,'الفترة الاولى'!$BX$2:$BY$6)</f>
        <v>ممتاز</v>
      </c>
      <c r="BW54" s="75" t="e">
        <f>BU54/'الفترة الاولى'!$BZ$2</f>
        <v>#DIV/0!</v>
      </c>
    </row>
    <row r="55" spans="1:75" ht="25.2" customHeight="1" thickBot="1" x14ac:dyDescent="0.3">
      <c r="A55" s="52">
        <v>45</v>
      </c>
      <c r="B55" s="55"/>
      <c r="C55" s="103"/>
      <c r="D55" s="81"/>
      <c r="E55" s="171"/>
      <c r="F55" s="94"/>
      <c r="G55" s="172">
        <f t="shared" si="92"/>
        <v>0</v>
      </c>
      <c r="H55" s="178"/>
      <c r="I55" s="94"/>
      <c r="J55" s="173">
        <f t="shared" si="59"/>
        <v>0</v>
      </c>
      <c r="K55" s="95"/>
      <c r="L55" s="94"/>
      <c r="M55" s="89">
        <f t="shared" si="60"/>
        <v>0</v>
      </c>
      <c r="N55" s="178"/>
      <c r="O55" s="94"/>
      <c r="P55" s="173">
        <f t="shared" si="61"/>
        <v>0</v>
      </c>
      <c r="Q55" s="95"/>
      <c r="R55" s="94"/>
      <c r="S55" s="89">
        <f t="shared" si="62"/>
        <v>0</v>
      </c>
      <c r="T55" s="178"/>
      <c r="U55" s="94"/>
      <c r="V55" s="173">
        <f t="shared" si="63"/>
        <v>0</v>
      </c>
      <c r="W55" s="95"/>
      <c r="X55" s="94"/>
      <c r="Y55" s="89">
        <f t="shared" si="64"/>
        <v>0</v>
      </c>
      <c r="Z55" s="178"/>
      <c r="AA55" s="94"/>
      <c r="AB55" s="173">
        <f t="shared" si="65"/>
        <v>0</v>
      </c>
      <c r="AC55" s="95"/>
      <c r="AD55" s="94"/>
      <c r="AE55" s="89">
        <f t="shared" si="66"/>
        <v>0</v>
      </c>
      <c r="AF55" s="178"/>
      <c r="AG55" s="94"/>
      <c r="AH55" s="172">
        <f t="shared" si="84"/>
        <v>0</v>
      </c>
      <c r="AI55" s="162">
        <f t="shared" si="85"/>
        <v>0</v>
      </c>
      <c r="AJ55" s="202" t="str">
        <f t="shared" si="53"/>
        <v>ممتاز</v>
      </c>
      <c r="AK55" s="67" t="e">
        <f t="shared" si="54"/>
        <v>#DIV/0!</v>
      </c>
      <c r="AM55" s="52">
        <f t="shared" si="80"/>
        <v>45</v>
      </c>
      <c r="AN55" s="88">
        <f t="shared" si="81"/>
        <v>0</v>
      </c>
      <c r="AO55" s="100">
        <f t="shared" si="82"/>
        <v>0</v>
      </c>
      <c r="AP55" s="81">
        <f t="shared" si="83"/>
        <v>0</v>
      </c>
      <c r="AQ55" s="171">
        <f t="shared" si="90"/>
        <v>0</v>
      </c>
      <c r="AR55" s="189"/>
      <c r="AS55" s="89">
        <f t="shared" si="69"/>
        <v>0</v>
      </c>
      <c r="AT55" s="184"/>
      <c r="AU55" s="189"/>
      <c r="AV55" s="172"/>
      <c r="AW55" s="171">
        <f t="shared" si="91"/>
        <v>0</v>
      </c>
      <c r="AX55" s="189"/>
      <c r="AY55" s="89">
        <f t="shared" si="70"/>
        <v>0</v>
      </c>
      <c r="AZ55" s="184"/>
      <c r="BA55" s="185"/>
      <c r="BB55" s="172"/>
      <c r="BC55" s="184"/>
      <c r="BD55" s="189"/>
      <c r="BE55" s="172"/>
      <c r="BF55" s="184"/>
      <c r="BG55" s="185"/>
      <c r="BH55" s="89">
        <f t="shared" si="72"/>
        <v>0</v>
      </c>
      <c r="BI55" s="184"/>
      <c r="BJ55" s="185"/>
      <c r="BK55" s="172">
        <f t="shared" si="95"/>
        <v>0</v>
      </c>
      <c r="BL55" s="171">
        <f t="shared" si="94"/>
        <v>0</v>
      </c>
      <c r="BM55" s="189"/>
      <c r="BN55" s="172">
        <f t="shared" si="86"/>
        <v>0</v>
      </c>
      <c r="BO55" s="171">
        <f t="shared" si="93"/>
        <v>0</v>
      </c>
      <c r="BP55" s="189"/>
      <c r="BQ55" s="89">
        <f t="shared" si="75"/>
        <v>0</v>
      </c>
      <c r="BR55" s="171">
        <f t="shared" si="87"/>
        <v>0</v>
      </c>
      <c r="BS55" s="189"/>
      <c r="BT55" s="172">
        <f t="shared" si="88"/>
        <v>0</v>
      </c>
      <c r="BU55" s="76">
        <f t="shared" si="89"/>
        <v>0</v>
      </c>
      <c r="BV55" s="196" t="str">
        <f>LOOKUP(BU55,'الفترة الاولى'!$BX$2:$BY$6)</f>
        <v>ممتاز</v>
      </c>
      <c r="BW55" s="77" t="e">
        <f>BU55/'الفترة الاولى'!$BZ$2</f>
        <v>#DIV/0!</v>
      </c>
    </row>
    <row r="56" spans="1:75" ht="25.2" customHeight="1" thickBot="1" x14ac:dyDescent="0.3">
      <c r="A56" s="50">
        <v>46</v>
      </c>
      <c r="B56" s="53"/>
      <c r="C56" s="101"/>
      <c r="D56" s="79"/>
      <c r="E56" s="168"/>
      <c r="F56" s="163"/>
      <c r="G56" s="89">
        <f t="shared" si="92"/>
        <v>0</v>
      </c>
      <c r="H56" s="176"/>
      <c r="I56" s="91"/>
      <c r="J56" s="173">
        <f t="shared" si="59"/>
        <v>0</v>
      </c>
      <c r="K56" s="90"/>
      <c r="L56" s="91"/>
      <c r="M56" s="89">
        <f t="shared" si="60"/>
        <v>0</v>
      </c>
      <c r="N56" s="176"/>
      <c r="O56" s="91"/>
      <c r="P56" s="173">
        <f t="shared" si="61"/>
        <v>0</v>
      </c>
      <c r="Q56" s="90"/>
      <c r="R56" s="91"/>
      <c r="S56" s="89">
        <f t="shared" si="62"/>
        <v>0</v>
      </c>
      <c r="T56" s="176"/>
      <c r="U56" s="91"/>
      <c r="V56" s="173">
        <f t="shared" si="63"/>
        <v>0</v>
      </c>
      <c r="W56" s="90"/>
      <c r="X56" s="91"/>
      <c r="Y56" s="89">
        <f t="shared" si="64"/>
        <v>0</v>
      </c>
      <c r="Z56" s="176"/>
      <c r="AA56" s="91"/>
      <c r="AB56" s="173">
        <f t="shared" si="65"/>
        <v>0</v>
      </c>
      <c r="AC56" s="90"/>
      <c r="AD56" s="91"/>
      <c r="AE56" s="89">
        <f t="shared" si="66"/>
        <v>0</v>
      </c>
      <c r="AF56" s="176"/>
      <c r="AG56" s="91"/>
      <c r="AH56" s="89">
        <f t="shared" si="84"/>
        <v>0</v>
      </c>
      <c r="AI56" s="160">
        <f t="shared" si="85"/>
        <v>0</v>
      </c>
      <c r="AJ56" s="200" t="str">
        <f t="shared" si="53"/>
        <v>ممتاز</v>
      </c>
      <c r="AK56" s="65" t="e">
        <f t="shared" si="54"/>
        <v>#DIV/0!</v>
      </c>
      <c r="AM56" s="50">
        <f t="shared" si="80"/>
        <v>46</v>
      </c>
      <c r="AN56" s="86">
        <f t="shared" si="81"/>
        <v>0</v>
      </c>
      <c r="AO56" s="98">
        <f t="shared" si="82"/>
        <v>0</v>
      </c>
      <c r="AP56" s="79">
        <f t="shared" si="83"/>
        <v>0</v>
      </c>
      <c r="AQ56" s="168">
        <f t="shared" si="90"/>
        <v>0</v>
      </c>
      <c r="AR56" s="163"/>
      <c r="AS56" s="89">
        <f t="shared" si="69"/>
        <v>0</v>
      </c>
      <c r="AT56" s="184"/>
      <c r="AU56" s="163"/>
      <c r="AV56" s="89"/>
      <c r="AW56" s="168">
        <f t="shared" si="91"/>
        <v>0</v>
      </c>
      <c r="AX56" s="163"/>
      <c r="AY56" s="89">
        <f t="shared" si="70"/>
        <v>0</v>
      </c>
      <c r="AZ56" s="184"/>
      <c r="BA56" s="185"/>
      <c r="BB56" s="89"/>
      <c r="BC56" s="184"/>
      <c r="BD56" s="163"/>
      <c r="BE56" s="89"/>
      <c r="BF56" s="168"/>
      <c r="BG56" s="185"/>
      <c r="BH56" s="89">
        <f t="shared" si="72"/>
        <v>0</v>
      </c>
      <c r="BI56" s="184"/>
      <c r="BJ56" s="185"/>
      <c r="BK56" s="89">
        <f t="shared" si="95"/>
        <v>0</v>
      </c>
      <c r="BL56" s="168">
        <f t="shared" si="94"/>
        <v>0</v>
      </c>
      <c r="BM56" s="163"/>
      <c r="BN56" s="89">
        <f t="shared" si="86"/>
        <v>0</v>
      </c>
      <c r="BO56" s="168">
        <f t="shared" si="93"/>
        <v>0</v>
      </c>
      <c r="BP56" s="163"/>
      <c r="BQ56" s="89">
        <f t="shared" si="75"/>
        <v>0</v>
      </c>
      <c r="BR56" s="168">
        <f t="shared" si="87"/>
        <v>0</v>
      </c>
      <c r="BS56" s="163"/>
      <c r="BT56" s="89">
        <f t="shared" si="88"/>
        <v>0</v>
      </c>
      <c r="BU56" s="72">
        <f t="shared" si="89"/>
        <v>0</v>
      </c>
      <c r="BV56" s="194" t="str">
        <f>LOOKUP(BU56,'الفترة الاولى'!$BX$2:$BY$6)</f>
        <v>ممتاز</v>
      </c>
      <c r="BW56" s="73" t="e">
        <f>BU56/'الفترة الاولى'!$BZ$2</f>
        <v>#DIV/0!</v>
      </c>
    </row>
    <row r="57" spans="1:75" ht="25.2" customHeight="1" thickBot="1" x14ac:dyDescent="0.3">
      <c r="A57" s="51">
        <v>47</v>
      </c>
      <c r="B57" s="54"/>
      <c r="C57" s="102"/>
      <c r="D57" s="80"/>
      <c r="E57" s="169"/>
      <c r="F57" s="92"/>
      <c r="G57" s="170">
        <f t="shared" si="92"/>
        <v>0</v>
      </c>
      <c r="H57" s="177"/>
      <c r="I57" s="92"/>
      <c r="J57" s="173">
        <f t="shared" si="59"/>
        <v>0</v>
      </c>
      <c r="K57" s="93"/>
      <c r="L57" s="92"/>
      <c r="M57" s="89">
        <f t="shared" si="60"/>
        <v>0</v>
      </c>
      <c r="N57" s="177"/>
      <c r="O57" s="92"/>
      <c r="P57" s="173">
        <f t="shared" si="61"/>
        <v>0</v>
      </c>
      <c r="Q57" s="93"/>
      <c r="R57" s="92"/>
      <c r="S57" s="89">
        <f t="shared" si="62"/>
        <v>0</v>
      </c>
      <c r="T57" s="177"/>
      <c r="U57" s="92"/>
      <c r="V57" s="173">
        <f t="shared" si="63"/>
        <v>0</v>
      </c>
      <c r="W57" s="93"/>
      <c r="X57" s="92"/>
      <c r="Y57" s="89">
        <f t="shared" si="64"/>
        <v>0</v>
      </c>
      <c r="Z57" s="177"/>
      <c r="AA57" s="92"/>
      <c r="AB57" s="173">
        <f t="shared" si="65"/>
        <v>0</v>
      </c>
      <c r="AC57" s="93"/>
      <c r="AD57" s="92"/>
      <c r="AE57" s="89">
        <f t="shared" si="66"/>
        <v>0</v>
      </c>
      <c r="AF57" s="177"/>
      <c r="AG57" s="92"/>
      <c r="AH57" s="170">
        <f t="shared" si="84"/>
        <v>0</v>
      </c>
      <c r="AI57" s="161">
        <f t="shared" si="85"/>
        <v>0</v>
      </c>
      <c r="AJ57" s="201" t="str">
        <f t="shared" si="53"/>
        <v>ممتاز</v>
      </c>
      <c r="AK57" s="66" t="e">
        <f t="shared" si="54"/>
        <v>#DIV/0!</v>
      </c>
      <c r="AM57" s="51">
        <f t="shared" si="80"/>
        <v>47</v>
      </c>
      <c r="AN57" s="87">
        <f t="shared" si="81"/>
        <v>0</v>
      </c>
      <c r="AO57" s="99">
        <f t="shared" si="82"/>
        <v>0</v>
      </c>
      <c r="AP57" s="80">
        <f t="shared" si="83"/>
        <v>0</v>
      </c>
      <c r="AQ57" s="169">
        <f t="shared" si="90"/>
        <v>0</v>
      </c>
      <c r="AR57" s="188"/>
      <c r="AS57" s="89">
        <f t="shared" si="69"/>
        <v>0</v>
      </c>
      <c r="AT57" s="184"/>
      <c r="AU57" s="188"/>
      <c r="AV57" s="170"/>
      <c r="AW57" s="169">
        <f t="shared" si="91"/>
        <v>0</v>
      </c>
      <c r="AX57" s="188"/>
      <c r="AY57" s="89">
        <f t="shared" si="70"/>
        <v>0</v>
      </c>
      <c r="AZ57" s="184"/>
      <c r="BA57" s="185"/>
      <c r="BB57" s="170"/>
      <c r="BC57" s="184"/>
      <c r="BD57" s="188"/>
      <c r="BE57" s="170"/>
      <c r="BF57" s="169"/>
      <c r="BG57" s="185"/>
      <c r="BH57" s="89">
        <f t="shared" si="72"/>
        <v>0</v>
      </c>
      <c r="BI57" s="184"/>
      <c r="BJ57" s="185"/>
      <c r="BK57" s="170">
        <f t="shared" si="95"/>
        <v>0</v>
      </c>
      <c r="BL57" s="169">
        <f t="shared" si="94"/>
        <v>0</v>
      </c>
      <c r="BM57" s="188"/>
      <c r="BN57" s="170">
        <f t="shared" si="86"/>
        <v>0</v>
      </c>
      <c r="BO57" s="169">
        <f t="shared" si="93"/>
        <v>0</v>
      </c>
      <c r="BP57" s="188"/>
      <c r="BQ57" s="89">
        <f t="shared" si="75"/>
        <v>0</v>
      </c>
      <c r="BR57" s="169">
        <f t="shared" si="87"/>
        <v>0</v>
      </c>
      <c r="BS57" s="188"/>
      <c r="BT57" s="170">
        <f t="shared" si="88"/>
        <v>0</v>
      </c>
      <c r="BU57" s="74">
        <f t="shared" si="89"/>
        <v>0</v>
      </c>
      <c r="BV57" s="195" t="str">
        <f>LOOKUP(BU57,'الفترة الاولى'!$BX$2:$BY$6)</f>
        <v>ممتاز</v>
      </c>
      <c r="BW57" s="75" t="e">
        <f>BU57/'الفترة الاولى'!$BZ$2</f>
        <v>#DIV/0!</v>
      </c>
    </row>
    <row r="58" spans="1:75" ht="25.2" customHeight="1" thickBot="1" x14ac:dyDescent="0.3">
      <c r="A58" s="52">
        <v>48</v>
      </c>
      <c r="B58" s="55"/>
      <c r="C58" s="103"/>
      <c r="D58" s="81"/>
      <c r="E58" s="171"/>
      <c r="F58" s="94"/>
      <c r="G58" s="172">
        <f t="shared" si="92"/>
        <v>0</v>
      </c>
      <c r="H58" s="178"/>
      <c r="I58" s="94"/>
      <c r="J58" s="173">
        <f t="shared" si="59"/>
        <v>0</v>
      </c>
      <c r="K58" s="95"/>
      <c r="L58" s="94"/>
      <c r="M58" s="89">
        <f t="shared" si="60"/>
        <v>0</v>
      </c>
      <c r="N58" s="178"/>
      <c r="O58" s="94"/>
      <c r="P58" s="173">
        <f t="shared" si="61"/>
        <v>0</v>
      </c>
      <c r="Q58" s="95"/>
      <c r="R58" s="94"/>
      <c r="S58" s="89">
        <f t="shared" si="62"/>
        <v>0</v>
      </c>
      <c r="T58" s="178"/>
      <c r="U58" s="94"/>
      <c r="V58" s="175">
        <f t="shared" ref="V58:V78" si="96">SUM(T58:U58)</f>
        <v>0</v>
      </c>
      <c r="W58" s="95"/>
      <c r="X58" s="94"/>
      <c r="Y58" s="89">
        <f t="shared" si="64"/>
        <v>0</v>
      </c>
      <c r="Z58" s="178"/>
      <c r="AA58" s="94"/>
      <c r="AB58" s="173">
        <f t="shared" si="65"/>
        <v>0</v>
      </c>
      <c r="AC58" s="95"/>
      <c r="AD58" s="94"/>
      <c r="AE58" s="89">
        <f t="shared" si="66"/>
        <v>0</v>
      </c>
      <c r="AF58" s="178"/>
      <c r="AG58" s="94"/>
      <c r="AH58" s="172">
        <f t="shared" si="84"/>
        <v>0</v>
      </c>
      <c r="AI58" s="162">
        <f t="shared" si="85"/>
        <v>0</v>
      </c>
      <c r="AJ58" s="202" t="str">
        <f t="shared" si="53"/>
        <v>ممتاز</v>
      </c>
      <c r="AK58" s="67" t="e">
        <f t="shared" si="54"/>
        <v>#DIV/0!</v>
      </c>
      <c r="AM58" s="52">
        <f t="shared" si="80"/>
        <v>48</v>
      </c>
      <c r="AN58" s="88">
        <f t="shared" si="81"/>
        <v>0</v>
      </c>
      <c r="AO58" s="100">
        <f t="shared" si="82"/>
        <v>0</v>
      </c>
      <c r="AP58" s="81">
        <f t="shared" si="83"/>
        <v>0</v>
      </c>
      <c r="AQ58" s="171">
        <f t="shared" si="90"/>
        <v>0</v>
      </c>
      <c r="AR58" s="189"/>
      <c r="AS58" s="89">
        <f t="shared" si="69"/>
        <v>0</v>
      </c>
      <c r="AT58" s="184"/>
      <c r="AU58" s="189"/>
      <c r="AV58" s="172"/>
      <c r="AW58" s="171">
        <f t="shared" si="91"/>
        <v>0</v>
      </c>
      <c r="AX58" s="189"/>
      <c r="AY58" s="89">
        <f t="shared" si="70"/>
        <v>0</v>
      </c>
      <c r="AZ58" s="184"/>
      <c r="BA58" s="185"/>
      <c r="BB58" s="172"/>
      <c r="BC58" s="171"/>
      <c r="BD58" s="189"/>
      <c r="BE58" s="172"/>
      <c r="BF58" s="171"/>
      <c r="BG58" s="185"/>
      <c r="BH58" s="89">
        <f t="shared" si="72"/>
        <v>0</v>
      </c>
      <c r="BI58" s="184"/>
      <c r="BJ58" s="185"/>
      <c r="BK58" s="172">
        <f t="shared" si="95"/>
        <v>0</v>
      </c>
      <c r="BL58" s="171">
        <f t="shared" si="94"/>
        <v>0</v>
      </c>
      <c r="BM58" s="189"/>
      <c r="BN58" s="172">
        <f t="shared" si="86"/>
        <v>0</v>
      </c>
      <c r="BO58" s="171">
        <f t="shared" si="93"/>
        <v>0</v>
      </c>
      <c r="BP58" s="189"/>
      <c r="BQ58" s="89">
        <f t="shared" si="75"/>
        <v>0</v>
      </c>
      <c r="BR58" s="171">
        <f t="shared" si="87"/>
        <v>0</v>
      </c>
      <c r="BS58" s="189"/>
      <c r="BT58" s="172">
        <f t="shared" si="88"/>
        <v>0</v>
      </c>
      <c r="BU58" s="76">
        <f t="shared" si="89"/>
        <v>0</v>
      </c>
      <c r="BV58" s="196" t="str">
        <f>LOOKUP(BU58,'الفترة الاولى'!$BX$2:$BY$6)</f>
        <v>ممتاز</v>
      </c>
      <c r="BW58" s="77" t="e">
        <f>BU58/'الفترة الاولى'!$BZ$2</f>
        <v>#DIV/0!</v>
      </c>
    </row>
    <row r="59" spans="1:75" ht="25.2" customHeight="1" thickBot="1" x14ac:dyDescent="0.3">
      <c r="A59" s="50">
        <v>49</v>
      </c>
      <c r="B59" s="53"/>
      <c r="C59" s="101"/>
      <c r="D59" s="79"/>
      <c r="E59" s="168"/>
      <c r="F59" s="163"/>
      <c r="G59" s="89">
        <f t="shared" si="92"/>
        <v>0</v>
      </c>
      <c r="H59" s="176"/>
      <c r="I59" s="91"/>
      <c r="J59" s="173">
        <f t="shared" si="59"/>
        <v>0</v>
      </c>
      <c r="K59" s="90"/>
      <c r="L59" s="91"/>
      <c r="M59" s="89">
        <f t="shared" si="60"/>
        <v>0</v>
      </c>
      <c r="N59" s="176"/>
      <c r="O59" s="91"/>
      <c r="P59" s="173">
        <f t="shared" si="61"/>
        <v>0</v>
      </c>
      <c r="Q59" s="90"/>
      <c r="R59" s="91"/>
      <c r="S59" s="89">
        <f t="shared" si="62"/>
        <v>0</v>
      </c>
      <c r="T59" s="176"/>
      <c r="U59" s="91"/>
      <c r="V59" s="173">
        <f t="shared" si="96"/>
        <v>0</v>
      </c>
      <c r="W59" s="90"/>
      <c r="X59" s="91"/>
      <c r="Y59" s="89">
        <f t="shared" si="64"/>
        <v>0</v>
      </c>
      <c r="Z59" s="176"/>
      <c r="AA59" s="91"/>
      <c r="AB59" s="173">
        <f t="shared" si="65"/>
        <v>0</v>
      </c>
      <c r="AC59" s="90"/>
      <c r="AD59" s="91"/>
      <c r="AE59" s="89">
        <f t="shared" si="66"/>
        <v>0</v>
      </c>
      <c r="AF59" s="176"/>
      <c r="AG59" s="91"/>
      <c r="AH59" s="89">
        <f t="shared" si="84"/>
        <v>0</v>
      </c>
      <c r="AI59" s="160">
        <f t="shared" si="85"/>
        <v>0</v>
      </c>
      <c r="AJ59" s="200" t="str">
        <f t="shared" si="53"/>
        <v>ممتاز</v>
      </c>
      <c r="AK59" s="65" t="e">
        <f t="shared" si="54"/>
        <v>#DIV/0!</v>
      </c>
      <c r="AM59" s="50">
        <f t="shared" si="80"/>
        <v>49</v>
      </c>
      <c r="AN59" s="86">
        <f t="shared" si="81"/>
        <v>0</v>
      </c>
      <c r="AO59" s="98">
        <f t="shared" si="82"/>
        <v>0</v>
      </c>
      <c r="AP59" s="79">
        <f t="shared" si="83"/>
        <v>0</v>
      </c>
      <c r="AQ59" s="168">
        <f t="shared" si="90"/>
        <v>0</v>
      </c>
      <c r="AR59" s="163"/>
      <c r="AS59" s="89">
        <f t="shared" si="69"/>
        <v>0</v>
      </c>
      <c r="AT59" s="184"/>
      <c r="AU59" s="163"/>
      <c r="AV59" s="89"/>
      <c r="AW59" s="168">
        <f t="shared" si="91"/>
        <v>0</v>
      </c>
      <c r="AX59" s="163"/>
      <c r="AY59" s="89">
        <f t="shared" si="70"/>
        <v>0</v>
      </c>
      <c r="AZ59" s="184"/>
      <c r="BA59" s="185"/>
      <c r="BB59" s="89"/>
      <c r="BC59" s="168"/>
      <c r="BD59" s="163"/>
      <c r="BE59" s="89"/>
      <c r="BF59" s="168"/>
      <c r="BG59" s="185"/>
      <c r="BH59" s="89">
        <f t="shared" si="72"/>
        <v>0</v>
      </c>
      <c r="BI59" s="184"/>
      <c r="BJ59" s="185"/>
      <c r="BK59" s="89">
        <f t="shared" si="95"/>
        <v>0</v>
      </c>
      <c r="BL59" s="168">
        <f t="shared" si="94"/>
        <v>0</v>
      </c>
      <c r="BM59" s="163"/>
      <c r="BN59" s="89">
        <f t="shared" si="86"/>
        <v>0</v>
      </c>
      <c r="BO59" s="168">
        <f t="shared" si="93"/>
        <v>0</v>
      </c>
      <c r="BP59" s="163"/>
      <c r="BQ59" s="89">
        <f t="shared" si="75"/>
        <v>0</v>
      </c>
      <c r="BR59" s="168">
        <f t="shared" si="87"/>
        <v>0</v>
      </c>
      <c r="BS59" s="163"/>
      <c r="BT59" s="89">
        <f t="shared" si="88"/>
        <v>0</v>
      </c>
      <c r="BU59" s="72">
        <f t="shared" si="89"/>
        <v>0</v>
      </c>
      <c r="BV59" s="194" t="str">
        <f>LOOKUP(BU59,'الفترة الاولى'!$BX$2:$BY$6)</f>
        <v>ممتاز</v>
      </c>
      <c r="BW59" s="73" t="e">
        <f>BU59/'الفترة الاولى'!$BZ$2</f>
        <v>#DIV/0!</v>
      </c>
    </row>
    <row r="60" spans="1:75" ht="25.2" customHeight="1" thickBot="1" x14ac:dyDescent="0.3">
      <c r="A60" s="51">
        <v>50</v>
      </c>
      <c r="B60" s="54"/>
      <c r="C60" s="102"/>
      <c r="D60" s="80"/>
      <c r="E60" s="169"/>
      <c r="F60" s="92"/>
      <c r="G60" s="170">
        <f t="shared" si="92"/>
        <v>0</v>
      </c>
      <c r="H60" s="177"/>
      <c r="I60" s="92"/>
      <c r="J60" s="174">
        <f t="shared" ref="J60:J78" si="97">SUM(H60:I60)</f>
        <v>0</v>
      </c>
      <c r="K60" s="93"/>
      <c r="L60" s="92"/>
      <c r="M60" s="89">
        <f t="shared" si="60"/>
        <v>0</v>
      </c>
      <c r="N60" s="177"/>
      <c r="O60" s="92"/>
      <c r="P60" s="173">
        <f t="shared" si="61"/>
        <v>0</v>
      </c>
      <c r="Q60" s="93"/>
      <c r="R60" s="92"/>
      <c r="S60" s="89">
        <f t="shared" si="62"/>
        <v>0</v>
      </c>
      <c r="T60" s="177"/>
      <c r="U60" s="92"/>
      <c r="V60" s="174">
        <f t="shared" si="96"/>
        <v>0</v>
      </c>
      <c r="W60" s="93"/>
      <c r="X60" s="92"/>
      <c r="Y60" s="89">
        <f t="shared" si="64"/>
        <v>0</v>
      </c>
      <c r="Z60" s="177"/>
      <c r="AA60" s="92"/>
      <c r="AB60" s="173">
        <f t="shared" si="65"/>
        <v>0</v>
      </c>
      <c r="AC60" s="93"/>
      <c r="AD60" s="92"/>
      <c r="AE60" s="89">
        <f t="shared" si="66"/>
        <v>0</v>
      </c>
      <c r="AF60" s="177"/>
      <c r="AG60" s="92"/>
      <c r="AH60" s="170">
        <f t="shared" si="84"/>
        <v>0</v>
      </c>
      <c r="AI60" s="161">
        <f t="shared" si="85"/>
        <v>0</v>
      </c>
      <c r="AJ60" s="201" t="str">
        <f t="shared" si="53"/>
        <v>ممتاز</v>
      </c>
      <c r="AK60" s="66" t="e">
        <f t="shared" si="54"/>
        <v>#DIV/0!</v>
      </c>
      <c r="AM60" s="51">
        <f t="shared" si="80"/>
        <v>50</v>
      </c>
      <c r="AN60" s="87">
        <f t="shared" si="81"/>
        <v>0</v>
      </c>
      <c r="AO60" s="99">
        <f t="shared" si="82"/>
        <v>0</v>
      </c>
      <c r="AP60" s="80">
        <f t="shared" si="83"/>
        <v>0</v>
      </c>
      <c r="AQ60" s="169">
        <f t="shared" si="90"/>
        <v>0</v>
      </c>
      <c r="AR60" s="188"/>
      <c r="AS60" s="89">
        <f t="shared" si="69"/>
        <v>0</v>
      </c>
      <c r="AT60" s="184"/>
      <c r="AU60" s="188"/>
      <c r="AV60" s="170"/>
      <c r="AW60" s="169">
        <f t="shared" si="91"/>
        <v>0</v>
      </c>
      <c r="AX60" s="188"/>
      <c r="AY60" s="89">
        <f t="shared" si="70"/>
        <v>0</v>
      </c>
      <c r="AZ60" s="184"/>
      <c r="BA60" s="185"/>
      <c r="BB60" s="170"/>
      <c r="BC60" s="169"/>
      <c r="BD60" s="188"/>
      <c r="BE60" s="170"/>
      <c r="BF60" s="169"/>
      <c r="BG60" s="185"/>
      <c r="BH60" s="89">
        <f t="shared" si="72"/>
        <v>0</v>
      </c>
      <c r="BI60" s="184"/>
      <c r="BJ60" s="185"/>
      <c r="BK60" s="170">
        <f t="shared" si="95"/>
        <v>0</v>
      </c>
      <c r="BL60" s="169">
        <f t="shared" si="94"/>
        <v>0</v>
      </c>
      <c r="BM60" s="188"/>
      <c r="BN60" s="170">
        <f t="shared" si="86"/>
        <v>0</v>
      </c>
      <c r="BO60" s="169">
        <f t="shared" si="93"/>
        <v>0</v>
      </c>
      <c r="BP60" s="188"/>
      <c r="BQ60" s="89">
        <f t="shared" si="75"/>
        <v>0</v>
      </c>
      <c r="BR60" s="169">
        <f t="shared" si="87"/>
        <v>0</v>
      </c>
      <c r="BS60" s="188"/>
      <c r="BT60" s="170">
        <f t="shared" si="88"/>
        <v>0</v>
      </c>
      <c r="BU60" s="74">
        <f t="shared" si="89"/>
        <v>0</v>
      </c>
      <c r="BV60" s="195" t="str">
        <f>LOOKUP(BU60,'الفترة الاولى'!$BX$2:$BY$6)</f>
        <v>ممتاز</v>
      </c>
      <c r="BW60" s="75" t="e">
        <f>BU60/'الفترة الاولى'!$BZ$2</f>
        <v>#DIV/0!</v>
      </c>
    </row>
    <row r="61" spans="1:75" ht="25.2" customHeight="1" thickBot="1" x14ac:dyDescent="0.3">
      <c r="A61" s="52">
        <v>51</v>
      </c>
      <c r="B61" s="55"/>
      <c r="C61" s="103"/>
      <c r="D61" s="81"/>
      <c r="E61" s="171"/>
      <c r="F61" s="94"/>
      <c r="G61" s="172">
        <f t="shared" si="92"/>
        <v>0</v>
      </c>
      <c r="H61" s="178"/>
      <c r="I61" s="94"/>
      <c r="J61" s="175">
        <f t="shared" si="97"/>
        <v>0</v>
      </c>
      <c r="K61" s="95"/>
      <c r="L61" s="94"/>
      <c r="M61" s="89">
        <f t="shared" si="60"/>
        <v>0</v>
      </c>
      <c r="N61" s="178"/>
      <c r="O61" s="94"/>
      <c r="P61" s="173">
        <f t="shared" si="61"/>
        <v>0</v>
      </c>
      <c r="Q61" s="95"/>
      <c r="R61" s="94"/>
      <c r="S61" s="89">
        <f t="shared" si="62"/>
        <v>0</v>
      </c>
      <c r="T61" s="178"/>
      <c r="U61" s="94"/>
      <c r="V61" s="175">
        <f t="shared" si="96"/>
        <v>0</v>
      </c>
      <c r="W61" s="95"/>
      <c r="X61" s="94"/>
      <c r="Y61" s="89">
        <f t="shared" si="64"/>
        <v>0</v>
      </c>
      <c r="Z61" s="178"/>
      <c r="AA61" s="94"/>
      <c r="AB61" s="173">
        <f t="shared" si="65"/>
        <v>0</v>
      </c>
      <c r="AC61" s="95"/>
      <c r="AD61" s="94"/>
      <c r="AE61" s="89">
        <f t="shared" si="66"/>
        <v>0</v>
      </c>
      <c r="AF61" s="178"/>
      <c r="AG61" s="94"/>
      <c r="AH61" s="172">
        <f t="shared" si="84"/>
        <v>0</v>
      </c>
      <c r="AI61" s="162">
        <f t="shared" si="85"/>
        <v>0</v>
      </c>
      <c r="AJ61" s="202" t="str">
        <f t="shared" si="53"/>
        <v>ممتاز</v>
      </c>
      <c r="AK61" s="67" t="e">
        <f t="shared" si="54"/>
        <v>#DIV/0!</v>
      </c>
      <c r="AM61" s="52">
        <f t="shared" si="80"/>
        <v>51</v>
      </c>
      <c r="AN61" s="88">
        <f t="shared" si="81"/>
        <v>0</v>
      </c>
      <c r="AO61" s="100">
        <f t="shared" si="82"/>
        <v>0</v>
      </c>
      <c r="AP61" s="81">
        <f t="shared" si="83"/>
        <v>0</v>
      </c>
      <c r="AQ61" s="171">
        <f t="shared" si="90"/>
        <v>0</v>
      </c>
      <c r="AR61" s="189"/>
      <c r="AS61" s="89">
        <f t="shared" si="69"/>
        <v>0</v>
      </c>
      <c r="AT61" s="184"/>
      <c r="AU61" s="189"/>
      <c r="AV61" s="172"/>
      <c r="AW61" s="171">
        <f t="shared" si="91"/>
        <v>0</v>
      </c>
      <c r="AX61" s="189"/>
      <c r="AY61" s="172">
        <f t="shared" ref="AY61:AY78" si="98">SUM(AW61:AX61)</f>
        <v>0</v>
      </c>
      <c r="AZ61" s="184"/>
      <c r="BA61" s="185"/>
      <c r="BB61" s="172"/>
      <c r="BC61" s="171"/>
      <c r="BD61" s="189"/>
      <c r="BE61" s="172"/>
      <c r="BF61" s="171"/>
      <c r="BG61" s="185"/>
      <c r="BH61" s="89">
        <f t="shared" si="72"/>
        <v>0</v>
      </c>
      <c r="BI61" s="171"/>
      <c r="BJ61" s="185"/>
      <c r="BK61" s="172">
        <f t="shared" si="95"/>
        <v>0</v>
      </c>
      <c r="BL61" s="171">
        <f t="shared" si="94"/>
        <v>0</v>
      </c>
      <c r="BM61" s="189"/>
      <c r="BN61" s="172">
        <f t="shared" si="86"/>
        <v>0</v>
      </c>
      <c r="BO61" s="171">
        <f t="shared" si="93"/>
        <v>0</v>
      </c>
      <c r="BP61" s="189"/>
      <c r="BQ61" s="89">
        <f t="shared" si="75"/>
        <v>0</v>
      </c>
      <c r="BR61" s="171">
        <f t="shared" si="87"/>
        <v>0</v>
      </c>
      <c r="BS61" s="189"/>
      <c r="BT61" s="172">
        <f t="shared" si="88"/>
        <v>0</v>
      </c>
      <c r="BU61" s="76">
        <f t="shared" si="89"/>
        <v>0</v>
      </c>
      <c r="BV61" s="196" t="str">
        <f>LOOKUP(BU61,'الفترة الاولى'!$BX$2:$BY$6)</f>
        <v>ممتاز</v>
      </c>
      <c r="BW61" s="77" t="e">
        <f>BU61/'الفترة الاولى'!$BZ$2</f>
        <v>#DIV/0!</v>
      </c>
    </row>
    <row r="62" spans="1:75" ht="25.2" customHeight="1" thickBot="1" x14ac:dyDescent="0.3">
      <c r="A62" s="50">
        <v>52</v>
      </c>
      <c r="B62" s="53"/>
      <c r="C62" s="101"/>
      <c r="D62" s="79"/>
      <c r="E62" s="168"/>
      <c r="F62" s="163"/>
      <c r="G62" s="89">
        <f t="shared" si="92"/>
        <v>0</v>
      </c>
      <c r="H62" s="176"/>
      <c r="I62" s="91"/>
      <c r="J62" s="173">
        <f t="shared" si="97"/>
        <v>0</v>
      </c>
      <c r="K62" s="90"/>
      <c r="L62" s="91"/>
      <c r="M62" s="89">
        <f t="shared" si="60"/>
        <v>0</v>
      </c>
      <c r="N62" s="176"/>
      <c r="O62" s="91"/>
      <c r="P62" s="173">
        <f t="shared" si="61"/>
        <v>0</v>
      </c>
      <c r="Q62" s="90"/>
      <c r="R62" s="91"/>
      <c r="S62" s="89">
        <f t="shared" si="62"/>
        <v>0</v>
      </c>
      <c r="T62" s="176"/>
      <c r="U62" s="91"/>
      <c r="V62" s="173">
        <f t="shared" si="96"/>
        <v>0</v>
      </c>
      <c r="W62" s="90"/>
      <c r="X62" s="91"/>
      <c r="Y62" s="89">
        <f t="shared" si="64"/>
        <v>0</v>
      </c>
      <c r="Z62" s="176"/>
      <c r="AA62" s="91"/>
      <c r="AB62" s="173">
        <f t="shared" si="65"/>
        <v>0</v>
      </c>
      <c r="AC62" s="90"/>
      <c r="AD62" s="91"/>
      <c r="AE62" s="89">
        <f t="shared" si="66"/>
        <v>0</v>
      </c>
      <c r="AF62" s="176"/>
      <c r="AG62" s="91"/>
      <c r="AH62" s="89">
        <f t="shared" si="84"/>
        <v>0</v>
      </c>
      <c r="AI62" s="160">
        <f t="shared" si="85"/>
        <v>0</v>
      </c>
      <c r="AJ62" s="200" t="str">
        <f t="shared" si="53"/>
        <v>ممتاز</v>
      </c>
      <c r="AK62" s="65" t="e">
        <f t="shared" si="54"/>
        <v>#DIV/0!</v>
      </c>
      <c r="AM62" s="50">
        <f t="shared" si="80"/>
        <v>52</v>
      </c>
      <c r="AN62" s="86">
        <f t="shared" si="81"/>
        <v>0</v>
      </c>
      <c r="AO62" s="98">
        <f t="shared" si="82"/>
        <v>0</v>
      </c>
      <c r="AP62" s="79">
        <f t="shared" si="83"/>
        <v>0</v>
      </c>
      <c r="AQ62" s="168">
        <f t="shared" si="90"/>
        <v>0</v>
      </c>
      <c r="AR62" s="163"/>
      <c r="AS62" s="89">
        <f t="shared" si="69"/>
        <v>0</v>
      </c>
      <c r="AT62" s="184"/>
      <c r="AU62" s="163"/>
      <c r="AV62" s="89"/>
      <c r="AW62" s="168">
        <f t="shared" si="91"/>
        <v>0</v>
      </c>
      <c r="AX62" s="163"/>
      <c r="AY62" s="89">
        <f t="shared" si="98"/>
        <v>0</v>
      </c>
      <c r="AZ62" s="168"/>
      <c r="BA62" s="185"/>
      <c r="BB62" s="89"/>
      <c r="BC62" s="168"/>
      <c r="BD62" s="163"/>
      <c r="BE62" s="89"/>
      <c r="BF62" s="168"/>
      <c r="BG62" s="185"/>
      <c r="BH62" s="89">
        <f t="shared" si="72"/>
        <v>0</v>
      </c>
      <c r="BI62" s="168"/>
      <c r="BJ62" s="185"/>
      <c r="BK62" s="89">
        <f t="shared" si="95"/>
        <v>0</v>
      </c>
      <c r="BL62" s="168">
        <f t="shared" si="94"/>
        <v>0</v>
      </c>
      <c r="BM62" s="163"/>
      <c r="BN62" s="89">
        <f t="shared" si="86"/>
        <v>0</v>
      </c>
      <c r="BO62" s="168">
        <f t="shared" si="93"/>
        <v>0</v>
      </c>
      <c r="BP62" s="163"/>
      <c r="BQ62" s="89">
        <f t="shared" si="75"/>
        <v>0</v>
      </c>
      <c r="BR62" s="168">
        <f t="shared" si="87"/>
        <v>0</v>
      </c>
      <c r="BS62" s="163"/>
      <c r="BT62" s="89">
        <f t="shared" si="88"/>
        <v>0</v>
      </c>
      <c r="BU62" s="72">
        <f t="shared" si="89"/>
        <v>0</v>
      </c>
      <c r="BV62" s="194" t="str">
        <f>LOOKUP(BU62,'الفترة الاولى'!$BX$2:$BY$6)</f>
        <v>ممتاز</v>
      </c>
      <c r="BW62" s="73" t="e">
        <f>BU62/'الفترة الاولى'!$BZ$2</f>
        <v>#DIV/0!</v>
      </c>
    </row>
    <row r="63" spans="1:75" ht="25.2" customHeight="1" thickBot="1" x14ac:dyDescent="0.3">
      <c r="A63" s="51">
        <v>53</v>
      </c>
      <c r="B63" s="54"/>
      <c r="C63" s="102"/>
      <c r="D63" s="80"/>
      <c r="E63" s="169"/>
      <c r="F63" s="92"/>
      <c r="G63" s="170">
        <f t="shared" si="92"/>
        <v>0</v>
      </c>
      <c r="H63" s="177"/>
      <c r="I63" s="92"/>
      <c r="J63" s="174">
        <f t="shared" si="97"/>
        <v>0</v>
      </c>
      <c r="K63" s="93"/>
      <c r="L63" s="92"/>
      <c r="M63" s="89">
        <f t="shared" si="60"/>
        <v>0</v>
      </c>
      <c r="N63" s="177"/>
      <c r="O63" s="92"/>
      <c r="P63" s="173">
        <f t="shared" si="61"/>
        <v>0</v>
      </c>
      <c r="Q63" s="93"/>
      <c r="R63" s="92"/>
      <c r="S63" s="89">
        <f t="shared" si="62"/>
        <v>0</v>
      </c>
      <c r="T63" s="177"/>
      <c r="U63" s="92"/>
      <c r="V63" s="174">
        <f t="shared" si="96"/>
        <v>0</v>
      </c>
      <c r="W63" s="93"/>
      <c r="X63" s="92"/>
      <c r="Y63" s="89">
        <f t="shared" si="64"/>
        <v>0</v>
      </c>
      <c r="Z63" s="177"/>
      <c r="AA63" s="92"/>
      <c r="AB63" s="173">
        <f t="shared" si="65"/>
        <v>0</v>
      </c>
      <c r="AC63" s="93"/>
      <c r="AD63" s="92"/>
      <c r="AE63" s="89">
        <f t="shared" si="66"/>
        <v>0</v>
      </c>
      <c r="AF63" s="177"/>
      <c r="AG63" s="92"/>
      <c r="AH63" s="170">
        <f t="shared" si="84"/>
        <v>0</v>
      </c>
      <c r="AI63" s="161">
        <f t="shared" si="85"/>
        <v>0</v>
      </c>
      <c r="AJ63" s="201" t="str">
        <f t="shared" si="53"/>
        <v>ممتاز</v>
      </c>
      <c r="AK63" s="66" t="e">
        <f t="shared" si="54"/>
        <v>#DIV/0!</v>
      </c>
      <c r="AM63" s="51">
        <f t="shared" si="80"/>
        <v>53</v>
      </c>
      <c r="AN63" s="87">
        <f t="shared" si="81"/>
        <v>0</v>
      </c>
      <c r="AO63" s="99">
        <f t="shared" si="82"/>
        <v>0</v>
      </c>
      <c r="AP63" s="80">
        <f t="shared" si="83"/>
        <v>0</v>
      </c>
      <c r="AQ63" s="169">
        <f t="shared" si="90"/>
        <v>0</v>
      </c>
      <c r="AR63" s="188"/>
      <c r="AS63" s="89">
        <f t="shared" si="69"/>
        <v>0</v>
      </c>
      <c r="AT63" s="184"/>
      <c r="AU63" s="188"/>
      <c r="AV63" s="170"/>
      <c r="AW63" s="169">
        <f t="shared" si="91"/>
        <v>0</v>
      </c>
      <c r="AX63" s="188"/>
      <c r="AY63" s="170">
        <f t="shared" si="98"/>
        <v>0</v>
      </c>
      <c r="AZ63" s="169"/>
      <c r="BA63" s="185"/>
      <c r="BB63" s="170"/>
      <c r="BC63" s="169"/>
      <c r="BD63" s="188"/>
      <c r="BE63" s="170"/>
      <c r="BF63" s="169"/>
      <c r="BG63" s="185"/>
      <c r="BH63" s="89">
        <f t="shared" si="72"/>
        <v>0</v>
      </c>
      <c r="BI63" s="169"/>
      <c r="BJ63" s="185"/>
      <c r="BK63" s="170">
        <f t="shared" si="95"/>
        <v>0</v>
      </c>
      <c r="BL63" s="169">
        <f t="shared" si="94"/>
        <v>0</v>
      </c>
      <c r="BM63" s="188"/>
      <c r="BN63" s="170">
        <f t="shared" si="86"/>
        <v>0</v>
      </c>
      <c r="BO63" s="169">
        <f t="shared" si="93"/>
        <v>0</v>
      </c>
      <c r="BP63" s="188"/>
      <c r="BQ63" s="89">
        <f t="shared" si="75"/>
        <v>0</v>
      </c>
      <c r="BR63" s="169">
        <f t="shared" si="87"/>
        <v>0</v>
      </c>
      <c r="BS63" s="188"/>
      <c r="BT63" s="170">
        <f t="shared" si="88"/>
        <v>0</v>
      </c>
      <c r="BU63" s="74">
        <f t="shared" si="89"/>
        <v>0</v>
      </c>
      <c r="BV63" s="195" t="str">
        <f>LOOKUP(BU63,'الفترة الاولى'!$BX$2:$BY$6)</f>
        <v>ممتاز</v>
      </c>
      <c r="BW63" s="75" t="e">
        <f>BU63/'الفترة الاولى'!$BZ$2</f>
        <v>#DIV/0!</v>
      </c>
    </row>
    <row r="64" spans="1:75" ht="25.2" customHeight="1" thickBot="1" x14ac:dyDescent="0.3">
      <c r="A64" s="52">
        <v>54</v>
      </c>
      <c r="B64" s="55"/>
      <c r="C64" s="103"/>
      <c r="D64" s="81"/>
      <c r="E64" s="171"/>
      <c r="F64" s="94"/>
      <c r="G64" s="172">
        <f t="shared" si="92"/>
        <v>0</v>
      </c>
      <c r="H64" s="178"/>
      <c r="I64" s="94"/>
      <c r="J64" s="175">
        <f t="shared" si="97"/>
        <v>0</v>
      </c>
      <c r="K64" s="95"/>
      <c r="L64" s="94"/>
      <c r="M64" s="89">
        <f t="shared" si="60"/>
        <v>0</v>
      </c>
      <c r="N64" s="178"/>
      <c r="O64" s="94"/>
      <c r="P64" s="173">
        <f t="shared" si="61"/>
        <v>0</v>
      </c>
      <c r="Q64" s="95"/>
      <c r="R64" s="94"/>
      <c r="S64" s="89">
        <f t="shared" si="62"/>
        <v>0</v>
      </c>
      <c r="T64" s="178"/>
      <c r="U64" s="94"/>
      <c r="V64" s="175">
        <f t="shared" si="96"/>
        <v>0</v>
      </c>
      <c r="W64" s="95"/>
      <c r="X64" s="94"/>
      <c r="Y64" s="89">
        <f t="shared" si="64"/>
        <v>0</v>
      </c>
      <c r="Z64" s="178"/>
      <c r="AA64" s="94"/>
      <c r="AB64" s="173">
        <f t="shared" si="65"/>
        <v>0</v>
      </c>
      <c r="AC64" s="95"/>
      <c r="AD64" s="94"/>
      <c r="AE64" s="89">
        <f t="shared" si="66"/>
        <v>0</v>
      </c>
      <c r="AF64" s="178"/>
      <c r="AG64" s="94"/>
      <c r="AH64" s="172">
        <f t="shared" si="84"/>
        <v>0</v>
      </c>
      <c r="AI64" s="162">
        <f t="shared" si="85"/>
        <v>0</v>
      </c>
      <c r="AJ64" s="202" t="str">
        <f t="shared" si="53"/>
        <v>ممتاز</v>
      </c>
      <c r="AK64" s="67" t="e">
        <f t="shared" si="54"/>
        <v>#DIV/0!</v>
      </c>
      <c r="AM64" s="52">
        <f t="shared" si="80"/>
        <v>54</v>
      </c>
      <c r="AN64" s="88">
        <f t="shared" si="81"/>
        <v>0</v>
      </c>
      <c r="AO64" s="100">
        <f t="shared" si="82"/>
        <v>0</v>
      </c>
      <c r="AP64" s="81">
        <f t="shared" si="83"/>
        <v>0</v>
      </c>
      <c r="AQ64" s="171">
        <f t="shared" si="90"/>
        <v>0</v>
      </c>
      <c r="AR64" s="189"/>
      <c r="AS64" s="89">
        <f t="shared" si="69"/>
        <v>0</v>
      </c>
      <c r="AT64" s="184"/>
      <c r="AU64" s="189"/>
      <c r="AV64" s="172"/>
      <c r="AW64" s="171">
        <f t="shared" si="91"/>
        <v>0</v>
      </c>
      <c r="AX64" s="189"/>
      <c r="AY64" s="172">
        <f t="shared" si="98"/>
        <v>0</v>
      </c>
      <c r="AZ64" s="171"/>
      <c r="BA64" s="185"/>
      <c r="BB64" s="172"/>
      <c r="BC64" s="171"/>
      <c r="BD64" s="189"/>
      <c r="BE64" s="172"/>
      <c r="BF64" s="171"/>
      <c r="BG64" s="185"/>
      <c r="BH64" s="89">
        <f t="shared" si="72"/>
        <v>0</v>
      </c>
      <c r="BI64" s="171"/>
      <c r="BJ64" s="185"/>
      <c r="BK64" s="172">
        <f t="shared" si="95"/>
        <v>0</v>
      </c>
      <c r="BL64" s="171">
        <f t="shared" si="94"/>
        <v>0</v>
      </c>
      <c r="BM64" s="189"/>
      <c r="BN64" s="172">
        <f t="shared" si="86"/>
        <v>0</v>
      </c>
      <c r="BO64" s="171">
        <f t="shared" si="93"/>
        <v>0</v>
      </c>
      <c r="BP64" s="189"/>
      <c r="BQ64" s="89">
        <f t="shared" si="75"/>
        <v>0</v>
      </c>
      <c r="BR64" s="171">
        <f t="shared" si="87"/>
        <v>0</v>
      </c>
      <c r="BS64" s="189"/>
      <c r="BT64" s="172">
        <f t="shared" si="88"/>
        <v>0</v>
      </c>
      <c r="BU64" s="76">
        <f t="shared" si="89"/>
        <v>0</v>
      </c>
      <c r="BV64" s="196" t="str">
        <f>LOOKUP(BU64,'الفترة الاولى'!$BX$2:$BY$6)</f>
        <v>ممتاز</v>
      </c>
      <c r="BW64" s="77" t="e">
        <f>BU64/'الفترة الاولى'!$BZ$2</f>
        <v>#DIV/0!</v>
      </c>
    </row>
    <row r="65" spans="1:75" ht="25.2" customHeight="1" thickBot="1" x14ac:dyDescent="0.3">
      <c r="A65" s="50">
        <v>55</v>
      </c>
      <c r="B65" s="53"/>
      <c r="C65" s="101"/>
      <c r="D65" s="79"/>
      <c r="E65" s="168"/>
      <c r="F65" s="163"/>
      <c r="G65" s="89">
        <f t="shared" si="92"/>
        <v>0</v>
      </c>
      <c r="H65" s="176"/>
      <c r="I65" s="91"/>
      <c r="J65" s="173">
        <f t="shared" si="97"/>
        <v>0</v>
      </c>
      <c r="K65" s="90"/>
      <c r="L65" s="91"/>
      <c r="M65" s="89">
        <f t="shared" si="60"/>
        <v>0</v>
      </c>
      <c r="N65" s="176"/>
      <c r="O65" s="91"/>
      <c r="P65" s="173">
        <f t="shared" si="61"/>
        <v>0</v>
      </c>
      <c r="Q65" s="90"/>
      <c r="R65" s="91"/>
      <c r="S65" s="89">
        <f t="shared" si="62"/>
        <v>0</v>
      </c>
      <c r="T65" s="176"/>
      <c r="U65" s="91"/>
      <c r="V65" s="173">
        <f t="shared" si="96"/>
        <v>0</v>
      </c>
      <c r="W65" s="90"/>
      <c r="X65" s="91"/>
      <c r="Y65" s="89">
        <f t="shared" si="64"/>
        <v>0</v>
      </c>
      <c r="Z65" s="176"/>
      <c r="AA65" s="91"/>
      <c r="AB65" s="173">
        <f t="shared" si="65"/>
        <v>0</v>
      </c>
      <c r="AC65" s="90"/>
      <c r="AD65" s="91"/>
      <c r="AE65" s="89">
        <f t="shared" si="66"/>
        <v>0</v>
      </c>
      <c r="AF65" s="176"/>
      <c r="AG65" s="91"/>
      <c r="AH65" s="89">
        <f t="shared" si="84"/>
        <v>0</v>
      </c>
      <c r="AI65" s="160">
        <f t="shared" si="85"/>
        <v>0</v>
      </c>
      <c r="AJ65" s="200" t="str">
        <f t="shared" si="53"/>
        <v>ممتاز</v>
      </c>
      <c r="AK65" s="65" t="e">
        <f t="shared" si="54"/>
        <v>#DIV/0!</v>
      </c>
      <c r="AM65" s="50">
        <f t="shared" si="80"/>
        <v>55</v>
      </c>
      <c r="AN65" s="86">
        <f t="shared" si="81"/>
        <v>0</v>
      </c>
      <c r="AO65" s="98">
        <f t="shared" si="82"/>
        <v>0</v>
      </c>
      <c r="AP65" s="79">
        <f t="shared" si="83"/>
        <v>0</v>
      </c>
      <c r="AQ65" s="168">
        <f t="shared" si="90"/>
        <v>0</v>
      </c>
      <c r="AR65" s="163"/>
      <c r="AS65" s="89">
        <f t="shared" si="69"/>
        <v>0</v>
      </c>
      <c r="AT65" s="184"/>
      <c r="AU65" s="163"/>
      <c r="AV65" s="89"/>
      <c r="AW65" s="168">
        <f t="shared" si="91"/>
        <v>0</v>
      </c>
      <c r="AX65" s="163"/>
      <c r="AY65" s="89">
        <f t="shared" si="98"/>
        <v>0</v>
      </c>
      <c r="AZ65" s="168"/>
      <c r="BA65" s="185"/>
      <c r="BB65" s="89"/>
      <c r="BC65" s="168"/>
      <c r="BD65" s="163"/>
      <c r="BE65" s="89"/>
      <c r="BF65" s="168"/>
      <c r="BG65" s="185"/>
      <c r="BH65" s="89">
        <f t="shared" si="72"/>
        <v>0</v>
      </c>
      <c r="BI65" s="168"/>
      <c r="BJ65" s="185"/>
      <c r="BK65" s="89">
        <f t="shared" si="95"/>
        <v>0</v>
      </c>
      <c r="BL65" s="168">
        <f t="shared" si="94"/>
        <v>0</v>
      </c>
      <c r="BM65" s="163"/>
      <c r="BN65" s="89">
        <f t="shared" si="86"/>
        <v>0</v>
      </c>
      <c r="BO65" s="168">
        <f t="shared" si="93"/>
        <v>0</v>
      </c>
      <c r="BP65" s="163"/>
      <c r="BQ65" s="89">
        <f t="shared" si="75"/>
        <v>0</v>
      </c>
      <c r="BR65" s="168">
        <f t="shared" si="87"/>
        <v>0</v>
      </c>
      <c r="BS65" s="163"/>
      <c r="BT65" s="89">
        <f t="shared" si="88"/>
        <v>0</v>
      </c>
      <c r="BU65" s="72">
        <f t="shared" si="89"/>
        <v>0</v>
      </c>
      <c r="BV65" s="194" t="str">
        <f>LOOKUP(BU65,'الفترة الاولى'!$BX$2:$BY$6)</f>
        <v>ممتاز</v>
      </c>
      <c r="BW65" s="73" t="e">
        <f>BU65/'الفترة الاولى'!$BZ$2</f>
        <v>#DIV/0!</v>
      </c>
    </row>
    <row r="66" spans="1:75" ht="25.2" customHeight="1" thickBot="1" x14ac:dyDescent="0.3">
      <c r="A66" s="51">
        <v>56</v>
      </c>
      <c r="B66" s="54"/>
      <c r="C66" s="102"/>
      <c r="D66" s="80"/>
      <c r="E66" s="169"/>
      <c r="F66" s="92"/>
      <c r="G66" s="170">
        <f t="shared" si="92"/>
        <v>0</v>
      </c>
      <c r="H66" s="177"/>
      <c r="I66" s="92"/>
      <c r="J66" s="174">
        <f t="shared" si="97"/>
        <v>0</v>
      </c>
      <c r="K66" s="93"/>
      <c r="L66" s="92"/>
      <c r="M66" s="89">
        <f t="shared" si="60"/>
        <v>0</v>
      </c>
      <c r="N66" s="177"/>
      <c r="O66" s="92"/>
      <c r="P66" s="173">
        <f t="shared" si="61"/>
        <v>0</v>
      </c>
      <c r="Q66" s="93"/>
      <c r="R66" s="92"/>
      <c r="S66" s="89">
        <f t="shared" si="62"/>
        <v>0</v>
      </c>
      <c r="T66" s="177"/>
      <c r="U66" s="92"/>
      <c r="V66" s="174">
        <f t="shared" si="96"/>
        <v>0</v>
      </c>
      <c r="W66" s="93"/>
      <c r="X66" s="92"/>
      <c r="Y66" s="89">
        <f t="shared" si="64"/>
        <v>0</v>
      </c>
      <c r="Z66" s="177"/>
      <c r="AA66" s="92"/>
      <c r="AB66" s="173">
        <f t="shared" si="65"/>
        <v>0</v>
      </c>
      <c r="AC66" s="93"/>
      <c r="AD66" s="92"/>
      <c r="AE66" s="89">
        <f t="shared" si="66"/>
        <v>0</v>
      </c>
      <c r="AF66" s="177"/>
      <c r="AG66" s="92"/>
      <c r="AH66" s="170">
        <f t="shared" si="84"/>
        <v>0</v>
      </c>
      <c r="AI66" s="161">
        <f t="shared" si="85"/>
        <v>0</v>
      </c>
      <c r="AJ66" s="201" t="str">
        <f t="shared" si="53"/>
        <v>ممتاز</v>
      </c>
      <c r="AK66" s="66" t="e">
        <f t="shared" si="54"/>
        <v>#DIV/0!</v>
      </c>
      <c r="AM66" s="51">
        <f t="shared" si="80"/>
        <v>56</v>
      </c>
      <c r="AN66" s="87">
        <f t="shared" si="81"/>
        <v>0</v>
      </c>
      <c r="AO66" s="99">
        <f t="shared" si="82"/>
        <v>0</v>
      </c>
      <c r="AP66" s="80">
        <f t="shared" si="83"/>
        <v>0</v>
      </c>
      <c r="AQ66" s="169">
        <f t="shared" si="90"/>
        <v>0</v>
      </c>
      <c r="AR66" s="188"/>
      <c r="AS66" s="89">
        <f t="shared" si="69"/>
        <v>0</v>
      </c>
      <c r="AT66" s="184"/>
      <c r="AU66" s="188"/>
      <c r="AV66" s="170"/>
      <c r="AW66" s="169">
        <f t="shared" si="91"/>
        <v>0</v>
      </c>
      <c r="AX66" s="188"/>
      <c r="AY66" s="170">
        <f t="shared" si="98"/>
        <v>0</v>
      </c>
      <c r="AZ66" s="169"/>
      <c r="BA66" s="185"/>
      <c r="BB66" s="170"/>
      <c r="BC66" s="169"/>
      <c r="BD66" s="188"/>
      <c r="BE66" s="170"/>
      <c r="BF66" s="169"/>
      <c r="BG66" s="185"/>
      <c r="BH66" s="89">
        <f t="shared" si="72"/>
        <v>0</v>
      </c>
      <c r="BI66" s="169"/>
      <c r="BJ66" s="185"/>
      <c r="BK66" s="170">
        <f t="shared" si="95"/>
        <v>0</v>
      </c>
      <c r="BL66" s="169">
        <f t="shared" si="94"/>
        <v>0</v>
      </c>
      <c r="BM66" s="188"/>
      <c r="BN66" s="170">
        <f t="shared" si="86"/>
        <v>0</v>
      </c>
      <c r="BO66" s="169">
        <f t="shared" si="93"/>
        <v>0</v>
      </c>
      <c r="BP66" s="188"/>
      <c r="BQ66" s="89">
        <f t="shared" si="75"/>
        <v>0</v>
      </c>
      <c r="BR66" s="169">
        <f t="shared" si="87"/>
        <v>0</v>
      </c>
      <c r="BS66" s="188"/>
      <c r="BT66" s="170">
        <f t="shared" si="88"/>
        <v>0</v>
      </c>
      <c r="BU66" s="74">
        <f t="shared" si="89"/>
        <v>0</v>
      </c>
      <c r="BV66" s="195" t="str">
        <f>LOOKUP(BU66,'الفترة الاولى'!$BX$2:$BY$6)</f>
        <v>ممتاز</v>
      </c>
      <c r="BW66" s="75" t="e">
        <f>BU66/'الفترة الاولى'!$BZ$2</f>
        <v>#DIV/0!</v>
      </c>
    </row>
    <row r="67" spans="1:75" ht="25.2" customHeight="1" thickBot="1" x14ac:dyDescent="0.3">
      <c r="A67" s="52">
        <v>57</v>
      </c>
      <c r="B67" s="55"/>
      <c r="C67" s="103"/>
      <c r="D67" s="81"/>
      <c r="E67" s="171"/>
      <c r="F67" s="94"/>
      <c r="G67" s="172">
        <f t="shared" si="92"/>
        <v>0</v>
      </c>
      <c r="H67" s="178"/>
      <c r="I67" s="94"/>
      <c r="J67" s="175">
        <f t="shared" si="97"/>
        <v>0</v>
      </c>
      <c r="K67" s="95"/>
      <c r="L67" s="94"/>
      <c r="M67" s="89">
        <f t="shared" si="60"/>
        <v>0</v>
      </c>
      <c r="N67" s="178"/>
      <c r="O67" s="94"/>
      <c r="P67" s="173">
        <f t="shared" si="61"/>
        <v>0</v>
      </c>
      <c r="Q67" s="95"/>
      <c r="R67" s="94"/>
      <c r="S67" s="89">
        <f t="shared" si="62"/>
        <v>0</v>
      </c>
      <c r="T67" s="178"/>
      <c r="U67" s="94"/>
      <c r="V67" s="175">
        <f t="shared" si="96"/>
        <v>0</v>
      </c>
      <c r="W67" s="95"/>
      <c r="X67" s="94"/>
      <c r="Y67" s="89">
        <f t="shared" si="64"/>
        <v>0</v>
      </c>
      <c r="Z67" s="178"/>
      <c r="AA67" s="94"/>
      <c r="AB67" s="173">
        <f t="shared" si="65"/>
        <v>0</v>
      </c>
      <c r="AC67" s="95"/>
      <c r="AD67" s="94"/>
      <c r="AE67" s="89">
        <f t="shared" si="66"/>
        <v>0</v>
      </c>
      <c r="AF67" s="178"/>
      <c r="AG67" s="94"/>
      <c r="AH67" s="172">
        <f t="shared" si="84"/>
        <v>0</v>
      </c>
      <c r="AI67" s="162">
        <f t="shared" si="85"/>
        <v>0</v>
      </c>
      <c r="AJ67" s="202" t="str">
        <f t="shared" si="53"/>
        <v>ممتاز</v>
      </c>
      <c r="AK67" s="67" t="e">
        <f t="shared" si="54"/>
        <v>#DIV/0!</v>
      </c>
      <c r="AM67" s="52">
        <f t="shared" si="80"/>
        <v>57</v>
      </c>
      <c r="AN67" s="88">
        <f t="shared" si="81"/>
        <v>0</v>
      </c>
      <c r="AO67" s="100">
        <f t="shared" si="82"/>
        <v>0</v>
      </c>
      <c r="AP67" s="81">
        <f t="shared" si="83"/>
        <v>0</v>
      </c>
      <c r="AQ67" s="171">
        <f t="shared" si="90"/>
        <v>0</v>
      </c>
      <c r="AR67" s="189"/>
      <c r="AS67" s="89">
        <f t="shared" si="69"/>
        <v>0</v>
      </c>
      <c r="AT67" s="184"/>
      <c r="AU67" s="189"/>
      <c r="AV67" s="172"/>
      <c r="AW67" s="171">
        <f t="shared" si="91"/>
        <v>0</v>
      </c>
      <c r="AX67" s="189"/>
      <c r="AY67" s="172">
        <f t="shared" si="98"/>
        <v>0</v>
      </c>
      <c r="AZ67" s="171"/>
      <c r="BA67" s="185"/>
      <c r="BB67" s="172"/>
      <c r="BC67" s="171"/>
      <c r="BD67" s="189"/>
      <c r="BE67" s="172"/>
      <c r="BF67" s="171"/>
      <c r="BG67" s="185"/>
      <c r="BH67" s="89">
        <f t="shared" si="72"/>
        <v>0</v>
      </c>
      <c r="BI67" s="171"/>
      <c r="BJ67" s="185"/>
      <c r="BK67" s="172">
        <f t="shared" si="95"/>
        <v>0</v>
      </c>
      <c r="BL67" s="171">
        <f t="shared" si="94"/>
        <v>0</v>
      </c>
      <c r="BM67" s="189"/>
      <c r="BN67" s="172">
        <f t="shared" si="86"/>
        <v>0</v>
      </c>
      <c r="BO67" s="171">
        <f t="shared" si="93"/>
        <v>0</v>
      </c>
      <c r="BP67" s="189"/>
      <c r="BQ67" s="89">
        <f t="shared" si="75"/>
        <v>0</v>
      </c>
      <c r="BR67" s="171">
        <f t="shared" si="87"/>
        <v>0</v>
      </c>
      <c r="BS67" s="189"/>
      <c r="BT67" s="172">
        <f t="shared" si="88"/>
        <v>0</v>
      </c>
      <c r="BU67" s="76">
        <f t="shared" si="89"/>
        <v>0</v>
      </c>
      <c r="BV67" s="196" t="str">
        <f>LOOKUP(BU67,'الفترة الاولى'!$BX$2:$BY$6)</f>
        <v>ممتاز</v>
      </c>
      <c r="BW67" s="77" t="e">
        <f>BU67/'الفترة الاولى'!$BZ$2</f>
        <v>#DIV/0!</v>
      </c>
    </row>
    <row r="68" spans="1:75" ht="25.2" customHeight="1" thickBot="1" x14ac:dyDescent="0.3">
      <c r="A68" s="50">
        <v>58</v>
      </c>
      <c r="B68" s="53"/>
      <c r="C68" s="101"/>
      <c r="D68" s="79"/>
      <c r="E68" s="168"/>
      <c r="F68" s="163"/>
      <c r="G68" s="89">
        <f t="shared" si="92"/>
        <v>0</v>
      </c>
      <c r="H68" s="176"/>
      <c r="I68" s="91"/>
      <c r="J68" s="173">
        <f t="shared" si="97"/>
        <v>0</v>
      </c>
      <c r="K68" s="90"/>
      <c r="L68" s="91"/>
      <c r="M68" s="89">
        <f t="shared" si="60"/>
        <v>0</v>
      </c>
      <c r="N68" s="176"/>
      <c r="O68" s="91"/>
      <c r="P68" s="173">
        <f t="shared" si="61"/>
        <v>0</v>
      </c>
      <c r="Q68" s="90"/>
      <c r="R68" s="91"/>
      <c r="S68" s="89">
        <f t="shared" si="62"/>
        <v>0</v>
      </c>
      <c r="T68" s="176"/>
      <c r="U68" s="91"/>
      <c r="V68" s="173">
        <f t="shared" si="96"/>
        <v>0</v>
      </c>
      <c r="W68" s="90"/>
      <c r="X68" s="91"/>
      <c r="Y68" s="89">
        <f t="shared" si="64"/>
        <v>0</v>
      </c>
      <c r="Z68" s="176"/>
      <c r="AA68" s="91"/>
      <c r="AB68" s="173">
        <f t="shared" si="65"/>
        <v>0</v>
      </c>
      <c r="AC68" s="90"/>
      <c r="AD68" s="91"/>
      <c r="AE68" s="89">
        <f t="shared" si="66"/>
        <v>0</v>
      </c>
      <c r="AF68" s="176"/>
      <c r="AG68" s="91"/>
      <c r="AH68" s="89">
        <f t="shared" si="84"/>
        <v>0</v>
      </c>
      <c r="AI68" s="160">
        <f t="shared" si="85"/>
        <v>0</v>
      </c>
      <c r="AJ68" s="200" t="str">
        <f t="shared" si="53"/>
        <v>ممتاز</v>
      </c>
      <c r="AK68" s="65" t="e">
        <f t="shared" si="54"/>
        <v>#DIV/0!</v>
      </c>
      <c r="AM68" s="50">
        <f t="shared" si="80"/>
        <v>58</v>
      </c>
      <c r="AN68" s="86">
        <f t="shared" si="81"/>
        <v>0</v>
      </c>
      <c r="AO68" s="98">
        <f t="shared" si="82"/>
        <v>0</v>
      </c>
      <c r="AP68" s="79">
        <f t="shared" si="83"/>
        <v>0</v>
      </c>
      <c r="AQ68" s="168">
        <f t="shared" si="90"/>
        <v>0</v>
      </c>
      <c r="AR68" s="163"/>
      <c r="AS68" s="89">
        <f t="shared" si="69"/>
        <v>0</v>
      </c>
      <c r="AT68" s="184"/>
      <c r="AU68" s="163"/>
      <c r="AV68" s="89"/>
      <c r="AW68" s="168">
        <f t="shared" si="91"/>
        <v>0</v>
      </c>
      <c r="AX68" s="163"/>
      <c r="AY68" s="89">
        <f t="shared" si="98"/>
        <v>0</v>
      </c>
      <c r="AZ68" s="168"/>
      <c r="BA68" s="185"/>
      <c r="BB68" s="89"/>
      <c r="BC68" s="168"/>
      <c r="BD68" s="163"/>
      <c r="BE68" s="89"/>
      <c r="BF68" s="168"/>
      <c r="BG68" s="185"/>
      <c r="BH68" s="89">
        <f t="shared" si="72"/>
        <v>0</v>
      </c>
      <c r="BI68" s="168"/>
      <c r="BJ68" s="185"/>
      <c r="BK68" s="89">
        <f t="shared" si="95"/>
        <v>0</v>
      </c>
      <c r="BL68" s="168">
        <f t="shared" si="94"/>
        <v>0</v>
      </c>
      <c r="BM68" s="163"/>
      <c r="BN68" s="89">
        <f t="shared" si="86"/>
        <v>0</v>
      </c>
      <c r="BO68" s="168">
        <f t="shared" si="93"/>
        <v>0</v>
      </c>
      <c r="BP68" s="163"/>
      <c r="BQ68" s="89">
        <f t="shared" si="75"/>
        <v>0</v>
      </c>
      <c r="BR68" s="168">
        <f t="shared" si="87"/>
        <v>0</v>
      </c>
      <c r="BS68" s="163"/>
      <c r="BT68" s="89">
        <f t="shared" si="88"/>
        <v>0</v>
      </c>
      <c r="BU68" s="72">
        <f t="shared" si="89"/>
        <v>0</v>
      </c>
      <c r="BV68" s="194" t="str">
        <f>LOOKUP(BU68,'الفترة الاولى'!$BX$2:$BY$6)</f>
        <v>ممتاز</v>
      </c>
      <c r="BW68" s="73" t="e">
        <f>BU68/'الفترة الاولى'!$BZ$2</f>
        <v>#DIV/0!</v>
      </c>
    </row>
    <row r="69" spans="1:75" ht="25.2" customHeight="1" thickBot="1" x14ac:dyDescent="0.3">
      <c r="A69" s="51">
        <v>59</v>
      </c>
      <c r="B69" s="54"/>
      <c r="C69" s="102"/>
      <c r="D69" s="80"/>
      <c r="E69" s="169"/>
      <c r="F69" s="92"/>
      <c r="G69" s="170">
        <f t="shared" si="92"/>
        <v>0</v>
      </c>
      <c r="H69" s="177"/>
      <c r="I69" s="92"/>
      <c r="J69" s="174">
        <f t="shared" si="97"/>
        <v>0</v>
      </c>
      <c r="K69" s="93"/>
      <c r="L69" s="92"/>
      <c r="M69" s="89">
        <f t="shared" si="60"/>
        <v>0</v>
      </c>
      <c r="N69" s="177"/>
      <c r="O69" s="92"/>
      <c r="P69" s="173">
        <f t="shared" si="61"/>
        <v>0</v>
      </c>
      <c r="Q69" s="93"/>
      <c r="R69" s="92"/>
      <c r="S69" s="89">
        <f t="shared" si="62"/>
        <v>0</v>
      </c>
      <c r="T69" s="177"/>
      <c r="U69" s="92"/>
      <c r="V69" s="174">
        <f t="shared" si="96"/>
        <v>0</v>
      </c>
      <c r="W69" s="93"/>
      <c r="X69" s="92"/>
      <c r="Y69" s="89">
        <f t="shared" si="64"/>
        <v>0</v>
      </c>
      <c r="Z69" s="177"/>
      <c r="AA69" s="92"/>
      <c r="AB69" s="173">
        <f t="shared" si="65"/>
        <v>0</v>
      </c>
      <c r="AC69" s="93"/>
      <c r="AD69" s="92"/>
      <c r="AE69" s="89">
        <f t="shared" si="66"/>
        <v>0</v>
      </c>
      <c r="AF69" s="177"/>
      <c r="AG69" s="92"/>
      <c r="AH69" s="170">
        <f t="shared" si="84"/>
        <v>0</v>
      </c>
      <c r="AI69" s="161">
        <f t="shared" si="85"/>
        <v>0</v>
      </c>
      <c r="AJ69" s="201" t="str">
        <f t="shared" si="53"/>
        <v>ممتاز</v>
      </c>
      <c r="AK69" s="66" t="e">
        <f t="shared" si="54"/>
        <v>#DIV/0!</v>
      </c>
      <c r="AM69" s="51">
        <f t="shared" si="80"/>
        <v>59</v>
      </c>
      <c r="AN69" s="87">
        <f t="shared" si="81"/>
        <v>0</v>
      </c>
      <c r="AO69" s="99">
        <f t="shared" si="82"/>
        <v>0</v>
      </c>
      <c r="AP69" s="80">
        <f t="shared" si="83"/>
        <v>0</v>
      </c>
      <c r="AQ69" s="169">
        <f t="shared" si="90"/>
        <v>0</v>
      </c>
      <c r="AR69" s="188"/>
      <c r="AS69" s="89">
        <f t="shared" si="69"/>
        <v>0</v>
      </c>
      <c r="AT69" s="184"/>
      <c r="AU69" s="188"/>
      <c r="AV69" s="170"/>
      <c r="AW69" s="169">
        <f t="shared" si="91"/>
        <v>0</v>
      </c>
      <c r="AX69" s="188"/>
      <c r="AY69" s="170">
        <f t="shared" si="98"/>
        <v>0</v>
      </c>
      <c r="AZ69" s="169"/>
      <c r="BA69" s="185"/>
      <c r="BB69" s="170"/>
      <c r="BC69" s="169"/>
      <c r="BD69" s="188"/>
      <c r="BE69" s="170"/>
      <c r="BF69" s="169"/>
      <c r="BG69" s="185"/>
      <c r="BH69" s="89">
        <f t="shared" si="72"/>
        <v>0</v>
      </c>
      <c r="BI69" s="169"/>
      <c r="BJ69" s="185"/>
      <c r="BK69" s="170">
        <f t="shared" si="95"/>
        <v>0</v>
      </c>
      <c r="BL69" s="169">
        <f t="shared" si="94"/>
        <v>0</v>
      </c>
      <c r="BM69" s="188"/>
      <c r="BN69" s="170">
        <f t="shared" si="86"/>
        <v>0</v>
      </c>
      <c r="BO69" s="169">
        <f t="shared" si="93"/>
        <v>0</v>
      </c>
      <c r="BP69" s="188"/>
      <c r="BQ69" s="89">
        <f t="shared" si="75"/>
        <v>0</v>
      </c>
      <c r="BR69" s="169">
        <f t="shared" si="87"/>
        <v>0</v>
      </c>
      <c r="BS69" s="188"/>
      <c r="BT69" s="170">
        <f t="shared" si="88"/>
        <v>0</v>
      </c>
      <c r="BU69" s="74">
        <f t="shared" si="89"/>
        <v>0</v>
      </c>
      <c r="BV69" s="195" t="str">
        <f>LOOKUP(BU69,'الفترة الاولى'!$BX$2:$BY$6)</f>
        <v>ممتاز</v>
      </c>
      <c r="BW69" s="75" t="e">
        <f>BU69/'الفترة الاولى'!$BZ$2</f>
        <v>#DIV/0!</v>
      </c>
    </row>
    <row r="70" spans="1:75" ht="25.2" customHeight="1" thickBot="1" x14ac:dyDescent="0.3">
      <c r="A70" s="52">
        <v>60</v>
      </c>
      <c r="B70" s="55"/>
      <c r="C70" s="103"/>
      <c r="D70" s="81"/>
      <c r="E70" s="171"/>
      <c r="F70" s="94"/>
      <c r="G70" s="172">
        <f t="shared" si="92"/>
        <v>0</v>
      </c>
      <c r="H70" s="178"/>
      <c r="I70" s="94"/>
      <c r="J70" s="175">
        <f t="shared" si="97"/>
        <v>0</v>
      </c>
      <c r="K70" s="95"/>
      <c r="L70" s="94"/>
      <c r="M70" s="172">
        <f t="shared" ref="M70:M78" si="99">SUM(K70:L70)</f>
        <v>0</v>
      </c>
      <c r="N70" s="178"/>
      <c r="O70" s="94"/>
      <c r="P70" s="173">
        <f t="shared" si="61"/>
        <v>0</v>
      </c>
      <c r="Q70" s="95"/>
      <c r="R70" s="94"/>
      <c r="S70" s="89">
        <f t="shared" si="62"/>
        <v>0</v>
      </c>
      <c r="T70" s="178"/>
      <c r="U70" s="94"/>
      <c r="V70" s="175">
        <f t="shared" si="96"/>
        <v>0</v>
      </c>
      <c r="W70" s="95"/>
      <c r="X70" s="94"/>
      <c r="Y70" s="89">
        <f t="shared" si="64"/>
        <v>0</v>
      </c>
      <c r="Z70" s="178"/>
      <c r="AA70" s="94"/>
      <c r="AB70" s="173">
        <f t="shared" si="65"/>
        <v>0</v>
      </c>
      <c r="AC70" s="95"/>
      <c r="AD70" s="94"/>
      <c r="AE70" s="89">
        <f t="shared" si="66"/>
        <v>0</v>
      </c>
      <c r="AF70" s="178"/>
      <c r="AG70" s="94"/>
      <c r="AH70" s="172">
        <f t="shared" si="84"/>
        <v>0</v>
      </c>
      <c r="AI70" s="162">
        <f t="shared" si="85"/>
        <v>0</v>
      </c>
      <c r="AJ70" s="202" t="str">
        <f t="shared" si="53"/>
        <v>ممتاز</v>
      </c>
      <c r="AK70" s="67" t="e">
        <f t="shared" si="54"/>
        <v>#DIV/0!</v>
      </c>
      <c r="AM70" s="52">
        <f t="shared" si="80"/>
        <v>60</v>
      </c>
      <c r="AN70" s="88">
        <f t="shared" si="81"/>
        <v>0</v>
      </c>
      <c r="AO70" s="100">
        <f t="shared" si="82"/>
        <v>0</v>
      </c>
      <c r="AP70" s="81">
        <f t="shared" si="83"/>
        <v>0</v>
      </c>
      <c r="AQ70" s="171">
        <f t="shared" si="90"/>
        <v>0</v>
      </c>
      <c r="AR70" s="189"/>
      <c r="AS70" s="89">
        <f t="shared" si="69"/>
        <v>0</v>
      </c>
      <c r="AT70" s="184"/>
      <c r="AU70" s="189"/>
      <c r="AV70" s="172"/>
      <c r="AW70" s="171">
        <f t="shared" si="91"/>
        <v>0</v>
      </c>
      <c r="AX70" s="189"/>
      <c r="AY70" s="172">
        <f t="shared" si="98"/>
        <v>0</v>
      </c>
      <c r="AZ70" s="171"/>
      <c r="BA70" s="185"/>
      <c r="BB70" s="172"/>
      <c r="BC70" s="171"/>
      <c r="BD70" s="189"/>
      <c r="BE70" s="172"/>
      <c r="BF70" s="171"/>
      <c r="BG70" s="189"/>
      <c r="BH70" s="89">
        <f t="shared" si="72"/>
        <v>0</v>
      </c>
      <c r="BI70" s="171"/>
      <c r="BJ70" s="185"/>
      <c r="BK70" s="172">
        <f t="shared" si="95"/>
        <v>0</v>
      </c>
      <c r="BL70" s="171">
        <f t="shared" si="94"/>
        <v>0</v>
      </c>
      <c r="BM70" s="189"/>
      <c r="BN70" s="172">
        <f t="shared" si="86"/>
        <v>0</v>
      </c>
      <c r="BO70" s="171">
        <f t="shared" si="93"/>
        <v>0</v>
      </c>
      <c r="BP70" s="189"/>
      <c r="BQ70" s="89">
        <f t="shared" si="75"/>
        <v>0</v>
      </c>
      <c r="BR70" s="171">
        <f t="shared" si="87"/>
        <v>0</v>
      </c>
      <c r="BS70" s="189"/>
      <c r="BT70" s="172">
        <f t="shared" si="88"/>
        <v>0</v>
      </c>
      <c r="BU70" s="76">
        <f t="shared" si="89"/>
        <v>0</v>
      </c>
      <c r="BV70" s="196" t="str">
        <f>LOOKUP(BU70,'الفترة الاولى'!$BX$2:$BY$6)</f>
        <v>ممتاز</v>
      </c>
      <c r="BW70" s="77" t="e">
        <f>BU70/'الفترة الاولى'!$BZ$2</f>
        <v>#DIV/0!</v>
      </c>
    </row>
    <row r="71" spans="1:75" ht="25.2" customHeight="1" thickBot="1" x14ac:dyDescent="0.3">
      <c r="A71" s="50">
        <v>61</v>
      </c>
      <c r="B71" s="53"/>
      <c r="C71" s="101"/>
      <c r="D71" s="79"/>
      <c r="E71" s="168"/>
      <c r="F71" s="163"/>
      <c r="G71" s="89">
        <f t="shared" si="92"/>
        <v>0</v>
      </c>
      <c r="H71" s="176"/>
      <c r="I71" s="91"/>
      <c r="J71" s="173">
        <f t="shared" si="97"/>
        <v>0</v>
      </c>
      <c r="K71" s="90"/>
      <c r="L71" s="91"/>
      <c r="M71" s="89">
        <f t="shared" si="99"/>
        <v>0</v>
      </c>
      <c r="N71" s="176"/>
      <c r="O71" s="91"/>
      <c r="P71" s="173">
        <f t="shared" si="61"/>
        <v>0</v>
      </c>
      <c r="Q71" s="90"/>
      <c r="R71" s="91"/>
      <c r="S71" s="89">
        <f t="shared" si="62"/>
        <v>0</v>
      </c>
      <c r="T71" s="176"/>
      <c r="U71" s="91"/>
      <c r="V71" s="173">
        <f t="shared" si="96"/>
        <v>0</v>
      </c>
      <c r="W71" s="90"/>
      <c r="X71" s="91"/>
      <c r="Y71" s="89">
        <f t="shared" si="64"/>
        <v>0</v>
      </c>
      <c r="Z71" s="176"/>
      <c r="AA71" s="91"/>
      <c r="AB71" s="173">
        <f t="shared" si="65"/>
        <v>0</v>
      </c>
      <c r="AC71" s="90"/>
      <c r="AD71" s="91"/>
      <c r="AE71" s="89">
        <f t="shared" si="66"/>
        <v>0</v>
      </c>
      <c r="AF71" s="176"/>
      <c r="AG71" s="91"/>
      <c r="AH71" s="89">
        <f t="shared" si="84"/>
        <v>0</v>
      </c>
      <c r="AI71" s="160">
        <f t="shared" si="85"/>
        <v>0</v>
      </c>
      <c r="AJ71" s="200" t="str">
        <f t="shared" si="53"/>
        <v>ممتاز</v>
      </c>
      <c r="AK71" s="65" t="e">
        <f t="shared" si="54"/>
        <v>#DIV/0!</v>
      </c>
      <c r="AM71" s="50">
        <f t="shared" si="80"/>
        <v>61</v>
      </c>
      <c r="AN71" s="86">
        <f t="shared" si="81"/>
        <v>0</v>
      </c>
      <c r="AO71" s="98">
        <f t="shared" si="82"/>
        <v>0</v>
      </c>
      <c r="AP71" s="79">
        <f t="shared" si="83"/>
        <v>0</v>
      </c>
      <c r="AQ71" s="168">
        <f t="shared" si="90"/>
        <v>0</v>
      </c>
      <c r="AR71" s="163"/>
      <c r="AS71" s="89">
        <f t="shared" si="69"/>
        <v>0</v>
      </c>
      <c r="AT71" s="184"/>
      <c r="AU71" s="163"/>
      <c r="AV71" s="89"/>
      <c r="AW71" s="168">
        <f t="shared" si="91"/>
        <v>0</v>
      </c>
      <c r="AX71" s="163"/>
      <c r="AY71" s="89">
        <f t="shared" si="98"/>
        <v>0</v>
      </c>
      <c r="AZ71" s="168"/>
      <c r="BA71" s="185"/>
      <c r="BB71" s="89"/>
      <c r="BC71" s="168"/>
      <c r="BD71" s="163"/>
      <c r="BE71" s="89"/>
      <c r="BF71" s="168"/>
      <c r="BG71" s="163"/>
      <c r="BH71" s="89">
        <f t="shared" si="72"/>
        <v>0</v>
      </c>
      <c r="BI71" s="168"/>
      <c r="BJ71" s="185"/>
      <c r="BK71" s="89">
        <f t="shared" si="95"/>
        <v>0</v>
      </c>
      <c r="BL71" s="168">
        <f t="shared" si="94"/>
        <v>0</v>
      </c>
      <c r="BM71" s="163"/>
      <c r="BN71" s="89">
        <f t="shared" si="86"/>
        <v>0</v>
      </c>
      <c r="BO71" s="168">
        <f t="shared" si="93"/>
        <v>0</v>
      </c>
      <c r="BP71" s="163"/>
      <c r="BQ71" s="89">
        <f t="shared" si="75"/>
        <v>0</v>
      </c>
      <c r="BR71" s="168">
        <f t="shared" si="87"/>
        <v>0</v>
      </c>
      <c r="BS71" s="163"/>
      <c r="BT71" s="89">
        <f t="shared" si="88"/>
        <v>0</v>
      </c>
      <c r="BU71" s="72">
        <f t="shared" si="89"/>
        <v>0</v>
      </c>
      <c r="BV71" s="194" t="str">
        <f>LOOKUP(BU71,'الفترة الاولى'!$BX$2:$BY$6)</f>
        <v>ممتاز</v>
      </c>
      <c r="BW71" s="73" t="e">
        <f>BU71/'الفترة الاولى'!$BZ$2</f>
        <v>#DIV/0!</v>
      </c>
    </row>
    <row r="72" spans="1:75" ht="25.2" customHeight="1" thickBot="1" x14ac:dyDescent="0.3">
      <c r="A72" s="51">
        <v>62</v>
      </c>
      <c r="B72" s="54"/>
      <c r="C72" s="102"/>
      <c r="D72" s="80"/>
      <c r="E72" s="169"/>
      <c r="F72" s="92"/>
      <c r="G72" s="170">
        <f t="shared" si="92"/>
        <v>0</v>
      </c>
      <c r="H72" s="177"/>
      <c r="I72" s="92"/>
      <c r="J72" s="174">
        <f t="shared" si="97"/>
        <v>0</v>
      </c>
      <c r="K72" s="93"/>
      <c r="L72" s="92"/>
      <c r="M72" s="170">
        <f t="shared" si="99"/>
        <v>0</v>
      </c>
      <c r="N72" s="177"/>
      <c r="O72" s="92"/>
      <c r="P72" s="173">
        <f t="shared" si="61"/>
        <v>0</v>
      </c>
      <c r="Q72" s="93"/>
      <c r="R72" s="92"/>
      <c r="S72" s="89">
        <f t="shared" si="62"/>
        <v>0</v>
      </c>
      <c r="T72" s="177"/>
      <c r="U72" s="92"/>
      <c r="V72" s="174">
        <f t="shared" si="96"/>
        <v>0</v>
      </c>
      <c r="W72" s="93"/>
      <c r="X72" s="92"/>
      <c r="Y72" s="89">
        <f t="shared" si="64"/>
        <v>0</v>
      </c>
      <c r="Z72" s="177"/>
      <c r="AA72" s="92"/>
      <c r="AB72" s="173">
        <f t="shared" si="65"/>
        <v>0</v>
      </c>
      <c r="AC72" s="93"/>
      <c r="AD72" s="92"/>
      <c r="AE72" s="89">
        <f t="shared" si="66"/>
        <v>0</v>
      </c>
      <c r="AF72" s="177"/>
      <c r="AG72" s="92"/>
      <c r="AH72" s="170">
        <f t="shared" si="84"/>
        <v>0</v>
      </c>
      <c r="AI72" s="161">
        <f t="shared" si="85"/>
        <v>0</v>
      </c>
      <c r="AJ72" s="201" t="str">
        <f t="shared" si="53"/>
        <v>ممتاز</v>
      </c>
      <c r="AK72" s="66" t="e">
        <f t="shared" si="54"/>
        <v>#DIV/0!</v>
      </c>
      <c r="AM72" s="51">
        <f t="shared" si="80"/>
        <v>62</v>
      </c>
      <c r="AN72" s="87">
        <f t="shared" si="81"/>
        <v>0</v>
      </c>
      <c r="AO72" s="99">
        <f t="shared" si="82"/>
        <v>0</v>
      </c>
      <c r="AP72" s="80">
        <f t="shared" si="83"/>
        <v>0</v>
      </c>
      <c r="AQ72" s="169">
        <f t="shared" si="90"/>
        <v>0</v>
      </c>
      <c r="AR72" s="188"/>
      <c r="AS72" s="89">
        <f t="shared" si="69"/>
        <v>0</v>
      </c>
      <c r="AT72" s="184"/>
      <c r="AU72" s="188"/>
      <c r="AV72" s="170"/>
      <c r="AW72" s="169">
        <f t="shared" si="91"/>
        <v>0</v>
      </c>
      <c r="AX72" s="188"/>
      <c r="AY72" s="170">
        <f t="shared" si="98"/>
        <v>0</v>
      </c>
      <c r="AZ72" s="169"/>
      <c r="BA72" s="185"/>
      <c r="BB72" s="170"/>
      <c r="BC72" s="169"/>
      <c r="BD72" s="188"/>
      <c r="BE72" s="170"/>
      <c r="BF72" s="169"/>
      <c r="BG72" s="188"/>
      <c r="BH72" s="170">
        <f t="shared" ref="BH72:BH78" si="100">SUM(BF72:BG72)</f>
        <v>0</v>
      </c>
      <c r="BI72" s="169"/>
      <c r="BJ72" s="185"/>
      <c r="BK72" s="170">
        <f t="shared" si="95"/>
        <v>0</v>
      </c>
      <c r="BL72" s="169">
        <f t="shared" si="94"/>
        <v>0</v>
      </c>
      <c r="BM72" s="188"/>
      <c r="BN72" s="170">
        <f t="shared" si="86"/>
        <v>0</v>
      </c>
      <c r="BO72" s="169">
        <f t="shared" si="93"/>
        <v>0</v>
      </c>
      <c r="BP72" s="188"/>
      <c r="BQ72" s="170">
        <f t="shared" ref="BQ72:BQ78" si="101">SUM(BO72:BP72)</f>
        <v>0</v>
      </c>
      <c r="BR72" s="169">
        <f t="shared" si="87"/>
        <v>0</v>
      </c>
      <c r="BS72" s="188"/>
      <c r="BT72" s="170">
        <f t="shared" si="88"/>
        <v>0</v>
      </c>
      <c r="BU72" s="74">
        <f t="shared" si="89"/>
        <v>0</v>
      </c>
      <c r="BV72" s="195" t="str">
        <f>LOOKUP(BU72,'الفترة الاولى'!$BX$2:$BY$6)</f>
        <v>ممتاز</v>
      </c>
      <c r="BW72" s="75" t="e">
        <f>BU72/'الفترة الاولى'!$BZ$2</f>
        <v>#DIV/0!</v>
      </c>
    </row>
    <row r="73" spans="1:75" ht="25.2" customHeight="1" thickBot="1" x14ac:dyDescent="0.3">
      <c r="A73" s="52">
        <v>63</v>
      </c>
      <c r="B73" s="55"/>
      <c r="C73" s="103"/>
      <c r="D73" s="81"/>
      <c r="E73" s="171"/>
      <c r="F73" s="94"/>
      <c r="G73" s="172">
        <f t="shared" si="92"/>
        <v>0</v>
      </c>
      <c r="H73" s="178"/>
      <c r="I73" s="94"/>
      <c r="J73" s="175">
        <f t="shared" si="97"/>
        <v>0</v>
      </c>
      <c r="K73" s="95"/>
      <c r="L73" s="94"/>
      <c r="M73" s="172">
        <f t="shared" si="99"/>
        <v>0</v>
      </c>
      <c r="N73" s="178"/>
      <c r="O73" s="94"/>
      <c r="P73" s="173">
        <f t="shared" si="61"/>
        <v>0</v>
      </c>
      <c r="Q73" s="95"/>
      <c r="R73" s="94"/>
      <c r="S73" s="89">
        <f t="shared" si="62"/>
        <v>0</v>
      </c>
      <c r="T73" s="178"/>
      <c r="U73" s="94"/>
      <c r="V73" s="175">
        <f t="shared" si="96"/>
        <v>0</v>
      </c>
      <c r="W73" s="95"/>
      <c r="X73" s="94"/>
      <c r="Y73" s="89">
        <f t="shared" si="64"/>
        <v>0</v>
      </c>
      <c r="Z73" s="178"/>
      <c r="AA73" s="94"/>
      <c r="AB73" s="173">
        <f t="shared" si="65"/>
        <v>0</v>
      </c>
      <c r="AC73" s="95"/>
      <c r="AD73" s="94"/>
      <c r="AE73" s="89">
        <f t="shared" si="66"/>
        <v>0</v>
      </c>
      <c r="AF73" s="178"/>
      <c r="AG73" s="94"/>
      <c r="AH73" s="172">
        <f t="shared" si="84"/>
        <v>0</v>
      </c>
      <c r="AI73" s="162">
        <f t="shared" si="85"/>
        <v>0</v>
      </c>
      <c r="AJ73" s="202" t="str">
        <f t="shared" si="53"/>
        <v>ممتاز</v>
      </c>
      <c r="AK73" s="67" t="e">
        <f t="shared" si="54"/>
        <v>#DIV/0!</v>
      </c>
      <c r="AM73" s="52">
        <f t="shared" si="80"/>
        <v>63</v>
      </c>
      <c r="AN73" s="88">
        <f t="shared" si="81"/>
        <v>0</v>
      </c>
      <c r="AO73" s="100">
        <f t="shared" si="82"/>
        <v>0</v>
      </c>
      <c r="AP73" s="81">
        <f t="shared" si="83"/>
        <v>0</v>
      </c>
      <c r="AQ73" s="171">
        <f t="shared" si="90"/>
        <v>0</v>
      </c>
      <c r="AR73" s="189"/>
      <c r="AS73" s="89">
        <f t="shared" si="69"/>
        <v>0</v>
      </c>
      <c r="AT73" s="184"/>
      <c r="AU73" s="189"/>
      <c r="AV73" s="172"/>
      <c r="AW73" s="171">
        <f t="shared" si="91"/>
        <v>0</v>
      </c>
      <c r="AX73" s="189"/>
      <c r="AY73" s="172">
        <f t="shared" si="98"/>
        <v>0</v>
      </c>
      <c r="AZ73" s="171"/>
      <c r="BA73" s="185"/>
      <c r="BB73" s="172"/>
      <c r="BC73" s="171"/>
      <c r="BD73" s="189"/>
      <c r="BE73" s="172"/>
      <c r="BF73" s="171"/>
      <c r="BG73" s="189"/>
      <c r="BH73" s="172">
        <f t="shared" si="100"/>
        <v>0</v>
      </c>
      <c r="BI73" s="171"/>
      <c r="BJ73" s="185"/>
      <c r="BK73" s="172">
        <f t="shared" si="95"/>
        <v>0</v>
      </c>
      <c r="BL73" s="171">
        <f t="shared" si="94"/>
        <v>0</v>
      </c>
      <c r="BM73" s="189"/>
      <c r="BN73" s="172">
        <f t="shared" si="86"/>
        <v>0</v>
      </c>
      <c r="BO73" s="171">
        <f t="shared" si="93"/>
        <v>0</v>
      </c>
      <c r="BP73" s="189"/>
      <c r="BQ73" s="172">
        <f t="shared" si="101"/>
        <v>0</v>
      </c>
      <c r="BR73" s="171">
        <f t="shared" si="87"/>
        <v>0</v>
      </c>
      <c r="BS73" s="189"/>
      <c r="BT73" s="172">
        <f t="shared" si="88"/>
        <v>0</v>
      </c>
      <c r="BU73" s="76">
        <f t="shared" si="89"/>
        <v>0</v>
      </c>
      <c r="BV73" s="196" t="str">
        <f>LOOKUP(BU73,'الفترة الاولى'!$BX$2:$BY$6)</f>
        <v>ممتاز</v>
      </c>
      <c r="BW73" s="77" t="e">
        <f>BU73/'الفترة الاولى'!$BZ$2</f>
        <v>#DIV/0!</v>
      </c>
    </row>
    <row r="74" spans="1:75" ht="25.2" customHeight="1" thickBot="1" x14ac:dyDescent="0.3">
      <c r="A74" s="50">
        <v>64</v>
      </c>
      <c r="B74" s="53"/>
      <c r="C74" s="101"/>
      <c r="D74" s="79"/>
      <c r="E74" s="168"/>
      <c r="F74" s="163"/>
      <c r="G74" s="89">
        <f t="shared" si="92"/>
        <v>0</v>
      </c>
      <c r="H74" s="176"/>
      <c r="I74" s="91"/>
      <c r="J74" s="173">
        <f t="shared" si="97"/>
        <v>0</v>
      </c>
      <c r="K74" s="90"/>
      <c r="L74" s="91"/>
      <c r="M74" s="89">
        <f t="shared" si="99"/>
        <v>0</v>
      </c>
      <c r="N74" s="176"/>
      <c r="O74" s="91"/>
      <c r="P74" s="173">
        <f t="shared" si="61"/>
        <v>0</v>
      </c>
      <c r="Q74" s="90"/>
      <c r="R74" s="91"/>
      <c r="S74" s="89">
        <f t="shared" si="62"/>
        <v>0</v>
      </c>
      <c r="T74" s="176"/>
      <c r="U74" s="91"/>
      <c r="V74" s="173">
        <f t="shared" si="96"/>
        <v>0</v>
      </c>
      <c r="W74" s="90"/>
      <c r="X74" s="91"/>
      <c r="Y74" s="89">
        <f t="shared" si="64"/>
        <v>0</v>
      </c>
      <c r="Z74" s="176"/>
      <c r="AA74" s="91"/>
      <c r="AB74" s="173">
        <f t="shared" si="65"/>
        <v>0</v>
      </c>
      <c r="AC74" s="90"/>
      <c r="AD74" s="91"/>
      <c r="AE74" s="89">
        <f t="shared" si="66"/>
        <v>0</v>
      </c>
      <c r="AF74" s="176"/>
      <c r="AG74" s="91"/>
      <c r="AH74" s="89">
        <f t="shared" si="84"/>
        <v>0</v>
      </c>
      <c r="AI74" s="160">
        <f t="shared" si="85"/>
        <v>0</v>
      </c>
      <c r="AJ74" s="200" t="str">
        <f t="shared" si="53"/>
        <v>ممتاز</v>
      </c>
      <c r="AK74" s="65" t="e">
        <f t="shared" si="54"/>
        <v>#DIV/0!</v>
      </c>
      <c r="AM74" s="50">
        <f t="shared" si="80"/>
        <v>64</v>
      </c>
      <c r="AN74" s="86">
        <f t="shared" si="81"/>
        <v>0</v>
      </c>
      <c r="AO74" s="98">
        <f t="shared" si="82"/>
        <v>0</v>
      </c>
      <c r="AP74" s="79">
        <f t="shared" si="83"/>
        <v>0</v>
      </c>
      <c r="AQ74" s="168">
        <f t="shared" si="90"/>
        <v>0</v>
      </c>
      <c r="AR74" s="163"/>
      <c r="AS74" s="89">
        <f t="shared" si="69"/>
        <v>0</v>
      </c>
      <c r="AT74" s="184"/>
      <c r="AU74" s="163"/>
      <c r="AV74" s="89"/>
      <c r="AW74" s="168">
        <f t="shared" si="91"/>
        <v>0</v>
      </c>
      <c r="AX74" s="163"/>
      <c r="AY74" s="89">
        <f t="shared" si="98"/>
        <v>0</v>
      </c>
      <c r="AZ74" s="168"/>
      <c r="BA74" s="185"/>
      <c r="BB74" s="89"/>
      <c r="BC74" s="168"/>
      <c r="BD74" s="163"/>
      <c r="BE74" s="89"/>
      <c r="BF74" s="168"/>
      <c r="BG74" s="163"/>
      <c r="BH74" s="89">
        <f t="shared" si="100"/>
        <v>0</v>
      </c>
      <c r="BI74" s="168"/>
      <c r="BJ74" s="185"/>
      <c r="BK74" s="89">
        <f t="shared" si="95"/>
        <v>0</v>
      </c>
      <c r="BL74" s="168">
        <f t="shared" si="94"/>
        <v>0</v>
      </c>
      <c r="BM74" s="163"/>
      <c r="BN74" s="89">
        <f t="shared" si="86"/>
        <v>0</v>
      </c>
      <c r="BO74" s="168">
        <f t="shared" si="93"/>
        <v>0</v>
      </c>
      <c r="BP74" s="163"/>
      <c r="BQ74" s="89">
        <f t="shared" si="101"/>
        <v>0</v>
      </c>
      <c r="BR74" s="168">
        <f t="shared" si="87"/>
        <v>0</v>
      </c>
      <c r="BS74" s="163"/>
      <c r="BT74" s="89">
        <f t="shared" si="88"/>
        <v>0</v>
      </c>
      <c r="BU74" s="72">
        <f t="shared" si="89"/>
        <v>0</v>
      </c>
      <c r="BV74" s="194" t="str">
        <f>LOOKUP(BU74,'الفترة الاولى'!$BX$2:$BY$6)</f>
        <v>ممتاز</v>
      </c>
      <c r="BW74" s="73" t="e">
        <f>BU74/'الفترة الاولى'!$BZ$2</f>
        <v>#DIV/0!</v>
      </c>
    </row>
    <row r="75" spans="1:75" ht="25.2" customHeight="1" thickBot="1" x14ac:dyDescent="0.3">
      <c r="A75" s="51">
        <v>65</v>
      </c>
      <c r="B75" s="54"/>
      <c r="C75" s="102"/>
      <c r="D75" s="80"/>
      <c r="E75" s="169"/>
      <c r="F75" s="92"/>
      <c r="G75" s="170">
        <f t="shared" si="92"/>
        <v>0</v>
      </c>
      <c r="H75" s="177"/>
      <c r="I75" s="92"/>
      <c r="J75" s="174">
        <f t="shared" si="97"/>
        <v>0</v>
      </c>
      <c r="K75" s="93"/>
      <c r="L75" s="92"/>
      <c r="M75" s="170">
        <f t="shared" si="99"/>
        <v>0</v>
      </c>
      <c r="N75" s="177"/>
      <c r="O75" s="92"/>
      <c r="P75" s="173">
        <f t="shared" si="61"/>
        <v>0</v>
      </c>
      <c r="Q75" s="93"/>
      <c r="R75" s="92"/>
      <c r="S75" s="89">
        <f t="shared" si="62"/>
        <v>0</v>
      </c>
      <c r="T75" s="177"/>
      <c r="U75" s="92"/>
      <c r="V75" s="174">
        <f t="shared" si="96"/>
        <v>0</v>
      </c>
      <c r="W75" s="93"/>
      <c r="X75" s="92"/>
      <c r="Y75" s="89">
        <f t="shared" si="64"/>
        <v>0</v>
      </c>
      <c r="Z75" s="177"/>
      <c r="AA75" s="92"/>
      <c r="AB75" s="173">
        <f t="shared" si="65"/>
        <v>0</v>
      </c>
      <c r="AC75" s="93"/>
      <c r="AD75" s="92"/>
      <c r="AE75" s="89">
        <f t="shared" si="66"/>
        <v>0</v>
      </c>
      <c r="AF75" s="177"/>
      <c r="AG75" s="92"/>
      <c r="AH75" s="170">
        <f t="shared" si="84"/>
        <v>0</v>
      </c>
      <c r="AI75" s="161">
        <f t="shared" si="85"/>
        <v>0</v>
      </c>
      <c r="AJ75" s="201" t="str">
        <f t="shared" ref="AJ75:AJ138" si="102">LOOKUP(AI75,$BX$2:$BY$6)</f>
        <v>ممتاز</v>
      </c>
      <c r="AK75" s="66" t="e">
        <f t="shared" ref="AK75:AK138" si="103">AI75/$BZ$2</f>
        <v>#DIV/0!</v>
      </c>
      <c r="AM75" s="51">
        <f t="shared" si="80"/>
        <v>65</v>
      </c>
      <c r="AN75" s="87">
        <f t="shared" si="81"/>
        <v>0</v>
      </c>
      <c r="AO75" s="99">
        <f t="shared" si="82"/>
        <v>0</v>
      </c>
      <c r="AP75" s="80">
        <f t="shared" si="83"/>
        <v>0</v>
      </c>
      <c r="AQ75" s="169">
        <f t="shared" si="90"/>
        <v>0</v>
      </c>
      <c r="AR75" s="188"/>
      <c r="AS75" s="89">
        <f t="shared" si="69"/>
        <v>0</v>
      </c>
      <c r="AT75" s="184"/>
      <c r="AU75" s="188"/>
      <c r="AV75" s="170"/>
      <c r="AW75" s="169">
        <f t="shared" si="91"/>
        <v>0</v>
      </c>
      <c r="AX75" s="188"/>
      <c r="AY75" s="170">
        <f t="shared" si="98"/>
        <v>0</v>
      </c>
      <c r="AZ75" s="169"/>
      <c r="BA75" s="185"/>
      <c r="BB75" s="170"/>
      <c r="BC75" s="169"/>
      <c r="BD75" s="188"/>
      <c r="BE75" s="170"/>
      <c r="BF75" s="169"/>
      <c r="BG75" s="188"/>
      <c r="BH75" s="170">
        <f t="shared" si="100"/>
        <v>0</v>
      </c>
      <c r="BI75" s="169"/>
      <c r="BJ75" s="185"/>
      <c r="BK75" s="170">
        <f t="shared" si="95"/>
        <v>0</v>
      </c>
      <c r="BL75" s="169">
        <f t="shared" si="94"/>
        <v>0</v>
      </c>
      <c r="BM75" s="188"/>
      <c r="BN75" s="170">
        <f t="shared" si="86"/>
        <v>0</v>
      </c>
      <c r="BO75" s="169">
        <f t="shared" si="93"/>
        <v>0</v>
      </c>
      <c r="BP75" s="188"/>
      <c r="BQ75" s="170">
        <f t="shared" si="101"/>
        <v>0</v>
      </c>
      <c r="BR75" s="169">
        <f t="shared" si="87"/>
        <v>0</v>
      </c>
      <c r="BS75" s="188"/>
      <c r="BT75" s="170">
        <f t="shared" si="88"/>
        <v>0</v>
      </c>
      <c r="BU75" s="74">
        <f t="shared" si="89"/>
        <v>0</v>
      </c>
      <c r="BV75" s="195" t="str">
        <f>LOOKUP(BU75,'الفترة الاولى'!$BX$2:$BY$6)</f>
        <v>ممتاز</v>
      </c>
      <c r="BW75" s="75" t="e">
        <f>BU75/'الفترة الاولى'!$BZ$2</f>
        <v>#DIV/0!</v>
      </c>
    </row>
    <row r="76" spans="1:75" ht="25.2" customHeight="1" thickBot="1" x14ac:dyDescent="0.3">
      <c r="A76" s="52">
        <v>66</v>
      </c>
      <c r="B76" s="55"/>
      <c r="C76" s="103"/>
      <c r="D76" s="81"/>
      <c r="E76" s="171"/>
      <c r="F76" s="94"/>
      <c r="G76" s="172">
        <f t="shared" si="92"/>
        <v>0</v>
      </c>
      <c r="H76" s="178"/>
      <c r="I76" s="94"/>
      <c r="J76" s="175">
        <f t="shared" si="97"/>
        <v>0</v>
      </c>
      <c r="K76" s="95"/>
      <c r="L76" s="94"/>
      <c r="M76" s="172">
        <f t="shared" si="99"/>
        <v>0</v>
      </c>
      <c r="N76" s="178"/>
      <c r="O76" s="94"/>
      <c r="P76" s="173">
        <f t="shared" ref="P76:P96" si="104">SUM(N76:O76)</f>
        <v>0</v>
      </c>
      <c r="Q76" s="95"/>
      <c r="R76" s="94"/>
      <c r="S76" s="89">
        <f t="shared" ref="S76:S104" si="105">SUM(Q76:R76)</f>
        <v>0</v>
      </c>
      <c r="T76" s="178"/>
      <c r="U76" s="94"/>
      <c r="V76" s="175">
        <f t="shared" si="96"/>
        <v>0</v>
      </c>
      <c r="W76" s="95"/>
      <c r="X76" s="94"/>
      <c r="Y76" s="89">
        <f t="shared" ref="Y76:Y115" si="106">SUM(W76:X76)</f>
        <v>0</v>
      </c>
      <c r="Z76" s="178"/>
      <c r="AA76" s="94"/>
      <c r="AB76" s="173">
        <f t="shared" ref="AB76:AB139" si="107">SUM(Z76:AA76)</f>
        <v>0</v>
      </c>
      <c r="AC76" s="95"/>
      <c r="AD76" s="94"/>
      <c r="AE76" s="89">
        <f t="shared" ref="AE76:AE139" si="108">SUM(AC76:AD76)</f>
        <v>0</v>
      </c>
      <c r="AF76" s="178"/>
      <c r="AG76" s="94"/>
      <c r="AH76" s="172">
        <f t="shared" si="84"/>
        <v>0</v>
      </c>
      <c r="AI76" s="162">
        <f t="shared" si="85"/>
        <v>0</v>
      </c>
      <c r="AJ76" s="202" t="str">
        <f t="shared" si="102"/>
        <v>ممتاز</v>
      </c>
      <c r="AK76" s="67" t="e">
        <f t="shared" si="103"/>
        <v>#DIV/0!</v>
      </c>
      <c r="AM76" s="52">
        <f t="shared" si="80"/>
        <v>66</v>
      </c>
      <c r="AN76" s="88">
        <f t="shared" si="81"/>
        <v>0</v>
      </c>
      <c r="AO76" s="100">
        <f t="shared" si="82"/>
        <v>0</v>
      </c>
      <c r="AP76" s="81">
        <f t="shared" si="83"/>
        <v>0</v>
      </c>
      <c r="AQ76" s="171">
        <f t="shared" si="90"/>
        <v>0</v>
      </c>
      <c r="AR76" s="189"/>
      <c r="AS76" s="89">
        <f t="shared" ref="AS76:AS85" si="109">SUM(AQ76:AR76)</f>
        <v>0</v>
      </c>
      <c r="AT76" s="184"/>
      <c r="AU76" s="189"/>
      <c r="AV76" s="172"/>
      <c r="AW76" s="171">
        <f t="shared" si="91"/>
        <v>0</v>
      </c>
      <c r="AX76" s="189"/>
      <c r="AY76" s="172">
        <f t="shared" si="98"/>
        <v>0</v>
      </c>
      <c r="AZ76" s="171"/>
      <c r="BA76" s="185"/>
      <c r="BB76" s="172"/>
      <c r="BC76" s="171"/>
      <c r="BD76" s="189"/>
      <c r="BE76" s="172"/>
      <c r="BF76" s="171"/>
      <c r="BG76" s="189"/>
      <c r="BH76" s="172">
        <f t="shared" si="100"/>
        <v>0</v>
      </c>
      <c r="BI76" s="171"/>
      <c r="BJ76" s="185"/>
      <c r="BK76" s="172">
        <f t="shared" si="95"/>
        <v>0</v>
      </c>
      <c r="BL76" s="171">
        <f t="shared" si="94"/>
        <v>0</v>
      </c>
      <c r="BM76" s="189"/>
      <c r="BN76" s="172">
        <f t="shared" si="86"/>
        <v>0</v>
      </c>
      <c r="BO76" s="171">
        <f t="shared" si="93"/>
        <v>0</v>
      </c>
      <c r="BP76" s="189"/>
      <c r="BQ76" s="172">
        <f t="shared" si="101"/>
        <v>0</v>
      </c>
      <c r="BR76" s="171">
        <f t="shared" si="87"/>
        <v>0</v>
      </c>
      <c r="BS76" s="189"/>
      <c r="BT76" s="172">
        <f t="shared" si="88"/>
        <v>0</v>
      </c>
      <c r="BU76" s="76">
        <f t="shared" si="89"/>
        <v>0</v>
      </c>
      <c r="BV76" s="196" t="str">
        <f>LOOKUP(BU76,'الفترة الاولى'!$BX$2:$BY$6)</f>
        <v>ممتاز</v>
      </c>
      <c r="BW76" s="77" t="e">
        <f>BU76/'الفترة الاولى'!$BZ$2</f>
        <v>#DIV/0!</v>
      </c>
    </row>
    <row r="77" spans="1:75" ht="25.2" customHeight="1" thickBot="1" x14ac:dyDescent="0.3">
      <c r="A77" s="50">
        <v>67</v>
      </c>
      <c r="B77" s="53"/>
      <c r="C77" s="101"/>
      <c r="D77" s="79"/>
      <c r="E77" s="168"/>
      <c r="F77" s="163"/>
      <c r="G77" s="89">
        <f t="shared" si="92"/>
        <v>0</v>
      </c>
      <c r="H77" s="176"/>
      <c r="I77" s="91"/>
      <c r="J77" s="173">
        <f t="shared" si="97"/>
        <v>0</v>
      </c>
      <c r="K77" s="90"/>
      <c r="L77" s="91"/>
      <c r="M77" s="89">
        <f t="shared" si="99"/>
        <v>0</v>
      </c>
      <c r="N77" s="176"/>
      <c r="O77" s="91"/>
      <c r="P77" s="173">
        <f t="shared" si="104"/>
        <v>0</v>
      </c>
      <c r="Q77" s="90"/>
      <c r="R77" s="91"/>
      <c r="S77" s="89">
        <f t="shared" si="105"/>
        <v>0</v>
      </c>
      <c r="T77" s="176"/>
      <c r="U77" s="91"/>
      <c r="V77" s="173">
        <f t="shared" si="96"/>
        <v>0</v>
      </c>
      <c r="W77" s="90"/>
      <c r="X77" s="91"/>
      <c r="Y77" s="89">
        <f t="shared" si="106"/>
        <v>0</v>
      </c>
      <c r="Z77" s="176"/>
      <c r="AA77" s="91"/>
      <c r="AB77" s="173">
        <f t="shared" si="107"/>
        <v>0</v>
      </c>
      <c r="AC77" s="90"/>
      <c r="AD77" s="91"/>
      <c r="AE77" s="89">
        <f t="shared" si="108"/>
        <v>0</v>
      </c>
      <c r="AF77" s="176"/>
      <c r="AG77" s="91"/>
      <c r="AH77" s="89">
        <f t="shared" si="84"/>
        <v>0</v>
      </c>
      <c r="AI77" s="160">
        <f t="shared" si="85"/>
        <v>0</v>
      </c>
      <c r="AJ77" s="200" t="str">
        <f t="shared" si="102"/>
        <v>ممتاز</v>
      </c>
      <c r="AK77" s="65" t="e">
        <f t="shared" si="103"/>
        <v>#DIV/0!</v>
      </c>
      <c r="AM77" s="50">
        <f t="shared" si="80"/>
        <v>67</v>
      </c>
      <c r="AN77" s="86">
        <f t="shared" si="81"/>
        <v>0</v>
      </c>
      <c r="AO77" s="98">
        <f t="shared" si="82"/>
        <v>0</v>
      </c>
      <c r="AP77" s="79">
        <f t="shared" si="83"/>
        <v>0</v>
      </c>
      <c r="AQ77" s="168">
        <f t="shared" si="90"/>
        <v>0</v>
      </c>
      <c r="AR77" s="163"/>
      <c r="AS77" s="89">
        <f t="shared" si="109"/>
        <v>0</v>
      </c>
      <c r="AT77" s="184"/>
      <c r="AU77" s="163"/>
      <c r="AV77" s="89"/>
      <c r="AW77" s="168">
        <f t="shared" si="91"/>
        <v>0</v>
      </c>
      <c r="AX77" s="163"/>
      <c r="AY77" s="89">
        <f t="shared" si="98"/>
        <v>0</v>
      </c>
      <c r="AZ77" s="168"/>
      <c r="BA77" s="185"/>
      <c r="BB77" s="89"/>
      <c r="BC77" s="168"/>
      <c r="BD77" s="163"/>
      <c r="BE77" s="89"/>
      <c r="BF77" s="168"/>
      <c r="BG77" s="163"/>
      <c r="BH77" s="89">
        <f t="shared" si="100"/>
        <v>0</v>
      </c>
      <c r="BI77" s="168"/>
      <c r="BJ77" s="185"/>
      <c r="BK77" s="89">
        <f t="shared" si="95"/>
        <v>0</v>
      </c>
      <c r="BL77" s="168">
        <f t="shared" si="94"/>
        <v>0</v>
      </c>
      <c r="BM77" s="163"/>
      <c r="BN77" s="89">
        <f t="shared" si="86"/>
        <v>0</v>
      </c>
      <c r="BO77" s="168">
        <f t="shared" si="93"/>
        <v>0</v>
      </c>
      <c r="BP77" s="163"/>
      <c r="BQ77" s="89">
        <f t="shared" si="101"/>
        <v>0</v>
      </c>
      <c r="BR77" s="168">
        <f t="shared" si="87"/>
        <v>0</v>
      </c>
      <c r="BS77" s="163"/>
      <c r="BT77" s="89">
        <f t="shared" si="88"/>
        <v>0</v>
      </c>
      <c r="BU77" s="72">
        <f t="shared" si="89"/>
        <v>0</v>
      </c>
      <c r="BV77" s="194" t="str">
        <f>LOOKUP(BU77,'الفترة الاولى'!$BX$2:$BY$6)</f>
        <v>ممتاز</v>
      </c>
      <c r="BW77" s="73" t="e">
        <f>BU77/'الفترة الاولى'!$BZ$2</f>
        <v>#DIV/0!</v>
      </c>
    </row>
    <row r="78" spans="1:75" ht="25.2" customHeight="1" thickBot="1" x14ac:dyDescent="0.3">
      <c r="A78" s="51">
        <v>68</v>
      </c>
      <c r="B78" s="54"/>
      <c r="C78" s="102"/>
      <c r="D78" s="80"/>
      <c r="E78" s="169"/>
      <c r="F78" s="92"/>
      <c r="G78" s="170">
        <f t="shared" si="92"/>
        <v>0</v>
      </c>
      <c r="H78" s="177"/>
      <c r="I78" s="92"/>
      <c r="J78" s="174">
        <f t="shared" si="97"/>
        <v>0</v>
      </c>
      <c r="K78" s="93"/>
      <c r="L78" s="92"/>
      <c r="M78" s="170">
        <f t="shared" si="99"/>
        <v>0</v>
      </c>
      <c r="N78" s="177"/>
      <c r="O78" s="92"/>
      <c r="P78" s="173">
        <f t="shared" si="104"/>
        <v>0</v>
      </c>
      <c r="Q78" s="93"/>
      <c r="R78" s="92"/>
      <c r="S78" s="89">
        <f t="shared" si="105"/>
        <v>0</v>
      </c>
      <c r="T78" s="177"/>
      <c r="U78" s="92"/>
      <c r="V78" s="174">
        <f t="shared" si="96"/>
        <v>0</v>
      </c>
      <c r="W78" s="93"/>
      <c r="X78" s="92"/>
      <c r="Y78" s="89">
        <f t="shared" si="106"/>
        <v>0</v>
      </c>
      <c r="Z78" s="177"/>
      <c r="AA78" s="92"/>
      <c r="AB78" s="173">
        <f t="shared" si="107"/>
        <v>0</v>
      </c>
      <c r="AC78" s="93"/>
      <c r="AD78" s="92"/>
      <c r="AE78" s="89">
        <f t="shared" si="108"/>
        <v>0</v>
      </c>
      <c r="AF78" s="177"/>
      <c r="AG78" s="92"/>
      <c r="AH78" s="170">
        <f t="shared" si="84"/>
        <v>0</v>
      </c>
      <c r="AI78" s="161">
        <f t="shared" si="85"/>
        <v>0</v>
      </c>
      <c r="AJ78" s="201" t="str">
        <f t="shared" si="102"/>
        <v>ممتاز</v>
      </c>
      <c r="AK78" s="66" t="e">
        <f t="shared" si="103"/>
        <v>#DIV/0!</v>
      </c>
      <c r="AM78" s="51">
        <f t="shared" ref="AM78:AM110" si="110">A78</f>
        <v>68</v>
      </c>
      <c r="AN78" s="87">
        <f t="shared" ref="AN78:AN141" si="111">B78</f>
        <v>0</v>
      </c>
      <c r="AO78" s="99">
        <f t="shared" ref="AO78:AO141" si="112">C78</f>
        <v>0</v>
      </c>
      <c r="AP78" s="80">
        <f t="shared" ref="AP78:AP141" si="113">D78</f>
        <v>0</v>
      </c>
      <c r="AQ78" s="169">
        <f t="shared" si="90"/>
        <v>0</v>
      </c>
      <c r="AR78" s="188"/>
      <c r="AS78" s="89">
        <f t="shared" si="109"/>
        <v>0</v>
      </c>
      <c r="AT78" s="184"/>
      <c r="AU78" s="188"/>
      <c r="AV78" s="170"/>
      <c r="AW78" s="169">
        <f t="shared" si="91"/>
        <v>0</v>
      </c>
      <c r="AX78" s="188"/>
      <c r="AY78" s="170">
        <f t="shared" si="98"/>
        <v>0</v>
      </c>
      <c r="AZ78" s="169"/>
      <c r="BA78" s="185"/>
      <c r="BB78" s="170"/>
      <c r="BC78" s="169"/>
      <c r="BD78" s="188"/>
      <c r="BE78" s="170"/>
      <c r="BF78" s="169"/>
      <c r="BG78" s="188"/>
      <c r="BH78" s="170">
        <f t="shared" si="100"/>
        <v>0</v>
      </c>
      <c r="BI78" s="169"/>
      <c r="BJ78" s="185"/>
      <c r="BK78" s="170">
        <f t="shared" si="95"/>
        <v>0</v>
      </c>
      <c r="BL78" s="169">
        <f t="shared" si="94"/>
        <v>0</v>
      </c>
      <c r="BM78" s="188"/>
      <c r="BN78" s="170">
        <f t="shared" si="86"/>
        <v>0</v>
      </c>
      <c r="BO78" s="169">
        <f t="shared" si="93"/>
        <v>0</v>
      </c>
      <c r="BP78" s="188"/>
      <c r="BQ78" s="170">
        <f t="shared" si="101"/>
        <v>0</v>
      </c>
      <c r="BR78" s="169">
        <f t="shared" si="87"/>
        <v>0</v>
      </c>
      <c r="BS78" s="188"/>
      <c r="BT78" s="170">
        <f t="shared" si="88"/>
        <v>0</v>
      </c>
      <c r="BU78" s="74">
        <f t="shared" si="89"/>
        <v>0</v>
      </c>
      <c r="BV78" s="195" t="str">
        <f>LOOKUP(BU78,'الفترة الاولى'!$BX$2:$BY$6)</f>
        <v>ممتاز</v>
      </c>
      <c r="BW78" s="75" t="e">
        <f>BU78/'الفترة الاولى'!$BZ$2</f>
        <v>#DIV/0!</v>
      </c>
    </row>
    <row r="79" spans="1:75" ht="25.2" customHeight="1" thickBot="1" x14ac:dyDescent="0.3">
      <c r="A79" s="52">
        <v>69</v>
      </c>
      <c r="B79" s="55"/>
      <c r="C79" s="103"/>
      <c r="D79" s="81"/>
      <c r="E79" s="171"/>
      <c r="F79" s="94"/>
      <c r="G79" s="172">
        <f t="shared" ref="G79:G142" si="114">SUM(E79:F79)</f>
        <v>0</v>
      </c>
      <c r="H79" s="178"/>
      <c r="I79" s="94"/>
      <c r="J79" s="175">
        <f t="shared" ref="J79:J142" si="115">SUM(H79:I79)</f>
        <v>0</v>
      </c>
      <c r="K79" s="95"/>
      <c r="L79" s="94"/>
      <c r="M79" s="172">
        <f t="shared" ref="M79:M142" si="116">SUM(K79:L79)</f>
        <v>0</v>
      </c>
      <c r="N79" s="178"/>
      <c r="O79" s="94"/>
      <c r="P79" s="173">
        <f t="shared" si="104"/>
        <v>0</v>
      </c>
      <c r="Q79" s="95"/>
      <c r="R79" s="94"/>
      <c r="S79" s="89">
        <f t="shared" si="105"/>
        <v>0</v>
      </c>
      <c r="T79" s="178"/>
      <c r="U79" s="94"/>
      <c r="V79" s="175">
        <f t="shared" ref="V79:V142" si="117">SUM(T79:U79)</f>
        <v>0</v>
      </c>
      <c r="W79" s="95"/>
      <c r="X79" s="94"/>
      <c r="Y79" s="89">
        <f t="shared" si="106"/>
        <v>0</v>
      </c>
      <c r="Z79" s="178"/>
      <c r="AA79" s="94"/>
      <c r="AB79" s="173">
        <f t="shared" si="107"/>
        <v>0</v>
      </c>
      <c r="AC79" s="95"/>
      <c r="AD79" s="94"/>
      <c r="AE79" s="89">
        <f t="shared" si="108"/>
        <v>0</v>
      </c>
      <c r="AF79" s="178"/>
      <c r="AG79" s="94"/>
      <c r="AH79" s="172">
        <f t="shared" ref="AH79:AH142" si="118">SUM(AF79:AG79)</f>
        <v>0</v>
      </c>
      <c r="AI79" s="162">
        <f t="shared" ref="AI79:AI142" si="119">SUM(AH79,AE79,AB79,Y79,V79,S79,P79,M79,J79,G79)</f>
        <v>0</v>
      </c>
      <c r="AJ79" s="202" t="str">
        <f t="shared" si="102"/>
        <v>ممتاز</v>
      </c>
      <c r="AK79" s="67" t="e">
        <f t="shared" si="103"/>
        <v>#DIV/0!</v>
      </c>
      <c r="AM79" s="52">
        <f t="shared" si="110"/>
        <v>69</v>
      </c>
      <c r="AN79" s="88">
        <f t="shared" si="111"/>
        <v>0</v>
      </c>
      <c r="AO79" s="100">
        <f t="shared" si="112"/>
        <v>0</v>
      </c>
      <c r="AP79" s="81">
        <f t="shared" si="113"/>
        <v>0</v>
      </c>
      <c r="AQ79" s="171">
        <f t="shared" ref="AQ79:AQ142" si="120">E79</f>
        <v>0</v>
      </c>
      <c r="AR79" s="189"/>
      <c r="AS79" s="89">
        <f t="shared" si="109"/>
        <v>0</v>
      </c>
      <c r="AT79" s="184"/>
      <c r="AU79" s="189"/>
      <c r="AV79" s="172"/>
      <c r="AW79" s="171">
        <f t="shared" ref="AW79:AW142" si="121">K79</f>
        <v>0</v>
      </c>
      <c r="AX79" s="189"/>
      <c r="AY79" s="172">
        <f t="shared" ref="AY79:AY142" si="122">SUM(AW79:AX79)</f>
        <v>0</v>
      </c>
      <c r="AZ79" s="171"/>
      <c r="BA79" s="185"/>
      <c r="BB79" s="172"/>
      <c r="BC79" s="171"/>
      <c r="BD79" s="189"/>
      <c r="BE79" s="172"/>
      <c r="BF79" s="171"/>
      <c r="BG79" s="189"/>
      <c r="BH79" s="172">
        <f t="shared" ref="BH79:BH142" si="123">SUM(BF79:BG79)</f>
        <v>0</v>
      </c>
      <c r="BI79" s="171"/>
      <c r="BJ79" s="185"/>
      <c r="BK79" s="172">
        <f t="shared" ref="BK79:BK142" si="124">SUM(BI79:BJ79)</f>
        <v>0</v>
      </c>
      <c r="BL79" s="171">
        <f t="shared" ref="BL79:BL142" si="125">Z79</f>
        <v>0</v>
      </c>
      <c r="BM79" s="189"/>
      <c r="BN79" s="172">
        <f t="shared" ref="BN79:BN142" si="126">SUM(BL79:BM79)</f>
        <v>0</v>
      </c>
      <c r="BO79" s="171">
        <f t="shared" ref="BO79:BO142" si="127">AC79</f>
        <v>0</v>
      </c>
      <c r="BP79" s="189"/>
      <c r="BQ79" s="172">
        <f t="shared" ref="BQ79:BQ142" si="128">SUM(BO79:BP79)</f>
        <v>0</v>
      </c>
      <c r="BR79" s="171">
        <f t="shared" ref="BR79:BR142" si="129">AF79</f>
        <v>0</v>
      </c>
      <c r="BS79" s="189"/>
      <c r="BT79" s="172">
        <f t="shared" ref="BT79:BT142" si="130">SUM(BR79:BS79)</f>
        <v>0</v>
      </c>
      <c r="BU79" s="76">
        <f t="shared" ref="BU79:BU142" si="131">SUM(AS79,AV79,AY79,BB79,BE79,BH79,BK79,BN79,BQ79,BT79)</f>
        <v>0</v>
      </c>
      <c r="BV79" s="196" t="str">
        <f>LOOKUP(BU79,'الفترة الاولى'!$BX$2:$BY$6)</f>
        <v>ممتاز</v>
      </c>
      <c r="BW79" s="77" t="e">
        <f>BU79/'الفترة الاولى'!$BZ$2</f>
        <v>#DIV/0!</v>
      </c>
    </row>
    <row r="80" spans="1:75" ht="25.2" customHeight="1" thickBot="1" x14ac:dyDescent="0.3">
      <c r="A80" s="50">
        <v>70</v>
      </c>
      <c r="B80" s="53"/>
      <c r="C80" s="101"/>
      <c r="D80" s="79"/>
      <c r="E80" s="168"/>
      <c r="F80" s="163"/>
      <c r="G80" s="89">
        <f t="shared" si="114"/>
        <v>0</v>
      </c>
      <c r="H80" s="176"/>
      <c r="I80" s="91"/>
      <c r="J80" s="173">
        <f t="shared" si="115"/>
        <v>0</v>
      </c>
      <c r="K80" s="90"/>
      <c r="L80" s="91"/>
      <c r="M80" s="89">
        <f t="shared" si="116"/>
        <v>0</v>
      </c>
      <c r="N80" s="176"/>
      <c r="O80" s="91"/>
      <c r="P80" s="173">
        <f t="shared" si="104"/>
        <v>0</v>
      </c>
      <c r="Q80" s="90"/>
      <c r="R80" s="91"/>
      <c r="S80" s="89">
        <f t="shared" si="105"/>
        <v>0</v>
      </c>
      <c r="T80" s="176"/>
      <c r="U80" s="91"/>
      <c r="V80" s="173">
        <f t="shared" si="117"/>
        <v>0</v>
      </c>
      <c r="W80" s="90"/>
      <c r="X80" s="91"/>
      <c r="Y80" s="89">
        <f t="shared" si="106"/>
        <v>0</v>
      </c>
      <c r="Z80" s="176"/>
      <c r="AA80" s="91"/>
      <c r="AB80" s="173">
        <f t="shared" si="107"/>
        <v>0</v>
      </c>
      <c r="AC80" s="90"/>
      <c r="AD80" s="91"/>
      <c r="AE80" s="89">
        <f t="shared" si="108"/>
        <v>0</v>
      </c>
      <c r="AF80" s="176"/>
      <c r="AG80" s="91"/>
      <c r="AH80" s="89">
        <f t="shared" si="118"/>
        <v>0</v>
      </c>
      <c r="AI80" s="160">
        <f t="shared" si="119"/>
        <v>0</v>
      </c>
      <c r="AJ80" s="200" t="str">
        <f t="shared" si="102"/>
        <v>ممتاز</v>
      </c>
      <c r="AK80" s="65" t="e">
        <f t="shared" si="103"/>
        <v>#DIV/0!</v>
      </c>
      <c r="AM80" s="50">
        <f t="shared" si="110"/>
        <v>70</v>
      </c>
      <c r="AN80" s="86">
        <f t="shared" si="111"/>
        <v>0</v>
      </c>
      <c r="AO80" s="98">
        <f t="shared" si="112"/>
        <v>0</v>
      </c>
      <c r="AP80" s="79">
        <f t="shared" si="113"/>
        <v>0</v>
      </c>
      <c r="AQ80" s="168">
        <f t="shared" si="120"/>
        <v>0</v>
      </c>
      <c r="AR80" s="163"/>
      <c r="AS80" s="89">
        <f t="shared" si="109"/>
        <v>0</v>
      </c>
      <c r="AT80" s="184"/>
      <c r="AU80" s="163"/>
      <c r="AV80" s="89"/>
      <c r="AW80" s="168">
        <f t="shared" si="121"/>
        <v>0</v>
      </c>
      <c r="AX80" s="163"/>
      <c r="AY80" s="89">
        <f t="shared" si="122"/>
        <v>0</v>
      </c>
      <c r="AZ80" s="168"/>
      <c r="BA80" s="185"/>
      <c r="BB80" s="89"/>
      <c r="BC80" s="168"/>
      <c r="BD80" s="163"/>
      <c r="BE80" s="89"/>
      <c r="BF80" s="168"/>
      <c r="BG80" s="163"/>
      <c r="BH80" s="89">
        <f t="shared" si="123"/>
        <v>0</v>
      </c>
      <c r="BI80" s="168"/>
      <c r="BJ80" s="163"/>
      <c r="BK80" s="89">
        <f t="shared" si="124"/>
        <v>0</v>
      </c>
      <c r="BL80" s="168">
        <f t="shared" si="125"/>
        <v>0</v>
      </c>
      <c r="BM80" s="163"/>
      <c r="BN80" s="89">
        <f t="shared" si="126"/>
        <v>0</v>
      </c>
      <c r="BO80" s="168">
        <f t="shared" si="127"/>
        <v>0</v>
      </c>
      <c r="BP80" s="163"/>
      <c r="BQ80" s="89">
        <f t="shared" si="128"/>
        <v>0</v>
      </c>
      <c r="BR80" s="168">
        <f t="shared" si="129"/>
        <v>0</v>
      </c>
      <c r="BS80" s="163"/>
      <c r="BT80" s="89">
        <f t="shared" si="130"/>
        <v>0</v>
      </c>
      <c r="BU80" s="72">
        <f t="shared" si="131"/>
        <v>0</v>
      </c>
      <c r="BV80" s="194" t="str">
        <f>LOOKUP(BU80,'الفترة الاولى'!$BX$2:$BY$6)</f>
        <v>ممتاز</v>
      </c>
      <c r="BW80" s="73" t="e">
        <f>BU80/'الفترة الاولى'!$BZ$2</f>
        <v>#DIV/0!</v>
      </c>
    </row>
    <row r="81" spans="1:75" ht="25.2" customHeight="1" thickBot="1" x14ac:dyDescent="0.3">
      <c r="A81" s="51">
        <v>71</v>
      </c>
      <c r="B81" s="54"/>
      <c r="C81" s="102"/>
      <c r="D81" s="80"/>
      <c r="E81" s="169"/>
      <c r="F81" s="92"/>
      <c r="G81" s="170">
        <f t="shared" si="114"/>
        <v>0</v>
      </c>
      <c r="H81" s="177"/>
      <c r="I81" s="92"/>
      <c r="J81" s="174">
        <f t="shared" si="115"/>
        <v>0</v>
      </c>
      <c r="K81" s="93"/>
      <c r="L81" s="92"/>
      <c r="M81" s="170">
        <f t="shared" si="116"/>
        <v>0</v>
      </c>
      <c r="N81" s="177"/>
      <c r="O81" s="92"/>
      <c r="P81" s="173">
        <f t="shared" si="104"/>
        <v>0</v>
      </c>
      <c r="Q81" s="93"/>
      <c r="R81" s="92"/>
      <c r="S81" s="89">
        <f t="shared" si="105"/>
        <v>0</v>
      </c>
      <c r="T81" s="177"/>
      <c r="U81" s="92"/>
      <c r="V81" s="174">
        <f t="shared" si="117"/>
        <v>0</v>
      </c>
      <c r="W81" s="93"/>
      <c r="X81" s="92"/>
      <c r="Y81" s="89">
        <f t="shared" si="106"/>
        <v>0</v>
      </c>
      <c r="Z81" s="177"/>
      <c r="AA81" s="92"/>
      <c r="AB81" s="173">
        <f t="shared" si="107"/>
        <v>0</v>
      </c>
      <c r="AC81" s="93"/>
      <c r="AD81" s="92"/>
      <c r="AE81" s="89">
        <f t="shared" si="108"/>
        <v>0</v>
      </c>
      <c r="AF81" s="177"/>
      <c r="AG81" s="92"/>
      <c r="AH81" s="170">
        <f t="shared" si="118"/>
        <v>0</v>
      </c>
      <c r="AI81" s="161">
        <f t="shared" si="119"/>
        <v>0</v>
      </c>
      <c r="AJ81" s="201" t="str">
        <f t="shared" si="102"/>
        <v>ممتاز</v>
      </c>
      <c r="AK81" s="66" t="e">
        <f t="shared" si="103"/>
        <v>#DIV/0!</v>
      </c>
      <c r="AM81" s="51">
        <f t="shared" si="110"/>
        <v>71</v>
      </c>
      <c r="AN81" s="87">
        <f t="shared" si="111"/>
        <v>0</v>
      </c>
      <c r="AO81" s="99">
        <f t="shared" si="112"/>
        <v>0</v>
      </c>
      <c r="AP81" s="80">
        <f t="shared" si="113"/>
        <v>0</v>
      </c>
      <c r="AQ81" s="169">
        <f t="shared" si="120"/>
        <v>0</v>
      </c>
      <c r="AR81" s="188"/>
      <c r="AS81" s="89">
        <f t="shared" si="109"/>
        <v>0</v>
      </c>
      <c r="AT81" s="184"/>
      <c r="AU81" s="188"/>
      <c r="AV81" s="170"/>
      <c r="AW81" s="169">
        <f t="shared" si="121"/>
        <v>0</v>
      </c>
      <c r="AX81" s="188"/>
      <c r="AY81" s="170">
        <f t="shared" si="122"/>
        <v>0</v>
      </c>
      <c r="AZ81" s="169"/>
      <c r="BA81" s="185"/>
      <c r="BB81" s="170"/>
      <c r="BC81" s="169"/>
      <c r="BD81" s="188"/>
      <c r="BE81" s="170"/>
      <c r="BF81" s="169"/>
      <c r="BG81" s="188"/>
      <c r="BH81" s="170">
        <f t="shared" si="123"/>
        <v>0</v>
      </c>
      <c r="BI81" s="169"/>
      <c r="BJ81" s="188"/>
      <c r="BK81" s="170">
        <f t="shared" si="124"/>
        <v>0</v>
      </c>
      <c r="BL81" s="169">
        <f t="shared" si="125"/>
        <v>0</v>
      </c>
      <c r="BM81" s="188"/>
      <c r="BN81" s="170">
        <f t="shared" si="126"/>
        <v>0</v>
      </c>
      <c r="BO81" s="169">
        <f t="shared" si="127"/>
        <v>0</v>
      </c>
      <c r="BP81" s="188"/>
      <c r="BQ81" s="170">
        <f t="shared" si="128"/>
        <v>0</v>
      </c>
      <c r="BR81" s="169">
        <f t="shared" si="129"/>
        <v>0</v>
      </c>
      <c r="BS81" s="188"/>
      <c r="BT81" s="170">
        <f t="shared" si="130"/>
        <v>0</v>
      </c>
      <c r="BU81" s="74">
        <f t="shared" si="131"/>
        <v>0</v>
      </c>
      <c r="BV81" s="195" t="str">
        <f>LOOKUP(BU81,'الفترة الاولى'!$BX$2:$BY$6)</f>
        <v>ممتاز</v>
      </c>
      <c r="BW81" s="75" t="e">
        <f>BU81/'الفترة الاولى'!$BZ$2</f>
        <v>#DIV/0!</v>
      </c>
    </row>
    <row r="82" spans="1:75" ht="25.2" customHeight="1" thickBot="1" x14ac:dyDescent="0.3">
      <c r="A82" s="52">
        <v>72</v>
      </c>
      <c r="B82" s="55"/>
      <c r="C82" s="103"/>
      <c r="D82" s="81"/>
      <c r="E82" s="171"/>
      <c r="F82" s="94"/>
      <c r="G82" s="172">
        <f t="shared" si="114"/>
        <v>0</v>
      </c>
      <c r="H82" s="178"/>
      <c r="I82" s="94"/>
      <c r="J82" s="175">
        <f t="shared" si="115"/>
        <v>0</v>
      </c>
      <c r="K82" s="95"/>
      <c r="L82" s="94"/>
      <c r="M82" s="172">
        <f t="shared" si="116"/>
        <v>0</v>
      </c>
      <c r="N82" s="178"/>
      <c r="O82" s="94"/>
      <c r="P82" s="173">
        <f t="shared" si="104"/>
        <v>0</v>
      </c>
      <c r="Q82" s="95"/>
      <c r="R82" s="94"/>
      <c r="S82" s="89">
        <f t="shared" si="105"/>
        <v>0</v>
      </c>
      <c r="T82" s="178"/>
      <c r="U82" s="94"/>
      <c r="V82" s="175">
        <f t="shared" si="117"/>
        <v>0</v>
      </c>
      <c r="W82" s="95"/>
      <c r="X82" s="94"/>
      <c r="Y82" s="89">
        <f t="shared" si="106"/>
        <v>0</v>
      </c>
      <c r="Z82" s="178"/>
      <c r="AA82" s="94"/>
      <c r="AB82" s="173">
        <f t="shared" si="107"/>
        <v>0</v>
      </c>
      <c r="AC82" s="95"/>
      <c r="AD82" s="94"/>
      <c r="AE82" s="89">
        <f t="shared" si="108"/>
        <v>0</v>
      </c>
      <c r="AF82" s="178"/>
      <c r="AG82" s="94"/>
      <c r="AH82" s="172">
        <f t="shared" si="118"/>
        <v>0</v>
      </c>
      <c r="AI82" s="162">
        <f t="shared" si="119"/>
        <v>0</v>
      </c>
      <c r="AJ82" s="202" t="str">
        <f t="shared" si="102"/>
        <v>ممتاز</v>
      </c>
      <c r="AK82" s="67" t="e">
        <f t="shared" si="103"/>
        <v>#DIV/0!</v>
      </c>
      <c r="AM82" s="52">
        <f t="shared" si="110"/>
        <v>72</v>
      </c>
      <c r="AN82" s="88">
        <f t="shared" si="111"/>
        <v>0</v>
      </c>
      <c r="AO82" s="100">
        <f t="shared" si="112"/>
        <v>0</v>
      </c>
      <c r="AP82" s="81">
        <f t="shared" si="113"/>
        <v>0</v>
      </c>
      <c r="AQ82" s="171">
        <f t="shared" si="120"/>
        <v>0</v>
      </c>
      <c r="AR82" s="189"/>
      <c r="AS82" s="89">
        <f t="shared" si="109"/>
        <v>0</v>
      </c>
      <c r="AT82" s="184"/>
      <c r="AU82" s="189"/>
      <c r="AV82" s="172"/>
      <c r="AW82" s="171">
        <f t="shared" si="121"/>
        <v>0</v>
      </c>
      <c r="AX82" s="189"/>
      <c r="AY82" s="172">
        <f t="shared" si="122"/>
        <v>0</v>
      </c>
      <c r="AZ82" s="171"/>
      <c r="BA82" s="185"/>
      <c r="BB82" s="172"/>
      <c r="BC82" s="171"/>
      <c r="BD82" s="189"/>
      <c r="BE82" s="172"/>
      <c r="BF82" s="171"/>
      <c r="BG82" s="189"/>
      <c r="BH82" s="172">
        <f t="shared" si="123"/>
        <v>0</v>
      </c>
      <c r="BI82" s="171">
        <f t="shared" ref="BI82:BI142" si="132">W82</f>
        <v>0</v>
      </c>
      <c r="BJ82" s="189"/>
      <c r="BK82" s="172">
        <f t="shared" si="124"/>
        <v>0</v>
      </c>
      <c r="BL82" s="171">
        <f t="shared" si="125"/>
        <v>0</v>
      </c>
      <c r="BM82" s="189"/>
      <c r="BN82" s="172">
        <f t="shared" si="126"/>
        <v>0</v>
      </c>
      <c r="BO82" s="171">
        <f t="shared" si="127"/>
        <v>0</v>
      </c>
      <c r="BP82" s="189"/>
      <c r="BQ82" s="172">
        <f t="shared" si="128"/>
        <v>0</v>
      </c>
      <c r="BR82" s="171">
        <f t="shared" si="129"/>
        <v>0</v>
      </c>
      <c r="BS82" s="189"/>
      <c r="BT82" s="172">
        <f t="shared" si="130"/>
        <v>0</v>
      </c>
      <c r="BU82" s="76">
        <f t="shared" si="131"/>
        <v>0</v>
      </c>
      <c r="BV82" s="196" t="str">
        <f>LOOKUP(BU82,'الفترة الاولى'!$BX$2:$BY$6)</f>
        <v>ممتاز</v>
      </c>
      <c r="BW82" s="77" t="e">
        <f>BU82/'الفترة الاولى'!$BZ$2</f>
        <v>#DIV/0!</v>
      </c>
    </row>
    <row r="83" spans="1:75" ht="25.2" customHeight="1" thickBot="1" x14ac:dyDescent="0.3">
      <c r="A83" s="50">
        <v>73</v>
      </c>
      <c r="B83" s="53"/>
      <c r="C83" s="101"/>
      <c r="D83" s="79"/>
      <c r="E83" s="168"/>
      <c r="F83" s="163"/>
      <c r="G83" s="89">
        <f t="shared" si="114"/>
        <v>0</v>
      </c>
      <c r="H83" s="176"/>
      <c r="I83" s="91"/>
      <c r="J83" s="173">
        <f t="shared" si="115"/>
        <v>0</v>
      </c>
      <c r="K83" s="90"/>
      <c r="L83" s="91"/>
      <c r="M83" s="89">
        <f t="shared" si="116"/>
        <v>0</v>
      </c>
      <c r="N83" s="176"/>
      <c r="O83" s="91"/>
      <c r="P83" s="173">
        <f t="shared" si="104"/>
        <v>0</v>
      </c>
      <c r="Q83" s="90"/>
      <c r="R83" s="91"/>
      <c r="S83" s="89">
        <f t="shared" si="105"/>
        <v>0</v>
      </c>
      <c r="T83" s="176"/>
      <c r="U83" s="91"/>
      <c r="V83" s="173">
        <f t="shared" si="117"/>
        <v>0</v>
      </c>
      <c r="W83" s="90"/>
      <c r="X83" s="91"/>
      <c r="Y83" s="89">
        <f t="shared" si="106"/>
        <v>0</v>
      </c>
      <c r="Z83" s="176"/>
      <c r="AA83" s="91"/>
      <c r="AB83" s="173">
        <f t="shared" si="107"/>
        <v>0</v>
      </c>
      <c r="AC83" s="90"/>
      <c r="AD83" s="91"/>
      <c r="AE83" s="89">
        <f t="shared" si="108"/>
        <v>0</v>
      </c>
      <c r="AF83" s="176"/>
      <c r="AG83" s="91"/>
      <c r="AH83" s="89">
        <f t="shared" si="118"/>
        <v>0</v>
      </c>
      <c r="AI83" s="160">
        <f t="shared" si="119"/>
        <v>0</v>
      </c>
      <c r="AJ83" s="200" t="str">
        <f t="shared" si="102"/>
        <v>ممتاز</v>
      </c>
      <c r="AK83" s="65" t="e">
        <f t="shared" si="103"/>
        <v>#DIV/0!</v>
      </c>
      <c r="AM83" s="50">
        <f t="shared" si="110"/>
        <v>73</v>
      </c>
      <c r="AN83" s="86">
        <f t="shared" si="111"/>
        <v>0</v>
      </c>
      <c r="AO83" s="98">
        <f t="shared" si="112"/>
        <v>0</v>
      </c>
      <c r="AP83" s="79">
        <f t="shared" si="113"/>
        <v>0</v>
      </c>
      <c r="AQ83" s="168">
        <f t="shared" si="120"/>
        <v>0</v>
      </c>
      <c r="AR83" s="163"/>
      <c r="AS83" s="89">
        <f t="shared" si="109"/>
        <v>0</v>
      </c>
      <c r="AT83" s="184"/>
      <c r="AU83" s="163"/>
      <c r="AV83" s="89"/>
      <c r="AW83" s="168">
        <f t="shared" si="121"/>
        <v>0</v>
      </c>
      <c r="AX83" s="163"/>
      <c r="AY83" s="89">
        <f t="shared" si="122"/>
        <v>0</v>
      </c>
      <c r="AZ83" s="168"/>
      <c r="BA83" s="185"/>
      <c r="BB83" s="89"/>
      <c r="BC83" s="168"/>
      <c r="BD83" s="163"/>
      <c r="BE83" s="89"/>
      <c r="BF83" s="168"/>
      <c r="BG83" s="163"/>
      <c r="BH83" s="89">
        <f t="shared" si="123"/>
        <v>0</v>
      </c>
      <c r="BI83" s="168">
        <f t="shared" si="132"/>
        <v>0</v>
      </c>
      <c r="BJ83" s="163"/>
      <c r="BK83" s="89">
        <f t="shared" si="124"/>
        <v>0</v>
      </c>
      <c r="BL83" s="168">
        <f t="shared" si="125"/>
        <v>0</v>
      </c>
      <c r="BM83" s="163"/>
      <c r="BN83" s="89">
        <f t="shared" si="126"/>
        <v>0</v>
      </c>
      <c r="BO83" s="168">
        <f t="shared" si="127"/>
        <v>0</v>
      </c>
      <c r="BP83" s="163"/>
      <c r="BQ83" s="89">
        <f t="shared" si="128"/>
        <v>0</v>
      </c>
      <c r="BR83" s="168">
        <f t="shared" si="129"/>
        <v>0</v>
      </c>
      <c r="BS83" s="163"/>
      <c r="BT83" s="89">
        <f t="shared" si="130"/>
        <v>0</v>
      </c>
      <c r="BU83" s="72">
        <f t="shared" si="131"/>
        <v>0</v>
      </c>
      <c r="BV83" s="194" t="str">
        <f>LOOKUP(BU83,'الفترة الاولى'!$BX$2:$BY$6)</f>
        <v>ممتاز</v>
      </c>
      <c r="BW83" s="73" t="e">
        <f>BU83/'الفترة الاولى'!$BZ$2</f>
        <v>#DIV/0!</v>
      </c>
    </row>
    <row r="84" spans="1:75" ht="25.2" customHeight="1" thickBot="1" x14ac:dyDescent="0.3">
      <c r="A84" s="51">
        <v>74</v>
      </c>
      <c r="B84" s="54"/>
      <c r="C84" s="102"/>
      <c r="D84" s="80"/>
      <c r="E84" s="169"/>
      <c r="F84" s="92"/>
      <c r="G84" s="170">
        <f t="shared" si="114"/>
        <v>0</v>
      </c>
      <c r="H84" s="177"/>
      <c r="I84" s="92"/>
      <c r="J84" s="174">
        <f t="shared" si="115"/>
        <v>0</v>
      </c>
      <c r="K84" s="93"/>
      <c r="L84" s="92"/>
      <c r="M84" s="170">
        <f t="shared" si="116"/>
        <v>0</v>
      </c>
      <c r="N84" s="177"/>
      <c r="O84" s="92"/>
      <c r="P84" s="173">
        <f t="shared" si="104"/>
        <v>0</v>
      </c>
      <c r="Q84" s="93"/>
      <c r="R84" s="92"/>
      <c r="S84" s="89">
        <f t="shared" si="105"/>
        <v>0</v>
      </c>
      <c r="T84" s="177"/>
      <c r="U84" s="92"/>
      <c r="V84" s="174">
        <f t="shared" si="117"/>
        <v>0</v>
      </c>
      <c r="W84" s="93"/>
      <c r="X84" s="92"/>
      <c r="Y84" s="89">
        <f t="shared" si="106"/>
        <v>0</v>
      </c>
      <c r="Z84" s="177"/>
      <c r="AA84" s="92"/>
      <c r="AB84" s="173">
        <f t="shared" si="107"/>
        <v>0</v>
      </c>
      <c r="AC84" s="93"/>
      <c r="AD84" s="92"/>
      <c r="AE84" s="89">
        <f t="shared" si="108"/>
        <v>0</v>
      </c>
      <c r="AF84" s="177"/>
      <c r="AG84" s="92"/>
      <c r="AH84" s="170">
        <f t="shared" si="118"/>
        <v>0</v>
      </c>
      <c r="AI84" s="161">
        <f t="shared" si="119"/>
        <v>0</v>
      </c>
      <c r="AJ84" s="201" t="str">
        <f t="shared" si="102"/>
        <v>ممتاز</v>
      </c>
      <c r="AK84" s="66" t="e">
        <f t="shared" si="103"/>
        <v>#DIV/0!</v>
      </c>
      <c r="AM84" s="51">
        <f t="shared" si="110"/>
        <v>74</v>
      </c>
      <c r="AN84" s="87">
        <f t="shared" si="111"/>
        <v>0</v>
      </c>
      <c r="AO84" s="99">
        <f t="shared" si="112"/>
        <v>0</v>
      </c>
      <c r="AP84" s="80">
        <f t="shared" si="113"/>
        <v>0</v>
      </c>
      <c r="AQ84" s="169">
        <f t="shared" si="120"/>
        <v>0</v>
      </c>
      <c r="AR84" s="188"/>
      <c r="AS84" s="89">
        <f t="shared" si="109"/>
        <v>0</v>
      </c>
      <c r="AT84" s="184"/>
      <c r="AU84" s="188"/>
      <c r="AV84" s="170"/>
      <c r="AW84" s="169">
        <f t="shared" si="121"/>
        <v>0</v>
      </c>
      <c r="AX84" s="188"/>
      <c r="AY84" s="170">
        <f t="shared" si="122"/>
        <v>0</v>
      </c>
      <c r="AZ84" s="169"/>
      <c r="BA84" s="185"/>
      <c r="BB84" s="170"/>
      <c r="BC84" s="169"/>
      <c r="BD84" s="188"/>
      <c r="BE84" s="170"/>
      <c r="BF84" s="169"/>
      <c r="BG84" s="188"/>
      <c r="BH84" s="170">
        <f t="shared" si="123"/>
        <v>0</v>
      </c>
      <c r="BI84" s="169">
        <f t="shared" si="132"/>
        <v>0</v>
      </c>
      <c r="BJ84" s="188"/>
      <c r="BK84" s="170">
        <f t="shared" si="124"/>
        <v>0</v>
      </c>
      <c r="BL84" s="169">
        <f t="shared" si="125"/>
        <v>0</v>
      </c>
      <c r="BM84" s="188"/>
      <c r="BN84" s="170">
        <f t="shared" si="126"/>
        <v>0</v>
      </c>
      <c r="BO84" s="169">
        <f t="shared" si="127"/>
        <v>0</v>
      </c>
      <c r="BP84" s="188"/>
      <c r="BQ84" s="170">
        <f t="shared" si="128"/>
        <v>0</v>
      </c>
      <c r="BR84" s="169">
        <f t="shared" si="129"/>
        <v>0</v>
      </c>
      <c r="BS84" s="188"/>
      <c r="BT84" s="170">
        <f t="shared" si="130"/>
        <v>0</v>
      </c>
      <c r="BU84" s="74">
        <f t="shared" si="131"/>
        <v>0</v>
      </c>
      <c r="BV84" s="195" t="str">
        <f>LOOKUP(BU84,'الفترة الاولى'!$BX$2:$BY$6)</f>
        <v>ممتاز</v>
      </c>
      <c r="BW84" s="75" t="e">
        <f>BU84/'الفترة الاولى'!$BZ$2</f>
        <v>#DIV/0!</v>
      </c>
    </row>
    <row r="85" spans="1:75" ht="25.2" customHeight="1" thickBot="1" x14ac:dyDescent="0.3">
      <c r="A85" s="52">
        <v>75</v>
      </c>
      <c r="B85" s="55"/>
      <c r="C85" s="103"/>
      <c r="D85" s="81"/>
      <c r="E85" s="171"/>
      <c r="F85" s="94"/>
      <c r="G85" s="172">
        <f t="shared" si="114"/>
        <v>0</v>
      </c>
      <c r="H85" s="178"/>
      <c r="I85" s="94"/>
      <c r="J85" s="175">
        <f t="shared" si="115"/>
        <v>0</v>
      </c>
      <c r="K85" s="95"/>
      <c r="L85" s="94"/>
      <c r="M85" s="172">
        <f t="shared" si="116"/>
        <v>0</v>
      </c>
      <c r="N85" s="178"/>
      <c r="O85" s="94"/>
      <c r="P85" s="173">
        <f t="shared" si="104"/>
        <v>0</v>
      </c>
      <c r="Q85" s="95"/>
      <c r="R85" s="94"/>
      <c r="S85" s="89">
        <f t="shared" si="105"/>
        <v>0</v>
      </c>
      <c r="T85" s="178"/>
      <c r="U85" s="94"/>
      <c r="V85" s="175">
        <f t="shared" si="117"/>
        <v>0</v>
      </c>
      <c r="W85" s="95"/>
      <c r="X85" s="94"/>
      <c r="Y85" s="89">
        <f t="shared" si="106"/>
        <v>0</v>
      </c>
      <c r="Z85" s="178"/>
      <c r="AA85" s="94"/>
      <c r="AB85" s="173">
        <f t="shared" si="107"/>
        <v>0</v>
      </c>
      <c r="AC85" s="95"/>
      <c r="AD85" s="94"/>
      <c r="AE85" s="89">
        <f t="shared" si="108"/>
        <v>0</v>
      </c>
      <c r="AF85" s="178"/>
      <c r="AG85" s="94"/>
      <c r="AH85" s="172">
        <f t="shared" si="118"/>
        <v>0</v>
      </c>
      <c r="AI85" s="162">
        <f t="shared" si="119"/>
        <v>0</v>
      </c>
      <c r="AJ85" s="202" t="str">
        <f t="shared" si="102"/>
        <v>ممتاز</v>
      </c>
      <c r="AK85" s="67" t="e">
        <f t="shared" si="103"/>
        <v>#DIV/0!</v>
      </c>
      <c r="AM85" s="52">
        <f t="shared" si="110"/>
        <v>75</v>
      </c>
      <c r="AN85" s="88">
        <f t="shared" si="111"/>
        <v>0</v>
      </c>
      <c r="AO85" s="100">
        <f t="shared" si="112"/>
        <v>0</v>
      </c>
      <c r="AP85" s="81">
        <f t="shared" si="113"/>
        <v>0</v>
      </c>
      <c r="AQ85" s="171">
        <f t="shared" si="120"/>
        <v>0</v>
      </c>
      <c r="AR85" s="189"/>
      <c r="AS85" s="89">
        <f t="shared" si="109"/>
        <v>0</v>
      </c>
      <c r="AT85" s="184"/>
      <c r="AU85" s="189"/>
      <c r="AV85" s="172"/>
      <c r="AW85" s="171">
        <f t="shared" si="121"/>
        <v>0</v>
      </c>
      <c r="AX85" s="189"/>
      <c r="AY85" s="172">
        <f t="shared" si="122"/>
        <v>0</v>
      </c>
      <c r="AZ85" s="171"/>
      <c r="BA85" s="185"/>
      <c r="BB85" s="172"/>
      <c r="BC85" s="171"/>
      <c r="BD85" s="189"/>
      <c r="BE85" s="172"/>
      <c r="BF85" s="171"/>
      <c r="BG85" s="189"/>
      <c r="BH85" s="172">
        <f t="shared" si="123"/>
        <v>0</v>
      </c>
      <c r="BI85" s="171">
        <f t="shared" si="132"/>
        <v>0</v>
      </c>
      <c r="BJ85" s="189"/>
      <c r="BK85" s="172">
        <f t="shared" si="124"/>
        <v>0</v>
      </c>
      <c r="BL85" s="171">
        <f t="shared" si="125"/>
        <v>0</v>
      </c>
      <c r="BM85" s="189"/>
      <c r="BN85" s="172">
        <f t="shared" si="126"/>
        <v>0</v>
      </c>
      <c r="BO85" s="171">
        <f t="shared" si="127"/>
        <v>0</v>
      </c>
      <c r="BP85" s="189"/>
      <c r="BQ85" s="172">
        <f t="shared" si="128"/>
        <v>0</v>
      </c>
      <c r="BR85" s="171">
        <f t="shared" si="129"/>
        <v>0</v>
      </c>
      <c r="BS85" s="189"/>
      <c r="BT85" s="172">
        <f t="shared" si="130"/>
        <v>0</v>
      </c>
      <c r="BU85" s="76">
        <f t="shared" si="131"/>
        <v>0</v>
      </c>
      <c r="BV85" s="196" t="str">
        <f>LOOKUP(BU85,'الفترة الاولى'!$BX$2:$BY$6)</f>
        <v>ممتاز</v>
      </c>
      <c r="BW85" s="77" t="e">
        <f>BU85/'الفترة الاولى'!$BZ$2</f>
        <v>#DIV/0!</v>
      </c>
    </row>
    <row r="86" spans="1:75" ht="25.2" customHeight="1" thickBot="1" x14ac:dyDescent="0.3">
      <c r="A86" s="50">
        <v>76</v>
      </c>
      <c r="B86" s="53"/>
      <c r="C86" s="101"/>
      <c r="D86" s="79"/>
      <c r="E86" s="168"/>
      <c r="F86" s="163"/>
      <c r="G86" s="89">
        <f t="shared" si="114"/>
        <v>0</v>
      </c>
      <c r="H86" s="176"/>
      <c r="I86" s="91"/>
      <c r="J86" s="173">
        <f t="shared" si="115"/>
        <v>0</v>
      </c>
      <c r="K86" s="90"/>
      <c r="L86" s="91"/>
      <c r="M86" s="89">
        <f t="shared" si="116"/>
        <v>0</v>
      </c>
      <c r="N86" s="176"/>
      <c r="O86" s="91"/>
      <c r="P86" s="173">
        <f t="shared" si="104"/>
        <v>0</v>
      </c>
      <c r="Q86" s="90"/>
      <c r="R86" s="91"/>
      <c r="S86" s="89">
        <f t="shared" si="105"/>
        <v>0</v>
      </c>
      <c r="T86" s="176"/>
      <c r="U86" s="91"/>
      <c r="V86" s="173">
        <f t="shared" si="117"/>
        <v>0</v>
      </c>
      <c r="W86" s="90"/>
      <c r="X86" s="91"/>
      <c r="Y86" s="89">
        <f t="shared" si="106"/>
        <v>0</v>
      </c>
      <c r="Z86" s="176"/>
      <c r="AA86" s="91"/>
      <c r="AB86" s="173">
        <f t="shared" si="107"/>
        <v>0</v>
      </c>
      <c r="AC86" s="90"/>
      <c r="AD86" s="91"/>
      <c r="AE86" s="89">
        <f t="shared" si="108"/>
        <v>0</v>
      </c>
      <c r="AF86" s="176"/>
      <c r="AG86" s="91"/>
      <c r="AH86" s="89">
        <f t="shared" si="118"/>
        <v>0</v>
      </c>
      <c r="AI86" s="160">
        <f t="shared" si="119"/>
        <v>0</v>
      </c>
      <c r="AJ86" s="200" t="str">
        <f t="shared" si="102"/>
        <v>ممتاز</v>
      </c>
      <c r="AK86" s="65" t="e">
        <f t="shared" si="103"/>
        <v>#DIV/0!</v>
      </c>
      <c r="AM86" s="50">
        <f t="shared" si="110"/>
        <v>76</v>
      </c>
      <c r="AN86" s="86">
        <f t="shared" si="111"/>
        <v>0</v>
      </c>
      <c r="AO86" s="98">
        <f t="shared" si="112"/>
        <v>0</v>
      </c>
      <c r="AP86" s="79">
        <f t="shared" si="113"/>
        <v>0</v>
      </c>
      <c r="AQ86" s="168">
        <f t="shared" si="120"/>
        <v>0</v>
      </c>
      <c r="AR86" s="163"/>
      <c r="AS86" s="89">
        <f t="shared" ref="AS86:AS142" si="133">SUM(AQ86:AR86)</f>
        <v>0</v>
      </c>
      <c r="AT86" s="184"/>
      <c r="AU86" s="163"/>
      <c r="AV86" s="89"/>
      <c r="AW86" s="168">
        <f t="shared" si="121"/>
        <v>0</v>
      </c>
      <c r="AX86" s="163"/>
      <c r="AY86" s="89">
        <f t="shared" si="122"/>
        <v>0</v>
      </c>
      <c r="AZ86" s="168"/>
      <c r="BA86" s="185"/>
      <c r="BB86" s="89"/>
      <c r="BC86" s="168"/>
      <c r="BD86" s="163"/>
      <c r="BE86" s="89"/>
      <c r="BF86" s="168"/>
      <c r="BG86" s="163"/>
      <c r="BH86" s="89">
        <f t="shared" si="123"/>
        <v>0</v>
      </c>
      <c r="BI86" s="168">
        <f t="shared" si="132"/>
        <v>0</v>
      </c>
      <c r="BJ86" s="163"/>
      <c r="BK86" s="89">
        <f t="shared" si="124"/>
        <v>0</v>
      </c>
      <c r="BL86" s="168">
        <f t="shared" si="125"/>
        <v>0</v>
      </c>
      <c r="BM86" s="163"/>
      <c r="BN86" s="89">
        <f t="shared" si="126"/>
        <v>0</v>
      </c>
      <c r="BO86" s="168">
        <f t="shared" si="127"/>
        <v>0</v>
      </c>
      <c r="BP86" s="163"/>
      <c r="BQ86" s="89">
        <f t="shared" si="128"/>
        <v>0</v>
      </c>
      <c r="BR86" s="168">
        <f t="shared" si="129"/>
        <v>0</v>
      </c>
      <c r="BS86" s="163"/>
      <c r="BT86" s="89">
        <f t="shared" si="130"/>
        <v>0</v>
      </c>
      <c r="BU86" s="72">
        <f t="shared" si="131"/>
        <v>0</v>
      </c>
      <c r="BV86" s="194" t="str">
        <f>LOOKUP(BU86,'الفترة الاولى'!$BX$2:$BY$6)</f>
        <v>ممتاز</v>
      </c>
      <c r="BW86" s="73" t="e">
        <f>BU86/'الفترة الاولى'!$BZ$2</f>
        <v>#DIV/0!</v>
      </c>
    </row>
    <row r="87" spans="1:75" ht="25.2" customHeight="1" thickBot="1" x14ac:dyDescent="0.3">
      <c r="A87" s="51">
        <v>77</v>
      </c>
      <c r="B87" s="54"/>
      <c r="C87" s="102"/>
      <c r="D87" s="80"/>
      <c r="E87" s="169"/>
      <c r="F87" s="92"/>
      <c r="G87" s="170">
        <f t="shared" si="114"/>
        <v>0</v>
      </c>
      <c r="H87" s="177"/>
      <c r="I87" s="92"/>
      <c r="J87" s="174">
        <f t="shared" si="115"/>
        <v>0</v>
      </c>
      <c r="K87" s="93"/>
      <c r="L87" s="92"/>
      <c r="M87" s="170">
        <f t="shared" si="116"/>
        <v>0</v>
      </c>
      <c r="N87" s="177"/>
      <c r="O87" s="92"/>
      <c r="P87" s="173">
        <f t="shared" si="104"/>
        <v>0</v>
      </c>
      <c r="Q87" s="93"/>
      <c r="R87" s="92"/>
      <c r="S87" s="89">
        <f t="shared" si="105"/>
        <v>0</v>
      </c>
      <c r="T87" s="177"/>
      <c r="U87" s="92"/>
      <c r="V87" s="174">
        <f t="shared" si="117"/>
        <v>0</v>
      </c>
      <c r="W87" s="93"/>
      <c r="X87" s="92"/>
      <c r="Y87" s="89">
        <f t="shared" si="106"/>
        <v>0</v>
      </c>
      <c r="Z87" s="177"/>
      <c r="AA87" s="92"/>
      <c r="AB87" s="173">
        <f t="shared" si="107"/>
        <v>0</v>
      </c>
      <c r="AC87" s="93"/>
      <c r="AD87" s="92"/>
      <c r="AE87" s="89">
        <f t="shared" si="108"/>
        <v>0</v>
      </c>
      <c r="AF87" s="177"/>
      <c r="AG87" s="92"/>
      <c r="AH87" s="170">
        <f t="shared" si="118"/>
        <v>0</v>
      </c>
      <c r="AI87" s="161">
        <f t="shared" si="119"/>
        <v>0</v>
      </c>
      <c r="AJ87" s="201" t="str">
        <f t="shared" si="102"/>
        <v>ممتاز</v>
      </c>
      <c r="AK87" s="66" t="e">
        <f t="shared" si="103"/>
        <v>#DIV/0!</v>
      </c>
      <c r="AM87" s="51">
        <f t="shared" si="110"/>
        <v>77</v>
      </c>
      <c r="AN87" s="87">
        <f t="shared" si="111"/>
        <v>0</v>
      </c>
      <c r="AO87" s="99">
        <f t="shared" si="112"/>
        <v>0</v>
      </c>
      <c r="AP87" s="80">
        <f t="shared" si="113"/>
        <v>0</v>
      </c>
      <c r="AQ87" s="169">
        <f t="shared" si="120"/>
        <v>0</v>
      </c>
      <c r="AR87" s="188"/>
      <c r="AS87" s="170">
        <f t="shared" si="133"/>
        <v>0</v>
      </c>
      <c r="AT87" s="184"/>
      <c r="AU87" s="188"/>
      <c r="AV87" s="170"/>
      <c r="AW87" s="169">
        <f t="shared" si="121"/>
        <v>0</v>
      </c>
      <c r="AX87" s="188"/>
      <c r="AY87" s="170">
        <f t="shared" si="122"/>
        <v>0</v>
      </c>
      <c r="AZ87" s="169"/>
      <c r="BA87" s="185"/>
      <c r="BB87" s="170"/>
      <c r="BC87" s="169"/>
      <c r="BD87" s="188"/>
      <c r="BE87" s="170"/>
      <c r="BF87" s="169"/>
      <c r="BG87" s="188"/>
      <c r="BH87" s="170">
        <f t="shared" si="123"/>
        <v>0</v>
      </c>
      <c r="BI87" s="169">
        <f t="shared" si="132"/>
        <v>0</v>
      </c>
      <c r="BJ87" s="188"/>
      <c r="BK87" s="170">
        <f t="shared" si="124"/>
        <v>0</v>
      </c>
      <c r="BL87" s="169">
        <f t="shared" si="125"/>
        <v>0</v>
      </c>
      <c r="BM87" s="188"/>
      <c r="BN87" s="170">
        <f t="shared" si="126"/>
        <v>0</v>
      </c>
      <c r="BO87" s="169">
        <f t="shared" si="127"/>
        <v>0</v>
      </c>
      <c r="BP87" s="188"/>
      <c r="BQ87" s="170">
        <f t="shared" si="128"/>
        <v>0</v>
      </c>
      <c r="BR87" s="169">
        <f t="shared" si="129"/>
        <v>0</v>
      </c>
      <c r="BS87" s="188"/>
      <c r="BT87" s="170">
        <f t="shared" si="130"/>
        <v>0</v>
      </c>
      <c r="BU87" s="74">
        <f t="shared" si="131"/>
        <v>0</v>
      </c>
      <c r="BV87" s="195" t="str">
        <f>LOOKUP(BU87,'الفترة الاولى'!$BX$2:$BY$6)</f>
        <v>ممتاز</v>
      </c>
      <c r="BW87" s="75" t="e">
        <f>BU87/'الفترة الاولى'!$BZ$2</f>
        <v>#DIV/0!</v>
      </c>
    </row>
    <row r="88" spans="1:75" ht="25.2" customHeight="1" thickBot="1" x14ac:dyDescent="0.3">
      <c r="A88" s="52">
        <v>78</v>
      </c>
      <c r="B88" s="55"/>
      <c r="C88" s="103"/>
      <c r="D88" s="81"/>
      <c r="E88" s="171"/>
      <c r="F88" s="94"/>
      <c r="G88" s="172">
        <f t="shared" si="114"/>
        <v>0</v>
      </c>
      <c r="H88" s="178"/>
      <c r="I88" s="94"/>
      <c r="J88" s="175">
        <f t="shared" si="115"/>
        <v>0</v>
      </c>
      <c r="K88" s="95"/>
      <c r="L88" s="94"/>
      <c r="M88" s="172">
        <f t="shared" si="116"/>
        <v>0</v>
      </c>
      <c r="N88" s="178"/>
      <c r="O88" s="94"/>
      <c r="P88" s="173">
        <f t="shared" si="104"/>
        <v>0</v>
      </c>
      <c r="Q88" s="95"/>
      <c r="R88" s="94"/>
      <c r="S88" s="89">
        <f t="shared" si="105"/>
        <v>0</v>
      </c>
      <c r="T88" s="178"/>
      <c r="U88" s="94"/>
      <c r="V88" s="175">
        <f t="shared" si="117"/>
        <v>0</v>
      </c>
      <c r="W88" s="95"/>
      <c r="X88" s="94"/>
      <c r="Y88" s="89">
        <f t="shared" si="106"/>
        <v>0</v>
      </c>
      <c r="Z88" s="178"/>
      <c r="AA88" s="94"/>
      <c r="AB88" s="173">
        <f t="shared" si="107"/>
        <v>0</v>
      </c>
      <c r="AC88" s="95"/>
      <c r="AD88" s="94"/>
      <c r="AE88" s="89">
        <f t="shared" si="108"/>
        <v>0</v>
      </c>
      <c r="AF88" s="178"/>
      <c r="AG88" s="94"/>
      <c r="AH88" s="172">
        <f t="shared" si="118"/>
        <v>0</v>
      </c>
      <c r="AI88" s="162">
        <f t="shared" si="119"/>
        <v>0</v>
      </c>
      <c r="AJ88" s="202" t="str">
        <f t="shared" si="102"/>
        <v>ممتاز</v>
      </c>
      <c r="AK88" s="67" t="e">
        <f t="shared" si="103"/>
        <v>#DIV/0!</v>
      </c>
      <c r="AM88" s="52">
        <f t="shared" si="110"/>
        <v>78</v>
      </c>
      <c r="AN88" s="88">
        <f t="shared" si="111"/>
        <v>0</v>
      </c>
      <c r="AO88" s="100">
        <f t="shared" si="112"/>
        <v>0</v>
      </c>
      <c r="AP88" s="81">
        <f t="shared" si="113"/>
        <v>0</v>
      </c>
      <c r="AQ88" s="171">
        <f t="shared" si="120"/>
        <v>0</v>
      </c>
      <c r="AR88" s="189"/>
      <c r="AS88" s="172">
        <f t="shared" si="133"/>
        <v>0</v>
      </c>
      <c r="AT88" s="184"/>
      <c r="AU88" s="189"/>
      <c r="AV88" s="172"/>
      <c r="AW88" s="171">
        <f t="shared" si="121"/>
        <v>0</v>
      </c>
      <c r="AX88" s="189"/>
      <c r="AY88" s="172">
        <f t="shared" si="122"/>
        <v>0</v>
      </c>
      <c r="AZ88" s="171"/>
      <c r="BA88" s="185"/>
      <c r="BB88" s="172"/>
      <c r="BC88" s="171"/>
      <c r="BD88" s="189"/>
      <c r="BE88" s="172"/>
      <c r="BF88" s="171"/>
      <c r="BG88" s="189"/>
      <c r="BH88" s="172">
        <f t="shared" si="123"/>
        <v>0</v>
      </c>
      <c r="BI88" s="171">
        <f t="shared" si="132"/>
        <v>0</v>
      </c>
      <c r="BJ88" s="189"/>
      <c r="BK88" s="172">
        <f t="shared" si="124"/>
        <v>0</v>
      </c>
      <c r="BL88" s="171">
        <f t="shared" si="125"/>
        <v>0</v>
      </c>
      <c r="BM88" s="189"/>
      <c r="BN88" s="172">
        <f t="shared" si="126"/>
        <v>0</v>
      </c>
      <c r="BO88" s="171">
        <f t="shared" si="127"/>
        <v>0</v>
      </c>
      <c r="BP88" s="189"/>
      <c r="BQ88" s="172">
        <f t="shared" si="128"/>
        <v>0</v>
      </c>
      <c r="BR88" s="171">
        <f t="shared" si="129"/>
        <v>0</v>
      </c>
      <c r="BS88" s="189"/>
      <c r="BT88" s="172">
        <f t="shared" si="130"/>
        <v>0</v>
      </c>
      <c r="BU88" s="76">
        <f t="shared" si="131"/>
        <v>0</v>
      </c>
      <c r="BV88" s="196" t="str">
        <f>LOOKUP(BU88,'الفترة الاولى'!$BX$2:$BY$6)</f>
        <v>ممتاز</v>
      </c>
      <c r="BW88" s="77" t="e">
        <f>BU88/'الفترة الاولى'!$BZ$2</f>
        <v>#DIV/0!</v>
      </c>
    </row>
    <row r="89" spans="1:75" ht="25.2" customHeight="1" thickBot="1" x14ac:dyDescent="0.3">
      <c r="A89" s="50">
        <v>79</v>
      </c>
      <c r="B89" s="53"/>
      <c r="C89" s="101"/>
      <c r="D89" s="79"/>
      <c r="E89" s="168"/>
      <c r="F89" s="163"/>
      <c r="G89" s="89">
        <f t="shared" si="114"/>
        <v>0</v>
      </c>
      <c r="H89" s="176"/>
      <c r="I89" s="91"/>
      <c r="J89" s="173">
        <f t="shared" si="115"/>
        <v>0</v>
      </c>
      <c r="K89" s="90"/>
      <c r="L89" s="91"/>
      <c r="M89" s="89">
        <f t="shared" si="116"/>
        <v>0</v>
      </c>
      <c r="N89" s="176"/>
      <c r="O89" s="91"/>
      <c r="P89" s="173">
        <f t="shared" si="104"/>
        <v>0</v>
      </c>
      <c r="Q89" s="90"/>
      <c r="R89" s="91"/>
      <c r="S89" s="89">
        <f t="shared" si="105"/>
        <v>0</v>
      </c>
      <c r="T89" s="176"/>
      <c r="U89" s="91"/>
      <c r="V89" s="173">
        <f t="shared" si="117"/>
        <v>0</v>
      </c>
      <c r="W89" s="90"/>
      <c r="X89" s="91"/>
      <c r="Y89" s="89">
        <f t="shared" si="106"/>
        <v>0</v>
      </c>
      <c r="Z89" s="176"/>
      <c r="AA89" s="91"/>
      <c r="AB89" s="173">
        <f t="shared" si="107"/>
        <v>0</v>
      </c>
      <c r="AC89" s="90"/>
      <c r="AD89" s="91"/>
      <c r="AE89" s="89">
        <f t="shared" si="108"/>
        <v>0</v>
      </c>
      <c r="AF89" s="176"/>
      <c r="AG89" s="91"/>
      <c r="AH89" s="89">
        <f t="shared" si="118"/>
        <v>0</v>
      </c>
      <c r="AI89" s="160">
        <f t="shared" si="119"/>
        <v>0</v>
      </c>
      <c r="AJ89" s="200" t="str">
        <f t="shared" si="102"/>
        <v>ممتاز</v>
      </c>
      <c r="AK89" s="65" t="e">
        <f t="shared" si="103"/>
        <v>#DIV/0!</v>
      </c>
      <c r="AM89" s="50">
        <f t="shared" si="110"/>
        <v>79</v>
      </c>
      <c r="AN89" s="86">
        <f t="shared" si="111"/>
        <v>0</v>
      </c>
      <c r="AO89" s="98">
        <f t="shared" si="112"/>
        <v>0</v>
      </c>
      <c r="AP89" s="79">
        <f t="shared" si="113"/>
        <v>0</v>
      </c>
      <c r="AQ89" s="168">
        <f t="shared" si="120"/>
        <v>0</v>
      </c>
      <c r="AR89" s="163"/>
      <c r="AS89" s="89">
        <f t="shared" si="133"/>
        <v>0</v>
      </c>
      <c r="AT89" s="184"/>
      <c r="AU89" s="163"/>
      <c r="AV89" s="89"/>
      <c r="AW89" s="168">
        <f t="shared" si="121"/>
        <v>0</v>
      </c>
      <c r="AX89" s="163"/>
      <c r="AY89" s="89">
        <f t="shared" si="122"/>
        <v>0</v>
      </c>
      <c r="AZ89" s="168"/>
      <c r="BA89" s="185"/>
      <c r="BB89" s="89"/>
      <c r="BC89" s="168"/>
      <c r="BD89" s="163"/>
      <c r="BE89" s="89"/>
      <c r="BF89" s="168"/>
      <c r="BG89" s="163"/>
      <c r="BH89" s="89">
        <f t="shared" si="123"/>
        <v>0</v>
      </c>
      <c r="BI89" s="168">
        <f t="shared" si="132"/>
        <v>0</v>
      </c>
      <c r="BJ89" s="163"/>
      <c r="BK89" s="89">
        <f t="shared" si="124"/>
        <v>0</v>
      </c>
      <c r="BL89" s="168">
        <f t="shared" si="125"/>
        <v>0</v>
      </c>
      <c r="BM89" s="163"/>
      <c r="BN89" s="89">
        <f t="shared" si="126"/>
        <v>0</v>
      </c>
      <c r="BO89" s="168">
        <f t="shared" si="127"/>
        <v>0</v>
      </c>
      <c r="BP89" s="163"/>
      <c r="BQ89" s="89">
        <f t="shared" si="128"/>
        <v>0</v>
      </c>
      <c r="BR89" s="168">
        <f t="shared" si="129"/>
        <v>0</v>
      </c>
      <c r="BS89" s="163"/>
      <c r="BT89" s="89">
        <f t="shared" si="130"/>
        <v>0</v>
      </c>
      <c r="BU89" s="72">
        <f t="shared" si="131"/>
        <v>0</v>
      </c>
      <c r="BV89" s="194" t="str">
        <f>LOOKUP(BU89,'الفترة الاولى'!$BX$2:$BY$6)</f>
        <v>ممتاز</v>
      </c>
      <c r="BW89" s="73" t="e">
        <f>BU89/'الفترة الاولى'!$BZ$2</f>
        <v>#DIV/0!</v>
      </c>
    </row>
    <row r="90" spans="1:75" ht="25.2" customHeight="1" thickBot="1" x14ac:dyDescent="0.3">
      <c r="A90" s="51">
        <v>80</v>
      </c>
      <c r="B90" s="54"/>
      <c r="C90" s="102"/>
      <c r="D90" s="80"/>
      <c r="E90" s="169"/>
      <c r="F90" s="92"/>
      <c r="G90" s="170">
        <f t="shared" si="114"/>
        <v>0</v>
      </c>
      <c r="H90" s="177"/>
      <c r="I90" s="92"/>
      <c r="J90" s="174">
        <f t="shared" si="115"/>
        <v>0</v>
      </c>
      <c r="K90" s="93"/>
      <c r="L90" s="92"/>
      <c r="M90" s="170">
        <f t="shared" si="116"/>
        <v>0</v>
      </c>
      <c r="N90" s="177"/>
      <c r="O90" s="92"/>
      <c r="P90" s="173">
        <f t="shared" si="104"/>
        <v>0</v>
      </c>
      <c r="Q90" s="93"/>
      <c r="R90" s="92"/>
      <c r="S90" s="89">
        <f t="shared" si="105"/>
        <v>0</v>
      </c>
      <c r="T90" s="177"/>
      <c r="U90" s="92"/>
      <c r="V90" s="174">
        <f t="shared" si="117"/>
        <v>0</v>
      </c>
      <c r="W90" s="93"/>
      <c r="X90" s="92"/>
      <c r="Y90" s="89">
        <f t="shared" si="106"/>
        <v>0</v>
      </c>
      <c r="Z90" s="177"/>
      <c r="AA90" s="92"/>
      <c r="AB90" s="173">
        <f t="shared" si="107"/>
        <v>0</v>
      </c>
      <c r="AC90" s="93"/>
      <c r="AD90" s="92"/>
      <c r="AE90" s="89">
        <f t="shared" si="108"/>
        <v>0</v>
      </c>
      <c r="AF90" s="177"/>
      <c r="AG90" s="92"/>
      <c r="AH90" s="170">
        <f t="shared" si="118"/>
        <v>0</v>
      </c>
      <c r="AI90" s="161">
        <f t="shared" si="119"/>
        <v>0</v>
      </c>
      <c r="AJ90" s="201" t="str">
        <f t="shared" si="102"/>
        <v>ممتاز</v>
      </c>
      <c r="AK90" s="66" t="e">
        <f t="shared" si="103"/>
        <v>#DIV/0!</v>
      </c>
      <c r="AM90" s="51">
        <f t="shared" si="110"/>
        <v>80</v>
      </c>
      <c r="AN90" s="87">
        <f t="shared" si="111"/>
        <v>0</v>
      </c>
      <c r="AO90" s="99">
        <f t="shared" si="112"/>
        <v>0</v>
      </c>
      <c r="AP90" s="80">
        <f t="shared" si="113"/>
        <v>0</v>
      </c>
      <c r="AQ90" s="169">
        <f t="shared" si="120"/>
        <v>0</v>
      </c>
      <c r="AR90" s="188"/>
      <c r="AS90" s="170">
        <f t="shared" si="133"/>
        <v>0</v>
      </c>
      <c r="AT90" s="184"/>
      <c r="AU90" s="188"/>
      <c r="AV90" s="170"/>
      <c r="AW90" s="169">
        <f t="shared" si="121"/>
        <v>0</v>
      </c>
      <c r="AX90" s="188"/>
      <c r="AY90" s="170">
        <f t="shared" si="122"/>
        <v>0</v>
      </c>
      <c r="AZ90" s="169"/>
      <c r="BA90" s="185"/>
      <c r="BB90" s="170"/>
      <c r="BC90" s="169"/>
      <c r="BD90" s="188"/>
      <c r="BE90" s="170"/>
      <c r="BF90" s="169"/>
      <c r="BG90" s="188"/>
      <c r="BH90" s="170">
        <f t="shared" si="123"/>
        <v>0</v>
      </c>
      <c r="BI90" s="169">
        <f t="shared" si="132"/>
        <v>0</v>
      </c>
      <c r="BJ90" s="188"/>
      <c r="BK90" s="170">
        <f t="shared" si="124"/>
        <v>0</v>
      </c>
      <c r="BL90" s="169">
        <f t="shared" si="125"/>
        <v>0</v>
      </c>
      <c r="BM90" s="188"/>
      <c r="BN90" s="170">
        <f t="shared" si="126"/>
        <v>0</v>
      </c>
      <c r="BO90" s="169">
        <f t="shared" si="127"/>
        <v>0</v>
      </c>
      <c r="BP90" s="188"/>
      <c r="BQ90" s="170">
        <f t="shared" si="128"/>
        <v>0</v>
      </c>
      <c r="BR90" s="169">
        <f t="shared" si="129"/>
        <v>0</v>
      </c>
      <c r="BS90" s="188"/>
      <c r="BT90" s="170">
        <f t="shared" si="130"/>
        <v>0</v>
      </c>
      <c r="BU90" s="74">
        <f t="shared" si="131"/>
        <v>0</v>
      </c>
      <c r="BV90" s="195" t="str">
        <f>LOOKUP(BU90,'الفترة الاولى'!$BX$2:$BY$6)</f>
        <v>ممتاز</v>
      </c>
      <c r="BW90" s="75" t="e">
        <f>BU90/'الفترة الاولى'!$BZ$2</f>
        <v>#DIV/0!</v>
      </c>
    </row>
    <row r="91" spans="1:75" ht="25.2" customHeight="1" thickBot="1" x14ac:dyDescent="0.3">
      <c r="A91" s="52">
        <v>81</v>
      </c>
      <c r="B91" s="55"/>
      <c r="C91" s="103"/>
      <c r="D91" s="81"/>
      <c r="E91" s="171"/>
      <c r="F91" s="94"/>
      <c r="G91" s="172">
        <f t="shared" si="114"/>
        <v>0</v>
      </c>
      <c r="H91" s="178"/>
      <c r="I91" s="94"/>
      <c r="J91" s="175">
        <f t="shared" si="115"/>
        <v>0</v>
      </c>
      <c r="K91" s="95"/>
      <c r="L91" s="94"/>
      <c r="M91" s="172">
        <f t="shared" si="116"/>
        <v>0</v>
      </c>
      <c r="N91" s="178"/>
      <c r="O91" s="94"/>
      <c r="P91" s="173">
        <f t="shared" si="104"/>
        <v>0</v>
      </c>
      <c r="Q91" s="95"/>
      <c r="R91" s="94"/>
      <c r="S91" s="89">
        <f t="shared" si="105"/>
        <v>0</v>
      </c>
      <c r="T91" s="178"/>
      <c r="U91" s="94"/>
      <c r="V91" s="175">
        <f t="shared" si="117"/>
        <v>0</v>
      </c>
      <c r="W91" s="95"/>
      <c r="X91" s="94"/>
      <c r="Y91" s="89">
        <f t="shared" si="106"/>
        <v>0</v>
      </c>
      <c r="Z91" s="178"/>
      <c r="AA91" s="94"/>
      <c r="AB91" s="173">
        <f t="shared" si="107"/>
        <v>0</v>
      </c>
      <c r="AC91" s="95"/>
      <c r="AD91" s="94"/>
      <c r="AE91" s="89">
        <f t="shared" si="108"/>
        <v>0</v>
      </c>
      <c r="AF91" s="178"/>
      <c r="AG91" s="94"/>
      <c r="AH91" s="172">
        <f t="shared" si="118"/>
        <v>0</v>
      </c>
      <c r="AI91" s="162">
        <f t="shared" si="119"/>
        <v>0</v>
      </c>
      <c r="AJ91" s="202" t="str">
        <f t="shared" si="102"/>
        <v>ممتاز</v>
      </c>
      <c r="AK91" s="67" t="e">
        <f t="shared" si="103"/>
        <v>#DIV/0!</v>
      </c>
      <c r="AM91" s="52">
        <f t="shared" si="110"/>
        <v>81</v>
      </c>
      <c r="AN91" s="88">
        <f t="shared" si="111"/>
        <v>0</v>
      </c>
      <c r="AO91" s="100">
        <f t="shared" si="112"/>
        <v>0</v>
      </c>
      <c r="AP91" s="81">
        <f t="shared" si="113"/>
        <v>0</v>
      </c>
      <c r="AQ91" s="171">
        <f t="shared" si="120"/>
        <v>0</v>
      </c>
      <c r="AR91" s="189"/>
      <c r="AS91" s="172">
        <f t="shared" si="133"/>
        <v>0</v>
      </c>
      <c r="AT91" s="184"/>
      <c r="AU91" s="189"/>
      <c r="AV91" s="172"/>
      <c r="AW91" s="171">
        <f t="shared" si="121"/>
        <v>0</v>
      </c>
      <c r="AX91" s="189"/>
      <c r="AY91" s="172">
        <f t="shared" si="122"/>
        <v>0</v>
      </c>
      <c r="AZ91" s="171"/>
      <c r="BA91" s="185"/>
      <c r="BB91" s="172"/>
      <c r="BC91" s="171"/>
      <c r="BD91" s="189"/>
      <c r="BE91" s="172"/>
      <c r="BF91" s="171"/>
      <c r="BG91" s="189"/>
      <c r="BH91" s="172">
        <f t="shared" si="123"/>
        <v>0</v>
      </c>
      <c r="BI91" s="171">
        <f t="shared" si="132"/>
        <v>0</v>
      </c>
      <c r="BJ91" s="189"/>
      <c r="BK91" s="172">
        <f t="shared" si="124"/>
        <v>0</v>
      </c>
      <c r="BL91" s="171">
        <f t="shared" si="125"/>
        <v>0</v>
      </c>
      <c r="BM91" s="189"/>
      <c r="BN91" s="172">
        <f t="shared" si="126"/>
        <v>0</v>
      </c>
      <c r="BO91" s="171">
        <f t="shared" si="127"/>
        <v>0</v>
      </c>
      <c r="BP91" s="189"/>
      <c r="BQ91" s="172">
        <f t="shared" si="128"/>
        <v>0</v>
      </c>
      <c r="BR91" s="171">
        <f t="shared" si="129"/>
        <v>0</v>
      </c>
      <c r="BS91" s="189"/>
      <c r="BT91" s="172">
        <f t="shared" si="130"/>
        <v>0</v>
      </c>
      <c r="BU91" s="76">
        <f t="shared" si="131"/>
        <v>0</v>
      </c>
      <c r="BV91" s="196" t="str">
        <f>LOOKUP(BU91,'الفترة الاولى'!$BX$2:$BY$6)</f>
        <v>ممتاز</v>
      </c>
      <c r="BW91" s="77" t="e">
        <f>BU91/'الفترة الاولى'!$BZ$2</f>
        <v>#DIV/0!</v>
      </c>
    </row>
    <row r="92" spans="1:75" ht="25.2" customHeight="1" thickBot="1" x14ac:dyDescent="0.3">
      <c r="A92" s="50">
        <v>82</v>
      </c>
      <c r="B92" s="53"/>
      <c r="C92" s="101"/>
      <c r="D92" s="79"/>
      <c r="E92" s="168"/>
      <c r="F92" s="163"/>
      <c r="G92" s="89">
        <f t="shared" si="114"/>
        <v>0</v>
      </c>
      <c r="H92" s="176"/>
      <c r="I92" s="91"/>
      <c r="J92" s="173">
        <f t="shared" si="115"/>
        <v>0</v>
      </c>
      <c r="K92" s="90"/>
      <c r="L92" s="91"/>
      <c r="M92" s="89">
        <f t="shared" si="116"/>
        <v>0</v>
      </c>
      <c r="N92" s="176"/>
      <c r="O92" s="91"/>
      <c r="P92" s="173">
        <f t="shared" si="104"/>
        <v>0</v>
      </c>
      <c r="Q92" s="90"/>
      <c r="R92" s="91"/>
      <c r="S92" s="89">
        <f t="shared" si="105"/>
        <v>0</v>
      </c>
      <c r="T92" s="176"/>
      <c r="U92" s="91"/>
      <c r="V92" s="173">
        <f t="shared" si="117"/>
        <v>0</v>
      </c>
      <c r="W92" s="90"/>
      <c r="X92" s="91"/>
      <c r="Y92" s="89">
        <f t="shared" si="106"/>
        <v>0</v>
      </c>
      <c r="Z92" s="176"/>
      <c r="AA92" s="91"/>
      <c r="AB92" s="173">
        <f t="shared" si="107"/>
        <v>0</v>
      </c>
      <c r="AC92" s="90"/>
      <c r="AD92" s="91"/>
      <c r="AE92" s="89">
        <f t="shared" si="108"/>
        <v>0</v>
      </c>
      <c r="AF92" s="176"/>
      <c r="AG92" s="91"/>
      <c r="AH92" s="89">
        <f t="shared" si="118"/>
        <v>0</v>
      </c>
      <c r="AI92" s="160">
        <f t="shared" si="119"/>
        <v>0</v>
      </c>
      <c r="AJ92" s="200" t="str">
        <f t="shared" si="102"/>
        <v>ممتاز</v>
      </c>
      <c r="AK92" s="65" t="e">
        <f t="shared" si="103"/>
        <v>#DIV/0!</v>
      </c>
      <c r="AM92" s="50">
        <f t="shared" si="110"/>
        <v>82</v>
      </c>
      <c r="AN92" s="86">
        <f t="shared" si="111"/>
        <v>0</v>
      </c>
      <c r="AO92" s="98">
        <f t="shared" si="112"/>
        <v>0</v>
      </c>
      <c r="AP92" s="79">
        <f t="shared" si="113"/>
        <v>0</v>
      </c>
      <c r="AQ92" s="168">
        <f t="shared" si="120"/>
        <v>0</v>
      </c>
      <c r="AR92" s="163"/>
      <c r="AS92" s="89">
        <f t="shared" si="133"/>
        <v>0</v>
      </c>
      <c r="AT92" s="184"/>
      <c r="AU92" s="163"/>
      <c r="AV92" s="89"/>
      <c r="AW92" s="168">
        <f t="shared" si="121"/>
        <v>0</v>
      </c>
      <c r="AX92" s="163"/>
      <c r="AY92" s="89">
        <f t="shared" si="122"/>
        <v>0</v>
      </c>
      <c r="AZ92" s="168"/>
      <c r="BA92" s="185"/>
      <c r="BB92" s="89"/>
      <c r="BC92" s="168"/>
      <c r="BD92" s="163"/>
      <c r="BE92" s="89"/>
      <c r="BF92" s="168"/>
      <c r="BG92" s="163"/>
      <c r="BH92" s="89">
        <f t="shared" si="123"/>
        <v>0</v>
      </c>
      <c r="BI92" s="168">
        <f t="shared" si="132"/>
        <v>0</v>
      </c>
      <c r="BJ92" s="163"/>
      <c r="BK92" s="89">
        <f t="shared" si="124"/>
        <v>0</v>
      </c>
      <c r="BL92" s="168">
        <f t="shared" si="125"/>
        <v>0</v>
      </c>
      <c r="BM92" s="163"/>
      <c r="BN92" s="89">
        <f t="shared" si="126"/>
        <v>0</v>
      </c>
      <c r="BO92" s="168">
        <f t="shared" si="127"/>
        <v>0</v>
      </c>
      <c r="BP92" s="163"/>
      <c r="BQ92" s="89">
        <f t="shared" si="128"/>
        <v>0</v>
      </c>
      <c r="BR92" s="168">
        <f t="shared" si="129"/>
        <v>0</v>
      </c>
      <c r="BS92" s="163"/>
      <c r="BT92" s="89">
        <f t="shared" si="130"/>
        <v>0</v>
      </c>
      <c r="BU92" s="72">
        <f t="shared" si="131"/>
        <v>0</v>
      </c>
      <c r="BV92" s="194" t="str">
        <f>LOOKUP(BU92,'الفترة الاولى'!$BX$2:$BY$6)</f>
        <v>ممتاز</v>
      </c>
      <c r="BW92" s="73" t="e">
        <f>BU92/'الفترة الاولى'!$BZ$2</f>
        <v>#DIV/0!</v>
      </c>
    </row>
    <row r="93" spans="1:75" ht="25.2" customHeight="1" thickBot="1" x14ac:dyDescent="0.3">
      <c r="A93" s="51">
        <v>83</v>
      </c>
      <c r="B93" s="54"/>
      <c r="C93" s="102"/>
      <c r="D93" s="80"/>
      <c r="E93" s="169"/>
      <c r="F93" s="92"/>
      <c r="G93" s="170">
        <f t="shared" si="114"/>
        <v>0</v>
      </c>
      <c r="H93" s="177"/>
      <c r="I93" s="92"/>
      <c r="J93" s="174">
        <f t="shared" si="115"/>
        <v>0</v>
      </c>
      <c r="K93" s="93"/>
      <c r="L93" s="92"/>
      <c r="M93" s="170">
        <f t="shared" si="116"/>
        <v>0</v>
      </c>
      <c r="N93" s="177"/>
      <c r="O93" s="92"/>
      <c r="P93" s="173">
        <f t="shared" si="104"/>
        <v>0</v>
      </c>
      <c r="Q93" s="93"/>
      <c r="R93" s="92"/>
      <c r="S93" s="89">
        <f t="shared" si="105"/>
        <v>0</v>
      </c>
      <c r="T93" s="177"/>
      <c r="U93" s="92"/>
      <c r="V93" s="174">
        <f t="shared" si="117"/>
        <v>0</v>
      </c>
      <c r="W93" s="93"/>
      <c r="X93" s="92"/>
      <c r="Y93" s="89">
        <f t="shared" si="106"/>
        <v>0</v>
      </c>
      <c r="Z93" s="177"/>
      <c r="AA93" s="92"/>
      <c r="AB93" s="173">
        <f t="shared" si="107"/>
        <v>0</v>
      </c>
      <c r="AC93" s="93"/>
      <c r="AD93" s="92"/>
      <c r="AE93" s="89">
        <f t="shared" si="108"/>
        <v>0</v>
      </c>
      <c r="AF93" s="177"/>
      <c r="AG93" s="92"/>
      <c r="AH93" s="170">
        <f t="shared" si="118"/>
        <v>0</v>
      </c>
      <c r="AI93" s="161">
        <f t="shared" si="119"/>
        <v>0</v>
      </c>
      <c r="AJ93" s="201" t="str">
        <f t="shared" si="102"/>
        <v>ممتاز</v>
      </c>
      <c r="AK93" s="66" t="e">
        <f t="shared" si="103"/>
        <v>#DIV/0!</v>
      </c>
      <c r="AM93" s="51">
        <f t="shared" si="110"/>
        <v>83</v>
      </c>
      <c r="AN93" s="87">
        <f t="shared" si="111"/>
        <v>0</v>
      </c>
      <c r="AO93" s="99">
        <f t="shared" si="112"/>
        <v>0</v>
      </c>
      <c r="AP93" s="80">
        <f t="shared" si="113"/>
        <v>0</v>
      </c>
      <c r="AQ93" s="169">
        <f t="shared" si="120"/>
        <v>0</v>
      </c>
      <c r="AR93" s="188"/>
      <c r="AS93" s="170">
        <f t="shared" si="133"/>
        <v>0</v>
      </c>
      <c r="AT93" s="184"/>
      <c r="AU93" s="188"/>
      <c r="AV93" s="170"/>
      <c r="AW93" s="169">
        <f t="shared" si="121"/>
        <v>0</v>
      </c>
      <c r="AX93" s="188"/>
      <c r="AY93" s="170">
        <f t="shared" si="122"/>
        <v>0</v>
      </c>
      <c r="AZ93" s="169"/>
      <c r="BA93" s="185"/>
      <c r="BB93" s="170"/>
      <c r="BC93" s="169"/>
      <c r="BD93" s="188"/>
      <c r="BE93" s="170"/>
      <c r="BF93" s="169"/>
      <c r="BG93" s="188"/>
      <c r="BH93" s="170">
        <f t="shared" si="123"/>
        <v>0</v>
      </c>
      <c r="BI93" s="169">
        <f t="shared" si="132"/>
        <v>0</v>
      </c>
      <c r="BJ93" s="188"/>
      <c r="BK93" s="170">
        <f t="shared" si="124"/>
        <v>0</v>
      </c>
      <c r="BL93" s="169">
        <f t="shared" si="125"/>
        <v>0</v>
      </c>
      <c r="BM93" s="188"/>
      <c r="BN93" s="170">
        <f t="shared" si="126"/>
        <v>0</v>
      </c>
      <c r="BO93" s="169">
        <f t="shared" si="127"/>
        <v>0</v>
      </c>
      <c r="BP93" s="188"/>
      <c r="BQ93" s="170">
        <f t="shared" si="128"/>
        <v>0</v>
      </c>
      <c r="BR93" s="169">
        <f t="shared" si="129"/>
        <v>0</v>
      </c>
      <c r="BS93" s="188"/>
      <c r="BT93" s="170">
        <f t="shared" si="130"/>
        <v>0</v>
      </c>
      <c r="BU93" s="74">
        <f t="shared" si="131"/>
        <v>0</v>
      </c>
      <c r="BV93" s="195" t="str">
        <f>LOOKUP(BU93,'الفترة الاولى'!$BX$2:$BY$6)</f>
        <v>ممتاز</v>
      </c>
      <c r="BW93" s="75" t="e">
        <f>BU93/'الفترة الاولى'!$BZ$2</f>
        <v>#DIV/0!</v>
      </c>
    </row>
    <row r="94" spans="1:75" ht="25.2" customHeight="1" thickBot="1" x14ac:dyDescent="0.3">
      <c r="A94" s="52">
        <v>84</v>
      </c>
      <c r="B94" s="55"/>
      <c r="C94" s="103"/>
      <c r="D94" s="81"/>
      <c r="E94" s="171"/>
      <c r="F94" s="94"/>
      <c r="G94" s="172">
        <f t="shared" si="114"/>
        <v>0</v>
      </c>
      <c r="H94" s="178"/>
      <c r="I94" s="94"/>
      <c r="J94" s="175">
        <f t="shared" si="115"/>
        <v>0</v>
      </c>
      <c r="K94" s="95"/>
      <c r="L94" s="94"/>
      <c r="M94" s="172">
        <f t="shared" si="116"/>
        <v>0</v>
      </c>
      <c r="N94" s="178"/>
      <c r="O94" s="94"/>
      <c r="P94" s="173">
        <f t="shared" si="104"/>
        <v>0</v>
      </c>
      <c r="Q94" s="95"/>
      <c r="R94" s="94"/>
      <c r="S94" s="89">
        <f t="shared" si="105"/>
        <v>0</v>
      </c>
      <c r="T94" s="178"/>
      <c r="U94" s="94"/>
      <c r="V94" s="175">
        <f t="shared" si="117"/>
        <v>0</v>
      </c>
      <c r="W94" s="95"/>
      <c r="X94" s="94"/>
      <c r="Y94" s="89">
        <f t="shared" si="106"/>
        <v>0</v>
      </c>
      <c r="Z94" s="178"/>
      <c r="AA94" s="94"/>
      <c r="AB94" s="173">
        <f t="shared" si="107"/>
        <v>0</v>
      </c>
      <c r="AC94" s="95"/>
      <c r="AD94" s="94"/>
      <c r="AE94" s="89">
        <f t="shared" si="108"/>
        <v>0</v>
      </c>
      <c r="AF94" s="178"/>
      <c r="AG94" s="94"/>
      <c r="AH94" s="172">
        <f t="shared" si="118"/>
        <v>0</v>
      </c>
      <c r="AI94" s="162">
        <f t="shared" si="119"/>
        <v>0</v>
      </c>
      <c r="AJ94" s="202" t="str">
        <f t="shared" si="102"/>
        <v>ممتاز</v>
      </c>
      <c r="AK94" s="67" t="e">
        <f t="shared" si="103"/>
        <v>#DIV/0!</v>
      </c>
      <c r="AM94" s="52">
        <f t="shared" si="110"/>
        <v>84</v>
      </c>
      <c r="AN94" s="88">
        <f t="shared" si="111"/>
        <v>0</v>
      </c>
      <c r="AO94" s="100">
        <f t="shared" si="112"/>
        <v>0</v>
      </c>
      <c r="AP94" s="81">
        <f t="shared" si="113"/>
        <v>0</v>
      </c>
      <c r="AQ94" s="171">
        <f t="shared" si="120"/>
        <v>0</v>
      </c>
      <c r="AR94" s="189"/>
      <c r="AS94" s="172">
        <f t="shared" si="133"/>
        <v>0</v>
      </c>
      <c r="AT94" s="184"/>
      <c r="AU94" s="189"/>
      <c r="AV94" s="172"/>
      <c r="AW94" s="171">
        <f t="shared" si="121"/>
        <v>0</v>
      </c>
      <c r="AX94" s="189"/>
      <c r="AY94" s="172">
        <f t="shared" si="122"/>
        <v>0</v>
      </c>
      <c r="AZ94" s="171"/>
      <c r="BA94" s="185"/>
      <c r="BB94" s="172"/>
      <c r="BC94" s="171"/>
      <c r="BD94" s="189"/>
      <c r="BE94" s="172"/>
      <c r="BF94" s="171"/>
      <c r="BG94" s="189"/>
      <c r="BH94" s="172">
        <f t="shared" si="123"/>
        <v>0</v>
      </c>
      <c r="BI94" s="171">
        <f t="shared" si="132"/>
        <v>0</v>
      </c>
      <c r="BJ94" s="189"/>
      <c r="BK94" s="172">
        <f t="shared" si="124"/>
        <v>0</v>
      </c>
      <c r="BL94" s="171">
        <f t="shared" si="125"/>
        <v>0</v>
      </c>
      <c r="BM94" s="189"/>
      <c r="BN94" s="172">
        <f t="shared" si="126"/>
        <v>0</v>
      </c>
      <c r="BO94" s="171">
        <f t="shared" si="127"/>
        <v>0</v>
      </c>
      <c r="BP94" s="189"/>
      <c r="BQ94" s="172">
        <f t="shared" si="128"/>
        <v>0</v>
      </c>
      <c r="BR94" s="171">
        <f t="shared" si="129"/>
        <v>0</v>
      </c>
      <c r="BS94" s="189"/>
      <c r="BT94" s="172">
        <f t="shared" si="130"/>
        <v>0</v>
      </c>
      <c r="BU94" s="76">
        <f t="shared" si="131"/>
        <v>0</v>
      </c>
      <c r="BV94" s="196" t="str">
        <f>LOOKUP(BU94,'الفترة الاولى'!$BX$2:$BY$6)</f>
        <v>ممتاز</v>
      </c>
      <c r="BW94" s="77" t="e">
        <f>BU94/'الفترة الاولى'!$BZ$2</f>
        <v>#DIV/0!</v>
      </c>
    </row>
    <row r="95" spans="1:75" ht="25.2" customHeight="1" thickBot="1" x14ac:dyDescent="0.3">
      <c r="A95" s="50">
        <v>85</v>
      </c>
      <c r="B95" s="53"/>
      <c r="C95" s="101"/>
      <c r="D95" s="79"/>
      <c r="E95" s="168"/>
      <c r="F95" s="163"/>
      <c r="G95" s="89">
        <f t="shared" si="114"/>
        <v>0</v>
      </c>
      <c r="H95" s="176"/>
      <c r="I95" s="91"/>
      <c r="J95" s="173">
        <f t="shared" si="115"/>
        <v>0</v>
      </c>
      <c r="K95" s="90"/>
      <c r="L95" s="91"/>
      <c r="M95" s="89">
        <f t="shared" si="116"/>
        <v>0</v>
      </c>
      <c r="N95" s="176"/>
      <c r="O95" s="91"/>
      <c r="P95" s="173">
        <f t="shared" si="104"/>
        <v>0</v>
      </c>
      <c r="Q95" s="90"/>
      <c r="R95" s="91"/>
      <c r="S95" s="89">
        <f t="shared" si="105"/>
        <v>0</v>
      </c>
      <c r="T95" s="176"/>
      <c r="U95" s="91"/>
      <c r="V95" s="173">
        <f t="shared" si="117"/>
        <v>0</v>
      </c>
      <c r="W95" s="90"/>
      <c r="X95" s="91"/>
      <c r="Y95" s="89">
        <f t="shared" si="106"/>
        <v>0</v>
      </c>
      <c r="Z95" s="176"/>
      <c r="AA95" s="91"/>
      <c r="AB95" s="173">
        <f t="shared" si="107"/>
        <v>0</v>
      </c>
      <c r="AC95" s="90"/>
      <c r="AD95" s="91"/>
      <c r="AE95" s="89">
        <f t="shared" si="108"/>
        <v>0</v>
      </c>
      <c r="AF95" s="176"/>
      <c r="AG95" s="91"/>
      <c r="AH95" s="89">
        <f t="shared" si="118"/>
        <v>0</v>
      </c>
      <c r="AI95" s="160">
        <f t="shared" si="119"/>
        <v>0</v>
      </c>
      <c r="AJ95" s="200" t="str">
        <f t="shared" si="102"/>
        <v>ممتاز</v>
      </c>
      <c r="AK95" s="65" t="e">
        <f t="shared" si="103"/>
        <v>#DIV/0!</v>
      </c>
      <c r="AM95" s="50">
        <f t="shared" si="110"/>
        <v>85</v>
      </c>
      <c r="AN95" s="86">
        <f t="shared" si="111"/>
        <v>0</v>
      </c>
      <c r="AO95" s="98">
        <f t="shared" si="112"/>
        <v>0</v>
      </c>
      <c r="AP95" s="79">
        <f t="shared" si="113"/>
        <v>0</v>
      </c>
      <c r="AQ95" s="168">
        <f t="shared" si="120"/>
        <v>0</v>
      </c>
      <c r="AR95" s="163"/>
      <c r="AS95" s="89">
        <f t="shared" si="133"/>
        <v>0</v>
      </c>
      <c r="AT95" s="184"/>
      <c r="AU95" s="163"/>
      <c r="AV95" s="89"/>
      <c r="AW95" s="168">
        <f t="shared" si="121"/>
        <v>0</v>
      </c>
      <c r="AX95" s="163"/>
      <c r="AY95" s="89">
        <f t="shared" si="122"/>
        <v>0</v>
      </c>
      <c r="AZ95" s="168"/>
      <c r="BA95" s="185"/>
      <c r="BB95" s="89"/>
      <c r="BC95" s="168"/>
      <c r="BD95" s="163"/>
      <c r="BE95" s="89"/>
      <c r="BF95" s="168"/>
      <c r="BG95" s="163"/>
      <c r="BH95" s="89">
        <f t="shared" si="123"/>
        <v>0</v>
      </c>
      <c r="BI95" s="168">
        <f t="shared" si="132"/>
        <v>0</v>
      </c>
      <c r="BJ95" s="163"/>
      <c r="BK95" s="89">
        <f t="shared" si="124"/>
        <v>0</v>
      </c>
      <c r="BL95" s="168">
        <f t="shared" si="125"/>
        <v>0</v>
      </c>
      <c r="BM95" s="163"/>
      <c r="BN95" s="89">
        <f t="shared" si="126"/>
        <v>0</v>
      </c>
      <c r="BO95" s="168">
        <f t="shared" si="127"/>
        <v>0</v>
      </c>
      <c r="BP95" s="163"/>
      <c r="BQ95" s="89">
        <f t="shared" si="128"/>
        <v>0</v>
      </c>
      <c r="BR95" s="168">
        <f t="shared" si="129"/>
        <v>0</v>
      </c>
      <c r="BS95" s="163"/>
      <c r="BT95" s="89">
        <f t="shared" si="130"/>
        <v>0</v>
      </c>
      <c r="BU95" s="72">
        <f t="shared" si="131"/>
        <v>0</v>
      </c>
      <c r="BV95" s="194" t="str">
        <f>LOOKUP(BU95,'الفترة الاولى'!$BX$2:$BY$6)</f>
        <v>ممتاز</v>
      </c>
      <c r="BW95" s="73" t="e">
        <f>BU95/'الفترة الاولى'!$BZ$2</f>
        <v>#DIV/0!</v>
      </c>
    </row>
    <row r="96" spans="1:75" ht="25.2" customHeight="1" thickBot="1" x14ac:dyDescent="0.3">
      <c r="A96" s="51">
        <v>86</v>
      </c>
      <c r="B96" s="54"/>
      <c r="C96" s="102"/>
      <c r="D96" s="80"/>
      <c r="E96" s="169"/>
      <c r="F96" s="92"/>
      <c r="G96" s="170">
        <f t="shared" si="114"/>
        <v>0</v>
      </c>
      <c r="H96" s="177"/>
      <c r="I96" s="92"/>
      <c r="J96" s="174">
        <f t="shared" si="115"/>
        <v>0</v>
      </c>
      <c r="K96" s="93"/>
      <c r="L96" s="92"/>
      <c r="M96" s="170">
        <f t="shared" si="116"/>
        <v>0</v>
      </c>
      <c r="N96" s="177"/>
      <c r="O96" s="92"/>
      <c r="P96" s="173">
        <f t="shared" si="104"/>
        <v>0</v>
      </c>
      <c r="Q96" s="93"/>
      <c r="R96" s="92"/>
      <c r="S96" s="89">
        <f t="shared" si="105"/>
        <v>0</v>
      </c>
      <c r="T96" s="177"/>
      <c r="U96" s="92"/>
      <c r="V96" s="174">
        <f t="shared" si="117"/>
        <v>0</v>
      </c>
      <c r="W96" s="93"/>
      <c r="X96" s="92"/>
      <c r="Y96" s="89">
        <f t="shared" si="106"/>
        <v>0</v>
      </c>
      <c r="Z96" s="177"/>
      <c r="AA96" s="92"/>
      <c r="AB96" s="173">
        <f t="shared" si="107"/>
        <v>0</v>
      </c>
      <c r="AC96" s="93"/>
      <c r="AD96" s="92"/>
      <c r="AE96" s="89">
        <f t="shared" si="108"/>
        <v>0</v>
      </c>
      <c r="AF96" s="177"/>
      <c r="AG96" s="92"/>
      <c r="AH96" s="170">
        <f t="shared" si="118"/>
        <v>0</v>
      </c>
      <c r="AI96" s="161">
        <f t="shared" si="119"/>
        <v>0</v>
      </c>
      <c r="AJ96" s="201" t="str">
        <f t="shared" si="102"/>
        <v>ممتاز</v>
      </c>
      <c r="AK96" s="66" t="e">
        <f t="shared" si="103"/>
        <v>#DIV/0!</v>
      </c>
      <c r="AM96" s="51">
        <f t="shared" si="110"/>
        <v>86</v>
      </c>
      <c r="AN96" s="87">
        <f t="shared" si="111"/>
        <v>0</v>
      </c>
      <c r="AO96" s="99">
        <f t="shared" si="112"/>
        <v>0</v>
      </c>
      <c r="AP96" s="80">
        <f t="shared" si="113"/>
        <v>0</v>
      </c>
      <c r="AQ96" s="169">
        <f t="shared" si="120"/>
        <v>0</v>
      </c>
      <c r="AR96" s="188"/>
      <c r="AS96" s="170">
        <f t="shared" si="133"/>
        <v>0</v>
      </c>
      <c r="AT96" s="184"/>
      <c r="AU96" s="188"/>
      <c r="AV96" s="170"/>
      <c r="AW96" s="169">
        <f t="shared" si="121"/>
        <v>0</v>
      </c>
      <c r="AX96" s="188"/>
      <c r="AY96" s="170">
        <f t="shared" si="122"/>
        <v>0</v>
      </c>
      <c r="AZ96" s="169"/>
      <c r="BA96" s="185"/>
      <c r="BB96" s="170"/>
      <c r="BC96" s="169"/>
      <c r="BD96" s="188"/>
      <c r="BE96" s="170"/>
      <c r="BF96" s="169"/>
      <c r="BG96" s="188"/>
      <c r="BH96" s="170">
        <f t="shared" si="123"/>
        <v>0</v>
      </c>
      <c r="BI96" s="169">
        <f t="shared" si="132"/>
        <v>0</v>
      </c>
      <c r="BJ96" s="188"/>
      <c r="BK96" s="170">
        <f t="shared" si="124"/>
        <v>0</v>
      </c>
      <c r="BL96" s="169">
        <f t="shared" si="125"/>
        <v>0</v>
      </c>
      <c r="BM96" s="188"/>
      <c r="BN96" s="170">
        <f t="shared" si="126"/>
        <v>0</v>
      </c>
      <c r="BO96" s="169">
        <f t="shared" si="127"/>
        <v>0</v>
      </c>
      <c r="BP96" s="188"/>
      <c r="BQ96" s="170">
        <f t="shared" si="128"/>
        <v>0</v>
      </c>
      <c r="BR96" s="169">
        <f t="shared" si="129"/>
        <v>0</v>
      </c>
      <c r="BS96" s="188"/>
      <c r="BT96" s="170">
        <f t="shared" si="130"/>
        <v>0</v>
      </c>
      <c r="BU96" s="74">
        <f t="shared" si="131"/>
        <v>0</v>
      </c>
      <c r="BV96" s="195" t="str">
        <f>LOOKUP(BU96,'الفترة الاولى'!$BX$2:$BY$6)</f>
        <v>ممتاز</v>
      </c>
      <c r="BW96" s="75" t="e">
        <f>BU96/'الفترة الاولى'!$BZ$2</f>
        <v>#DIV/0!</v>
      </c>
    </row>
    <row r="97" spans="1:79" ht="25.2" customHeight="1" thickBot="1" x14ac:dyDescent="0.3">
      <c r="A97" s="52">
        <v>87</v>
      </c>
      <c r="B97" s="55"/>
      <c r="C97" s="103"/>
      <c r="D97" s="81"/>
      <c r="E97" s="171"/>
      <c r="F97" s="94"/>
      <c r="G97" s="172">
        <f t="shared" si="114"/>
        <v>0</v>
      </c>
      <c r="H97" s="178"/>
      <c r="I97" s="94"/>
      <c r="J97" s="175">
        <f t="shared" si="115"/>
        <v>0</v>
      </c>
      <c r="K97" s="95"/>
      <c r="L97" s="94"/>
      <c r="M97" s="172">
        <f t="shared" si="116"/>
        <v>0</v>
      </c>
      <c r="N97" s="178"/>
      <c r="O97" s="94"/>
      <c r="P97" s="175">
        <f t="shared" ref="P97:P142" si="134">SUM(N97:O97)</f>
        <v>0</v>
      </c>
      <c r="Q97" s="95"/>
      <c r="R97" s="94"/>
      <c r="S97" s="89">
        <f t="shared" si="105"/>
        <v>0</v>
      </c>
      <c r="T97" s="178"/>
      <c r="U97" s="94"/>
      <c r="V97" s="175">
        <f t="shared" si="117"/>
        <v>0</v>
      </c>
      <c r="W97" s="95"/>
      <c r="X97" s="94"/>
      <c r="Y97" s="89">
        <f t="shared" si="106"/>
        <v>0</v>
      </c>
      <c r="Z97" s="178"/>
      <c r="AA97" s="94"/>
      <c r="AB97" s="173">
        <f t="shared" si="107"/>
        <v>0</v>
      </c>
      <c r="AC97" s="95"/>
      <c r="AD97" s="94"/>
      <c r="AE97" s="89">
        <f t="shared" si="108"/>
        <v>0</v>
      </c>
      <c r="AF97" s="178"/>
      <c r="AG97" s="94"/>
      <c r="AH97" s="172">
        <f t="shared" si="118"/>
        <v>0</v>
      </c>
      <c r="AI97" s="162">
        <f t="shared" si="119"/>
        <v>0</v>
      </c>
      <c r="AJ97" s="202" t="str">
        <f t="shared" si="102"/>
        <v>ممتاز</v>
      </c>
      <c r="AK97" s="67" t="e">
        <f t="shared" si="103"/>
        <v>#DIV/0!</v>
      </c>
      <c r="AM97" s="52">
        <f t="shared" si="110"/>
        <v>87</v>
      </c>
      <c r="AN97" s="88">
        <f t="shared" si="111"/>
        <v>0</v>
      </c>
      <c r="AO97" s="100">
        <f t="shared" si="112"/>
        <v>0</v>
      </c>
      <c r="AP97" s="81">
        <f t="shared" si="113"/>
        <v>0</v>
      </c>
      <c r="AQ97" s="171">
        <f t="shared" si="120"/>
        <v>0</v>
      </c>
      <c r="AR97" s="189"/>
      <c r="AS97" s="172">
        <f t="shared" si="133"/>
        <v>0</v>
      </c>
      <c r="AT97" s="184"/>
      <c r="AU97" s="189"/>
      <c r="AV97" s="172"/>
      <c r="AW97" s="171">
        <f t="shared" si="121"/>
        <v>0</v>
      </c>
      <c r="AX97" s="189"/>
      <c r="AY97" s="172">
        <f t="shared" si="122"/>
        <v>0</v>
      </c>
      <c r="AZ97" s="171"/>
      <c r="BA97" s="185"/>
      <c r="BB97" s="172"/>
      <c r="BC97" s="171"/>
      <c r="BD97" s="189"/>
      <c r="BE97" s="172"/>
      <c r="BF97" s="171"/>
      <c r="BG97" s="189"/>
      <c r="BH97" s="172">
        <f t="shared" si="123"/>
        <v>0</v>
      </c>
      <c r="BI97" s="171">
        <f t="shared" si="132"/>
        <v>0</v>
      </c>
      <c r="BJ97" s="189"/>
      <c r="BK97" s="172">
        <f t="shared" si="124"/>
        <v>0</v>
      </c>
      <c r="BL97" s="171">
        <f t="shared" si="125"/>
        <v>0</v>
      </c>
      <c r="BM97" s="189"/>
      <c r="BN97" s="172">
        <f t="shared" si="126"/>
        <v>0</v>
      </c>
      <c r="BO97" s="171">
        <f t="shared" si="127"/>
        <v>0</v>
      </c>
      <c r="BP97" s="189"/>
      <c r="BQ97" s="172">
        <f t="shared" si="128"/>
        <v>0</v>
      </c>
      <c r="BR97" s="171">
        <f t="shared" si="129"/>
        <v>0</v>
      </c>
      <c r="BS97" s="189"/>
      <c r="BT97" s="172">
        <f t="shared" si="130"/>
        <v>0</v>
      </c>
      <c r="BU97" s="76">
        <f t="shared" si="131"/>
        <v>0</v>
      </c>
      <c r="BV97" s="196" t="str">
        <f>LOOKUP(BU97,'الفترة الاولى'!$BX$2:$BY$6)</f>
        <v>ممتاز</v>
      </c>
      <c r="BW97" s="77" t="e">
        <f>BU97/'الفترة الاولى'!$BZ$2</f>
        <v>#DIV/0!</v>
      </c>
    </row>
    <row r="98" spans="1:79" ht="25.2" customHeight="1" thickBot="1" x14ac:dyDescent="0.3">
      <c r="A98" s="50">
        <v>88</v>
      </c>
      <c r="B98" s="53"/>
      <c r="C98" s="101"/>
      <c r="D98" s="79"/>
      <c r="E98" s="168"/>
      <c r="F98" s="163"/>
      <c r="G98" s="89">
        <f t="shared" si="114"/>
        <v>0</v>
      </c>
      <c r="H98" s="176"/>
      <c r="I98" s="91"/>
      <c r="J98" s="173">
        <f t="shared" si="115"/>
        <v>0</v>
      </c>
      <c r="K98" s="90"/>
      <c r="L98" s="91"/>
      <c r="M98" s="89">
        <f t="shared" si="116"/>
        <v>0</v>
      </c>
      <c r="N98" s="176"/>
      <c r="O98" s="91"/>
      <c r="P98" s="173">
        <f t="shared" si="134"/>
        <v>0</v>
      </c>
      <c r="Q98" s="90"/>
      <c r="R98" s="91"/>
      <c r="S98" s="89">
        <f t="shared" si="105"/>
        <v>0</v>
      </c>
      <c r="T98" s="176"/>
      <c r="U98" s="91"/>
      <c r="V98" s="173">
        <f t="shared" si="117"/>
        <v>0</v>
      </c>
      <c r="W98" s="90"/>
      <c r="X98" s="91"/>
      <c r="Y98" s="89">
        <f t="shared" si="106"/>
        <v>0</v>
      </c>
      <c r="Z98" s="176"/>
      <c r="AA98" s="91"/>
      <c r="AB98" s="173">
        <f t="shared" si="107"/>
        <v>0</v>
      </c>
      <c r="AC98" s="90"/>
      <c r="AD98" s="91"/>
      <c r="AE98" s="89">
        <f t="shared" si="108"/>
        <v>0</v>
      </c>
      <c r="AF98" s="176"/>
      <c r="AG98" s="91"/>
      <c r="AH98" s="89">
        <f t="shared" si="118"/>
        <v>0</v>
      </c>
      <c r="AI98" s="160">
        <f t="shared" si="119"/>
        <v>0</v>
      </c>
      <c r="AJ98" s="200" t="str">
        <f t="shared" si="102"/>
        <v>ممتاز</v>
      </c>
      <c r="AK98" s="65" t="e">
        <f t="shared" si="103"/>
        <v>#DIV/0!</v>
      </c>
      <c r="AM98" s="50">
        <f t="shared" si="110"/>
        <v>88</v>
      </c>
      <c r="AN98" s="86">
        <f t="shared" si="111"/>
        <v>0</v>
      </c>
      <c r="AO98" s="98">
        <f t="shared" si="112"/>
        <v>0</v>
      </c>
      <c r="AP98" s="79">
        <f t="shared" si="113"/>
        <v>0</v>
      </c>
      <c r="AQ98" s="168">
        <f t="shared" si="120"/>
        <v>0</v>
      </c>
      <c r="AR98" s="163"/>
      <c r="AS98" s="89">
        <f t="shared" si="133"/>
        <v>0</v>
      </c>
      <c r="AT98" s="184"/>
      <c r="AU98" s="163"/>
      <c r="AV98" s="89"/>
      <c r="AW98" s="168">
        <f t="shared" si="121"/>
        <v>0</v>
      </c>
      <c r="AX98" s="163"/>
      <c r="AY98" s="89">
        <f t="shared" si="122"/>
        <v>0</v>
      </c>
      <c r="AZ98" s="168"/>
      <c r="BA98" s="185"/>
      <c r="BB98" s="89"/>
      <c r="BC98" s="168"/>
      <c r="BD98" s="163"/>
      <c r="BE98" s="89"/>
      <c r="BF98" s="168"/>
      <c r="BG98" s="163"/>
      <c r="BH98" s="89">
        <f t="shared" si="123"/>
        <v>0</v>
      </c>
      <c r="BI98" s="168">
        <f t="shared" si="132"/>
        <v>0</v>
      </c>
      <c r="BJ98" s="163"/>
      <c r="BK98" s="89">
        <f t="shared" si="124"/>
        <v>0</v>
      </c>
      <c r="BL98" s="168">
        <f t="shared" si="125"/>
        <v>0</v>
      </c>
      <c r="BM98" s="163"/>
      <c r="BN98" s="89">
        <f t="shared" si="126"/>
        <v>0</v>
      </c>
      <c r="BO98" s="168">
        <f t="shared" si="127"/>
        <v>0</v>
      </c>
      <c r="BP98" s="163"/>
      <c r="BQ98" s="89">
        <f t="shared" si="128"/>
        <v>0</v>
      </c>
      <c r="BR98" s="168">
        <f t="shared" si="129"/>
        <v>0</v>
      </c>
      <c r="BS98" s="163"/>
      <c r="BT98" s="89">
        <f t="shared" si="130"/>
        <v>0</v>
      </c>
      <c r="BU98" s="72">
        <f t="shared" si="131"/>
        <v>0</v>
      </c>
      <c r="BV98" s="194" t="str">
        <f>LOOKUP(BU98,'الفترة الاولى'!$BX$2:$BY$6)</f>
        <v>ممتاز</v>
      </c>
      <c r="BW98" s="73" t="e">
        <f>BU98/'الفترة الاولى'!$BZ$2</f>
        <v>#DIV/0!</v>
      </c>
    </row>
    <row r="99" spans="1:79" ht="25.2" customHeight="1" thickBot="1" x14ac:dyDescent="0.3">
      <c r="A99" s="51">
        <v>89</v>
      </c>
      <c r="B99" s="54"/>
      <c r="C99" s="102"/>
      <c r="D99" s="80"/>
      <c r="E99" s="169"/>
      <c r="F99" s="92"/>
      <c r="G99" s="170">
        <f t="shared" si="114"/>
        <v>0</v>
      </c>
      <c r="H99" s="177"/>
      <c r="I99" s="92"/>
      <c r="J99" s="174">
        <f t="shared" si="115"/>
        <v>0</v>
      </c>
      <c r="K99" s="93"/>
      <c r="L99" s="92"/>
      <c r="M99" s="170">
        <f t="shared" si="116"/>
        <v>0</v>
      </c>
      <c r="N99" s="177"/>
      <c r="O99" s="92"/>
      <c r="P99" s="174">
        <f t="shared" si="134"/>
        <v>0</v>
      </c>
      <c r="Q99" s="93"/>
      <c r="R99" s="92"/>
      <c r="S99" s="89">
        <f t="shared" si="105"/>
        <v>0</v>
      </c>
      <c r="T99" s="177"/>
      <c r="U99" s="92"/>
      <c r="V99" s="174">
        <f t="shared" si="117"/>
        <v>0</v>
      </c>
      <c r="W99" s="93"/>
      <c r="X99" s="92"/>
      <c r="Y99" s="89">
        <f t="shared" si="106"/>
        <v>0</v>
      </c>
      <c r="Z99" s="177"/>
      <c r="AA99" s="92"/>
      <c r="AB99" s="173">
        <f t="shared" si="107"/>
        <v>0</v>
      </c>
      <c r="AC99" s="93"/>
      <c r="AD99" s="92"/>
      <c r="AE99" s="89">
        <f t="shared" si="108"/>
        <v>0</v>
      </c>
      <c r="AF99" s="177"/>
      <c r="AG99" s="92"/>
      <c r="AH99" s="170">
        <f t="shared" si="118"/>
        <v>0</v>
      </c>
      <c r="AI99" s="161">
        <f t="shared" si="119"/>
        <v>0</v>
      </c>
      <c r="AJ99" s="201" t="str">
        <f t="shared" si="102"/>
        <v>ممتاز</v>
      </c>
      <c r="AK99" s="66" t="e">
        <f t="shared" si="103"/>
        <v>#DIV/0!</v>
      </c>
      <c r="AM99" s="51">
        <f t="shared" si="110"/>
        <v>89</v>
      </c>
      <c r="AN99" s="87">
        <f t="shared" si="111"/>
        <v>0</v>
      </c>
      <c r="AO99" s="99">
        <f t="shared" si="112"/>
        <v>0</v>
      </c>
      <c r="AP99" s="80">
        <f t="shared" si="113"/>
        <v>0</v>
      </c>
      <c r="AQ99" s="169">
        <f t="shared" si="120"/>
        <v>0</v>
      </c>
      <c r="AR99" s="188"/>
      <c r="AS99" s="170">
        <f t="shared" si="133"/>
        <v>0</v>
      </c>
      <c r="AT99" s="184"/>
      <c r="AU99" s="188"/>
      <c r="AV99" s="170"/>
      <c r="AW99" s="169">
        <f t="shared" si="121"/>
        <v>0</v>
      </c>
      <c r="AX99" s="188"/>
      <c r="AY99" s="170">
        <f t="shared" si="122"/>
        <v>0</v>
      </c>
      <c r="AZ99" s="169"/>
      <c r="BA99" s="185"/>
      <c r="BB99" s="170"/>
      <c r="BC99" s="169"/>
      <c r="BD99" s="188"/>
      <c r="BE99" s="170"/>
      <c r="BF99" s="169"/>
      <c r="BG99" s="188"/>
      <c r="BH99" s="170">
        <f t="shared" si="123"/>
        <v>0</v>
      </c>
      <c r="BI99" s="169">
        <f t="shared" si="132"/>
        <v>0</v>
      </c>
      <c r="BJ99" s="188"/>
      <c r="BK99" s="170">
        <f t="shared" si="124"/>
        <v>0</v>
      </c>
      <c r="BL99" s="169">
        <f t="shared" si="125"/>
        <v>0</v>
      </c>
      <c r="BM99" s="188"/>
      <c r="BN99" s="170">
        <f t="shared" si="126"/>
        <v>0</v>
      </c>
      <c r="BO99" s="169">
        <f t="shared" si="127"/>
        <v>0</v>
      </c>
      <c r="BP99" s="188"/>
      <c r="BQ99" s="170">
        <f t="shared" si="128"/>
        <v>0</v>
      </c>
      <c r="BR99" s="169">
        <f t="shared" si="129"/>
        <v>0</v>
      </c>
      <c r="BS99" s="188"/>
      <c r="BT99" s="170">
        <f t="shared" si="130"/>
        <v>0</v>
      </c>
      <c r="BU99" s="74">
        <f t="shared" si="131"/>
        <v>0</v>
      </c>
      <c r="BV99" s="195" t="str">
        <f>LOOKUP(BU99,'الفترة الاولى'!$BX$2:$BY$6)</f>
        <v>ممتاز</v>
      </c>
      <c r="BW99" s="75" t="e">
        <f>BU99/'الفترة الاولى'!$BZ$2</f>
        <v>#DIV/0!</v>
      </c>
    </row>
    <row r="100" spans="1:79" ht="25.2" customHeight="1" thickBot="1" x14ac:dyDescent="0.3">
      <c r="A100" s="52">
        <v>90</v>
      </c>
      <c r="B100" s="55"/>
      <c r="C100" s="103"/>
      <c r="D100" s="81"/>
      <c r="E100" s="171"/>
      <c r="F100" s="94"/>
      <c r="G100" s="172">
        <f t="shared" si="114"/>
        <v>0</v>
      </c>
      <c r="H100" s="178"/>
      <c r="I100" s="94"/>
      <c r="J100" s="175">
        <f t="shared" si="115"/>
        <v>0</v>
      </c>
      <c r="K100" s="95"/>
      <c r="L100" s="94"/>
      <c r="M100" s="172">
        <f t="shared" si="116"/>
        <v>0</v>
      </c>
      <c r="N100" s="178"/>
      <c r="O100" s="94"/>
      <c r="P100" s="175">
        <f t="shared" si="134"/>
        <v>0</v>
      </c>
      <c r="Q100" s="95"/>
      <c r="R100" s="94"/>
      <c r="S100" s="89">
        <f t="shared" si="105"/>
        <v>0</v>
      </c>
      <c r="T100" s="178"/>
      <c r="U100" s="94"/>
      <c r="V100" s="175">
        <f t="shared" si="117"/>
        <v>0</v>
      </c>
      <c r="W100" s="95"/>
      <c r="X100" s="94"/>
      <c r="Y100" s="89">
        <f t="shared" si="106"/>
        <v>0</v>
      </c>
      <c r="Z100" s="178"/>
      <c r="AA100" s="94"/>
      <c r="AB100" s="173">
        <f t="shared" si="107"/>
        <v>0</v>
      </c>
      <c r="AC100" s="95"/>
      <c r="AD100" s="94"/>
      <c r="AE100" s="89">
        <f t="shared" si="108"/>
        <v>0</v>
      </c>
      <c r="AF100" s="178"/>
      <c r="AG100" s="94"/>
      <c r="AH100" s="172">
        <f t="shared" si="118"/>
        <v>0</v>
      </c>
      <c r="AI100" s="162">
        <f t="shared" si="119"/>
        <v>0</v>
      </c>
      <c r="AJ100" s="202" t="str">
        <f t="shared" si="102"/>
        <v>ممتاز</v>
      </c>
      <c r="AK100" s="67" t="e">
        <f t="shared" si="103"/>
        <v>#DIV/0!</v>
      </c>
      <c r="AM100" s="52">
        <f t="shared" si="110"/>
        <v>90</v>
      </c>
      <c r="AN100" s="88">
        <f t="shared" si="111"/>
        <v>0</v>
      </c>
      <c r="AO100" s="100">
        <f t="shared" si="112"/>
        <v>0</v>
      </c>
      <c r="AP100" s="81">
        <f t="shared" si="113"/>
        <v>0</v>
      </c>
      <c r="AQ100" s="171">
        <f t="shared" si="120"/>
        <v>0</v>
      </c>
      <c r="AR100" s="189"/>
      <c r="AS100" s="172">
        <f t="shared" si="133"/>
        <v>0</v>
      </c>
      <c r="AT100" s="184"/>
      <c r="AU100" s="189"/>
      <c r="AV100" s="172"/>
      <c r="AW100" s="171">
        <f t="shared" si="121"/>
        <v>0</v>
      </c>
      <c r="AX100" s="189"/>
      <c r="AY100" s="172">
        <f t="shared" si="122"/>
        <v>0</v>
      </c>
      <c r="AZ100" s="171"/>
      <c r="BA100" s="189"/>
      <c r="BB100" s="172"/>
      <c r="BC100" s="171"/>
      <c r="BD100" s="189"/>
      <c r="BE100" s="172"/>
      <c r="BF100" s="171"/>
      <c r="BG100" s="189"/>
      <c r="BH100" s="172">
        <f t="shared" si="123"/>
        <v>0</v>
      </c>
      <c r="BI100" s="171">
        <f t="shared" si="132"/>
        <v>0</v>
      </c>
      <c r="BJ100" s="189"/>
      <c r="BK100" s="172">
        <f t="shared" si="124"/>
        <v>0</v>
      </c>
      <c r="BL100" s="171">
        <f t="shared" si="125"/>
        <v>0</v>
      </c>
      <c r="BM100" s="189"/>
      <c r="BN100" s="172">
        <f t="shared" si="126"/>
        <v>0</v>
      </c>
      <c r="BO100" s="171">
        <f t="shared" si="127"/>
        <v>0</v>
      </c>
      <c r="BP100" s="189"/>
      <c r="BQ100" s="172">
        <f t="shared" si="128"/>
        <v>0</v>
      </c>
      <c r="BR100" s="171">
        <f t="shared" si="129"/>
        <v>0</v>
      </c>
      <c r="BS100" s="189"/>
      <c r="BT100" s="172">
        <f t="shared" si="130"/>
        <v>0</v>
      </c>
      <c r="BU100" s="76">
        <f t="shared" si="131"/>
        <v>0</v>
      </c>
      <c r="BV100" s="196" t="str">
        <f>LOOKUP(BU100,'الفترة الاولى'!$BX$2:$BY$6)</f>
        <v>ممتاز</v>
      </c>
      <c r="BW100" s="77" t="e">
        <f>BU100/'الفترة الاولى'!$BZ$2</f>
        <v>#DIV/0!</v>
      </c>
    </row>
    <row r="101" spans="1:79" ht="25.2" customHeight="1" thickBot="1" x14ac:dyDescent="0.3">
      <c r="A101" s="50">
        <v>91</v>
      </c>
      <c r="B101" s="53"/>
      <c r="C101" s="101"/>
      <c r="D101" s="79"/>
      <c r="E101" s="168"/>
      <c r="F101" s="163"/>
      <c r="G101" s="89">
        <f t="shared" si="114"/>
        <v>0</v>
      </c>
      <c r="H101" s="176"/>
      <c r="I101" s="91"/>
      <c r="J101" s="173">
        <f t="shared" si="115"/>
        <v>0</v>
      </c>
      <c r="K101" s="90"/>
      <c r="L101" s="91"/>
      <c r="M101" s="89">
        <f t="shared" si="116"/>
        <v>0</v>
      </c>
      <c r="N101" s="176"/>
      <c r="O101" s="91"/>
      <c r="P101" s="173">
        <f t="shared" si="134"/>
        <v>0</v>
      </c>
      <c r="Q101" s="90"/>
      <c r="R101" s="91"/>
      <c r="S101" s="89">
        <f t="shared" si="105"/>
        <v>0</v>
      </c>
      <c r="T101" s="176"/>
      <c r="U101" s="91"/>
      <c r="V101" s="173">
        <f t="shared" si="117"/>
        <v>0</v>
      </c>
      <c r="W101" s="90"/>
      <c r="X101" s="91"/>
      <c r="Y101" s="89">
        <f t="shared" si="106"/>
        <v>0</v>
      </c>
      <c r="Z101" s="176"/>
      <c r="AA101" s="91"/>
      <c r="AB101" s="173">
        <f t="shared" si="107"/>
        <v>0</v>
      </c>
      <c r="AC101" s="90"/>
      <c r="AD101" s="91"/>
      <c r="AE101" s="89">
        <f t="shared" si="108"/>
        <v>0</v>
      </c>
      <c r="AF101" s="176"/>
      <c r="AG101" s="91"/>
      <c r="AH101" s="89">
        <f t="shared" si="118"/>
        <v>0</v>
      </c>
      <c r="AI101" s="160">
        <f t="shared" si="119"/>
        <v>0</v>
      </c>
      <c r="AJ101" s="200" t="str">
        <f t="shared" si="102"/>
        <v>ممتاز</v>
      </c>
      <c r="AK101" s="65" t="e">
        <f t="shared" si="103"/>
        <v>#DIV/0!</v>
      </c>
      <c r="AM101" s="50">
        <f t="shared" si="110"/>
        <v>91</v>
      </c>
      <c r="AN101" s="86">
        <f t="shared" si="111"/>
        <v>0</v>
      </c>
      <c r="AO101" s="98">
        <f t="shared" si="112"/>
        <v>0</v>
      </c>
      <c r="AP101" s="79">
        <f t="shared" si="113"/>
        <v>0</v>
      </c>
      <c r="AQ101" s="168">
        <f t="shared" si="120"/>
        <v>0</v>
      </c>
      <c r="AR101" s="163"/>
      <c r="AS101" s="89">
        <f t="shared" si="133"/>
        <v>0</v>
      </c>
      <c r="AT101" s="184"/>
      <c r="AU101" s="163"/>
      <c r="AV101" s="89"/>
      <c r="AW101" s="168">
        <f t="shared" si="121"/>
        <v>0</v>
      </c>
      <c r="AX101" s="163"/>
      <c r="AY101" s="89">
        <f t="shared" si="122"/>
        <v>0</v>
      </c>
      <c r="AZ101" s="168"/>
      <c r="BA101" s="163"/>
      <c r="BB101" s="89"/>
      <c r="BC101" s="168"/>
      <c r="BD101" s="163"/>
      <c r="BE101" s="89"/>
      <c r="BF101" s="168"/>
      <c r="BG101" s="163"/>
      <c r="BH101" s="89">
        <f t="shared" si="123"/>
        <v>0</v>
      </c>
      <c r="BI101" s="168">
        <f t="shared" si="132"/>
        <v>0</v>
      </c>
      <c r="BJ101" s="163"/>
      <c r="BK101" s="89">
        <f t="shared" si="124"/>
        <v>0</v>
      </c>
      <c r="BL101" s="168">
        <f t="shared" si="125"/>
        <v>0</v>
      </c>
      <c r="BM101" s="163"/>
      <c r="BN101" s="89">
        <f t="shared" si="126"/>
        <v>0</v>
      </c>
      <c r="BO101" s="168">
        <f t="shared" si="127"/>
        <v>0</v>
      </c>
      <c r="BP101" s="163"/>
      <c r="BQ101" s="89">
        <f t="shared" si="128"/>
        <v>0</v>
      </c>
      <c r="BR101" s="168">
        <f t="shared" si="129"/>
        <v>0</v>
      </c>
      <c r="BS101" s="163"/>
      <c r="BT101" s="89">
        <f t="shared" si="130"/>
        <v>0</v>
      </c>
      <c r="BU101" s="72">
        <f t="shared" si="131"/>
        <v>0</v>
      </c>
      <c r="BV101" s="194" t="str">
        <f>LOOKUP(BU101,'الفترة الاولى'!$BX$2:$BY$6)</f>
        <v>ممتاز</v>
      </c>
      <c r="BW101" s="73" t="e">
        <f>BU101/'الفترة الاولى'!$BZ$2</f>
        <v>#DIV/0!</v>
      </c>
    </row>
    <row r="102" spans="1:79" ht="25.2" customHeight="1" thickBot="1" x14ac:dyDescent="0.3">
      <c r="A102" s="51">
        <v>92</v>
      </c>
      <c r="B102" s="54"/>
      <c r="C102" s="102"/>
      <c r="D102" s="80"/>
      <c r="E102" s="169"/>
      <c r="F102" s="92"/>
      <c r="G102" s="170">
        <f t="shared" si="114"/>
        <v>0</v>
      </c>
      <c r="H102" s="177"/>
      <c r="I102" s="92"/>
      <c r="J102" s="174">
        <f t="shared" si="115"/>
        <v>0</v>
      </c>
      <c r="K102" s="93"/>
      <c r="L102" s="92"/>
      <c r="M102" s="170">
        <f t="shared" si="116"/>
        <v>0</v>
      </c>
      <c r="N102" s="177"/>
      <c r="O102" s="92"/>
      <c r="P102" s="174">
        <f t="shared" si="134"/>
        <v>0</v>
      </c>
      <c r="Q102" s="93"/>
      <c r="R102" s="92"/>
      <c r="S102" s="89">
        <f t="shared" si="105"/>
        <v>0</v>
      </c>
      <c r="T102" s="177"/>
      <c r="U102" s="92"/>
      <c r="V102" s="174">
        <f t="shared" si="117"/>
        <v>0</v>
      </c>
      <c r="W102" s="93"/>
      <c r="X102" s="92"/>
      <c r="Y102" s="89">
        <f t="shared" si="106"/>
        <v>0</v>
      </c>
      <c r="Z102" s="177"/>
      <c r="AA102" s="92"/>
      <c r="AB102" s="173">
        <f t="shared" si="107"/>
        <v>0</v>
      </c>
      <c r="AC102" s="93"/>
      <c r="AD102" s="92"/>
      <c r="AE102" s="89">
        <f t="shared" si="108"/>
        <v>0</v>
      </c>
      <c r="AF102" s="177"/>
      <c r="AG102" s="92"/>
      <c r="AH102" s="170">
        <f t="shared" si="118"/>
        <v>0</v>
      </c>
      <c r="AI102" s="161">
        <f t="shared" si="119"/>
        <v>0</v>
      </c>
      <c r="AJ102" s="201" t="str">
        <f t="shared" si="102"/>
        <v>ممتاز</v>
      </c>
      <c r="AK102" s="66" t="e">
        <f t="shared" si="103"/>
        <v>#DIV/0!</v>
      </c>
      <c r="AM102" s="51">
        <f t="shared" si="110"/>
        <v>92</v>
      </c>
      <c r="AN102" s="87">
        <f t="shared" si="111"/>
        <v>0</v>
      </c>
      <c r="AO102" s="99">
        <f t="shared" si="112"/>
        <v>0</v>
      </c>
      <c r="AP102" s="80">
        <f t="shared" si="113"/>
        <v>0</v>
      </c>
      <c r="AQ102" s="169">
        <f t="shared" si="120"/>
        <v>0</v>
      </c>
      <c r="AR102" s="188"/>
      <c r="AS102" s="170">
        <f t="shared" si="133"/>
        <v>0</v>
      </c>
      <c r="AT102" s="184"/>
      <c r="AU102" s="188"/>
      <c r="AV102" s="170"/>
      <c r="AW102" s="169">
        <f t="shared" si="121"/>
        <v>0</v>
      </c>
      <c r="AX102" s="188"/>
      <c r="AY102" s="170">
        <f t="shared" si="122"/>
        <v>0</v>
      </c>
      <c r="AZ102" s="169"/>
      <c r="BA102" s="188"/>
      <c r="BB102" s="170"/>
      <c r="BC102" s="169"/>
      <c r="BD102" s="188"/>
      <c r="BE102" s="170"/>
      <c r="BF102" s="169"/>
      <c r="BG102" s="188"/>
      <c r="BH102" s="170">
        <f t="shared" si="123"/>
        <v>0</v>
      </c>
      <c r="BI102" s="169">
        <f t="shared" si="132"/>
        <v>0</v>
      </c>
      <c r="BJ102" s="188"/>
      <c r="BK102" s="170">
        <f t="shared" si="124"/>
        <v>0</v>
      </c>
      <c r="BL102" s="169">
        <f t="shared" si="125"/>
        <v>0</v>
      </c>
      <c r="BM102" s="188"/>
      <c r="BN102" s="170">
        <f t="shared" si="126"/>
        <v>0</v>
      </c>
      <c r="BO102" s="169">
        <f t="shared" si="127"/>
        <v>0</v>
      </c>
      <c r="BP102" s="188"/>
      <c r="BQ102" s="170">
        <f t="shared" si="128"/>
        <v>0</v>
      </c>
      <c r="BR102" s="169">
        <f t="shared" si="129"/>
        <v>0</v>
      </c>
      <c r="BS102" s="188"/>
      <c r="BT102" s="170">
        <f t="shared" si="130"/>
        <v>0</v>
      </c>
      <c r="BU102" s="74">
        <f t="shared" si="131"/>
        <v>0</v>
      </c>
      <c r="BV102" s="195" t="str">
        <f>LOOKUP(BU102,'الفترة الاولى'!$BX$2:$BY$6)</f>
        <v>ممتاز</v>
      </c>
      <c r="BW102" s="75" t="e">
        <f>BU102/'الفترة الاولى'!$BZ$2</f>
        <v>#DIV/0!</v>
      </c>
    </row>
    <row r="103" spans="1:79" ht="25.2" customHeight="1" thickBot="1" x14ac:dyDescent="0.3">
      <c r="A103" s="52">
        <v>93</v>
      </c>
      <c r="B103" s="55"/>
      <c r="C103" s="103"/>
      <c r="D103" s="81"/>
      <c r="E103" s="171"/>
      <c r="F103" s="94"/>
      <c r="G103" s="172">
        <f t="shared" si="114"/>
        <v>0</v>
      </c>
      <c r="H103" s="178"/>
      <c r="I103" s="94"/>
      <c r="J103" s="175">
        <f t="shared" si="115"/>
        <v>0</v>
      </c>
      <c r="K103" s="95"/>
      <c r="L103" s="94"/>
      <c r="M103" s="172">
        <f t="shared" si="116"/>
        <v>0</v>
      </c>
      <c r="N103" s="178"/>
      <c r="O103" s="94"/>
      <c r="P103" s="175">
        <f t="shared" si="134"/>
        <v>0</v>
      </c>
      <c r="Q103" s="95"/>
      <c r="R103" s="94"/>
      <c r="S103" s="89">
        <f t="shared" si="105"/>
        <v>0</v>
      </c>
      <c r="T103" s="178"/>
      <c r="U103" s="94"/>
      <c r="V103" s="175">
        <f t="shared" si="117"/>
        <v>0</v>
      </c>
      <c r="W103" s="95"/>
      <c r="X103" s="94"/>
      <c r="Y103" s="89">
        <f t="shared" si="106"/>
        <v>0</v>
      </c>
      <c r="Z103" s="178"/>
      <c r="AA103" s="94"/>
      <c r="AB103" s="173">
        <f t="shared" si="107"/>
        <v>0</v>
      </c>
      <c r="AC103" s="95"/>
      <c r="AD103" s="94"/>
      <c r="AE103" s="89">
        <f t="shared" si="108"/>
        <v>0</v>
      </c>
      <c r="AF103" s="178"/>
      <c r="AG103" s="94"/>
      <c r="AH103" s="172">
        <f t="shared" si="118"/>
        <v>0</v>
      </c>
      <c r="AI103" s="162">
        <f t="shared" si="119"/>
        <v>0</v>
      </c>
      <c r="AJ103" s="202" t="str">
        <f t="shared" si="102"/>
        <v>ممتاز</v>
      </c>
      <c r="AK103" s="67" t="e">
        <f t="shared" si="103"/>
        <v>#DIV/0!</v>
      </c>
      <c r="AM103" s="52">
        <f t="shared" si="110"/>
        <v>93</v>
      </c>
      <c r="AN103" s="88">
        <f t="shared" si="111"/>
        <v>0</v>
      </c>
      <c r="AO103" s="100">
        <f t="shared" si="112"/>
        <v>0</v>
      </c>
      <c r="AP103" s="81">
        <f t="shared" si="113"/>
        <v>0</v>
      </c>
      <c r="AQ103" s="171">
        <f t="shared" si="120"/>
        <v>0</v>
      </c>
      <c r="AR103" s="189"/>
      <c r="AS103" s="172">
        <f t="shared" si="133"/>
        <v>0</v>
      </c>
      <c r="AT103" s="184"/>
      <c r="AU103" s="189"/>
      <c r="AV103" s="172"/>
      <c r="AW103" s="171">
        <f t="shared" si="121"/>
        <v>0</v>
      </c>
      <c r="AX103" s="189"/>
      <c r="AY103" s="172">
        <f t="shared" si="122"/>
        <v>0</v>
      </c>
      <c r="AZ103" s="171"/>
      <c r="BA103" s="189"/>
      <c r="BB103" s="172"/>
      <c r="BC103" s="171"/>
      <c r="BD103" s="189"/>
      <c r="BE103" s="172"/>
      <c r="BF103" s="171"/>
      <c r="BG103" s="189"/>
      <c r="BH103" s="172">
        <f t="shared" si="123"/>
        <v>0</v>
      </c>
      <c r="BI103" s="171">
        <f t="shared" si="132"/>
        <v>0</v>
      </c>
      <c r="BJ103" s="189"/>
      <c r="BK103" s="172">
        <f t="shared" si="124"/>
        <v>0</v>
      </c>
      <c r="BL103" s="171">
        <f t="shared" si="125"/>
        <v>0</v>
      </c>
      <c r="BM103" s="189"/>
      <c r="BN103" s="172">
        <f t="shared" si="126"/>
        <v>0</v>
      </c>
      <c r="BO103" s="171">
        <f t="shared" si="127"/>
        <v>0</v>
      </c>
      <c r="BP103" s="189"/>
      <c r="BQ103" s="172">
        <f t="shared" si="128"/>
        <v>0</v>
      </c>
      <c r="BR103" s="171">
        <f t="shared" si="129"/>
        <v>0</v>
      </c>
      <c r="BS103" s="189"/>
      <c r="BT103" s="172">
        <f t="shared" si="130"/>
        <v>0</v>
      </c>
      <c r="BU103" s="76">
        <f t="shared" si="131"/>
        <v>0</v>
      </c>
      <c r="BV103" s="196" t="str">
        <f>LOOKUP(BU103,'الفترة الاولى'!$BX$2:$BY$6)</f>
        <v>ممتاز</v>
      </c>
      <c r="BW103" s="77" t="e">
        <f>BU103/'الفترة الاولى'!$BZ$2</f>
        <v>#DIV/0!</v>
      </c>
    </row>
    <row r="104" spans="1:79" ht="25.2" customHeight="1" thickBot="1" x14ac:dyDescent="0.3">
      <c r="A104" s="50">
        <v>94</v>
      </c>
      <c r="B104" s="53"/>
      <c r="C104" s="101"/>
      <c r="D104" s="79"/>
      <c r="E104" s="168"/>
      <c r="F104" s="163"/>
      <c r="G104" s="89">
        <f t="shared" si="114"/>
        <v>0</v>
      </c>
      <c r="H104" s="176"/>
      <c r="I104" s="91"/>
      <c r="J104" s="173">
        <f t="shared" si="115"/>
        <v>0</v>
      </c>
      <c r="K104" s="90"/>
      <c r="L104" s="91"/>
      <c r="M104" s="89">
        <f t="shared" si="116"/>
        <v>0</v>
      </c>
      <c r="N104" s="176"/>
      <c r="O104" s="91"/>
      <c r="P104" s="173">
        <f t="shared" si="134"/>
        <v>0</v>
      </c>
      <c r="Q104" s="90"/>
      <c r="R104" s="91"/>
      <c r="S104" s="89">
        <f t="shared" si="105"/>
        <v>0</v>
      </c>
      <c r="T104" s="176"/>
      <c r="U104" s="91"/>
      <c r="V104" s="173">
        <f t="shared" si="117"/>
        <v>0</v>
      </c>
      <c r="W104" s="90"/>
      <c r="X104" s="91"/>
      <c r="Y104" s="89">
        <f t="shared" si="106"/>
        <v>0</v>
      </c>
      <c r="Z104" s="176"/>
      <c r="AA104" s="91"/>
      <c r="AB104" s="173">
        <f t="shared" si="107"/>
        <v>0</v>
      </c>
      <c r="AC104" s="90"/>
      <c r="AD104" s="91"/>
      <c r="AE104" s="89">
        <f t="shared" si="108"/>
        <v>0</v>
      </c>
      <c r="AF104" s="176"/>
      <c r="AG104" s="91"/>
      <c r="AH104" s="89">
        <f t="shared" si="118"/>
        <v>0</v>
      </c>
      <c r="AI104" s="160">
        <f t="shared" si="119"/>
        <v>0</v>
      </c>
      <c r="AJ104" s="200" t="str">
        <f t="shared" si="102"/>
        <v>ممتاز</v>
      </c>
      <c r="AK104" s="65" t="e">
        <f t="shared" si="103"/>
        <v>#DIV/0!</v>
      </c>
      <c r="AM104" s="50">
        <f t="shared" si="110"/>
        <v>94</v>
      </c>
      <c r="AN104" s="86">
        <f t="shared" si="111"/>
        <v>0</v>
      </c>
      <c r="AO104" s="98">
        <f t="shared" si="112"/>
        <v>0</v>
      </c>
      <c r="AP104" s="79">
        <f t="shared" si="113"/>
        <v>0</v>
      </c>
      <c r="AQ104" s="168">
        <f t="shared" si="120"/>
        <v>0</v>
      </c>
      <c r="AR104" s="163"/>
      <c r="AS104" s="89">
        <f t="shared" si="133"/>
        <v>0</v>
      </c>
      <c r="AT104" s="184"/>
      <c r="AU104" s="163"/>
      <c r="AV104" s="89"/>
      <c r="AW104" s="168">
        <f t="shared" si="121"/>
        <v>0</v>
      </c>
      <c r="AX104" s="163"/>
      <c r="AY104" s="89">
        <f t="shared" si="122"/>
        <v>0</v>
      </c>
      <c r="AZ104" s="168"/>
      <c r="BA104" s="163"/>
      <c r="BB104" s="89"/>
      <c r="BC104" s="168"/>
      <c r="BD104" s="163"/>
      <c r="BE104" s="89"/>
      <c r="BF104" s="168"/>
      <c r="BG104" s="163"/>
      <c r="BH104" s="89">
        <f t="shared" si="123"/>
        <v>0</v>
      </c>
      <c r="BI104" s="168">
        <f t="shared" si="132"/>
        <v>0</v>
      </c>
      <c r="BJ104" s="163"/>
      <c r="BK104" s="89">
        <f t="shared" si="124"/>
        <v>0</v>
      </c>
      <c r="BL104" s="168">
        <f t="shared" si="125"/>
        <v>0</v>
      </c>
      <c r="BM104" s="163"/>
      <c r="BN104" s="89">
        <f t="shared" si="126"/>
        <v>0</v>
      </c>
      <c r="BO104" s="168">
        <f t="shared" si="127"/>
        <v>0</v>
      </c>
      <c r="BP104" s="163"/>
      <c r="BQ104" s="89">
        <f t="shared" si="128"/>
        <v>0</v>
      </c>
      <c r="BR104" s="168">
        <f t="shared" si="129"/>
        <v>0</v>
      </c>
      <c r="BS104" s="163"/>
      <c r="BT104" s="89">
        <f t="shared" si="130"/>
        <v>0</v>
      </c>
      <c r="BU104" s="72">
        <f t="shared" si="131"/>
        <v>0</v>
      </c>
      <c r="BV104" s="194" t="str">
        <f>LOOKUP(BU104,'الفترة الاولى'!$BX$2:$BY$6)</f>
        <v>ممتاز</v>
      </c>
      <c r="BW104" s="73" t="e">
        <f>BU104/'الفترة الاولى'!$BZ$2</f>
        <v>#DIV/0!</v>
      </c>
    </row>
    <row r="105" spans="1:79" ht="25.2" customHeight="1" thickBot="1" x14ac:dyDescent="0.3">
      <c r="A105" s="51">
        <v>95</v>
      </c>
      <c r="B105" s="54"/>
      <c r="C105" s="102"/>
      <c r="D105" s="80"/>
      <c r="E105" s="169"/>
      <c r="F105" s="92"/>
      <c r="G105" s="170">
        <f t="shared" si="114"/>
        <v>0</v>
      </c>
      <c r="H105" s="177"/>
      <c r="I105" s="92"/>
      <c r="J105" s="174">
        <f t="shared" si="115"/>
        <v>0</v>
      </c>
      <c r="K105" s="93"/>
      <c r="L105" s="92"/>
      <c r="M105" s="170">
        <f t="shared" si="116"/>
        <v>0</v>
      </c>
      <c r="N105" s="177"/>
      <c r="O105" s="92"/>
      <c r="P105" s="174">
        <f t="shared" si="134"/>
        <v>0</v>
      </c>
      <c r="Q105" s="93"/>
      <c r="R105" s="92"/>
      <c r="S105" s="170">
        <f t="shared" ref="S105:S142" si="135">SUM(Q105:R105)</f>
        <v>0</v>
      </c>
      <c r="T105" s="177"/>
      <c r="U105" s="92"/>
      <c r="V105" s="174">
        <f t="shared" si="117"/>
        <v>0</v>
      </c>
      <c r="W105" s="93"/>
      <c r="X105" s="92"/>
      <c r="Y105" s="89">
        <f t="shared" si="106"/>
        <v>0</v>
      </c>
      <c r="Z105" s="177"/>
      <c r="AA105" s="92"/>
      <c r="AB105" s="173">
        <f t="shared" si="107"/>
        <v>0</v>
      </c>
      <c r="AC105" s="93"/>
      <c r="AD105" s="92"/>
      <c r="AE105" s="89">
        <f t="shared" si="108"/>
        <v>0</v>
      </c>
      <c r="AF105" s="177"/>
      <c r="AG105" s="92"/>
      <c r="AH105" s="170">
        <f t="shared" si="118"/>
        <v>0</v>
      </c>
      <c r="AI105" s="161">
        <f t="shared" si="119"/>
        <v>0</v>
      </c>
      <c r="AJ105" s="201" t="str">
        <f t="shared" si="102"/>
        <v>ممتاز</v>
      </c>
      <c r="AK105" s="66" t="e">
        <f t="shared" si="103"/>
        <v>#DIV/0!</v>
      </c>
      <c r="AM105" s="51">
        <f t="shared" si="110"/>
        <v>95</v>
      </c>
      <c r="AN105" s="87">
        <f t="shared" si="111"/>
        <v>0</v>
      </c>
      <c r="AO105" s="99">
        <f t="shared" si="112"/>
        <v>0</v>
      </c>
      <c r="AP105" s="80">
        <f t="shared" si="113"/>
        <v>0</v>
      </c>
      <c r="AQ105" s="169">
        <f t="shared" si="120"/>
        <v>0</v>
      </c>
      <c r="AR105" s="188"/>
      <c r="AS105" s="170">
        <f t="shared" si="133"/>
        <v>0</v>
      </c>
      <c r="AT105" s="184"/>
      <c r="AU105" s="188"/>
      <c r="AV105" s="170"/>
      <c r="AW105" s="169">
        <f t="shared" si="121"/>
        <v>0</v>
      </c>
      <c r="AX105" s="188"/>
      <c r="AY105" s="170">
        <f t="shared" si="122"/>
        <v>0</v>
      </c>
      <c r="AZ105" s="169"/>
      <c r="BA105" s="188"/>
      <c r="BB105" s="170"/>
      <c r="BC105" s="169"/>
      <c r="BD105" s="188"/>
      <c r="BE105" s="170"/>
      <c r="BF105" s="169"/>
      <c r="BG105" s="188"/>
      <c r="BH105" s="170">
        <f t="shared" si="123"/>
        <v>0</v>
      </c>
      <c r="BI105" s="169">
        <f t="shared" si="132"/>
        <v>0</v>
      </c>
      <c r="BJ105" s="188"/>
      <c r="BK105" s="170">
        <f t="shared" si="124"/>
        <v>0</v>
      </c>
      <c r="BL105" s="169">
        <f t="shared" si="125"/>
        <v>0</v>
      </c>
      <c r="BM105" s="188"/>
      <c r="BN105" s="170">
        <f t="shared" si="126"/>
        <v>0</v>
      </c>
      <c r="BO105" s="169">
        <f t="shared" si="127"/>
        <v>0</v>
      </c>
      <c r="BP105" s="188"/>
      <c r="BQ105" s="170">
        <f t="shared" si="128"/>
        <v>0</v>
      </c>
      <c r="BR105" s="169">
        <f t="shared" si="129"/>
        <v>0</v>
      </c>
      <c r="BS105" s="188"/>
      <c r="BT105" s="170">
        <f t="shared" si="130"/>
        <v>0</v>
      </c>
      <c r="BU105" s="74">
        <f t="shared" si="131"/>
        <v>0</v>
      </c>
      <c r="BV105" s="195" t="str">
        <f>LOOKUP(BU105,'الفترة الاولى'!$BX$2:$BY$6)</f>
        <v>ممتاز</v>
      </c>
      <c r="BW105" s="75" t="e">
        <f>BU105/'الفترة الاولى'!$BZ$2</f>
        <v>#DIV/0!</v>
      </c>
    </row>
    <row r="106" spans="1:79" ht="25.2" customHeight="1" thickBot="1" x14ac:dyDescent="0.3">
      <c r="A106" s="52">
        <v>96</v>
      </c>
      <c r="B106" s="55"/>
      <c r="C106" s="103"/>
      <c r="D106" s="81"/>
      <c r="E106" s="171"/>
      <c r="F106" s="94"/>
      <c r="G106" s="172">
        <f t="shared" si="114"/>
        <v>0</v>
      </c>
      <c r="H106" s="178"/>
      <c r="I106" s="94"/>
      <c r="J106" s="175">
        <f t="shared" si="115"/>
        <v>0</v>
      </c>
      <c r="K106" s="95"/>
      <c r="L106" s="94"/>
      <c r="M106" s="172">
        <f t="shared" si="116"/>
        <v>0</v>
      </c>
      <c r="N106" s="178"/>
      <c r="O106" s="94"/>
      <c r="P106" s="175">
        <f t="shared" si="134"/>
        <v>0</v>
      </c>
      <c r="Q106" s="95"/>
      <c r="R106" s="94"/>
      <c r="S106" s="172">
        <f t="shared" si="135"/>
        <v>0</v>
      </c>
      <c r="T106" s="178"/>
      <c r="U106" s="94"/>
      <c r="V106" s="175">
        <f t="shared" si="117"/>
        <v>0</v>
      </c>
      <c r="W106" s="95"/>
      <c r="X106" s="94"/>
      <c r="Y106" s="89">
        <f t="shared" si="106"/>
        <v>0</v>
      </c>
      <c r="Z106" s="178"/>
      <c r="AA106" s="94"/>
      <c r="AB106" s="173">
        <f t="shared" si="107"/>
        <v>0</v>
      </c>
      <c r="AC106" s="95"/>
      <c r="AD106" s="94"/>
      <c r="AE106" s="89">
        <f t="shared" si="108"/>
        <v>0</v>
      </c>
      <c r="AF106" s="178"/>
      <c r="AG106" s="94"/>
      <c r="AH106" s="172">
        <f t="shared" si="118"/>
        <v>0</v>
      </c>
      <c r="AI106" s="162">
        <f t="shared" si="119"/>
        <v>0</v>
      </c>
      <c r="AJ106" s="202" t="str">
        <f t="shared" si="102"/>
        <v>ممتاز</v>
      </c>
      <c r="AK106" s="67" t="e">
        <f t="shared" si="103"/>
        <v>#DIV/0!</v>
      </c>
      <c r="AM106" s="52">
        <f t="shared" si="110"/>
        <v>96</v>
      </c>
      <c r="AN106" s="88">
        <f t="shared" si="111"/>
        <v>0</v>
      </c>
      <c r="AO106" s="100">
        <f t="shared" si="112"/>
        <v>0</v>
      </c>
      <c r="AP106" s="81">
        <f t="shared" si="113"/>
        <v>0</v>
      </c>
      <c r="AQ106" s="171">
        <f t="shared" si="120"/>
        <v>0</v>
      </c>
      <c r="AR106" s="189"/>
      <c r="AS106" s="172">
        <f t="shared" si="133"/>
        <v>0</v>
      </c>
      <c r="AT106" s="184"/>
      <c r="AU106" s="189"/>
      <c r="AV106" s="172"/>
      <c r="AW106" s="171">
        <f t="shared" si="121"/>
        <v>0</v>
      </c>
      <c r="AX106" s="189"/>
      <c r="AY106" s="172">
        <f t="shared" si="122"/>
        <v>0</v>
      </c>
      <c r="AZ106" s="171"/>
      <c r="BA106" s="189"/>
      <c r="BB106" s="172"/>
      <c r="BC106" s="171"/>
      <c r="BD106" s="189"/>
      <c r="BE106" s="172"/>
      <c r="BF106" s="171"/>
      <c r="BG106" s="189"/>
      <c r="BH106" s="172">
        <f t="shared" si="123"/>
        <v>0</v>
      </c>
      <c r="BI106" s="171">
        <f t="shared" si="132"/>
        <v>0</v>
      </c>
      <c r="BJ106" s="189"/>
      <c r="BK106" s="172">
        <f t="shared" si="124"/>
        <v>0</v>
      </c>
      <c r="BL106" s="171">
        <f t="shared" si="125"/>
        <v>0</v>
      </c>
      <c r="BM106" s="189"/>
      <c r="BN106" s="172">
        <f t="shared" si="126"/>
        <v>0</v>
      </c>
      <c r="BO106" s="171">
        <f t="shared" si="127"/>
        <v>0</v>
      </c>
      <c r="BP106" s="189"/>
      <c r="BQ106" s="172">
        <f t="shared" si="128"/>
        <v>0</v>
      </c>
      <c r="BR106" s="171">
        <f t="shared" si="129"/>
        <v>0</v>
      </c>
      <c r="BS106" s="189"/>
      <c r="BT106" s="172">
        <f t="shared" si="130"/>
        <v>0</v>
      </c>
      <c r="BU106" s="76">
        <f t="shared" si="131"/>
        <v>0</v>
      </c>
      <c r="BV106" s="196" t="str">
        <f>LOOKUP(BU106,'الفترة الاولى'!$BX$2:$BY$6)</f>
        <v>ممتاز</v>
      </c>
      <c r="BW106" s="77" t="e">
        <f>BU106/'الفترة الاولى'!$BZ$2</f>
        <v>#DIV/0!</v>
      </c>
    </row>
    <row r="107" spans="1:79" ht="25.2" customHeight="1" thickBot="1" x14ac:dyDescent="0.3">
      <c r="A107" s="50">
        <v>97</v>
      </c>
      <c r="B107" s="53"/>
      <c r="C107" s="101"/>
      <c r="D107" s="79"/>
      <c r="E107" s="168"/>
      <c r="F107" s="163"/>
      <c r="G107" s="89">
        <f t="shared" si="114"/>
        <v>0</v>
      </c>
      <c r="H107" s="176"/>
      <c r="I107" s="91"/>
      <c r="J107" s="173">
        <f t="shared" si="115"/>
        <v>0</v>
      </c>
      <c r="K107" s="90"/>
      <c r="L107" s="91"/>
      <c r="M107" s="89">
        <f t="shared" si="116"/>
        <v>0</v>
      </c>
      <c r="N107" s="176"/>
      <c r="O107" s="91"/>
      <c r="P107" s="173">
        <f t="shared" si="134"/>
        <v>0</v>
      </c>
      <c r="Q107" s="90"/>
      <c r="R107" s="91"/>
      <c r="S107" s="89">
        <f t="shared" si="135"/>
        <v>0</v>
      </c>
      <c r="T107" s="176"/>
      <c r="U107" s="91"/>
      <c r="V107" s="173">
        <f t="shared" si="117"/>
        <v>0</v>
      </c>
      <c r="W107" s="90"/>
      <c r="X107" s="91"/>
      <c r="Y107" s="89">
        <f t="shared" si="106"/>
        <v>0</v>
      </c>
      <c r="Z107" s="176"/>
      <c r="AA107" s="91"/>
      <c r="AB107" s="173">
        <f t="shared" si="107"/>
        <v>0</v>
      </c>
      <c r="AC107" s="90"/>
      <c r="AD107" s="91"/>
      <c r="AE107" s="89">
        <f t="shared" si="108"/>
        <v>0</v>
      </c>
      <c r="AF107" s="176"/>
      <c r="AG107" s="91"/>
      <c r="AH107" s="89">
        <f t="shared" si="118"/>
        <v>0</v>
      </c>
      <c r="AI107" s="160">
        <f t="shared" si="119"/>
        <v>0</v>
      </c>
      <c r="AJ107" s="200" t="str">
        <f t="shared" si="102"/>
        <v>ممتاز</v>
      </c>
      <c r="AK107" s="65" t="e">
        <f t="shared" si="103"/>
        <v>#DIV/0!</v>
      </c>
      <c r="AM107" s="50">
        <f t="shared" si="110"/>
        <v>97</v>
      </c>
      <c r="AN107" s="86">
        <f t="shared" si="111"/>
        <v>0</v>
      </c>
      <c r="AO107" s="98">
        <f t="shared" si="112"/>
        <v>0</v>
      </c>
      <c r="AP107" s="79">
        <f t="shared" si="113"/>
        <v>0</v>
      </c>
      <c r="AQ107" s="168">
        <f t="shared" si="120"/>
        <v>0</v>
      </c>
      <c r="AR107" s="163"/>
      <c r="AS107" s="89">
        <f t="shared" si="133"/>
        <v>0</v>
      </c>
      <c r="AT107" s="184"/>
      <c r="AU107" s="163"/>
      <c r="AV107" s="89"/>
      <c r="AW107" s="168">
        <f t="shared" si="121"/>
        <v>0</v>
      </c>
      <c r="AX107" s="163"/>
      <c r="AY107" s="89">
        <f t="shared" si="122"/>
        <v>0</v>
      </c>
      <c r="AZ107" s="168"/>
      <c r="BA107" s="163"/>
      <c r="BB107" s="89"/>
      <c r="BC107" s="168"/>
      <c r="BD107" s="163"/>
      <c r="BE107" s="89">
        <f t="shared" ref="BE107:BE142" si="136">SUM(BC107:BD107)</f>
        <v>0</v>
      </c>
      <c r="BF107" s="168"/>
      <c r="BG107" s="163"/>
      <c r="BH107" s="89">
        <f t="shared" si="123"/>
        <v>0</v>
      </c>
      <c r="BI107" s="168">
        <f t="shared" si="132"/>
        <v>0</v>
      </c>
      <c r="BJ107" s="163"/>
      <c r="BK107" s="89">
        <f t="shared" si="124"/>
        <v>0</v>
      </c>
      <c r="BL107" s="168">
        <f t="shared" si="125"/>
        <v>0</v>
      </c>
      <c r="BM107" s="163"/>
      <c r="BN107" s="89">
        <f t="shared" si="126"/>
        <v>0</v>
      </c>
      <c r="BO107" s="168">
        <f t="shared" si="127"/>
        <v>0</v>
      </c>
      <c r="BP107" s="163"/>
      <c r="BQ107" s="89">
        <f t="shared" si="128"/>
        <v>0</v>
      </c>
      <c r="BR107" s="168">
        <f t="shared" si="129"/>
        <v>0</v>
      </c>
      <c r="BS107" s="163"/>
      <c r="BT107" s="89">
        <f t="shared" si="130"/>
        <v>0</v>
      </c>
      <c r="BU107" s="72">
        <f t="shared" si="131"/>
        <v>0</v>
      </c>
      <c r="BV107" s="194" t="str">
        <f>LOOKUP(BU107,'الفترة الاولى'!$BX$2:$BY$6)</f>
        <v>ممتاز</v>
      </c>
      <c r="BW107" s="73" t="e">
        <f>BU107/'الفترة الاولى'!$BZ$2</f>
        <v>#DIV/0!</v>
      </c>
    </row>
    <row r="108" spans="1:79" ht="25.2" customHeight="1" thickBot="1" x14ac:dyDescent="0.3">
      <c r="A108" s="51">
        <v>98</v>
      </c>
      <c r="B108" s="54"/>
      <c r="C108" s="102"/>
      <c r="D108" s="80"/>
      <c r="E108" s="169"/>
      <c r="F108" s="92"/>
      <c r="G108" s="170">
        <f t="shared" si="114"/>
        <v>0</v>
      </c>
      <c r="H108" s="177"/>
      <c r="I108" s="92"/>
      <c r="J108" s="174">
        <f t="shared" si="115"/>
        <v>0</v>
      </c>
      <c r="K108" s="93"/>
      <c r="L108" s="92"/>
      <c r="M108" s="170">
        <f t="shared" si="116"/>
        <v>0</v>
      </c>
      <c r="N108" s="177"/>
      <c r="O108" s="92"/>
      <c r="P108" s="174">
        <f t="shared" si="134"/>
        <v>0</v>
      </c>
      <c r="Q108" s="93"/>
      <c r="R108" s="92"/>
      <c r="S108" s="170">
        <f t="shared" si="135"/>
        <v>0</v>
      </c>
      <c r="T108" s="177"/>
      <c r="U108" s="92"/>
      <c r="V108" s="174">
        <f t="shared" si="117"/>
        <v>0</v>
      </c>
      <c r="W108" s="93"/>
      <c r="X108" s="92"/>
      <c r="Y108" s="89">
        <f t="shared" si="106"/>
        <v>0</v>
      </c>
      <c r="Z108" s="177"/>
      <c r="AA108" s="92"/>
      <c r="AB108" s="173">
        <f t="shared" si="107"/>
        <v>0</v>
      </c>
      <c r="AC108" s="93"/>
      <c r="AD108" s="92"/>
      <c r="AE108" s="89">
        <f t="shared" si="108"/>
        <v>0</v>
      </c>
      <c r="AF108" s="177"/>
      <c r="AG108" s="92"/>
      <c r="AH108" s="170">
        <f t="shared" si="118"/>
        <v>0</v>
      </c>
      <c r="AI108" s="161">
        <f t="shared" si="119"/>
        <v>0</v>
      </c>
      <c r="AJ108" s="201" t="str">
        <f t="shared" si="102"/>
        <v>ممتاز</v>
      </c>
      <c r="AK108" s="66" t="e">
        <f t="shared" si="103"/>
        <v>#DIV/0!</v>
      </c>
      <c r="AM108" s="51">
        <f t="shared" si="110"/>
        <v>98</v>
      </c>
      <c r="AN108" s="87">
        <f t="shared" si="111"/>
        <v>0</v>
      </c>
      <c r="AO108" s="99">
        <f t="shared" si="112"/>
        <v>0</v>
      </c>
      <c r="AP108" s="80">
        <f t="shared" si="113"/>
        <v>0</v>
      </c>
      <c r="AQ108" s="169">
        <f t="shared" si="120"/>
        <v>0</v>
      </c>
      <c r="AR108" s="188"/>
      <c r="AS108" s="170">
        <f t="shared" si="133"/>
        <v>0</v>
      </c>
      <c r="AT108" s="184"/>
      <c r="AU108" s="188"/>
      <c r="AV108" s="170"/>
      <c r="AW108" s="169">
        <f t="shared" si="121"/>
        <v>0</v>
      </c>
      <c r="AX108" s="188"/>
      <c r="AY108" s="170">
        <f t="shared" si="122"/>
        <v>0</v>
      </c>
      <c r="AZ108" s="169"/>
      <c r="BA108" s="188"/>
      <c r="BB108" s="170"/>
      <c r="BC108" s="169"/>
      <c r="BD108" s="188"/>
      <c r="BE108" s="170">
        <f t="shared" si="136"/>
        <v>0</v>
      </c>
      <c r="BF108" s="169"/>
      <c r="BG108" s="188"/>
      <c r="BH108" s="170">
        <f t="shared" si="123"/>
        <v>0</v>
      </c>
      <c r="BI108" s="169">
        <f t="shared" si="132"/>
        <v>0</v>
      </c>
      <c r="BJ108" s="188"/>
      <c r="BK108" s="170">
        <f t="shared" si="124"/>
        <v>0</v>
      </c>
      <c r="BL108" s="169">
        <f t="shared" si="125"/>
        <v>0</v>
      </c>
      <c r="BM108" s="188"/>
      <c r="BN108" s="170">
        <f t="shared" si="126"/>
        <v>0</v>
      </c>
      <c r="BO108" s="169">
        <f t="shared" si="127"/>
        <v>0</v>
      </c>
      <c r="BP108" s="188"/>
      <c r="BQ108" s="170">
        <f t="shared" si="128"/>
        <v>0</v>
      </c>
      <c r="BR108" s="169">
        <f t="shared" si="129"/>
        <v>0</v>
      </c>
      <c r="BS108" s="188"/>
      <c r="BT108" s="170">
        <f t="shared" si="130"/>
        <v>0</v>
      </c>
      <c r="BU108" s="74">
        <f t="shared" si="131"/>
        <v>0</v>
      </c>
      <c r="BV108" s="195" t="str">
        <f>LOOKUP(BU108,'الفترة الاولى'!$BX$2:$BY$6)</f>
        <v>ممتاز</v>
      </c>
      <c r="BW108" s="75" t="e">
        <f>BU108/'الفترة الاولى'!$BZ$2</f>
        <v>#DIV/0!</v>
      </c>
    </row>
    <row r="109" spans="1:79" ht="25.2" customHeight="1" thickBot="1" x14ac:dyDescent="0.3">
      <c r="A109" s="52">
        <v>99</v>
      </c>
      <c r="B109" s="55"/>
      <c r="C109" s="103"/>
      <c r="D109" s="81"/>
      <c r="E109" s="171"/>
      <c r="F109" s="94"/>
      <c r="G109" s="172">
        <f t="shared" si="114"/>
        <v>0</v>
      </c>
      <c r="H109" s="178"/>
      <c r="I109" s="94"/>
      <c r="J109" s="175">
        <f t="shared" si="115"/>
        <v>0</v>
      </c>
      <c r="K109" s="95"/>
      <c r="L109" s="94"/>
      <c r="M109" s="172">
        <f t="shared" si="116"/>
        <v>0</v>
      </c>
      <c r="N109" s="178"/>
      <c r="O109" s="94"/>
      <c r="P109" s="175">
        <f t="shared" si="134"/>
        <v>0</v>
      </c>
      <c r="Q109" s="95"/>
      <c r="R109" s="94"/>
      <c r="S109" s="172">
        <f t="shared" si="135"/>
        <v>0</v>
      </c>
      <c r="T109" s="178"/>
      <c r="U109" s="94"/>
      <c r="V109" s="175">
        <f t="shared" si="117"/>
        <v>0</v>
      </c>
      <c r="W109" s="95"/>
      <c r="X109" s="94"/>
      <c r="Y109" s="89">
        <f t="shared" si="106"/>
        <v>0</v>
      </c>
      <c r="Z109" s="178"/>
      <c r="AA109" s="94"/>
      <c r="AB109" s="173">
        <f t="shared" si="107"/>
        <v>0</v>
      </c>
      <c r="AC109" s="95"/>
      <c r="AD109" s="94"/>
      <c r="AE109" s="89">
        <f t="shared" si="108"/>
        <v>0</v>
      </c>
      <c r="AF109" s="178"/>
      <c r="AG109" s="94"/>
      <c r="AH109" s="172">
        <f t="shared" si="118"/>
        <v>0</v>
      </c>
      <c r="AI109" s="162">
        <f t="shared" si="119"/>
        <v>0</v>
      </c>
      <c r="AJ109" s="202" t="str">
        <f t="shared" si="102"/>
        <v>ممتاز</v>
      </c>
      <c r="AK109" s="67" t="e">
        <f t="shared" si="103"/>
        <v>#DIV/0!</v>
      </c>
      <c r="AM109" s="52">
        <f t="shared" si="110"/>
        <v>99</v>
      </c>
      <c r="AN109" s="88">
        <f t="shared" si="111"/>
        <v>0</v>
      </c>
      <c r="AO109" s="100">
        <f t="shared" si="112"/>
        <v>0</v>
      </c>
      <c r="AP109" s="81">
        <f t="shared" si="113"/>
        <v>0</v>
      </c>
      <c r="AQ109" s="171">
        <f t="shared" si="120"/>
        <v>0</v>
      </c>
      <c r="AR109" s="189"/>
      <c r="AS109" s="172">
        <f t="shared" si="133"/>
        <v>0</v>
      </c>
      <c r="AT109" s="184"/>
      <c r="AU109" s="189"/>
      <c r="AV109" s="172"/>
      <c r="AW109" s="171">
        <f t="shared" si="121"/>
        <v>0</v>
      </c>
      <c r="AX109" s="189"/>
      <c r="AY109" s="172">
        <f t="shared" si="122"/>
        <v>0</v>
      </c>
      <c r="AZ109" s="171"/>
      <c r="BA109" s="189"/>
      <c r="BB109" s="172"/>
      <c r="BC109" s="171"/>
      <c r="BD109" s="189"/>
      <c r="BE109" s="172">
        <f t="shared" si="136"/>
        <v>0</v>
      </c>
      <c r="BF109" s="171"/>
      <c r="BG109" s="189"/>
      <c r="BH109" s="172">
        <f t="shared" si="123"/>
        <v>0</v>
      </c>
      <c r="BI109" s="171">
        <f t="shared" si="132"/>
        <v>0</v>
      </c>
      <c r="BJ109" s="189"/>
      <c r="BK109" s="172">
        <f t="shared" si="124"/>
        <v>0</v>
      </c>
      <c r="BL109" s="171">
        <f t="shared" si="125"/>
        <v>0</v>
      </c>
      <c r="BM109" s="189"/>
      <c r="BN109" s="172">
        <f t="shared" si="126"/>
        <v>0</v>
      </c>
      <c r="BO109" s="171">
        <f t="shared" si="127"/>
        <v>0</v>
      </c>
      <c r="BP109" s="189"/>
      <c r="BQ109" s="172">
        <f t="shared" si="128"/>
        <v>0</v>
      </c>
      <c r="BR109" s="171">
        <f t="shared" si="129"/>
        <v>0</v>
      </c>
      <c r="BS109" s="189"/>
      <c r="BT109" s="172">
        <f t="shared" si="130"/>
        <v>0</v>
      </c>
      <c r="BU109" s="76">
        <f t="shared" si="131"/>
        <v>0</v>
      </c>
      <c r="BV109" s="196" t="str">
        <f>LOOKUP(BU109,'الفترة الاولى'!$BX$2:$BY$6)</f>
        <v>ممتاز</v>
      </c>
      <c r="BW109" s="77" t="e">
        <f>BU109/'الفترة الاولى'!$BZ$2</f>
        <v>#DIV/0!</v>
      </c>
    </row>
    <row r="110" spans="1:79" ht="25.2" customHeight="1" thickBot="1" x14ac:dyDescent="0.3">
      <c r="A110" s="50">
        <v>100</v>
      </c>
      <c r="B110" s="53"/>
      <c r="C110" s="101"/>
      <c r="D110" s="79"/>
      <c r="E110" s="168"/>
      <c r="F110" s="163"/>
      <c r="G110" s="89">
        <f t="shared" si="114"/>
        <v>0</v>
      </c>
      <c r="H110" s="176"/>
      <c r="I110" s="91"/>
      <c r="J110" s="173">
        <f t="shared" si="115"/>
        <v>0</v>
      </c>
      <c r="K110" s="90"/>
      <c r="L110" s="91"/>
      <c r="M110" s="89">
        <f t="shared" si="116"/>
        <v>0</v>
      </c>
      <c r="N110" s="176"/>
      <c r="O110" s="91"/>
      <c r="P110" s="173">
        <f t="shared" si="134"/>
        <v>0</v>
      </c>
      <c r="Q110" s="90"/>
      <c r="R110" s="91"/>
      <c r="S110" s="89">
        <f t="shared" si="135"/>
        <v>0</v>
      </c>
      <c r="T110" s="176"/>
      <c r="U110" s="91"/>
      <c r="V110" s="173">
        <f t="shared" si="117"/>
        <v>0</v>
      </c>
      <c r="W110" s="90"/>
      <c r="X110" s="91"/>
      <c r="Y110" s="89">
        <f t="shared" si="106"/>
        <v>0</v>
      </c>
      <c r="Z110" s="176"/>
      <c r="AA110" s="91"/>
      <c r="AB110" s="173">
        <f t="shared" si="107"/>
        <v>0</v>
      </c>
      <c r="AC110" s="90"/>
      <c r="AD110" s="91"/>
      <c r="AE110" s="89">
        <f t="shared" si="108"/>
        <v>0</v>
      </c>
      <c r="AF110" s="176"/>
      <c r="AG110" s="91"/>
      <c r="AH110" s="89">
        <f t="shared" si="118"/>
        <v>0</v>
      </c>
      <c r="AI110" s="160">
        <f t="shared" si="119"/>
        <v>0</v>
      </c>
      <c r="AJ110" s="200" t="str">
        <f t="shared" si="102"/>
        <v>ممتاز</v>
      </c>
      <c r="AK110" s="65" t="e">
        <f t="shared" si="103"/>
        <v>#DIV/0!</v>
      </c>
      <c r="AM110" s="50">
        <f t="shared" si="110"/>
        <v>100</v>
      </c>
      <c r="AN110" s="86">
        <f t="shared" si="111"/>
        <v>0</v>
      </c>
      <c r="AO110" s="98">
        <f t="shared" si="112"/>
        <v>0</v>
      </c>
      <c r="AP110" s="79">
        <f t="shared" si="113"/>
        <v>0</v>
      </c>
      <c r="AQ110" s="168">
        <f t="shared" si="120"/>
        <v>0</v>
      </c>
      <c r="AR110" s="163"/>
      <c r="AS110" s="89">
        <f t="shared" si="133"/>
        <v>0</v>
      </c>
      <c r="AT110" s="184"/>
      <c r="AU110" s="163"/>
      <c r="AV110" s="89"/>
      <c r="AW110" s="168">
        <f t="shared" si="121"/>
        <v>0</v>
      </c>
      <c r="AX110" s="163"/>
      <c r="AY110" s="89">
        <f t="shared" si="122"/>
        <v>0</v>
      </c>
      <c r="AZ110" s="168"/>
      <c r="BA110" s="163"/>
      <c r="BB110" s="89"/>
      <c r="BC110" s="168"/>
      <c r="BD110" s="163"/>
      <c r="BE110" s="89">
        <f t="shared" si="136"/>
        <v>0</v>
      </c>
      <c r="BF110" s="168"/>
      <c r="BG110" s="163"/>
      <c r="BH110" s="89">
        <f t="shared" si="123"/>
        <v>0</v>
      </c>
      <c r="BI110" s="168">
        <f t="shared" si="132"/>
        <v>0</v>
      </c>
      <c r="BJ110" s="163"/>
      <c r="BK110" s="89">
        <f t="shared" si="124"/>
        <v>0</v>
      </c>
      <c r="BL110" s="168">
        <f t="shared" si="125"/>
        <v>0</v>
      </c>
      <c r="BM110" s="163"/>
      <c r="BN110" s="89">
        <f t="shared" si="126"/>
        <v>0</v>
      </c>
      <c r="BO110" s="168">
        <f t="shared" si="127"/>
        <v>0</v>
      </c>
      <c r="BP110" s="163"/>
      <c r="BQ110" s="89">
        <f t="shared" si="128"/>
        <v>0</v>
      </c>
      <c r="BR110" s="168">
        <f t="shared" si="129"/>
        <v>0</v>
      </c>
      <c r="BS110" s="163"/>
      <c r="BT110" s="89">
        <f t="shared" si="130"/>
        <v>0</v>
      </c>
      <c r="BU110" s="72">
        <f t="shared" si="131"/>
        <v>0</v>
      </c>
      <c r="BV110" s="194" t="str">
        <f>LOOKUP(BU110,'الفترة الاولى'!$BX$2:$BY$6)</f>
        <v>ممتاز</v>
      </c>
      <c r="BW110" s="73" t="e">
        <f>BU110/'الفترة الاولى'!$BZ$2</f>
        <v>#DIV/0!</v>
      </c>
    </row>
    <row r="111" spans="1:79" ht="25.2" customHeight="1" thickBot="1" x14ac:dyDescent="0.3">
      <c r="A111" s="51">
        <v>101</v>
      </c>
      <c r="B111" s="54"/>
      <c r="C111" s="102"/>
      <c r="D111" s="80"/>
      <c r="E111" s="169"/>
      <c r="F111" s="92"/>
      <c r="G111" s="170">
        <f t="shared" si="114"/>
        <v>0</v>
      </c>
      <c r="H111" s="177"/>
      <c r="I111" s="92"/>
      <c r="J111" s="174">
        <f t="shared" si="115"/>
        <v>0</v>
      </c>
      <c r="K111" s="93"/>
      <c r="L111" s="92"/>
      <c r="M111" s="170">
        <f t="shared" si="116"/>
        <v>0</v>
      </c>
      <c r="N111" s="177"/>
      <c r="O111" s="92"/>
      <c r="P111" s="174">
        <f t="shared" si="134"/>
        <v>0</v>
      </c>
      <c r="Q111" s="93"/>
      <c r="R111" s="92"/>
      <c r="S111" s="170">
        <f t="shared" si="135"/>
        <v>0</v>
      </c>
      <c r="T111" s="177"/>
      <c r="U111" s="92"/>
      <c r="V111" s="174">
        <f t="shared" si="117"/>
        <v>0</v>
      </c>
      <c r="W111" s="93"/>
      <c r="X111" s="92"/>
      <c r="Y111" s="89">
        <f t="shared" si="106"/>
        <v>0</v>
      </c>
      <c r="Z111" s="177"/>
      <c r="AA111" s="92"/>
      <c r="AB111" s="173">
        <f t="shared" si="107"/>
        <v>0</v>
      </c>
      <c r="AC111" s="93"/>
      <c r="AD111" s="92"/>
      <c r="AE111" s="89">
        <f t="shared" si="108"/>
        <v>0</v>
      </c>
      <c r="AF111" s="177"/>
      <c r="AG111" s="92"/>
      <c r="AH111" s="170">
        <f t="shared" si="118"/>
        <v>0</v>
      </c>
      <c r="AI111" s="161">
        <f t="shared" si="119"/>
        <v>0</v>
      </c>
      <c r="AJ111" s="200" t="str">
        <f t="shared" si="102"/>
        <v>ممتاز</v>
      </c>
      <c r="AK111" s="65" t="e">
        <f t="shared" si="103"/>
        <v>#DIV/0!</v>
      </c>
      <c r="AM111" s="50">
        <f>A111</f>
        <v>101</v>
      </c>
      <c r="AN111" s="87">
        <f t="shared" si="111"/>
        <v>0</v>
      </c>
      <c r="AO111" s="99">
        <f t="shared" si="112"/>
        <v>0</v>
      </c>
      <c r="AP111" s="80">
        <f t="shared" si="113"/>
        <v>0</v>
      </c>
      <c r="AQ111" s="169">
        <f t="shared" si="120"/>
        <v>0</v>
      </c>
      <c r="AR111" s="188"/>
      <c r="AS111" s="170">
        <f t="shared" si="133"/>
        <v>0</v>
      </c>
      <c r="AT111" s="184"/>
      <c r="AU111" s="188"/>
      <c r="AV111" s="170"/>
      <c r="AW111" s="169">
        <f t="shared" si="121"/>
        <v>0</v>
      </c>
      <c r="AX111" s="188"/>
      <c r="AY111" s="170">
        <f t="shared" si="122"/>
        <v>0</v>
      </c>
      <c r="AZ111" s="169"/>
      <c r="BA111" s="188"/>
      <c r="BB111" s="170"/>
      <c r="BC111" s="169"/>
      <c r="BD111" s="188"/>
      <c r="BE111" s="170">
        <f t="shared" si="136"/>
        <v>0</v>
      </c>
      <c r="BF111" s="169"/>
      <c r="BG111" s="188"/>
      <c r="BH111" s="170">
        <f t="shared" si="123"/>
        <v>0</v>
      </c>
      <c r="BI111" s="169">
        <f t="shared" si="132"/>
        <v>0</v>
      </c>
      <c r="BJ111" s="188"/>
      <c r="BK111" s="170">
        <f t="shared" si="124"/>
        <v>0</v>
      </c>
      <c r="BL111" s="169">
        <f t="shared" si="125"/>
        <v>0</v>
      </c>
      <c r="BM111" s="188"/>
      <c r="BN111" s="170">
        <f t="shared" si="126"/>
        <v>0</v>
      </c>
      <c r="BO111" s="169">
        <f t="shared" si="127"/>
        <v>0</v>
      </c>
      <c r="BP111" s="188"/>
      <c r="BQ111" s="170">
        <f t="shared" si="128"/>
        <v>0</v>
      </c>
      <c r="BR111" s="169">
        <f t="shared" si="129"/>
        <v>0</v>
      </c>
      <c r="BS111" s="188"/>
      <c r="BT111" s="170">
        <f t="shared" si="130"/>
        <v>0</v>
      </c>
      <c r="BU111" s="74">
        <f t="shared" si="131"/>
        <v>0</v>
      </c>
      <c r="BV111" s="195" t="str">
        <f>LOOKUP(BU111,'الفترة الاولى'!$BX$2:$BY$6)</f>
        <v>ممتاز</v>
      </c>
      <c r="BW111" s="75" t="e">
        <f>BU111/'الفترة الاولى'!$BZ$2</f>
        <v>#DIV/0!</v>
      </c>
      <c r="BZ111" s="42" t="s">
        <v>57</v>
      </c>
      <c r="CA111" s="43"/>
    </row>
    <row r="112" spans="1:79" ht="25.2" customHeight="1" thickBot="1" x14ac:dyDescent="0.3">
      <c r="A112" s="52">
        <v>102</v>
      </c>
      <c r="B112" s="55"/>
      <c r="C112" s="103"/>
      <c r="D112" s="81"/>
      <c r="E112" s="171"/>
      <c r="F112" s="94"/>
      <c r="G112" s="172">
        <f t="shared" si="114"/>
        <v>0</v>
      </c>
      <c r="H112" s="178"/>
      <c r="I112" s="94"/>
      <c r="J112" s="175">
        <f t="shared" si="115"/>
        <v>0</v>
      </c>
      <c r="K112" s="95"/>
      <c r="L112" s="94"/>
      <c r="M112" s="172">
        <f t="shared" si="116"/>
        <v>0</v>
      </c>
      <c r="N112" s="178"/>
      <c r="O112" s="94"/>
      <c r="P112" s="175">
        <f t="shared" si="134"/>
        <v>0</v>
      </c>
      <c r="Q112" s="95"/>
      <c r="R112" s="94"/>
      <c r="S112" s="172">
        <f t="shared" si="135"/>
        <v>0</v>
      </c>
      <c r="T112" s="178"/>
      <c r="U112" s="94"/>
      <c r="V112" s="175">
        <f t="shared" si="117"/>
        <v>0</v>
      </c>
      <c r="W112" s="95"/>
      <c r="X112" s="94"/>
      <c r="Y112" s="89">
        <f t="shared" si="106"/>
        <v>0</v>
      </c>
      <c r="Z112" s="178"/>
      <c r="AA112" s="94"/>
      <c r="AB112" s="173">
        <f t="shared" si="107"/>
        <v>0</v>
      </c>
      <c r="AC112" s="95"/>
      <c r="AD112" s="94"/>
      <c r="AE112" s="89">
        <f t="shared" si="108"/>
        <v>0</v>
      </c>
      <c r="AF112" s="178"/>
      <c r="AG112" s="94"/>
      <c r="AH112" s="172">
        <f t="shared" si="118"/>
        <v>0</v>
      </c>
      <c r="AI112" s="162">
        <f t="shared" si="119"/>
        <v>0</v>
      </c>
      <c r="AJ112" s="201" t="str">
        <f t="shared" si="102"/>
        <v>ممتاز</v>
      </c>
      <c r="AK112" s="66" t="e">
        <f t="shared" si="103"/>
        <v>#DIV/0!</v>
      </c>
      <c r="AM112" s="51">
        <f>A112</f>
        <v>102</v>
      </c>
      <c r="AN112" s="88">
        <f t="shared" si="111"/>
        <v>0</v>
      </c>
      <c r="AO112" s="100">
        <f t="shared" si="112"/>
        <v>0</v>
      </c>
      <c r="AP112" s="81">
        <f t="shared" si="113"/>
        <v>0</v>
      </c>
      <c r="AQ112" s="171">
        <f t="shared" si="120"/>
        <v>0</v>
      </c>
      <c r="AR112" s="189"/>
      <c r="AS112" s="172">
        <f t="shared" si="133"/>
        <v>0</v>
      </c>
      <c r="AT112" s="184"/>
      <c r="AU112" s="189"/>
      <c r="AV112" s="172"/>
      <c r="AW112" s="171">
        <f t="shared" si="121"/>
        <v>0</v>
      </c>
      <c r="AX112" s="189"/>
      <c r="AY112" s="172">
        <f t="shared" si="122"/>
        <v>0</v>
      </c>
      <c r="AZ112" s="171">
        <f t="shared" ref="AZ112:AZ142" si="137">N112</f>
        <v>0</v>
      </c>
      <c r="BA112" s="189"/>
      <c r="BB112" s="172">
        <f t="shared" ref="BB112:BB142" si="138">SUM(AZ112:BA112)</f>
        <v>0</v>
      </c>
      <c r="BC112" s="171">
        <f t="shared" ref="BC112:BC142" si="139">Q112</f>
        <v>0</v>
      </c>
      <c r="BD112" s="189"/>
      <c r="BE112" s="172">
        <f t="shared" si="136"/>
        <v>0</v>
      </c>
      <c r="BF112" s="171"/>
      <c r="BG112" s="189"/>
      <c r="BH112" s="172">
        <f t="shared" si="123"/>
        <v>0</v>
      </c>
      <c r="BI112" s="171">
        <f t="shared" si="132"/>
        <v>0</v>
      </c>
      <c r="BJ112" s="189"/>
      <c r="BK112" s="172">
        <f t="shared" si="124"/>
        <v>0</v>
      </c>
      <c r="BL112" s="171">
        <f t="shared" si="125"/>
        <v>0</v>
      </c>
      <c r="BM112" s="189"/>
      <c r="BN112" s="172">
        <f t="shared" si="126"/>
        <v>0</v>
      </c>
      <c r="BO112" s="171">
        <f t="shared" si="127"/>
        <v>0</v>
      </c>
      <c r="BP112" s="189"/>
      <c r="BQ112" s="172">
        <f t="shared" si="128"/>
        <v>0</v>
      </c>
      <c r="BR112" s="171">
        <f t="shared" si="129"/>
        <v>0</v>
      </c>
      <c r="BS112" s="189"/>
      <c r="BT112" s="172">
        <f t="shared" si="130"/>
        <v>0</v>
      </c>
      <c r="BU112" s="72">
        <f t="shared" si="131"/>
        <v>0</v>
      </c>
      <c r="BV112" s="194" t="str">
        <f>LOOKUP(BU112,'الفترة الاولى'!$BX$2:$BY$6)</f>
        <v>ممتاز</v>
      </c>
      <c r="BW112" s="73" t="e">
        <f>BU112/'الفترة الاولى'!$BZ$2</f>
        <v>#DIV/0!</v>
      </c>
      <c r="BZ112" s="44" t="s">
        <v>58</v>
      </c>
      <c r="CA112" s="43"/>
    </row>
    <row r="113" spans="1:79" ht="25.2" customHeight="1" thickBot="1" x14ac:dyDescent="0.3">
      <c r="A113" s="50">
        <v>103</v>
      </c>
      <c r="B113" s="53"/>
      <c r="C113" s="101"/>
      <c r="D113" s="79"/>
      <c r="E113" s="168"/>
      <c r="F113" s="163"/>
      <c r="G113" s="89">
        <f t="shared" si="114"/>
        <v>0</v>
      </c>
      <c r="H113" s="176"/>
      <c r="I113" s="91"/>
      <c r="J113" s="173">
        <f t="shared" si="115"/>
        <v>0</v>
      </c>
      <c r="K113" s="90"/>
      <c r="L113" s="91"/>
      <c r="M113" s="89">
        <f t="shared" si="116"/>
        <v>0</v>
      </c>
      <c r="N113" s="176"/>
      <c r="O113" s="91"/>
      <c r="P113" s="173">
        <f t="shared" si="134"/>
        <v>0</v>
      </c>
      <c r="Q113" s="90"/>
      <c r="R113" s="91"/>
      <c r="S113" s="89">
        <f t="shared" si="135"/>
        <v>0</v>
      </c>
      <c r="T113" s="176"/>
      <c r="U113" s="91"/>
      <c r="V113" s="173">
        <f t="shared" si="117"/>
        <v>0</v>
      </c>
      <c r="W113" s="90"/>
      <c r="X113" s="91"/>
      <c r="Y113" s="89">
        <f t="shared" si="106"/>
        <v>0</v>
      </c>
      <c r="Z113" s="176"/>
      <c r="AA113" s="91"/>
      <c r="AB113" s="173">
        <f t="shared" si="107"/>
        <v>0</v>
      </c>
      <c r="AC113" s="90"/>
      <c r="AD113" s="91"/>
      <c r="AE113" s="89">
        <f t="shared" si="108"/>
        <v>0</v>
      </c>
      <c r="AF113" s="176"/>
      <c r="AG113" s="91"/>
      <c r="AH113" s="89">
        <f t="shared" si="118"/>
        <v>0</v>
      </c>
      <c r="AI113" s="160">
        <f t="shared" si="119"/>
        <v>0</v>
      </c>
      <c r="AJ113" s="202" t="str">
        <f t="shared" si="102"/>
        <v>ممتاز</v>
      </c>
      <c r="AK113" s="67" t="e">
        <f t="shared" si="103"/>
        <v>#DIV/0!</v>
      </c>
      <c r="AM113" s="52">
        <f>A113</f>
        <v>103</v>
      </c>
      <c r="AN113" s="86">
        <f t="shared" si="111"/>
        <v>0</v>
      </c>
      <c r="AO113" s="98">
        <f t="shared" si="112"/>
        <v>0</v>
      </c>
      <c r="AP113" s="79">
        <f t="shared" si="113"/>
        <v>0</v>
      </c>
      <c r="AQ113" s="168">
        <f t="shared" si="120"/>
        <v>0</v>
      </c>
      <c r="AR113" s="163"/>
      <c r="AS113" s="89">
        <f t="shared" si="133"/>
        <v>0</v>
      </c>
      <c r="AT113" s="184"/>
      <c r="AU113" s="163"/>
      <c r="AV113" s="89"/>
      <c r="AW113" s="168">
        <f t="shared" si="121"/>
        <v>0</v>
      </c>
      <c r="AX113" s="163"/>
      <c r="AY113" s="89">
        <f t="shared" si="122"/>
        <v>0</v>
      </c>
      <c r="AZ113" s="168">
        <f t="shared" si="137"/>
        <v>0</v>
      </c>
      <c r="BA113" s="163"/>
      <c r="BB113" s="89">
        <f t="shared" si="138"/>
        <v>0</v>
      </c>
      <c r="BC113" s="168">
        <f t="shared" si="139"/>
        <v>0</v>
      </c>
      <c r="BD113" s="163"/>
      <c r="BE113" s="89">
        <f t="shared" si="136"/>
        <v>0</v>
      </c>
      <c r="BF113" s="168"/>
      <c r="BG113" s="163"/>
      <c r="BH113" s="89">
        <f t="shared" si="123"/>
        <v>0</v>
      </c>
      <c r="BI113" s="168">
        <f t="shared" si="132"/>
        <v>0</v>
      </c>
      <c r="BJ113" s="163"/>
      <c r="BK113" s="89">
        <f t="shared" si="124"/>
        <v>0</v>
      </c>
      <c r="BL113" s="168">
        <f t="shared" si="125"/>
        <v>0</v>
      </c>
      <c r="BM113" s="163"/>
      <c r="BN113" s="89">
        <f t="shared" si="126"/>
        <v>0</v>
      </c>
      <c r="BO113" s="168">
        <f t="shared" si="127"/>
        <v>0</v>
      </c>
      <c r="BP113" s="163"/>
      <c r="BQ113" s="89">
        <f t="shared" si="128"/>
        <v>0</v>
      </c>
      <c r="BR113" s="168">
        <f t="shared" si="129"/>
        <v>0</v>
      </c>
      <c r="BS113" s="163"/>
      <c r="BT113" s="89">
        <f t="shared" si="130"/>
        <v>0</v>
      </c>
      <c r="BU113" s="74">
        <f t="shared" si="131"/>
        <v>0</v>
      </c>
      <c r="BV113" s="195" t="str">
        <f>LOOKUP(BU113,'الفترة الاولى'!$BX$2:$BY$6)</f>
        <v>ممتاز</v>
      </c>
      <c r="BW113" s="75" t="e">
        <f>BU113/'الفترة الاولى'!$BZ$2</f>
        <v>#DIV/0!</v>
      </c>
      <c r="BZ113" s="44" t="s">
        <v>59</v>
      </c>
      <c r="CA113" s="43"/>
    </row>
    <row r="114" spans="1:79" ht="25.2" customHeight="1" thickBot="1" x14ac:dyDescent="0.3">
      <c r="A114" s="51">
        <v>104</v>
      </c>
      <c r="B114" s="54"/>
      <c r="C114" s="102"/>
      <c r="D114" s="80"/>
      <c r="E114" s="169"/>
      <c r="F114" s="92"/>
      <c r="G114" s="170">
        <f t="shared" si="114"/>
        <v>0</v>
      </c>
      <c r="H114" s="177"/>
      <c r="I114" s="92"/>
      <c r="J114" s="174">
        <f t="shared" si="115"/>
        <v>0</v>
      </c>
      <c r="K114" s="93"/>
      <c r="L114" s="92"/>
      <c r="M114" s="170">
        <f t="shared" si="116"/>
        <v>0</v>
      </c>
      <c r="N114" s="177"/>
      <c r="O114" s="92"/>
      <c r="P114" s="174">
        <f t="shared" si="134"/>
        <v>0</v>
      </c>
      <c r="Q114" s="93"/>
      <c r="R114" s="92"/>
      <c r="S114" s="170">
        <f t="shared" si="135"/>
        <v>0</v>
      </c>
      <c r="T114" s="177"/>
      <c r="U114" s="92"/>
      <c r="V114" s="174">
        <f t="shared" si="117"/>
        <v>0</v>
      </c>
      <c r="W114" s="93"/>
      <c r="X114" s="92"/>
      <c r="Y114" s="89">
        <f t="shared" si="106"/>
        <v>0</v>
      </c>
      <c r="Z114" s="177"/>
      <c r="AA114" s="92"/>
      <c r="AB114" s="173">
        <f t="shared" si="107"/>
        <v>0</v>
      </c>
      <c r="AC114" s="93"/>
      <c r="AD114" s="92"/>
      <c r="AE114" s="89">
        <f t="shared" si="108"/>
        <v>0</v>
      </c>
      <c r="AF114" s="177"/>
      <c r="AG114" s="92"/>
      <c r="AH114" s="170">
        <f t="shared" si="118"/>
        <v>0</v>
      </c>
      <c r="AI114" s="161">
        <f t="shared" si="119"/>
        <v>0</v>
      </c>
      <c r="AJ114" s="200" t="str">
        <f t="shared" si="102"/>
        <v>ممتاز</v>
      </c>
      <c r="AK114" s="65" t="e">
        <f t="shared" si="103"/>
        <v>#DIV/0!</v>
      </c>
      <c r="AM114" s="50">
        <f t="shared" ref="AM114:AM177" si="140">A114</f>
        <v>104</v>
      </c>
      <c r="AN114" s="87">
        <f t="shared" si="111"/>
        <v>0</v>
      </c>
      <c r="AO114" s="99">
        <f t="shared" si="112"/>
        <v>0</v>
      </c>
      <c r="AP114" s="80">
        <f t="shared" si="113"/>
        <v>0</v>
      </c>
      <c r="AQ114" s="169">
        <f t="shared" si="120"/>
        <v>0</v>
      </c>
      <c r="AR114" s="188"/>
      <c r="AS114" s="170">
        <f t="shared" si="133"/>
        <v>0</v>
      </c>
      <c r="AT114" s="184"/>
      <c r="AU114" s="188"/>
      <c r="AV114" s="170"/>
      <c r="AW114" s="169">
        <f t="shared" si="121"/>
        <v>0</v>
      </c>
      <c r="AX114" s="188"/>
      <c r="AY114" s="170">
        <f t="shared" si="122"/>
        <v>0</v>
      </c>
      <c r="AZ114" s="169">
        <f t="shared" si="137"/>
        <v>0</v>
      </c>
      <c r="BA114" s="188"/>
      <c r="BB114" s="170">
        <f t="shared" si="138"/>
        <v>0</v>
      </c>
      <c r="BC114" s="169">
        <f t="shared" si="139"/>
        <v>0</v>
      </c>
      <c r="BD114" s="188"/>
      <c r="BE114" s="170">
        <f t="shared" si="136"/>
        <v>0</v>
      </c>
      <c r="BF114" s="169"/>
      <c r="BG114" s="188"/>
      <c r="BH114" s="170">
        <f t="shared" si="123"/>
        <v>0</v>
      </c>
      <c r="BI114" s="169">
        <f t="shared" si="132"/>
        <v>0</v>
      </c>
      <c r="BJ114" s="188"/>
      <c r="BK114" s="170">
        <f t="shared" si="124"/>
        <v>0</v>
      </c>
      <c r="BL114" s="169">
        <f t="shared" si="125"/>
        <v>0</v>
      </c>
      <c r="BM114" s="188"/>
      <c r="BN114" s="170">
        <f t="shared" si="126"/>
        <v>0</v>
      </c>
      <c r="BO114" s="169">
        <f t="shared" si="127"/>
        <v>0</v>
      </c>
      <c r="BP114" s="188"/>
      <c r="BQ114" s="170">
        <f t="shared" si="128"/>
        <v>0</v>
      </c>
      <c r="BR114" s="169">
        <f t="shared" si="129"/>
        <v>0</v>
      </c>
      <c r="BS114" s="188"/>
      <c r="BT114" s="170">
        <f t="shared" si="130"/>
        <v>0</v>
      </c>
      <c r="BU114" s="76">
        <f t="shared" si="131"/>
        <v>0</v>
      </c>
      <c r="BV114" s="196" t="str">
        <f>LOOKUP(BU114,'الفترة الاولى'!$BX$2:$BY$6)</f>
        <v>ممتاز</v>
      </c>
      <c r="BW114" s="77" t="e">
        <f>BU114/'الفترة الاولى'!$BZ$2</f>
        <v>#DIV/0!</v>
      </c>
      <c r="BZ114" s="47" t="s">
        <v>60</v>
      </c>
      <c r="CA114" s="43"/>
    </row>
    <row r="115" spans="1:79" ht="25.2" customHeight="1" thickBot="1" x14ac:dyDescent="0.3">
      <c r="A115" s="52">
        <v>105</v>
      </c>
      <c r="B115" s="55"/>
      <c r="C115" s="103"/>
      <c r="D115" s="81"/>
      <c r="E115" s="171"/>
      <c r="F115" s="94"/>
      <c r="G115" s="172">
        <f t="shared" si="114"/>
        <v>0</v>
      </c>
      <c r="H115" s="178"/>
      <c r="I115" s="94"/>
      <c r="J115" s="175">
        <f t="shared" si="115"/>
        <v>0</v>
      </c>
      <c r="K115" s="95"/>
      <c r="L115" s="94"/>
      <c r="M115" s="172">
        <f t="shared" si="116"/>
        <v>0</v>
      </c>
      <c r="N115" s="178"/>
      <c r="O115" s="94"/>
      <c r="P115" s="175">
        <f t="shared" si="134"/>
        <v>0</v>
      </c>
      <c r="Q115" s="95"/>
      <c r="R115" s="94"/>
      <c r="S115" s="172">
        <f t="shared" si="135"/>
        <v>0</v>
      </c>
      <c r="T115" s="178"/>
      <c r="U115" s="94"/>
      <c r="V115" s="175">
        <f t="shared" si="117"/>
        <v>0</v>
      </c>
      <c r="W115" s="95"/>
      <c r="X115" s="94"/>
      <c r="Y115" s="89">
        <f t="shared" si="106"/>
        <v>0</v>
      </c>
      <c r="Z115" s="178"/>
      <c r="AA115" s="94"/>
      <c r="AB115" s="173">
        <f t="shared" si="107"/>
        <v>0</v>
      </c>
      <c r="AC115" s="95"/>
      <c r="AD115" s="94"/>
      <c r="AE115" s="89">
        <f t="shared" si="108"/>
        <v>0</v>
      </c>
      <c r="AF115" s="178"/>
      <c r="AG115" s="94"/>
      <c r="AH115" s="172">
        <f t="shared" si="118"/>
        <v>0</v>
      </c>
      <c r="AI115" s="162">
        <f t="shared" si="119"/>
        <v>0</v>
      </c>
      <c r="AJ115" s="201" t="str">
        <f t="shared" si="102"/>
        <v>ممتاز</v>
      </c>
      <c r="AK115" s="66" t="e">
        <f t="shared" si="103"/>
        <v>#DIV/0!</v>
      </c>
      <c r="AM115" s="51">
        <f t="shared" si="140"/>
        <v>105</v>
      </c>
      <c r="AN115" s="88">
        <f t="shared" si="111"/>
        <v>0</v>
      </c>
      <c r="AO115" s="100">
        <f t="shared" si="112"/>
        <v>0</v>
      </c>
      <c r="AP115" s="81">
        <f t="shared" si="113"/>
        <v>0</v>
      </c>
      <c r="AQ115" s="171">
        <f t="shared" si="120"/>
        <v>0</v>
      </c>
      <c r="AR115" s="189"/>
      <c r="AS115" s="172">
        <f t="shared" si="133"/>
        <v>0</v>
      </c>
      <c r="AT115" s="184"/>
      <c r="AU115" s="189"/>
      <c r="AV115" s="172"/>
      <c r="AW115" s="171">
        <f t="shared" si="121"/>
        <v>0</v>
      </c>
      <c r="AX115" s="189"/>
      <c r="AY115" s="172">
        <f t="shared" si="122"/>
        <v>0</v>
      </c>
      <c r="AZ115" s="171">
        <f t="shared" si="137"/>
        <v>0</v>
      </c>
      <c r="BA115" s="189"/>
      <c r="BB115" s="172">
        <f t="shared" si="138"/>
        <v>0</v>
      </c>
      <c r="BC115" s="171">
        <f t="shared" si="139"/>
        <v>0</v>
      </c>
      <c r="BD115" s="189"/>
      <c r="BE115" s="172">
        <f t="shared" si="136"/>
        <v>0</v>
      </c>
      <c r="BF115" s="171"/>
      <c r="BG115" s="189"/>
      <c r="BH115" s="172">
        <f t="shared" si="123"/>
        <v>0</v>
      </c>
      <c r="BI115" s="171">
        <f t="shared" si="132"/>
        <v>0</v>
      </c>
      <c r="BJ115" s="189"/>
      <c r="BK115" s="172">
        <f t="shared" si="124"/>
        <v>0</v>
      </c>
      <c r="BL115" s="171">
        <f t="shared" si="125"/>
        <v>0</v>
      </c>
      <c r="BM115" s="189"/>
      <c r="BN115" s="172">
        <f t="shared" si="126"/>
        <v>0</v>
      </c>
      <c r="BO115" s="171">
        <f t="shared" si="127"/>
        <v>0</v>
      </c>
      <c r="BP115" s="189"/>
      <c r="BQ115" s="172">
        <f t="shared" si="128"/>
        <v>0</v>
      </c>
      <c r="BR115" s="171">
        <f t="shared" si="129"/>
        <v>0</v>
      </c>
      <c r="BS115" s="189"/>
      <c r="BT115" s="172">
        <f t="shared" si="130"/>
        <v>0</v>
      </c>
      <c r="BU115" s="72">
        <f t="shared" si="131"/>
        <v>0</v>
      </c>
      <c r="BV115" s="194" t="str">
        <f>LOOKUP(BU115,'الفترة الاولى'!$BX$2:$BY$6)</f>
        <v>ممتاز</v>
      </c>
      <c r="BW115" s="73" t="e">
        <f>BU115/'الفترة الاولى'!$BZ$2</f>
        <v>#DIV/0!</v>
      </c>
      <c r="BZ115" s="42" t="s">
        <v>61</v>
      </c>
      <c r="CA115" s="43"/>
    </row>
    <row r="116" spans="1:79" ht="25.2" customHeight="1" thickBot="1" x14ac:dyDescent="0.3">
      <c r="A116" s="50">
        <v>106</v>
      </c>
      <c r="B116" s="53"/>
      <c r="C116" s="101"/>
      <c r="D116" s="79"/>
      <c r="E116" s="168"/>
      <c r="F116" s="163"/>
      <c r="G116" s="89">
        <f t="shared" si="114"/>
        <v>0</v>
      </c>
      <c r="H116" s="176"/>
      <c r="I116" s="91"/>
      <c r="J116" s="173">
        <f t="shared" si="115"/>
        <v>0</v>
      </c>
      <c r="K116" s="90"/>
      <c r="L116" s="91"/>
      <c r="M116" s="89">
        <f t="shared" si="116"/>
        <v>0</v>
      </c>
      <c r="N116" s="176"/>
      <c r="O116" s="91"/>
      <c r="P116" s="173">
        <f t="shared" si="134"/>
        <v>0</v>
      </c>
      <c r="Q116" s="90"/>
      <c r="R116" s="91"/>
      <c r="S116" s="89">
        <f t="shared" si="135"/>
        <v>0</v>
      </c>
      <c r="T116" s="176"/>
      <c r="U116" s="91"/>
      <c r="V116" s="173">
        <f t="shared" si="117"/>
        <v>0</v>
      </c>
      <c r="W116" s="90"/>
      <c r="X116" s="91"/>
      <c r="Y116" s="89">
        <f t="shared" ref="Y116:Y142" si="141">SUM(W116:X116)</f>
        <v>0</v>
      </c>
      <c r="Z116" s="176"/>
      <c r="AA116" s="91"/>
      <c r="AB116" s="173">
        <f t="shared" si="107"/>
        <v>0</v>
      </c>
      <c r="AC116" s="90"/>
      <c r="AD116" s="91"/>
      <c r="AE116" s="89">
        <f t="shared" si="108"/>
        <v>0</v>
      </c>
      <c r="AF116" s="176"/>
      <c r="AG116" s="91"/>
      <c r="AH116" s="89">
        <f t="shared" si="118"/>
        <v>0</v>
      </c>
      <c r="AI116" s="160">
        <f t="shared" si="119"/>
        <v>0</v>
      </c>
      <c r="AJ116" s="202" t="str">
        <f t="shared" si="102"/>
        <v>ممتاز</v>
      </c>
      <c r="AK116" s="67" t="e">
        <f t="shared" si="103"/>
        <v>#DIV/0!</v>
      </c>
      <c r="AM116" s="52">
        <f t="shared" si="140"/>
        <v>106</v>
      </c>
      <c r="AN116" s="86">
        <f t="shared" si="111"/>
        <v>0</v>
      </c>
      <c r="AO116" s="98">
        <f t="shared" si="112"/>
        <v>0</v>
      </c>
      <c r="AP116" s="79">
        <f t="shared" si="113"/>
        <v>0</v>
      </c>
      <c r="AQ116" s="168">
        <f t="shared" si="120"/>
        <v>0</v>
      </c>
      <c r="AR116" s="163"/>
      <c r="AS116" s="89">
        <f t="shared" si="133"/>
        <v>0</v>
      </c>
      <c r="AT116" s="184"/>
      <c r="AU116" s="163"/>
      <c r="AV116" s="89"/>
      <c r="AW116" s="168">
        <f t="shared" si="121"/>
        <v>0</v>
      </c>
      <c r="AX116" s="163"/>
      <c r="AY116" s="89">
        <f t="shared" si="122"/>
        <v>0</v>
      </c>
      <c r="AZ116" s="168">
        <f t="shared" si="137"/>
        <v>0</v>
      </c>
      <c r="BA116" s="163"/>
      <c r="BB116" s="89">
        <f t="shared" si="138"/>
        <v>0</v>
      </c>
      <c r="BC116" s="168">
        <f t="shared" si="139"/>
        <v>0</v>
      </c>
      <c r="BD116" s="163"/>
      <c r="BE116" s="89">
        <f t="shared" si="136"/>
        <v>0</v>
      </c>
      <c r="BF116" s="168"/>
      <c r="BG116" s="163"/>
      <c r="BH116" s="89">
        <f t="shared" si="123"/>
        <v>0</v>
      </c>
      <c r="BI116" s="168">
        <f t="shared" si="132"/>
        <v>0</v>
      </c>
      <c r="BJ116" s="163"/>
      <c r="BK116" s="89">
        <f t="shared" si="124"/>
        <v>0</v>
      </c>
      <c r="BL116" s="168">
        <f t="shared" si="125"/>
        <v>0</v>
      </c>
      <c r="BM116" s="163"/>
      <c r="BN116" s="89">
        <f t="shared" si="126"/>
        <v>0</v>
      </c>
      <c r="BO116" s="168">
        <f t="shared" si="127"/>
        <v>0</v>
      </c>
      <c r="BP116" s="163"/>
      <c r="BQ116" s="89">
        <f t="shared" si="128"/>
        <v>0</v>
      </c>
      <c r="BR116" s="168">
        <f t="shared" si="129"/>
        <v>0</v>
      </c>
      <c r="BS116" s="163"/>
      <c r="BT116" s="89">
        <f t="shared" si="130"/>
        <v>0</v>
      </c>
      <c r="BU116" s="74">
        <f t="shared" si="131"/>
        <v>0</v>
      </c>
      <c r="BV116" s="195" t="str">
        <f>LOOKUP(BU116,'الفترة الاولى'!$BX$2:$BY$6)</f>
        <v>ممتاز</v>
      </c>
      <c r="BW116" s="75" t="e">
        <f>BU116/'الفترة الاولى'!$BZ$2</f>
        <v>#DIV/0!</v>
      </c>
      <c r="BZ116" s="42" t="s">
        <v>33</v>
      </c>
      <c r="CA116" s="43"/>
    </row>
    <row r="117" spans="1:79" ht="25.2" customHeight="1" thickBot="1" x14ac:dyDescent="0.3">
      <c r="A117" s="51">
        <v>107</v>
      </c>
      <c r="B117" s="54"/>
      <c r="C117" s="102"/>
      <c r="D117" s="80"/>
      <c r="E117" s="169"/>
      <c r="F117" s="92"/>
      <c r="G117" s="170">
        <f t="shared" si="114"/>
        <v>0</v>
      </c>
      <c r="H117" s="177"/>
      <c r="I117" s="92"/>
      <c r="J117" s="174">
        <f t="shared" si="115"/>
        <v>0</v>
      </c>
      <c r="K117" s="93"/>
      <c r="L117" s="92"/>
      <c r="M117" s="170">
        <f t="shared" si="116"/>
        <v>0</v>
      </c>
      <c r="N117" s="177"/>
      <c r="O117" s="92"/>
      <c r="P117" s="174">
        <f t="shared" si="134"/>
        <v>0</v>
      </c>
      <c r="Q117" s="93"/>
      <c r="R117" s="92"/>
      <c r="S117" s="170">
        <f t="shared" si="135"/>
        <v>0</v>
      </c>
      <c r="T117" s="177"/>
      <c r="U117" s="92"/>
      <c r="V117" s="174">
        <f t="shared" si="117"/>
        <v>0</v>
      </c>
      <c r="W117" s="93"/>
      <c r="X117" s="92"/>
      <c r="Y117" s="170">
        <f t="shared" si="141"/>
        <v>0</v>
      </c>
      <c r="Z117" s="177"/>
      <c r="AA117" s="92"/>
      <c r="AB117" s="173">
        <f t="shared" si="107"/>
        <v>0</v>
      </c>
      <c r="AC117" s="93"/>
      <c r="AD117" s="92"/>
      <c r="AE117" s="89">
        <f t="shared" si="108"/>
        <v>0</v>
      </c>
      <c r="AF117" s="177"/>
      <c r="AG117" s="92"/>
      <c r="AH117" s="170">
        <f t="shared" si="118"/>
        <v>0</v>
      </c>
      <c r="AI117" s="161">
        <f t="shared" si="119"/>
        <v>0</v>
      </c>
      <c r="AJ117" s="200" t="str">
        <f t="shared" si="102"/>
        <v>ممتاز</v>
      </c>
      <c r="AK117" s="65" t="e">
        <f t="shared" si="103"/>
        <v>#DIV/0!</v>
      </c>
      <c r="AM117" s="50">
        <f t="shared" si="140"/>
        <v>107</v>
      </c>
      <c r="AN117" s="87">
        <f t="shared" si="111"/>
        <v>0</v>
      </c>
      <c r="AO117" s="99">
        <f t="shared" si="112"/>
        <v>0</v>
      </c>
      <c r="AP117" s="80">
        <f t="shared" si="113"/>
        <v>0</v>
      </c>
      <c r="AQ117" s="169">
        <f t="shared" si="120"/>
        <v>0</v>
      </c>
      <c r="AR117" s="188"/>
      <c r="AS117" s="170">
        <f t="shared" si="133"/>
        <v>0</v>
      </c>
      <c r="AT117" s="184"/>
      <c r="AU117" s="188"/>
      <c r="AV117" s="170"/>
      <c r="AW117" s="169">
        <f t="shared" si="121"/>
        <v>0</v>
      </c>
      <c r="AX117" s="188"/>
      <c r="AY117" s="170">
        <f t="shared" si="122"/>
        <v>0</v>
      </c>
      <c r="AZ117" s="169">
        <f t="shared" si="137"/>
        <v>0</v>
      </c>
      <c r="BA117" s="188"/>
      <c r="BB117" s="170">
        <f t="shared" si="138"/>
        <v>0</v>
      </c>
      <c r="BC117" s="169">
        <f t="shared" si="139"/>
        <v>0</v>
      </c>
      <c r="BD117" s="188"/>
      <c r="BE117" s="170">
        <f t="shared" si="136"/>
        <v>0</v>
      </c>
      <c r="BF117" s="169"/>
      <c r="BG117" s="188"/>
      <c r="BH117" s="170">
        <f t="shared" si="123"/>
        <v>0</v>
      </c>
      <c r="BI117" s="169">
        <f t="shared" si="132"/>
        <v>0</v>
      </c>
      <c r="BJ117" s="188"/>
      <c r="BK117" s="170">
        <f t="shared" si="124"/>
        <v>0</v>
      </c>
      <c r="BL117" s="169">
        <f t="shared" si="125"/>
        <v>0</v>
      </c>
      <c r="BM117" s="188"/>
      <c r="BN117" s="170">
        <f t="shared" si="126"/>
        <v>0</v>
      </c>
      <c r="BO117" s="169">
        <f t="shared" si="127"/>
        <v>0</v>
      </c>
      <c r="BP117" s="188"/>
      <c r="BQ117" s="170">
        <f t="shared" si="128"/>
        <v>0</v>
      </c>
      <c r="BR117" s="169">
        <f t="shared" si="129"/>
        <v>0</v>
      </c>
      <c r="BS117" s="188"/>
      <c r="BT117" s="170">
        <f t="shared" si="130"/>
        <v>0</v>
      </c>
      <c r="BU117" s="76">
        <f t="shared" si="131"/>
        <v>0</v>
      </c>
      <c r="BV117" s="196" t="str">
        <f>LOOKUP(BU117,'الفترة الاولى'!$BX$2:$BY$6)</f>
        <v>ممتاز</v>
      </c>
      <c r="BW117" s="77" t="e">
        <f>BU117/'الفترة الاولى'!$BZ$2</f>
        <v>#DIV/0!</v>
      </c>
      <c r="BZ117" s="42" t="s">
        <v>62</v>
      </c>
      <c r="CA117" s="43" t="s">
        <v>63</v>
      </c>
    </row>
    <row r="118" spans="1:79" ht="25.2" customHeight="1" thickBot="1" x14ac:dyDescent="0.3">
      <c r="A118" s="52">
        <v>108</v>
      </c>
      <c r="B118" s="55"/>
      <c r="C118" s="103"/>
      <c r="D118" s="81"/>
      <c r="E118" s="171"/>
      <c r="F118" s="94"/>
      <c r="G118" s="172">
        <f t="shared" si="114"/>
        <v>0</v>
      </c>
      <c r="H118" s="178"/>
      <c r="I118" s="94"/>
      <c r="J118" s="175">
        <f t="shared" si="115"/>
        <v>0</v>
      </c>
      <c r="K118" s="95"/>
      <c r="L118" s="94"/>
      <c r="M118" s="172">
        <f t="shared" si="116"/>
        <v>0</v>
      </c>
      <c r="N118" s="178"/>
      <c r="O118" s="94"/>
      <c r="P118" s="175">
        <f t="shared" si="134"/>
        <v>0</v>
      </c>
      <c r="Q118" s="95"/>
      <c r="R118" s="94"/>
      <c r="S118" s="172">
        <f t="shared" si="135"/>
        <v>0</v>
      </c>
      <c r="T118" s="178"/>
      <c r="U118" s="94"/>
      <c r="V118" s="175">
        <f t="shared" si="117"/>
        <v>0</v>
      </c>
      <c r="W118" s="95"/>
      <c r="X118" s="94"/>
      <c r="Y118" s="172">
        <f t="shared" si="141"/>
        <v>0</v>
      </c>
      <c r="Z118" s="178"/>
      <c r="AA118" s="94"/>
      <c r="AB118" s="173">
        <f t="shared" si="107"/>
        <v>0</v>
      </c>
      <c r="AC118" s="95"/>
      <c r="AD118" s="94"/>
      <c r="AE118" s="89">
        <f t="shared" si="108"/>
        <v>0</v>
      </c>
      <c r="AF118" s="178"/>
      <c r="AG118" s="94"/>
      <c r="AH118" s="172">
        <f t="shared" si="118"/>
        <v>0</v>
      </c>
      <c r="AI118" s="162">
        <f t="shared" si="119"/>
        <v>0</v>
      </c>
      <c r="AJ118" s="201" t="str">
        <f t="shared" si="102"/>
        <v>ممتاز</v>
      </c>
      <c r="AK118" s="66" t="e">
        <f t="shared" si="103"/>
        <v>#DIV/0!</v>
      </c>
      <c r="AM118" s="51">
        <f t="shared" si="140"/>
        <v>108</v>
      </c>
      <c r="AN118" s="88">
        <f t="shared" si="111"/>
        <v>0</v>
      </c>
      <c r="AO118" s="100">
        <f t="shared" si="112"/>
        <v>0</v>
      </c>
      <c r="AP118" s="81">
        <f t="shared" si="113"/>
        <v>0</v>
      </c>
      <c r="AQ118" s="171">
        <f t="shared" si="120"/>
        <v>0</v>
      </c>
      <c r="AR118" s="189"/>
      <c r="AS118" s="172">
        <f t="shared" si="133"/>
        <v>0</v>
      </c>
      <c r="AT118" s="184"/>
      <c r="AU118" s="189"/>
      <c r="AV118" s="172"/>
      <c r="AW118" s="171">
        <f t="shared" si="121"/>
        <v>0</v>
      </c>
      <c r="AX118" s="189"/>
      <c r="AY118" s="172">
        <f t="shared" si="122"/>
        <v>0</v>
      </c>
      <c r="AZ118" s="171">
        <f t="shared" si="137"/>
        <v>0</v>
      </c>
      <c r="BA118" s="189"/>
      <c r="BB118" s="172">
        <f t="shared" si="138"/>
        <v>0</v>
      </c>
      <c r="BC118" s="171">
        <f t="shared" si="139"/>
        <v>0</v>
      </c>
      <c r="BD118" s="189"/>
      <c r="BE118" s="172">
        <f t="shared" si="136"/>
        <v>0</v>
      </c>
      <c r="BF118" s="171"/>
      <c r="BG118" s="189"/>
      <c r="BH118" s="172">
        <f t="shared" si="123"/>
        <v>0</v>
      </c>
      <c r="BI118" s="171">
        <f t="shared" si="132"/>
        <v>0</v>
      </c>
      <c r="BJ118" s="189"/>
      <c r="BK118" s="172">
        <f t="shared" si="124"/>
        <v>0</v>
      </c>
      <c r="BL118" s="171">
        <f t="shared" si="125"/>
        <v>0</v>
      </c>
      <c r="BM118" s="189"/>
      <c r="BN118" s="172">
        <f t="shared" si="126"/>
        <v>0</v>
      </c>
      <c r="BO118" s="171">
        <f t="shared" si="127"/>
        <v>0</v>
      </c>
      <c r="BP118" s="189"/>
      <c r="BQ118" s="172">
        <f t="shared" si="128"/>
        <v>0</v>
      </c>
      <c r="BR118" s="171">
        <f t="shared" si="129"/>
        <v>0</v>
      </c>
      <c r="BS118" s="189"/>
      <c r="BT118" s="172">
        <f t="shared" si="130"/>
        <v>0</v>
      </c>
      <c r="BU118" s="72">
        <f t="shared" si="131"/>
        <v>0</v>
      </c>
      <c r="BV118" s="194" t="str">
        <f>LOOKUP(BU118,'الفترة الاولى'!$BX$2:$BY$6)</f>
        <v>ممتاز</v>
      </c>
      <c r="BW118" s="73" t="e">
        <f>BU118/'الفترة الاولى'!$BZ$2</f>
        <v>#DIV/0!</v>
      </c>
      <c r="BZ118" s="42" t="s">
        <v>64</v>
      </c>
      <c r="CA118" s="45"/>
    </row>
    <row r="119" spans="1:79" ht="25.2" customHeight="1" thickBot="1" x14ac:dyDescent="0.3">
      <c r="A119" s="50">
        <v>109</v>
      </c>
      <c r="B119" s="53"/>
      <c r="C119" s="101"/>
      <c r="D119" s="79"/>
      <c r="E119" s="168"/>
      <c r="F119" s="163"/>
      <c r="G119" s="89">
        <f t="shared" si="114"/>
        <v>0</v>
      </c>
      <c r="H119" s="176"/>
      <c r="I119" s="91"/>
      <c r="J119" s="173">
        <f t="shared" si="115"/>
        <v>0</v>
      </c>
      <c r="K119" s="90"/>
      <c r="L119" s="91"/>
      <c r="M119" s="89">
        <f t="shared" si="116"/>
        <v>0</v>
      </c>
      <c r="N119" s="176"/>
      <c r="O119" s="91"/>
      <c r="P119" s="173">
        <f t="shared" si="134"/>
        <v>0</v>
      </c>
      <c r="Q119" s="90"/>
      <c r="R119" s="91"/>
      <c r="S119" s="89">
        <f t="shared" si="135"/>
        <v>0</v>
      </c>
      <c r="T119" s="176"/>
      <c r="U119" s="91"/>
      <c r="V119" s="173">
        <f t="shared" si="117"/>
        <v>0</v>
      </c>
      <c r="W119" s="90"/>
      <c r="X119" s="91"/>
      <c r="Y119" s="89">
        <f t="shared" si="141"/>
        <v>0</v>
      </c>
      <c r="Z119" s="176"/>
      <c r="AA119" s="91"/>
      <c r="AB119" s="173">
        <f t="shared" si="107"/>
        <v>0</v>
      </c>
      <c r="AC119" s="90"/>
      <c r="AD119" s="91"/>
      <c r="AE119" s="89">
        <f t="shared" si="108"/>
        <v>0</v>
      </c>
      <c r="AF119" s="176"/>
      <c r="AG119" s="91"/>
      <c r="AH119" s="89">
        <f t="shared" si="118"/>
        <v>0</v>
      </c>
      <c r="AI119" s="160">
        <f t="shared" si="119"/>
        <v>0</v>
      </c>
      <c r="AJ119" s="202" t="str">
        <f t="shared" si="102"/>
        <v>ممتاز</v>
      </c>
      <c r="AK119" s="67" t="e">
        <f t="shared" si="103"/>
        <v>#DIV/0!</v>
      </c>
      <c r="AM119" s="52">
        <f t="shared" si="140"/>
        <v>109</v>
      </c>
      <c r="AN119" s="86">
        <f t="shared" si="111"/>
        <v>0</v>
      </c>
      <c r="AO119" s="98">
        <f t="shared" si="112"/>
        <v>0</v>
      </c>
      <c r="AP119" s="79">
        <f t="shared" si="113"/>
        <v>0</v>
      </c>
      <c r="AQ119" s="168">
        <f t="shared" si="120"/>
        <v>0</v>
      </c>
      <c r="AR119" s="163"/>
      <c r="AS119" s="89">
        <f t="shared" si="133"/>
        <v>0</v>
      </c>
      <c r="AT119" s="184"/>
      <c r="AU119" s="163"/>
      <c r="AV119" s="89"/>
      <c r="AW119" s="168">
        <f t="shared" si="121"/>
        <v>0</v>
      </c>
      <c r="AX119" s="163"/>
      <c r="AY119" s="89">
        <f t="shared" si="122"/>
        <v>0</v>
      </c>
      <c r="AZ119" s="168">
        <f t="shared" si="137"/>
        <v>0</v>
      </c>
      <c r="BA119" s="163"/>
      <c r="BB119" s="89">
        <f t="shared" si="138"/>
        <v>0</v>
      </c>
      <c r="BC119" s="168">
        <f t="shared" si="139"/>
        <v>0</v>
      </c>
      <c r="BD119" s="163"/>
      <c r="BE119" s="89">
        <f t="shared" si="136"/>
        <v>0</v>
      </c>
      <c r="BF119" s="168"/>
      <c r="BG119" s="163"/>
      <c r="BH119" s="89">
        <f t="shared" si="123"/>
        <v>0</v>
      </c>
      <c r="BI119" s="168">
        <f t="shared" si="132"/>
        <v>0</v>
      </c>
      <c r="BJ119" s="163"/>
      <c r="BK119" s="89">
        <f t="shared" si="124"/>
        <v>0</v>
      </c>
      <c r="BL119" s="168">
        <f t="shared" si="125"/>
        <v>0</v>
      </c>
      <c r="BM119" s="163"/>
      <c r="BN119" s="89">
        <f t="shared" si="126"/>
        <v>0</v>
      </c>
      <c r="BO119" s="168">
        <f t="shared" si="127"/>
        <v>0</v>
      </c>
      <c r="BP119" s="163"/>
      <c r="BQ119" s="89">
        <f t="shared" si="128"/>
        <v>0</v>
      </c>
      <c r="BR119" s="168">
        <f t="shared" si="129"/>
        <v>0</v>
      </c>
      <c r="BS119" s="163"/>
      <c r="BT119" s="89">
        <f t="shared" si="130"/>
        <v>0</v>
      </c>
      <c r="BU119" s="74">
        <f t="shared" si="131"/>
        <v>0</v>
      </c>
      <c r="BV119" s="195" t="str">
        <f>LOOKUP(BU119,'الفترة الاولى'!$BX$2:$BY$6)</f>
        <v>ممتاز</v>
      </c>
      <c r="BW119" s="75" t="e">
        <f>BU119/'الفترة الاولى'!$BZ$2</f>
        <v>#DIV/0!</v>
      </c>
      <c r="BZ119" s="42" t="s">
        <v>65</v>
      </c>
      <c r="CA119" s="45"/>
    </row>
    <row r="120" spans="1:79" ht="25.2" customHeight="1" thickBot="1" x14ac:dyDescent="0.3">
      <c r="A120" s="51">
        <v>110</v>
      </c>
      <c r="B120" s="54"/>
      <c r="C120" s="102"/>
      <c r="D120" s="80"/>
      <c r="E120" s="169"/>
      <c r="F120" s="92"/>
      <c r="G120" s="170">
        <f t="shared" si="114"/>
        <v>0</v>
      </c>
      <c r="H120" s="177"/>
      <c r="I120" s="92"/>
      <c r="J120" s="174">
        <f t="shared" si="115"/>
        <v>0</v>
      </c>
      <c r="K120" s="93"/>
      <c r="L120" s="92"/>
      <c r="M120" s="170">
        <f t="shared" si="116"/>
        <v>0</v>
      </c>
      <c r="N120" s="177"/>
      <c r="O120" s="92"/>
      <c r="P120" s="174">
        <f t="shared" si="134"/>
        <v>0</v>
      </c>
      <c r="Q120" s="93"/>
      <c r="R120" s="92"/>
      <c r="S120" s="170">
        <f t="shared" si="135"/>
        <v>0</v>
      </c>
      <c r="T120" s="177"/>
      <c r="U120" s="92"/>
      <c r="V120" s="174">
        <f t="shared" si="117"/>
        <v>0</v>
      </c>
      <c r="W120" s="93"/>
      <c r="X120" s="92"/>
      <c r="Y120" s="170">
        <f t="shared" si="141"/>
        <v>0</v>
      </c>
      <c r="Z120" s="177"/>
      <c r="AA120" s="92"/>
      <c r="AB120" s="173">
        <f t="shared" si="107"/>
        <v>0</v>
      </c>
      <c r="AC120" s="93"/>
      <c r="AD120" s="92"/>
      <c r="AE120" s="89">
        <f t="shared" si="108"/>
        <v>0</v>
      </c>
      <c r="AF120" s="177"/>
      <c r="AG120" s="92"/>
      <c r="AH120" s="170">
        <f t="shared" si="118"/>
        <v>0</v>
      </c>
      <c r="AI120" s="161">
        <f t="shared" si="119"/>
        <v>0</v>
      </c>
      <c r="AJ120" s="200" t="str">
        <f t="shared" si="102"/>
        <v>ممتاز</v>
      </c>
      <c r="AK120" s="65" t="e">
        <f t="shared" si="103"/>
        <v>#DIV/0!</v>
      </c>
      <c r="AM120" s="50">
        <f t="shared" si="140"/>
        <v>110</v>
      </c>
      <c r="AN120" s="87">
        <f t="shared" si="111"/>
        <v>0</v>
      </c>
      <c r="AO120" s="99">
        <f t="shared" si="112"/>
        <v>0</v>
      </c>
      <c r="AP120" s="80">
        <f t="shared" si="113"/>
        <v>0</v>
      </c>
      <c r="AQ120" s="169">
        <f t="shared" si="120"/>
        <v>0</v>
      </c>
      <c r="AR120" s="188"/>
      <c r="AS120" s="170">
        <f t="shared" si="133"/>
        <v>0</v>
      </c>
      <c r="AT120" s="184"/>
      <c r="AU120" s="188"/>
      <c r="AV120" s="170"/>
      <c r="AW120" s="169">
        <f t="shared" si="121"/>
        <v>0</v>
      </c>
      <c r="AX120" s="188"/>
      <c r="AY120" s="170">
        <f t="shared" si="122"/>
        <v>0</v>
      </c>
      <c r="AZ120" s="169">
        <f t="shared" si="137"/>
        <v>0</v>
      </c>
      <c r="BA120" s="188"/>
      <c r="BB120" s="170">
        <f t="shared" si="138"/>
        <v>0</v>
      </c>
      <c r="BC120" s="169">
        <f t="shared" si="139"/>
        <v>0</v>
      </c>
      <c r="BD120" s="188"/>
      <c r="BE120" s="170">
        <f t="shared" si="136"/>
        <v>0</v>
      </c>
      <c r="BF120" s="169"/>
      <c r="BG120" s="188"/>
      <c r="BH120" s="170">
        <f t="shared" si="123"/>
        <v>0</v>
      </c>
      <c r="BI120" s="169">
        <f t="shared" si="132"/>
        <v>0</v>
      </c>
      <c r="BJ120" s="188"/>
      <c r="BK120" s="170">
        <f t="shared" si="124"/>
        <v>0</v>
      </c>
      <c r="BL120" s="169">
        <f t="shared" si="125"/>
        <v>0</v>
      </c>
      <c r="BM120" s="188"/>
      <c r="BN120" s="170">
        <f t="shared" si="126"/>
        <v>0</v>
      </c>
      <c r="BO120" s="169">
        <f t="shared" si="127"/>
        <v>0</v>
      </c>
      <c r="BP120" s="188"/>
      <c r="BQ120" s="170">
        <f t="shared" si="128"/>
        <v>0</v>
      </c>
      <c r="BR120" s="169">
        <f t="shared" si="129"/>
        <v>0</v>
      </c>
      <c r="BS120" s="188"/>
      <c r="BT120" s="170">
        <f t="shared" si="130"/>
        <v>0</v>
      </c>
      <c r="BU120" s="76">
        <f t="shared" si="131"/>
        <v>0</v>
      </c>
      <c r="BV120" s="196" t="str">
        <f>LOOKUP(BU120,'الفترة الاولى'!$BX$2:$BY$6)</f>
        <v>ممتاز</v>
      </c>
      <c r="BW120" s="77" t="e">
        <f>BU120/'الفترة الاولى'!$BZ$2</f>
        <v>#DIV/0!</v>
      </c>
      <c r="BZ120" s="46" t="s">
        <v>66</v>
      </c>
      <c r="CA120" s="48"/>
    </row>
    <row r="121" spans="1:79" ht="25.2" customHeight="1" thickBot="1" x14ac:dyDescent="0.3">
      <c r="A121" s="52">
        <v>111</v>
      </c>
      <c r="B121" s="55"/>
      <c r="C121" s="103"/>
      <c r="D121" s="81"/>
      <c r="E121" s="171"/>
      <c r="F121" s="94"/>
      <c r="G121" s="172">
        <f t="shared" si="114"/>
        <v>0</v>
      </c>
      <c r="H121" s="178"/>
      <c r="I121" s="94"/>
      <c r="J121" s="175">
        <f t="shared" si="115"/>
        <v>0</v>
      </c>
      <c r="K121" s="95"/>
      <c r="L121" s="94"/>
      <c r="M121" s="172">
        <f t="shared" si="116"/>
        <v>0</v>
      </c>
      <c r="N121" s="178"/>
      <c r="O121" s="94"/>
      <c r="P121" s="175">
        <f t="shared" si="134"/>
        <v>0</v>
      </c>
      <c r="Q121" s="95"/>
      <c r="R121" s="94"/>
      <c r="S121" s="172">
        <f t="shared" si="135"/>
        <v>0</v>
      </c>
      <c r="T121" s="178"/>
      <c r="U121" s="94"/>
      <c r="V121" s="175">
        <f t="shared" si="117"/>
        <v>0</v>
      </c>
      <c r="W121" s="95"/>
      <c r="X121" s="94"/>
      <c r="Y121" s="172">
        <f t="shared" si="141"/>
        <v>0</v>
      </c>
      <c r="Z121" s="178"/>
      <c r="AA121" s="94"/>
      <c r="AB121" s="173">
        <f t="shared" si="107"/>
        <v>0</v>
      </c>
      <c r="AC121" s="95"/>
      <c r="AD121" s="94"/>
      <c r="AE121" s="89">
        <f t="shared" si="108"/>
        <v>0</v>
      </c>
      <c r="AF121" s="178"/>
      <c r="AG121" s="94"/>
      <c r="AH121" s="172">
        <f t="shared" si="118"/>
        <v>0</v>
      </c>
      <c r="AI121" s="162">
        <f t="shared" si="119"/>
        <v>0</v>
      </c>
      <c r="AJ121" s="201" t="str">
        <f t="shared" si="102"/>
        <v>ممتاز</v>
      </c>
      <c r="AK121" s="66" t="e">
        <f t="shared" si="103"/>
        <v>#DIV/0!</v>
      </c>
      <c r="AM121" s="51">
        <f t="shared" si="140"/>
        <v>111</v>
      </c>
      <c r="AN121" s="88">
        <f t="shared" si="111"/>
        <v>0</v>
      </c>
      <c r="AO121" s="100">
        <f t="shared" si="112"/>
        <v>0</v>
      </c>
      <c r="AP121" s="81">
        <f t="shared" si="113"/>
        <v>0</v>
      </c>
      <c r="AQ121" s="171">
        <f t="shared" si="120"/>
        <v>0</v>
      </c>
      <c r="AR121" s="189"/>
      <c r="AS121" s="172">
        <f t="shared" si="133"/>
        <v>0</v>
      </c>
      <c r="AT121" s="184"/>
      <c r="AU121" s="189"/>
      <c r="AV121" s="172"/>
      <c r="AW121" s="171">
        <f t="shared" si="121"/>
        <v>0</v>
      </c>
      <c r="AX121" s="189"/>
      <c r="AY121" s="172">
        <f t="shared" si="122"/>
        <v>0</v>
      </c>
      <c r="AZ121" s="171">
        <f t="shared" si="137"/>
        <v>0</v>
      </c>
      <c r="BA121" s="189"/>
      <c r="BB121" s="172">
        <f t="shared" si="138"/>
        <v>0</v>
      </c>
      <c r="BC121" s="171">
        <f t="shared" si="139"/>
        <v>0</v>
      </c>
      <c r="BD121" s="189"/>
      <c r="BE121" s="172">
        <f t="shared" si="136"/>
        <v>0</v>
      </c>
      <c r="BF121" s="171"/>
      <c r="BG121" s="189"/>
      <c r="BH121" s="172">
        <f t="shared" si="123"/>
        <v>0</v>
      </c>
      <c r="BI121" s="171">
        <f t="shared" si="132"/>
        <v>0</v>
      </c>
      <c r="BJ121" s="189"/>
      <c r="BK121" s="172">
        <f t="shared" si="124"/>
        <v>0</v>
      </c>
      <c r="BL121" s="171">
        <f t="shared" si="125"/>
        <v>0</v>
      </c>
      <c r="BM121" s="189"/>
      <c r="BN121" s="172">
        <f t="shared" si="126"/>
        <v>0</v>
      </c>
      <c r="BO121" s="171">
        <f t="shared" si="127"/>
        <v>0</v>
      </c>
      <c r="BP121" s="189"/>
      <c r="BQ121" s="172">
        <f t="shared" si="128"/>
        <v>0</v>
      </c>
      <c r="BR121" s="171">
        <f t="shared" si="129"/>
        <v>0</v>
      </c>
      <c r="BS121" s="189"/>
      <c r="BT121" s="172">
        <f t="shared" si="130"/>
        <v>0</v>
      </c>
      <c r="BU121" s="72">
        <f t="shared" si="131"/>
        <v>0</v>
      </c>
      <c r="BV121" s="194" t="str">
        <f>LOOKUP(BU121,'الفترة الاولى'!$BX$2:$BY$6)</f>
        <v>ممتاز</v>
      </c>
      <c r="BW121" s="73" t="e">
        <f>BU121/'الفترة الاولى'!$BZ$2</f>
        <v>#DIV/0!</v>
      </c>
    </row>
    <row r="122" spans="1:79" ht="25.2" customHeight="1" thickBot="1" x14ac:dyDescent="0.3">
      <c r="A122" s="50">
        <v>112</v>
      </c>
      <c r="B122" s="53"/>
      <c r="C122" s="101"/>
      <c r="D122" s="79"/>
      <c r="E122" s="168"/>
      <c r="F122" s="163"/>
      <c r="G122" s="89">
        <f t="shared" si="114"/>
        <v>0</v>
      </c>
      <c r="H122" s="176"/>
      <c r="I122" s="91"/>
      <c r="J122" s="173">
        <f t="shared" si="115"/>
        <v>0</v>
      </c>
      <c r="K122" s="90"/>
      <c r="L122" s="91"/>
      <c r="M122" s="89">
        <f t="shared" si="116"/>
        <v>0</v>
      </c>
      <c r="N122" s="176"/>
      <c r="O122" s="91"/>
      <c r="P122" s="173">
        <f t="shared" si="134"/>
        <v>0</v>
      </c>
      <c r="Q122" s="90"/>
      <c r="R122" s="91"/>
      <c r="S122" s="89">
        <f t="shared" si="135"/>
        <v>0</v>
      </c>
      <c r="T122" s="176"/>
      <c r="U122" s="91"/>
      <c r="V122" s="173">
        <f t="shared" si="117"/>
        <v>0</v>
      </c>
      <c r="W122" s="90"/>
      <c r="X122" s="91"/>
      <c r="Y122" s="89">
        <f t="shared" si="141"/>
        <v>0</v>
      </c>
      <c r="Z122" s="176"/>
      <c r="AA122" s="91"/>
      <c r="AB122" s="173">
        <f t="shared" si="107"/>
        <v>0</v>
      </c>
      <c r="AC122" s="90"/>
      <c r="AD122" s="91"/>
      <c r="AE122" s="89">
        <f t="shared" si="108"/>
        <v>0</v>
      </c>
      <c r="AF122" s="176"/>
      <c r="AG122" s="91"/>
      <c r="AH122" s="89">
        <f t="shared" si="118"/>
        <v>0</v>
      </c>
      <c r="AI122" s="160">
        <f t="shared" si="119"/>
        <v>0</v>
      </c>
      <c r="AJ122" s="202" t="str">
        <f t="shared" si="102"/>
        <v>ممتاز</v>
      </c>
      <c r="AK122" s="67" t="e">
        <f t="shared" si="103"/>
        <v>#DIV/0!</v>
      </c>
      <c r="AM122" s="52">
        <f t="shared" si="140"/>
        <v>112</v>
      </c>
      <c r="AN122" s="86">
        <f t="shared" si="111"/>
        <v>0</v>
      </c>
      <c r="AO122" s="98">
        <f t="shared" si="112"/>
        <v>0</v>
      </c>
      <c r="AP122" s="79">
        <f t="shared" si="113"/>
        <v>0</v>
      </c>
      <c r="AQ122" s="168">
        <f t="shared" si="120"/>
        <v>0</v>
      </c>
      <c r="AR122" s="163"/>
      <c r="AS122" s="89">
        <f t="shared" si="133"/>
        <v>0</v>
      </c>
      <c r="AT122" s="184"/>
      <c r="AU122" s="163"/>
      <c r="AV122" s="89"/>
      <c r="AW122" s="168">
        <f t="shared" si="121"/>
        <v>0</v>
      </c>
      <c r="AX122" s="163"/>
      <c r="AY122" s="89">
        <f t="shared" si="122"/>
        <v>0</v>
      </c>
      <c r="AZ122" s="168">
        <f t="shared" si="137"/>
        <v>0</v>
      </c>
      <c r="BA122" s="163"/>
      <c r="BB122" s="89">
        <f t="shared" si="138"/>
        <v>0</v>
      </c>
      <c r="BC122" s="168">
        <f t="shared" si="139"/>
        <v>0</v>
      </c>
      <c r="BD122" s="163"/>
      <c r="BE122" s="89">
        <f t="shared" si="136"/>
        <v>0</v>
      </c>
      <c r="BF122" s="168"/>
      <c r="BG122" s="163"/>
      <c r="BH122" s="89">
        <f t="shared" si="123"/>
        <v>0</v>
      </c>
      <c r="BI122" s="168">
        <f t="shared" si="132"/>
        <v>0</v>
      </c>
      <c r="BJ122" s="163"/>
      <c r="BK122" s="89">
        <f t="shared" si="124"/>
        <v>0</v>
      </c>
      <c r="BL122" s="168">
        <f t="shared" si="125"/>
        <v>0</v>
      </c>
      <c r="BM122" s="163"/>
      <c r="BN122" s="89">
        <f t="shared" si="126"/>
        <v>0</v>
      </c>
      <c r="BO122" s="168">
        <f t="shared" si="127"/>
        <v>0</v>
      </c>
      <c r="BP122" s="163"/>
      <c r="BQ122" s="89">
        <f t="shared" si="128"/>
        <v>0</v>
      </c>
      <c r="BR122" s="168">
        <f t="shared" si="129"/>
        <v>0</v>
      </c>
      <c r="BS122" s="163"/>
      <c r="BT122" s="89">
        <f t="shared" si="130"/>
        <v>0</v>
      </c>
      <c r="BU122" s="74">
        <f t="shared" si="131"/>
        <v>0</v>
      </c>
      <c r="BV122" s="195" t="str">
        <f>LOOKUP(BU122,'الفترة الاولى'!$BX$2:$BY$6)</f>
        <v>ممتاز</v>
      </c>
      <c r="BW122" s="75" t="e">
        <f>BU122/'الفترة الاولى'!$BZ$2</f>
        <v>#DIV/0!</v>
      </c>
    </row>
    <row r="123" spans="1:79" ht="25.2" customHeight="1" thickBot="1" x14ac:dyDescent="0.3">
      <c r="A123" s="51">
        <v>113</v>
      </c>
      <c r="B123" s="54"/>
      <c r="C123" s="102"/>
      <c r="D123" s="80"/>
      <c r="E123" s="169"/>
      <c r="F123" s="92"/>
      <c r="G123" s="170">
        <f t="shared" si="114"/>
        <v>0</v>
      </c>
      <c r="H123" s="177"/>
      <c r="I123" s="92"/>
      <c r="J123" s="174">
        <f t="shared" si="115"/>
        <v>0</v>
      </c>
      <c r="K123" s="93"/>
      <c r="L123" s="92"/>
      <c r="M123" s="170">
        <f t="shared" si="116"/>
        <v>0</v>
      </c>
      <c r="N123" s="177"/>
      <c r="O123" s="92"/>
      <c r="P123" s="174">
        <f t="shared" si="134"/>
        <v>0</v>
      </c>
      <c r="Q123" s="93"/>
      <c r="R123" s="92"/>
      <c r="S123" s="170">
        <f t="shared" si="135"/>
        <v>0</v>
      </c>
      <c r="T123" s="177"/>
      <c r="U123" s="92"/>
      <c r="V123" s="174">
        <f t="shared" si="117"/>
        <v>0</v>
      </c>
      <c r="W123" s="93"/>
      <c r="X123" s="92"/>
      <c r="Y123" s="170">
        <f t="shared" si="141"/>
        <v>0</v>
      </c>
      <c r="Z123" s="177"/>
      <c r="AA123" s="92"/>
      <c r="AB123" s="173">
        <f t="shared" si="107"/>
        <v>0</v>
      </c>
      <c r="AC123" s="93"/>
      <c r="AD123" s="92"/>
      <c r="AE123" s="89">
        <f t="shared" si="108"/>
        <v>0</v>
      </c>
      <c r="AF123" s="177"/>
      <c r="AG123" s="92"/>
      <c r="AH123" s="170">
        <f t="shared" si="118"/>
        <v>0</v>
      </c>
      <c r="AI123" s="161">
        <f t="shared" si="119"/>
        <v>0</v>
      </c>
      <c r="AJ123" s="200" t="str">
        <f t="shared" si="102"/>
        <v>ممتاز</v>
      </c>
      <c r="AK123" s="65" t="e">
        <f t="shared" si="103"/>
        <v>#DIV/0!</v>
      </c>
      <c r="AM123" s="50">
        <f t="shared" si="140"/>
        <v>113</v>
      </c>
      <c r="AN123" s="87">
        <f t="shared" si="111"/>
        <v>0</v>
      </c>
      <c r="AO123" s="99">
        <f t="shared" si="112"/>
        <v>0</v>
      </c>
      <c r="AP123" s="80">
        <f t="shared" si="113"/>
        <v>0</v>
      </c>
      <c r="AQ123" s="169">
        <f t="shared" si="120"/>
        <v>0</v>
      </c>
      <c r="AR123" s="188"/>
      <c r="AS123" s="170">
        <f t="shared" si="133"/>
        <v>0</v>
      </c>
      <c r="AT123" s="184"/>
      <c r="AU123" s="188"/>
      <c r="AV123" s="170"/>
      <c r="AW123" s="169">
        <f t="shared" si="121"/>
        <v>0</v>
      </c>
      <c r="AX123" s="188"/>
      <c r="AY123" s="170">
        <f t="shared" si="122"/>
        <v>0</v>
      </c>
      <c r="AZ123" s="169">
        <f t="shared" si="137"/>
        <v>0</v>
      </c>
      <c r="BA123" s="188"/>
      <c r="BB123" s="170">
        <f t="shared" si="138"/>
        <v>0</v>
      </c>
      <c r="BC123" s="169">
        <f t="shared" si="139"/>
        <v>0</v>
      </c>
      <c r="BD123" s="188"/>
      <c r="BE123" s="170">
        <f t="shared" si="136"/>
        <v>0</v>
      </c>
      <c r="BF123" s="169"/>
      <c r="BG123" s="188"/>
      <c r="BH123" s="170">
        <f t="shared" si="123"/>
        <v>0</v>
      </c>
      <c r="BI123" s="169">
        <f t="shared" si="132"/>
        <v>0</v>
      </c>
      <c r="BJ123" s="188"/>
      <c r="BK123" s="170">
        <f t="shared" si="124"/>
        <v>0</v>
      </c>
      <c r="BL123" s="169">
        <f t="shared" si="125"/>
        <v>0</v>
      </c>
      <c r="BM123" s="188"/>
      <c r="BN123" s="170">
        <f t="shared" si="126"/>
        <v>0</v>
      </c>
      <c r="BO123" s="169">
        <f t="shared" si="127"/>
        <v>0</v>
      </c>
      <c r="BP123" s="188"/>
      <c r="BQ123" s="170">
        <f t="shared" si="128"/>
        <v>0</v>
      </c>
      <c r="BR123" s="169">
        <f t="shared" si="129"/>
        <v>0</v>
      </c>
      <c r="BS123" s="188"/>
      <c r="BT123" s="170">
        <f t="shared" si="130"/>
        <v>0</v>
      </c>
      <c r="BU123" s="76">
        <f t="shared" si="131"/>
        <v>0</v>
      </c>
      <c r="BV123" s="196" t="str">
        <f>LOOKUP(BU123,'الفترة الاولى'!$BX$2:$BY$6)</f>
        <v>ممتاز</v>
      </c>
      <c r="BW123" s="77" t="e">
        <f>BU123/'الفترة الاولى'!$BZ$2</f>
        <v>#DIV/0!</v>
      </c>
    </row>
    <row r="124" spans="1:79" ht="25.2" customHeight="1" thickBot="1" x14ac:dyDescent="0.3">
      <c r="A124" s="52">
        <v>114</v>
      </c>
      <c r="B124" s="55"/>
      <c r="C124" s="103"/>
      <c r="D124" s="81"/>
      <c r="E124" s="171"/>
      <c r="F124" s="94"/>
      <c r="G124" s="172">
        <f t="shared" si="114"/>
        <v>0</v>
      </c>
      <c r="H124" s="178"/>
      <c r="I124" s="94"/>
      <c r="J124" s="175">
        <f t="shared" si="115"/>
        <v>0</v>
      </c>
      <c r="K124" s="95"/>
      <c r="L124" s="94"/>
      <c r="M124" s="172">
        <f t="shared" si="116"/>
        <v>0</v>
      </c>
      <c r="N124" s="178"/>
      <c r="O124" s="94"/>
      <c r="P124" s="175">
        <f t="shared" si="134"/>
        <v>0</v>
      </c>
      <c r="Q124" s="95"/>
      <c r="R124" s="94"/>
      <c r="S124" s="172">
        <f t="shared" si="135"/>
        <v>0</v>
      </c>
      <c r="T124" s="178"/>
      <c r="U124" s="94"/>
      <c r="V124" s="175">
        <f t="shared" si="117"/>
        <v>0</v>
      </c>
      <c r="W124" s="95"/>
      <c r="X124" s="94"/>
      <c r="Y124" s="172">
        <f t="shared" si="141"/>
        <v>0</v>
      </c>
      <c r="Z124" s="178"/>
      <c r="AA124" s="94"/>
      <c r="AB124" s="173">
        <f t="shared" si="107"/>
        <v>0</v>
      </c>
      <c r="AC124" s="95"/>
      <c r="AD124" s="94"/>
      <c r="AE124" s="89">
        <f t="shared" si="108"/>
        <v>0</v>
      </c>
      <c r="AF124" s="178"/>
      <c r="AG124" s="94"/>
      <c r="AH124" s="172">
        <f t="shared" si="118"/>
        <v>0</v>
      </c>
      <c r="AI124" s="162">
        <f t="shared" si="119"/>
        <v>0</v>
      </c>
      <c r="AJ124" s="201" t="str">
        <f t="shared" si="102"/>
        <v>ممتاز</v>
      </c>
      <c r="AK124" s="66" t="e">
        <f t="shared" si="103"/>
        <v>#DIV/0!</v>
      </c>
      <c r="AM124" s="51">
        <f t="shared" si="140"/>
        <v>114</v>
      </c>
      <c r="AN124" s="88">
        <f t="shared" si="111"/>
        <v>0</v>
      </c>
      <c r="AO124" s="100">
        <f t="shared" si="112"/>
        <v>0</v>
      </c>
      <c r="AP124" s="81">
        <f t="shared" si="113"/>
        <v>0</v>
      </c>
      <c r="AQ124" s="171">
        <f t="shared" si="120"/>
        <v>0</v>
      </c>
      <c r="AR124" s="189"/>
      <c r="AS124" s="172">
        <f t="shared" si="133"/>
        <v>0</v>
      </c>
      <c r="AT124" s="184"/>
      <c r="AU124" s="189"/>
      <c r="AV124" s="172"/>
      <c r="AW124" s="171">
        <f t="shared" si="121"/>
        <v>0</v>
      </c>
      <c r="AX124" s="189"/>
      <c r="AY124" s="172">
        <f t="shared" si="122"/>
        <v>0</v>
      </c>
      <c r="AZ124" s="171">
        <f t="shared" si="137"/>
        <v>0</v>
      </c>
      <c r="BA124" s="189"/>
      <c r="BB124" s="172">
        <f t="shared" si="138"/>
        <v>0</v>
      </c>
      <c r="BC124" s="171">
        <f t="shared" si="139"/>
        <v>0</v>
      </c>
      <c r="BD124" s="189"/>
      <c r="BE124" s="172">
        <f t="shared" si="136"/>
        <v>0</v>
      </c>
      <c r="BF124" s="171"/>
      <c r="BG124" s="189"/>
      <c r="BH124" s="172">
        <f t="shared" si="123"/>
        <v>0</v>
      </c>
      <c r="BI124" s="171">
        <f t="shared" si="132"/>
        <v>0</v>
      </c>
      <c r="BJ124" s="189"/>
      <c r="BK124" s="172">
        <f t="shared" si="124"/>
        <v>0</v>
      </c>
      <c r="BL124" s="171">
        <f t="shared" si="125"/>
        <v>0</v>
      </c>
      <c r="BM124" s="189"/>
      <c r="BN124" s="172">
        <f t="shared" si="126"/>
        <v>0</v>
      </c>
      <c r="BO124" s="171">
        <f t="shared" si="127"/>
        <v>0</v>
      </c>
      <c r="BP124" s="189"/>
      <c r="BQ124" s="172">
        <f t="shared" si="128"/>
        <v>0</v>
      </c>
      <c r="BR124" s="171">
        <f t="shared" si="129"/>
        <v>0</v>
      </c>
      <c r="BS124" s="189"/>
      <c r="BT124" s="172">
        <f t="shared" si="130"/>
        <v>0</v>
      </c>
      <c r="BU124" s="72">
        <f t="shared" si="131"/>
        <v>0</v>
      </c>
      <c r="BV124" s="194" t="str">
        <f>LOOKUP(BU124,'الفترة الاولى'!$BX$2:$BY$6)</f>
        <v>ممتاز</v>
      </c>
      <c r="BW124" s="73" t="e">
        <f>BU124/'الفترة الاولى'!$BZ$2</f>
        <v>#DIV/0!</v>
      </c>
    </row>
    <row r="125" spans="1:79" ht="25.2" customHeight="1" thickBot="1" x14ac:dyDescent="0.3">
      <c r="A125" s="50">
        <v>115</v>
      </c>
      <c r="B125" s="53"/>
      <c r="C125" s="101"/>
      <c r="D125" s="79"/>
      <c r="E125" s="168"/>
      <c r="F125" s="163"/>
      <c r="G125" s="89">
        <f t="shared" si="114"/>
        <v>0</v>
      </c>
      <c r="H125" s="176"/>
      <c r="I125" s="91"/>
      <c r="J125" s="173">
        <f t="shared" si="115"/>
        <v>0</v>
      </c>
      <c r="K125" s="90"/>
      <c r="L125" s="91"/>
      <c r="M125" s="89">
        <f t="shared" si="116"/>
        <v>0</v>
      </c>
      <c r="N125" s="176"/>
      <c r="O125" s="91"/>
      <c r="P125" s="173">
        <f t="shared" si="134"/>
        <v>0</v>
      </c>
      <c r="Q125" s="90"/>
      <c r="R125" s="91"/>
      <c r="S125" s="89">
        <f t="shared" si="135"/>
        <v>0</v>
      </c>
      <c r="T125" s="176"/>
      <c r="U125" s="91"/>
      <c r="V125" s="173">
        <f t="shared" si="117"/>
        <v>0</v>
      </c>
      <c r="W125" s="90"/>
      <c r="X125" s="91"/>
      <c r="Y125" s="89">
        <f t="shared" si="141"/>
        <v>0</v>
      </c>
      <c r="Z125" s="176"/>
      <c r="AA125" s="91"/>
      <c r="AB125" s="173">
        <f t="shared" si="107"/>
        <v>0</v>
      </c>
      <c r="AC125" s="90"/>
      <c r="AD125" s="91"/>
      <c r="AE125" s="89">
        <f t="shared" si="108"/>
        <v>0</v>
      </c>
      <c r="AF125" s="176"/>
      <c r="AG125" s="91"/>
      <c r="AH125" s="89">
        <f t="shared" si="118"/>
        <v>0</v>
      </c>
      <c r="AI125" s="160">
        <f t="shared" si="119"/>
        <v>0</v>
      </c>
      <c r="AJ125" s="202" t="str">
        <f t="shared" si="102"/>
        <v>ممتاز</v>
      </c>
      <c r="AK125" s="67" t="e">
        <f t="shared" si="103"/>
        <v>#DIV/0!</v>
      </c>
      <c r="AM125" s="52">
        <f t="shared" si="140"/>
        <v>115</v>
      </c>
      <c r="AN125" s="86">
        <f t="shared" si="111"/>
        <v>0</v>
      </c>
      <c r="AO125" s="98">
        <f t="shared" si="112"/>
        <v>0</v>
      </c>
      <c r="AP125" s="79">
        <f t="shared" si="113"/>
        <v>0</v>
      </c>
      <c r="AQ125" s="168">
        <f t="shared" si="120"/>
        <v>0</v>
      </c>
      <c r="AR125" s="163"/>
      <c r="AS125" s="89">
        <f t="shared" si="133"/>
        <v>0</v>
      </c>
      <c r="AT125" s="184"/>
      <c r="AU125" s="163"/>
      <c r="AV125" s="89"/>
      <c r="AW125" s="168">
        <f t="shared" si="121"/>
        <v>0</v>
      </c>
      <c r="AX125" s="163"/>
      <c r="AY125" s="89">
        <f t="shared" si="122"/>
        <v>0</v>
      </c>
      <c r="AZ125" s="168">
        <f t="shared" si="137"/>
        <v>0</v>
      </c>
      <c r="BA125" s="163"/>
      <c r="BB125" s="89">
        <f t="shared" si="138"/>
        <v>0</v>
      </c>
      <c r="BC125" s="168">
        <f t="shared" si="139"/>
        <v>0</v>
      </c>
      <c r="BD125" s="163"/>
      <c r="BE125" s="89">
        <f t="shared" si="136"/>
        <v>0</v>
      </c>
      <c r="BF125" s="168"/>
      <c r="BG125" s="163"/>
      <c r="BH125" s="89">
        <f t="shared" si="123"/>
        <v>0</v>
      </c>
      <c r="BI125" s="168">
        <f t="shared" si="132"/>
        <v>0</v>
      </c>
      <c r="BJ125" s="163"/>
      <c r="BK125" s="89">
        <f t="shared" si="124"/>
        <v>0</v>
      </c>
      <c r="BL125" s="168">
        <f t="shared" si="125"/>
        <v>0</v>
      </c>
      <c r="BM125" s="163"/>
      <c r="BN125" s="89">
        <f t="shared" si="126"/>
        <v>0</v>
      </c>
      <c r="BO125" s="168">
        <f t="shared" si="127"/>
        <v>0</v>
      </c>
      <c r="BP125" s="163"/>
      <c r="BQ125" s="89">
        <f t="shared" si="128"/>
        <v>0</v>
      </c>
      <c r="BR125" s="168">
        <f t="shared" si="129"/>
        <v>0</v>
      </c>
      <c r="BS125" s="163"/>
      <c r="BT125" s="89">
        <f t="shared" si="130"/>
        <v>0</v>
      </c>
      <c r="BU125" s="74">
        <f t="shared" si="131"/>
        <v>0</v>
      </c>
      <c r="BV125" s="195" t="str">
        <f>LOOKUP(BU125,'الفترة الاولى'!$BX$2:$BY$6)</f>
        <v>ممتاز</v>
      </c>
      <c r="BW125" s="75" t="e">
        <f>BU125/'الفترة الاولى'!$BZ$2</f>
        <v>#DIV/0!</v>
      </c>
    </row>
    <row r="126" spans="1:79" ht="25.2" customHeight="1" thickBot="1" x14ac:dyDescent="0.3">
      <c r="A126" s="51">
        <v>116</v>
      </c>
      <c r="B126" s="54"/>
      <c r="C126" s="102"/>
      <c r="D126" s="80"/>
      <c r="E126" s="169"/>
      <c r="F126" s="92"/>
      <c r="G126" s="170">
        <f t="shared" si="114"/>
        <v>0</v>
      </c>
      <c r="H126" s="177"/>
      <c r="I126" s="92"/>
      <c r="J126" s="174">
        <f t="shared" si="115"/>
        <v>0</v>
      </c>
      <c r="K126" s="93"/>
      <c r="L126" s="92"/>
      <c r="M126" s="170">
        <f t="shared" si="116"/>
        <v>0</v>
      </c>
      <c r="N126" s="177"/>
      <c r="O126" s="92"/>
      <c r="P126" s="174">
        <f t="shared" si="134"/>
        <v>0</v>
      </c>
      <c r="Q126" s="93"/>
      <c r="R126" s="92"/>
      <c r="S126" s="170">
        <f t="shared" si="135"/>
        <v>0</v>
      </c>
      <c r="T126" s="177"/>
      <c r="U126" s="92"/>
      <c r="V126" s="174">
        <f t="shared" si="117"/>
        <v>0</v>
      </c>
      <c r="W126" s="93"/>
      <c r="X126" s="92"/>
      <c r="Y126" s="170">
        <f t="shared" si="141"/>
        <v>0</v>
      </c>
      <c r="Z126" s="177"/>
      <c r="AA126" s="92"/>
      <c r="AB126" s="173">
        <f t="shared" si="107"/>
        <v>0</v>
      </c>
      <c r="AC126" s="93"/>
      <c r="AD126" s="92"/>
      <c r="AE126" s="89">
        <f t="shared" si="108"/>
        <v>0</v>
      </c>
      <c r="AF126" s="177"/>
      <c r="AG126" s="92"/>
      <c r="AH126" s="170">
        <f t="shared" si="118"/>
        <v>0</v>
      </c>
      <c r="AI126" s="161">
        <f t="shared" si="119"/>
        <v>0</v>
      </c>
      <c r="AJ126" s="200" t="str">
        <f t="shared" si="102"/>
        <v>ممتاز</v>
      </c>
      <c r="AK126" s="65" t="e">
        <f t="shared" si="103"/>
        <v>#DIV/0!</v>
      </c>
      <c r="AM126" s="50">
        <f t="shared" si="140"/>
        <v>116</v>
      </c>
      <c r="AN126" s="87">
        <f t="shared" si="111"/>
        <v>0</v>
      </c>
      <c r="AO126" s="99">
        <f t="shared" si="112"/>
        <v>0</v>
      </c>
      <c r="AP126" s="80">
        <f t="shared" si="113"/>
        <v>0</v>
      </c>
      <c r="AQ126" s="169">
        <f t="shared" si="120"/>
        <v>0</v>
      </c>
      <c r="AR126" s="188"/>
      <c r="AS126" s="170">
        <f t="shared" si="133"/>
        <v>0</v>
      </c>
      <c r="AT126" s="184"/>
      <c r="AU126" s="188"/>
      <c r="AV126" s="170"/>
      <c r="AW126" s="169">
        <f t="shared" si="121"/>
        <v>0</v>
      </c>
      <c r="AX126" s="188"/>
      <c r="AY126" s="170">
        <f t="shared" si="122"/>
        <v>0</v>
      </c>
      <c r="AZ126" s="169">
        <f t="shared" si="137"/>
        <v>0</v>
      </c>
      <c r="BA126" s="188"/>
      <c r="BB126" s="170">
        <f t="shared" si="138"/>
        <v>0</v>
      </c>
      <c r="BC126" s="169">
        <f t="shared" si="139"/>
        <v>0</v>
      </c>
      <c r="BD126" s="188"/>
      <c r="BE126" s="170">
        <f t="shared" si="136"/>
        <v>0</v>
      </c>
      <c r="BF126" s="169"/>
      <c r="BG126" s="188"/>
      <c r="BH126" s="170">
        <f t="shared" si="123"/>
        <v>0</v>
      </c>
      <c r="BI126" s="169">
        <f t="shared" si="132"/>
        <v>0</v>
      </c>
      <c r="BJ126" s="188"/>
      <c r="BK126" s="170">
        <f t="shared" si="124"/>
        <v>0</v>
      </c>
      <c r="BL126" s="169">
        <f t="shared" si="125"/>
        <v>0</v>
      </c>
      <c r="BM126" s="188"/>
      <c r="BN126" s="170">
        <f t="shared" si="126"/>
        <v>0</v>
      </c>
      <c r="BO126" s="169">
        <f t="shared" si="127"/>
        <v>0</v>
      </c>
      <c r="BP126" s="188"/>
      <c r="BQ126" s="170">
        <f t="shared" si="128"/>
        <v>0</v>
      </c>
      <c r="BR126" s="169">
        <f t="shared" si="129"/>
        <v>0</v>
      </c>
      <c r="BS126" s="188"/>
      <c r="BT126" s="170">
        <f t="shared" si="130"/>
        <v>0</v>
      </c>
      <c r="BU126" s="76">
        <f t="shared" si="131"/>
        <v>0</v>
      </c>
      <c r="BV126" s="196" t="str">
        <f>LOOKUP(BU126,'الفترة الاولى'!$BX$2:$BY$6)</f>
        <v>ممتاز</v>
      </c>
      <c r="BW126" s="77" t="e">
        <f>BU126/'الفترة الاولى'!$BZ$2</f>
        <v>#DIV/0!</v>
      </c>
    </row>
    <row r="127" spans="1:79" ht="25.2" customHeight="1" thickBot="1" x14ac:dyDescent="0.3">
      <c r="A127" s="52">
        <v>117</v>
      </c>
      <c r="B127" s="55"/>
      <c r="C127" s="103"/>
      <c r="D127" s="81"/>
      <c r="E127" s="171"/>
      <c r="F127" s="94"/>
      <c r="G127" s="172">
        <f t="shared" si="114"/>
        <v>0</v>
      </c>
      <c r="H127" s="178"/>
      <c r="I127" s="94"/>
      <c r="J127" s="175">
        <f t="shared" si="115"/>
        <v>0</v>
      </c>
      <c r="K127" s="95"/>
      <c r="L127" s="94"/>
      <c r="M127" s="172">
        <f t="shared" si="116"/>
        <v>0</v>
      </c>
      <c r="N127" s="178"/>
      <c r="O127" s="94"/>
      <c r="P127" s="175">
        <f t="shared" si="134"/>
        <v>0</v>
      </c>
      <c r="Q127" s="95"/>
      <c r="R127" s="94"/>
      <c r="S127" s="172">
        <f t="shared" si="135"/>
        <v>0</v>
      </c>
      <c r="T127" s="178"/>
      <c r="U127" s="94"/>
      <c r="V127" s="175">
        <f t="shared" si="117"/>
        <v>0</v>
      </c>
      <c r="W127" s="95"/>
      <c r="X127" s="94"/>
      <c r="Y127" s="172">
        <f t="shared" si="141"/>
        <v>0</v>
      </c>
      <c r="Z127" s="178"/>
      <c r="AA127" s="94"/>
      <c r="AB127" s="173">
        <f t="shared" si="107"/>
        <v>0</v>
      </c>
      <c r="AC127" s="95"/>
      <c r="AD127" s="94"/>
      <c r="AE127" s="89">
        <f t="shared" si="108"/>
        <v>0</v>
      </c>
      <c r="AF127" s="178"/>
      <c r="AG127" s="94"/>
      <c r="AH127" s="172">
        <f t="shared" si="118"/>
        <v>0</v>
      </c>
      <c r="AI127" s="162">
        <f t="shared" si="119"/>
        <v>0</v>
      </c>
      <c r="AJ127" s="201" t="str">
        <f t="shared" si="102"/>
        <v>ممتاز</v>
      </c>
      <c r="AK127" s="66" t="e">
        <f t="shared" si="103"/>
        <v>#DIV/0!</v>
      </c>
      <c r="AM127" s="51">
        <f t="shared" si="140"/>
        <v>117</v>
      </c>
      <c r="AN127" s="88">
        <f t="shared" si="111"/>
        <v>0</v>
      </c>
      <c r="AO127" s="100">
        <f t="shared" si="112"/>
        <v>0</v>
      </c>
      <c r="AP127" s="81">
        <f t="shared" si="113"/>
        <v>0</v>
      </c>
      <c r="AQ127" s="171">
        <f t="shared" si="120"/>
        <v>0</v>
      </c>
      <c r="AR127" s="189"/>
      <c r="AS127" s="172">
        <f t="shared" si="133"/>
        <v>0</v>
      </c>
      <c r="AT127" s="184"/>
      <c r="AU127" s="189"/>
      <c r="AV127" s="172"/>
      <c r="AW127" s="171">
        <f t="shared" si="121"/>
        <v>0</v>
      </c>
      <c r="AX127" s="189"/>
      <c r="AY127" s="172">
        <f t="shared" si="122"/>
        <v>0</v>
      </c>
      <c r="AZ127" s="171">
        <f t="shared" si="137"/>
        <v>0</v>
      </c>
      <c r="BA127" s="189"/>
      <c r="BB127" s="172">
        <f t="shared" si="138"/>
        <v>0</v>
      </c>
      <c r="BC127" s="171">
        <f t="shared" si="139"/>
        <v>0</v>
      </c>
      <c r="BD127" s="189"/>
      <c r="BE127" s="172">
        <f t="shared" si="136"/>
        <v>0</v>
      </c>
      <c r="BF127" s="171"/>
      <c r="BG127" s="189"/>
      <c r="BH127" s="172">
        <f t="shared" si="123"/>
        <v>0</v>
      </c>
      <c r="BI127" s="171">
        <f t="shared" si="132"/>
        <v>0</v>
      </c>
      <c r="BJ127" s="189"/>
      <c r="BK127" s="172">
        <f t="shared" si="124"/>
        <v>0</v>
      </c>
      <c r="BL127" s="171">
        <f t="shared" si="125"/>
        <v>0</v>
      </c>
      <c r="BM127" s="189"/>
      <c r="BN127" s="172">
        <f t="shared" si="126"/>
        <v>0</v>
      </c>
      <c r="BO127" s="171">
        <f t="shared" si="127"/>
        <v>0</v>
      </c>
      <c r="BP127" s="189"/>
      <c r="BQ127" s="172">
        <f t="shared" si="128"/>
        <v>0</v>
      </c>
      <c r="BR127" s="171">
        <f t="shared" si="129"/>
        <v>0</v>
      </c>
      <c r="BS127" s="189"/>
      <c r="BT127" s="172">
        <f t="shared" si="130"/>
        <v>0</v>
      </c>
      <c r="BU127" s="72">
        <f t="shared" si="131"/>
        <v>0</v>
      </c>
      <c r="BV127" s="194" t="str">
        <f>LOOKUP(BU127,'الفترة الاولى'!$BX$2:$BY$6)</f>
        <v>ممتاز</v>
      </c>
      <c r="BW127" s="73" t="e">
        <f>BU127/'الفترة الاولى'!$BZ$2</f>
        <v>#DIV/0!</v>
      </c>
    </row>
    <row r="128" spans="1:79" ht="25.2" customHeight="1" thickBot="1" x14ac:dyDescent="0.3">
      <c r="A128" s="50">
        <v>118</v>
      </c>
      <c r="B128" s="53"/>
      <c r="C128" s="101"/>
      <c r="D128" s="79"/>
      <c r="E128" s="168"/>
      <c r="F128" s="163"/>
      <c r="G128" s="89">
        <f t="shared" si="114"/>
        <v>0</v>
      </c>
      <c r="H128" s="176"/>
      <c r="I128" s="91"/>
      <c r="J128" s="173">
        <f t="shared" si="115"/>
        <v>0</v>
      </c>
      <c r="K128" s="90"/>
      <c r="L128" s="91"/>
      <c r="M128" s="89">
        <f t="shared" si="116"/>
        <v>0</v>
      </c>
      <c r="N128" s="176"/>
      <c r="O128" s="91"/>
      <c r="P128" s="173">
        <f t="shared" si="134"/>
        <v>0</v>
      </c>
      <c r="Q128" s="90"/>
      <c r="R128" s="91"/>
      <c r="S128" s="89">
        <f t="shared" si="135"/>
        <v>0</v>
      </c>
      <c r="T128" s="176"/>
      <c r="U128" s="91"/>
      <c r="V128" s="173">
        <f t="shared" si="117"/>
        <v>0</v>
      </c>
      <c r="W128" s="90"/>
      <c r="X128" s="91"/>
      <c r="Y128" s="89">
        <f t="shared" si="141"/>
        <v>0</v>
      </c>
      <c r="Z128" s="176"/>
      <c r="AA128" s="91"/>
      <c r="AB128" s="173">
        <f t="shared" si="107"/>
        <v>0</v>
      </c>
      <c r="AC128" s="90"/>
      <c r="AD128" s="91"/>
      <c r="AE128" s="89">
        <f t="shared" si="108"/>
        <v>0</v>
      </c>
      <c r="AF128" s="176"/>
      <c r="AG128" s="91"/>
      <c r="AH128" s="89">
        <f t="shared" si="118"/>
        <v>0</v>
      </c>
      <c r="AI128" s="160">
        <f t="shared" si="119"/>
        <v>0</v>
      </c>
      <c r="AJ128" s="202" t="str">
        <f t="shared" si="102"/>
        <v>ممتاز</v>
      </c>
      <c r="AK128" s="67" t="e">
        <f t="shared" si="103"/>
        <v>#DIV/0!</v>
      </c>
      <c r="AM128" s="52">
        <f t="shared" si="140"/>
        <v>118</v>
      </c>
      <c r="AN128" s="86">
        <f t="shared" si="111"/>
        <v>0</v>
      </c>
      <c r="AO128" s="98">
        <f t="shared" si="112"/>
        <v>0</v>
      </c>
      <c r="AP128" s="79">
        <f t="shared" si="113"/>
        <v>0</v>
      </c>
      <c r="AQ128" s="168">
        <f t="shared" si="120"/>
        <v>0</v>
      </c>
      <c r="AR128" s="163"/>
      <c r="AS128" s="89">
        <f t="shared" si="133"/>
        <v>0</v>
      </c>
      <c r="AT128" s="184"/>
      <c r="AU128" s="163"/>
      <c r="AV128" s="89"/>
      <c r="AW128" s="168">
        <f t="shared" si="121"/>
        <v>0</v>
      </c>
      <c r="AX128" s="163"/>
      <c r="AY128" s="89">
        <f t="shared" si="122"/>
        <v>0</v>
      </c>
      <c r="AZ128" s="168">
        <f t="shared" si="137"/>
        <v>0</v>
      </c>
      <c r="BA128" s="163"/>
      <c r="BB128" s="89">
        <f t="shared" si="138"/>
        <v>0</v>
      </c>
      <c r="BC128" s="168">
        <f t="shared" si="139"/>
        <v>0</v>
      </c>
      <c r="BD128" s="163"/>
      <c r="BE128" s="89">
        <f t="shared" si="136"/>
        <v>0</v>
      </c>
      <c r="BF128" s="168"/>
      <c r="BG128" s="163"/>
      <c r="BH128" s="89">
        <f t="shared" si="123"/>
        <v>0</v>
      </c>
      <c r="BI128" s="168">
        <f t="shared" si="132"/>
        <v>0</v>
      </c>
      <c r="BJ128" s="163"/>
      <c r="BK128" s="89">
        <f t="shared" si="124"/>
        <v>0</v>
      </c>
      <c r="BL128" s="168">
        <f t="shared" si="125"/>
        <v>0</v>
      </c>
      <c r="BM128" s="163"/>
      <c r="BN128" s="89">
        <f t="shared" si="126"/>
        <v>0</v>
      </c>
      <c r="BO128" s="168">
        <f t="shared" si="127"/>
        <v>0</v>
      </c>
      <c r="BP128" s="163"/>
      <c r="BQ128" s="89">
        <f t="shared" si="128"/>
        <v>0</v>
      </c>
      <c r="BR128" s="168">
        <f t="shared" si="129"/>
        <v>0</v>
      </c>
      <c r="BS128" s="163"/>
      <c r="BT128" s="89">
        <f t="shared" si="130"/>
        <v>0</v>
      </c>
      <c r="BU128" s="74">
        <f t="shared" si="131"/>
        <v>0</v>
      </c>
      <c r="BV128" s="195" t="str">
        <f>LOOKUP(BU128,'الفترة الاولى'!$BX$2:$BY$6)</f>
        <v>ممتاز</v>
      </c>
      <c r="BW128" s="75" t="e">
        <f>BU128/'الفترة الاولى'!$BZ$2</f>
        <v>#DIV/0!</v>
      </c>
    </row>
    <row r="129" spans="1:75" ht="25.2" customHeight="1" thickBot="1" x14ac:dyDescent="0.3">
      <c r="A129" s="51">
        <v>119</v>
      </c>
      <c r="B129" s="54"/>
      <c r="C129" s="102"/>
      <c r="D129" s="80"/>
      <c r="E129" s="169"/>
      <c r="F129" s="92"/>
      <c r="G129" s="170">
        <f t="shared" si="114"/>
        <v>0</v>
      </c>
      <c r="H129" s="177"/>
      <c r="I129" s="92"/>
      <c r="J129" s="174">
        <f t="shared" si="115"/>
        <v>0</v>
      </c>
      <c r="K129" s="93"/>
      <c r="L129" s="92"/>
      <c r="M129" s="170">
        <f t="shared" si="116"/>
        <v>0</v>
      </c>
      <c r="N129" s="177"/>
      <c r="O129" s="92"/>
      <c r="P129" s="174">
        <f t="shared" si="134"/>
        <v>0</v>
      </c>
      <c r="Q129" s="93"/>
      <c r="R129" s="92"/>
      <c r="S129" s="170">
        <f t="shared" si="135"/>
        <v>0</v>
      </c>
      <c r="T129" s="177"/>
      <c r="U129" s="92"/>
      <c r="V129" s="174">
        <f t="shared" si="117"/>
        <v>0</v>
      </c>
      <c r="W129" s="93"/>
      <c r="X129" s="92"/>
      <c r="Y129" s="170">
        <f t="shared" si="141"/>
        <v>0</v>
      </c>
      <c r="Z129" s="177"/>
      <c r="AA129" s="92"/>
      <c r="AB129" s="173">
        <f t="shared" si="107"/>
        <v>0</v>
      </c>
      <c r="AC129" s="93"/>
      <c r="AD129" s="92"/>
      <c r="AE129" s="89">
        <f t="shared" si="108"/>
        <v>0</v>
      </c>
      <c r="AF129" s="177"/>
      <c r="AG129" s="92"/>
      <c r="AH129" s="170">
        <f t="shared" si="118"/>
        <v>0</v>
      </c>
      <c r="AI129" s="161">
        <f t="shared" si="119"/>
        <v>0</v>
      </c>
      <c r="AJ129" s="200" t="str">
        <f t="shared" si="102"/>
        <v>ممتاز</v>
      </c>
      <c r="AK129" s="65" t="e">
        <f t="shared" si="103"/>
        <v>#DIV/0!</v>
      </c>
      <c r="AM129" s="50">
        <f t="shared" si="140"/>
        <v>119</v>
      </c>
      <c r="AN129" s="87">
        <f t="shared" si="111"/>
        <v>0</v>
      </c>
      <c r="AO129" s="99">
        <f t="shared" si="112"/>
        <v>0</v>
      </c>
      <c r="AP129" s="80">
        <f t="shared" si="113"/>
        <v>0</v>
      </c>
      <c r="AQ129" s="169">
        <f t="shared" si="120"/>
        <v>0</v>
      </c>
      <c r="AR129" s="188"/>
      <c r="AS129" s="170">
        <f t="shared" si="133"/>
        <v>0</v>
      </c>
      <c r="AT129" s="184"/>
      <c r="AU129" s="188"/>
      <c r="AV129" s="170"/>
      <c r="AW129" s="169">
        <f t="shared" si="121"/>
        <v>0</v>
      </c>
      <c r="AX129" s="188"/>
      <c r="AY129" s="170">
        <f t="shared" si="122"/>
        <v>0</v>
      </c>
      <c r="AZ129" s="169">
        <f t="shared" si="137"/>
        <v>0</v>
      </c>
      <c r="BA129" s="188"/>
      <c r="BB129" s="170">
        <f t="shared" si="138"/>
        <v>0</v>
      </c>
      <c r="BC129" s="169">
        <f t="shared" si="139"/>
        <v>0</v>
      </c>
      <c r="BD129" s="188"/>
      <c r="BE129" s="170">
        <f t="shared" si="136"/>
        <v>0</v>
      </c>
      <c r="BF129" s="169">
        <f t="shared" ref="BF129:BF142" si="142">T129</f>
        <v>0</v>
      </c>
      <c r="BG129" s="188"/>
      <c r="BH129" s="170">
        <f t="shared" si="123"/>
        <v>0</v>
      </c>
      <c r="BI129" s="169">
        <f t="shared" si="132"/>
        <v>0</v>
      </c>
      <c r="BJ129" s="188"/>
      <c r="BK129" s="170">
        <f t="shared" si="124"/>
        <v>0</v>
      </c>
      <c r="BL129" s="169">
        <f t="shared" si="125"/>
        <v>0</v>
      </c>
      <c r="BM129" s="188"/>
      <c r="BN129" s="170">
        <f t="shared" si="126"/>
        <v>0</v>
      </c>
      <c r="BO129" s="169">
        <f t="shared" si="127"/>
        <v>0</v>
      </c>
      <c r="BP129" s="188"/>
      <c r="BQ129" s="170">
        <f t="shared" si="128"/>
        <v>0</v>
      </c>
      <c r="BR129" s="169">
        <f t="shared" si="129"/>
        <v>0</v>
      </c>
      <c r="BS129" s="188"/>
      <c r="BT129" s="170">
        <f t="shared" si="130"/>
        <v>0</v>
      </c>
      <c r="BU129" s="76">
        <f t="shared" si="131"/>
        <v>0</v>
      </c>
      <c r="BV129" s="196" t="str">
        <f>LOOKUP(BU129,'الفترة الاولى'!$BX$2:$BY$6)</f>
        <v>ممتاز</v>
      </c>
      <c r="BW129" s="77" t="e">
        <f>BU129/'الفترة الاولى'!$BZ$2</f>
        <v>#DIV/0!</v>
      </c>
    </row>
    <row r="130" spans="1:75" ht="25.2" customHeight="1" thickBot="1" x14ac:dyDescent="0.3">
      <c r="A130" s="52">
        <v>120</v>
      </c>
      <c r="B130" s="55"/>
      <c r="C130" s="103"/>
      <c r="D130" s="81"/>
      <c r="E130" s="171"/>
      <c r="F130" s="94"/>
      <c r="G130" s="172">
        <f t="shared" si="114"/>
        <v>0</v>
      </c>
      <c r="H130" s="178"/>
      <c r="I130" s="94"/>
      <c r="J130" s="175">
        <f t="shared" si="115"/>
        <v>0</v>
      </c>
      <c r="K130" s="95"/>
      <c r="L130" s="94"/>
      <c r="M130" s="172">
        <f t="shared" si="116"/>
        <v>0</v>
      </c>
      <c r="N130" s="178"/>
      <c r="O130" s="94"/>
      <c r="P130" s="175">
        <f t="shared" si="134"/>
        <v>0</v>
      </c>
      <c r="Q130" s="95"/>
      <c r="R130" s="94"/>
      <c r="S130" s="172">
        <f t="shared" si="135"/>
        <v>0</v>
      </c>
      <c r="T130" s="178"/>
      <c r="U130" s="94"/>
      <c r="V130" s="175">
        <f t="shared" si="117"/>
        <v>0</v>
      </c>
      <c r="W130" s="95"/>
      <c r="X130" s="94"/>
      <c r="Y130" s="172">
        <f t="shared" si="141"/>
        <v>0</v>
      </c>
      <c r="Z130" s="178"/>
      <c r="AA130" s="94"/>
      <c r="AB130" s="173">
        <f t="shared" si="107"/>
        <v>0</v>
      </c>
      <c r="AC130" s="95"/>
      <c r="AD130" s="94"/>
      <c r="AE130" s="89">
        <f t="shared" si="108"/>
        <v>0</v>
      </c>
      <c r="AF130" s="178"/>
      <c r="AG130" s="94"/>
      <c r="AH130" s="172">
        <f t="shared" si="118"/>
        <v>0</v>
      </c>
      <c r="AI130" s="162">
        <f t="shared" si="119"/>
        <v>0</v>
      </c>
      <c r="AJ130" s="201" t="str">
        <f t="shared" si="102"/>
        <v>ممتاز</v>
      </c>
      <c r="AK130" s="66" t="e">
        <f t="shared" si="103"/>
        <v>#DIV/0!</v>
      </c>
      <c r="AM130" s="51">
        <f t="shared" si="140"/>
        <v>120</v>
      </c>
      <c r="AN130" s="88">
        <f t="shared" si="111"/>
        <v>0</v>
      </c>
      <c r="AO130" s="100">
        <f t="shared" si="112"/>
        <v>0</v>
      </c>
      <c r="AP130" s="81">
        <f t="shared" si="113"/>
        <v>0</v>
      </c>
      <c r="AQ130" s="171">
        <f t="shared" si="120"/>
        <v>0</v>
      </c>
      <c r="AR130" s="189"/>
      <c r="AS130" s="172">
        <f t="shared" si="133"/>
        <v>0</v>
      </c>
      <c r="AT130" s="184"/>
      <c r="AU130" s="189"/>
      <c r="AV130" s="172"/>
      <c r="AW130" s="171">
        <f t="shared" si="121"/>
        <v>0</v>
      </c>
      <c r="AX130" s="189"/>
      <c r="AY130" s="172">
        <f t="shared" si="122"/>
        <v>0</v>
      </c>
      <c r="AZ130" s="171">
        <f t="shared" si="137"/>
        <v>0</v>
      </c>
      <c r="BA130" s="189"/>
      <c r="BB130" s="172">
        <f t="shared" si="138"/>
        <v>0</v>
      </c>
      <c r="BC130" s="171">
        <f t="shared" si="139"/>
        <v>0</v>
      </c>
      <c r="BD130" s="189"/>
      <c r="BE130" s="172">
        <f t="shared" si="136"/>
        <v>0</v>
      </c>
      <c r="BF130" s="171">
        <f t="shared" si="142"/>
        <v>0</v>
      </c>
      <c r="BG130" s="189"/>
      <c r="BH130" s="172">
        <f t="shared" si="123"/>
        <v>0</v>
      </c>
      <c r="BI130" s="171">
        <f t="shared" si="132"/>
        <v>0</v>
      </c>
      <c r="BJ130" s="189"/>
      <c r="BK130" s="172">
        <f t="shared" si="124"/>
        <v>0</v>
      </c>
      <c r="BL130" s="171">
        <f t="shared" si="125"/>
        <v>0</v>
      </c>
      <c r="BM130" s="189"/>
      <c r="BN130" s="172">
        <f t="shared" si="126"/>
        <v>0</v>
      </c>
      <c r="BO130" s="171">
        <f t="shared" si="127"/>
        <v>0</v>
      </c>
      <c r="BP130" s="189"/>
      <c r="BQ130" s="172">
        <f t="shared" si="128"/>
        <v>0</v>
      </c>
      <c r="BR130" s="171">
        <f t="shared" si="129"/>
        <v>0</v>
      </c>
      <c r="BS130" s="189"/>
      <c r="BT130" s="172">
        <f t="shared" si="130"/>
        <v>0</v>
      </c>
      <c r="BU130" s="72">
        <f t="shared" si="131"/>
        <v>0</v>
      </c>
      <c r="BV130" s="194" t="str">
        <f>LOOKUP(BU130,'الفترة الاولى'!$BX$2:$BY$6)</f>
        <v>ممتاز</v>
      </c>
      <c r="BW130" s="73" t="e">
        <f>BU130/'الفترة الاولى'!$BZ$2</f>
        <v>#DIV/0!</v>
      </c>
    </row>
    <row r="131" spans="1:75" ht="25.2" customHeight="1" thickBot="1" x14ac:dyDescent="0.3">
      <c r="A131" s="50">
        <v>121</v>
      </c>
      <c r="B131" s="53"/>
      <c r="C131" s="101"/>
      <c r="D131" s="79"/>
      <c r="E131" s="168"/>
      <c r="F131" s="163"/>
      <c r="G131" s="89">
        <f t="shared" si="114"/>
        <v>0</v>
      </c>
      <c r="H131" s="176"/>
      <c r="I131" s="91"/>
      <c r="J131" s="173">
        <f t="shared" si="115"/>
        <v>0</v>
      </c>
      <c r="K131" s="90"/>
      <c r="L131" s="91"/>
      <c r="M131" s="89">
        <f t="shared" si="116"/>
        <v>0</v>
      </c>
      <c r="N131" s="176"/>
      <c r="O131" s="91"/>
      <c r="P131" s="173">
        <f t="shared" si="134"/>
        <v>0</v>
      </c>
      <c r="Q131" s="90"/>
      <c r="R131" s="91"/>
      <c r="S131" s="89">
        <f t="shared" si="135"/>
        <v>0</v>
      </c>
      <c r="T131" s="176"/>
      <c r="U131" s="91"/>
      <c r="V131" s="173">
        <f t="shared" si="117"/>
        <v>0</v>
      </c>
      <c r="W131" s="90"/>
      <c r="X131" s="91"/>
      <c r="Y131" s="89">
        <f t="shared" si="141"/>
        <v>0</v>
      </c>
      <c r="Z131" s="176"/>
      <c r="AA131" s="91"/>
      <c r="AB131" s="173">
        <f t="shared" si="107"/>
        <v>0</v>
      </c>
      <c r="AC131" s="90"/>
      <c r="AD131" s="91"/>
      <c r="AE131" s="89">
        <f t="shared" si="108"/>
        <v>0</v>
      </c>
      <c r="AF131" s="176"/>
      <c r="AG131" s="91"/>
      <c r="AH131" s="89">
        <f t="shared" si="118"/>
        <v>0</v>
      </c>
      <c r="AI131" s="160">
        <f t="shared" si="119"/>
        <v>0</v>
      </c>
      <c r="AJ131" s="202" t="str">
        <f t="shared" si="102"/>
        <v>ممتاز</v>
      </c>
      <c r="AK131" s="67" t="e">
        <f t="shared" si="103"/>
        <v>#DIV/0!</v>
      </c>
      <c r="AM131" s="52">
        <f t="shared" si="140"/>
        <v>121</v>
      </c>
      <c r="AN131" s="86">
        <f t="shared" si="111"/>
        <v>0</v>
      </c>
      <c r="AO131" s="98">
        <f t="shared" si="112"/>
        <v>0</v>
      </c>
      <c r="AP131" s="79">
        <f t="shared" si="113"/>
        <v>0</v>
      </c>
      <c r="AQ131" s="168">
        <f t="shared" si="120"/>
        <v>0</v>
      </c>
      <c r="AR131" s="163"/>
      <c r="AS131" s="89">
        <f t="shared" si="133"/>
        <v>0</v>
      </c>
      <c r="AT131" s="184"/>
      <c r="AU131" s="163"/>
      <c r="AV131" s="89"/>
      <c r="AW131" s="168">
        <f t="shared" si="121"/>
        <v>0</v>
      </c>
      <c r="AX131" s="163"/>
      <c r="AY131" s="89">
        <f t="shared" si="122"/>
        <v>0</v>
      </c>
      <c r="AZ131" s="168">
        <f t="shared" si="137"/>
        <v>0</v>
      </c>
      <c r="BA131" s="163"/>
      <c r="BB131" s="89">
        <f t="shared" si="138"/>
        <v>0</v>
      </c>
      <c r="BC131" s="168">
        <f t="shared" si="139"/>
        <v>0</v>
      </c>
      <c r="BD131" s="163"/>
      <c r="BE131" s="89">
        <f t="shared" si="136"/>
        <v>0</v>
      </c>
      <c r="BF131" s="168">
        <f t="shared" si="142"/>
        <v>0</v>
      </c>
      <c r="BG131" s="163"/>
      <c r="BH131" s="89">
        <f t="shared" si="123"/>
        <v>0</v>
      </c>
      <c r="BI131" s="168">
        <f t="shared" si="132"/>
        <v>0</v>
      </c>
      <c r="BJ131" s="163"/>
      <c r="BK131" s="89">
        <f t="shared" si="124"/>
        <v>0</v>
      </c>
      <c r="BL131" s="168">
        <f t="shared" si="125"/>
        <v>0</v>
      </c>
      <c r="BM131" s="163"/>
      <c r="BN131" s="89">
        <f t="shared" si="126"/>
        <v>0</v>
      </c>
      <c r="BO131" s="168">
        <f t="shared" si="127"/>
        <v>0</v>
      </c>
      <c r="BP131" s="163"/>
      <c r="BQ131" s="89">
        <f t="shared" si="128"/>
        <v>0</v>
      </c>
      <c r="BR131" s="168">
        <f t="shared" si="129"/>
        <v>0</v>
      </c>
      <c r="BS131" s="163"/>
      <c r="BT131" s="89">
        <f t="shared" si="130"/>
        <v>0</v>
      </c>
      <c r="BU131" s="74">
        <f t="shared" si="131"/>
        <v>0</v>
      </c>
      <c r="BV131" s="195" t="str">
        <f>LOOKUP(BU131,'الفترة الاولى'!$BX$2:$BY$6)</f>
        <v>ممتاز</v>
      </c>
      <c r="BW131" s="75" t="e">
        <f>BU131/'الفترة الاولى'!$BZ$2</f>
        <v>#DIV/0!</v>
      </c>
    </row>
    <row r="132" spans="1:75" ht="25.2" customHeight="1" thickBot="1" x14ac:dyDescent="0.3">
      <c r="A132" s="51">
        <v>122</v>
      </c>
      <c r="B132" s="54"/>
      <c r="C132" s="102"/>
      <c r="D132" s="80"/>
      <c r="E132" s="169"/>
      <c r="F132" s="92"/>
      <c r="G132" s="170">
        <f t="shared" si="114"/>
        <v>0</v>
      </c>
      <c r="H132" s="177"/>
      <c r="I132" s="92"/>
      <c r="J132" s="174">
        <f t="shared" si="115"/>
        <v>0</v>
      </c>
      <c r="K132" s="93"/>
      <c r="L132" s="92"/>
      <c r="M132" s="170">
        <f t="shared" si="116"/>
        <v>0</v>
      </c>
      <c r="N132" s="177"/>
      <c r="O132" s="92"/>
      <c r="P132" s="174">
        <f t="shared" si="134"/>
        <v>0</v>
      </c>
      <c r="Q132" s="93"/>
      <c r="R132" s="92"/>
      <c r="S132" s="170">
        <f t="shared" si="135"/>
        <v>0</v>
      </c>
      <c r="T132" s="177"/>
      <c r="U132" s="92"/>
      <c r="V132" s="174">
        <f t="shared" si="117"/>
        <v>0</v>
      </c>
      <c r="W132" s="93"/>
      <c r="X132" s="92"/>
      <c r="Y132" s="170">
        <f t="shared" si="141"/>
        <v>0</v>
      </c>
      <c r="Z132" s="177"/>
      <c r="AA132" s="92"/>
      <c r="AB132" s="173">
        <f t="shared" si="107"/>
        <v>0</v>
      </c>
      <c r="AC132" s="93"/>
      <c r="AD132" s="92"/>
      <c r="AE132" s="89">
        <f t="shared" si="108"/>
        <v>0</v>
      </c>
      <c r="AF132" s="177"/>
      <c r="AG132" s="92"/>
      <c r="AH132" s="170">
        <f t="shared" si="118"/>
        <v>0</v>
      </c>
      <c r="AI132" s="161">
        <f t="shared" si="119"/>
        <v>0</v>
      </c>
      <c r="AJ132" s="200" t="str">
        <f t="shared" si="102"/>
        <v>ممتاز</v>
      </c>
      <c r="AK132" s="65" t="e">
        <f t="shared" si="103"/>
        <v>#DIV/0!</v>
      </c>
      <c r="AM132" s="50">
        <f t="shared" si="140"/>
        <v>122</v>
      </c>
      <c r="AN132" s="87">
        <f t="shared" si="111"/>
        <v>0</v>
      </c>
      <c r="AO132" s="99">
        <f t="shared" si="112"/>
        <v>0</v>
      </c>
      <c r="AP132" s="80">
        <f t="shared" si="113"/>
        <v>0</v>
      </c>
      <c r="AQ132" s="169">
        <f t="shared" si="120"/>
        <v>0</v>
      </c>
      <c r="AR132" s="188"/>
      <c r="AS132" s="170">
        <f t="shared" si="133"/>
        <v>0</v>
      </c>
      <c r="AT132" s="184"/>
      <c r="AU132" s="188"/>
      <c r="AV132" s="170"/>
      <c r="AW132" s="169">
        <f t="shared" si="121"/>
        <v>0</v>
      </c>
      <c r="AX132" s="188"/>
      <c r="AY132" s="170">
        <f t="shared" si="122"/>
        <v>0</v>
      </c>
      <c r="AZ132" s="169">
        <f t="shared" si="137"/>
        <v>0</v>
      </c>
      <c r="BA132" s="188"/>
      <c r="BB132" s="170">
        <f t="shared" si="138"/>
        <v>0</v>
      </c>
      <c r="BC132" s="169">
        <f t="shared" si="139"/>
        <v>0</v>
      </c>
      <c r="BD132" s="188"/>
      <c r="BE132" s="170">
        <f t="shared" si="136"/>
        <v>0</v>
      </c>
      <c r="BF132" s="169">
        <f t="shared" si="142"/>
        <v>0</v>
      </c>
      <c r="BG132" s="188"/>
      <c r="BH132" s="170">
        <f t="shared" si="123"/>
        <v>0</v>
      </c>
      <c r="BI132" s="169">
        <f t="shared" si="132"/>
        <v>0</v>
      </c>
      <c r="BJ132" s="188"/>
      <c r="BK132" s="170">
        <f t="shared" si="124"/>
        <v>0</v>
      </c>
      <c r="BL132" s="169">
        <f t="shared" si="125"/>
        <v>0</v>
      </c>
      <c r="BM132" s="188"/>
      <c r="BN132" s="170">
        <f t="shared" si="126"/>
        <v>0</v>
      </c>
      <c r="BO132" s="169">
        <f t="shared" si="127"/>
        <v>0</v>
      </c>
      <c r="BP132" s="188"/>
      <c r="BQ132" s="170">
        <f t="shared" si="128"/>
        <v>0</v>
      </c>
      <c r="BR132" s="169">
        <f t="shared" si="129"/>
        <v>0</v>
      </c>
      <c r="BS132" s="188"/>
      <c r="BT132" s="170">
        <f t="shared" si="130"/>
        <v>0</v>
      </c>
      <c r="BU132" s="76">
        <f t="shared" si="131"/>
        <v>0</v>
      </c>
      <c r="BV132" s="196" t="str">
        <f>LOOKUP(BU132,'الفترة الاولى'!$BX$2:$BY$6)</f>
        <v>ممتاز</v>
      </c>
      <c r="BW132" s="77" t="e">
        <f>BU132/'الفترة الاولى'!$BZ$2</f>
        <v>#DIV/0!</v>
      </c>
    </row>
    <row r="133" spans="1:75" ht="25.2" customHeight="1" thickBot="1" x14ac:dyDescent="0.3">
      <c r="A133" s="52">
        <v>123</v>
      </c>
      <c r="B133" s="55"/>
      <c r="C133" s="103"/>
      <c r="D133" s="81"/>
      <c r="E133" s="171"/>
      <c r="F133" s="94"/>
      <c r="G133" s="172">
        <f t="shared" si="114"/>
        <v>0</v>
      </c>
      <c r="H133" s="178"/>
      <c r="I133" s="94"/>
      <c r="J133" s="175">
        <f t="shared" si="115"/>
        <v>0</v>
      </c>
      <c r="K133" s="95"/>
      <c r="L133" s="94"/>
      <c r="M133" s="172">
        <f t="shared" si="116"/>
        <v>0</v>
      </c>
      <c r="N133" s="178"/>
      <c r="O133" s="94"/>
      <c r="P133" s="175">
        <f t="shared" si="134"/>
        <v>0</v>
      </c>
      <c r="Q133" s="95"/>
      <c r="R133" s="94"/>
      <c r="S133" s="172">
        <f t="shared" si="135"/>
        <v>0</v>
      </c>
      <c r="T133" s="178"/>
      <c r="U133" s="94"/>
      <c r="V133" s="175">
        <f t="shared" si="117"/>
        <v>0</v>
      </c>
      <c r="W133" s="95"/>
      <c r="X133" s="94"/>
      <c r="Y133" s="172">
        <f t="shared" si="141"/>
        <v>0</v>
      </c>
      <c r="Z133" s="178"/>
      <c r="AA133" s="94"/>
      <c r="AB133" s="173">
        <f t="shared" si="107"/>
        <v>0</v>
      </c>
      <c r="AC133" s="95"/>
      <c r="AD133" s="94"/>
      <c r="AE133" s="89">
        <f t="shared" si="108"/>
        <v>0</v>
      </c>
      <c r="AF133" s="178"/>
      <c r="AG133" s="94"/>
      <c r="AH133" s="172">
        <f t="shared" si="118"/>
        <v>0</v>
      </c>
      <c r="AI133" s="162">
        <f t="shared" si="119"/>
        <v>0</v>
      </c>
      <c r="AJ133" s="201" t="str">
        <f t="shared" si="102"/>
        <v>ممتاز</v>
      </c>
      <c r="AK133" s="66" t="e">
        <f t="shared" si="103"/>
        <v>#DIV/0!</v>
      </c>
      <c r="AM133" s="51">
        <f t="shared" si="140"/>
        <v>123</v>
      </c>
      <c r="AN133" s="88">
        <f t="shared" si="111"/>
        <v>0</v>
      </c>
      <c r="AO133" s="100">
        <f t="shared" si="112"/>
        <v>0</v>
      </c>
      <c r="AP133" s="81">
        <f t="shared" si="113"/>
        <v>0</v>
      </c>
      <c r="AQ133" s="171">
        <f t="shared" si="120"/>
        <v>0</v>
      </c>
      <c r="AR133" s="189"/>
      <c r="AS133" s="172">
        <f t="shared" si="133"/>
        <v>0</v>
      </c>
      <c r="AT133" s="184"/>
      <c r="AU133" s="189"/>
      <c r="AV133" s="172"/>
      <c r="AW133" s="171">
        <f t="shared" si="121"/>
        <v>0</v>
      </c>
      <c r="AX133" s="189"/>
      <c r="AY133" s="172">
        <f t="shared" si="122"/>
        <v>0</v>
      </c>
      <c r="AZ133" s="171">
        <f t="shared" si="137"/>
        <v>0</v>
      </c>
      <c r="BA133" s="189"/>
      <c r="BB133" s="172">
        <f t="shared" si="138"/>
        <v>0</v>
      </c>
      <c r="BC133" s="171">
        <f t="shared" si="139"/>
        <v>0</v>
      </c>
      <c r="BD133" s="189"/>
      <c r="BE133" s="172">
        <f t="shared" si="136"/>
        <v>0</v>
      </c>
      <c r="BF133" s="171">
        <f t="shared" si="142"/>
        <v>0</v>
      </c>
      <c r="BG133" s="189"/>
      <c r="BH133" s="172">
        <f t="shared" si="123"/>
        <v>0</v>
      </c>
      <c r="BI133" s="171">
        <f t="shared" si="132"/>
        <v>0</v>
      </c>
      <c r="BJ133" s="189"/>
      <c r="BK133" s="172">
        <f t="shared" si="124"/>
        <v>0</v>
      </c>
      <c r="BL133" s="171">
        <f t="shared" si="125"/>
        <v>0</v>
      </c>
      <c r="BM133" s="189"/>
      <c r="BN133" s="172">
        <f t="shared" si="126"/>
        <v>0</v>
      </c>
      <c r="BO133" s="171">
        <f t="shared" si="127"/>
        <v>0</v>
      </c>
      <c r="BP133" s="189"/>
      <c r="BQ133" s="172">
        <f t="shared" si="128"/>
        <v>0</v>
      </c>
      <c r="BR133" s="171">
        <f t="shared" si="129"/>
        <v>0</v>
      </c>
      <c r="BS133" s="189"/>
      <c r="BT133" s="172">
        <f t="shared" si="130"/>
        <v>0</v>
      </c>
      <c r="BU133" s="72">
        <f t="shared" si="131"/>
        <v>0</v>
      </c>
      <c r="BV133" s="194" t="str">
        <f>LOOKUP(BU133,'الفترة الاولى'!$BX$2:$BY$6)</f>
        <v>ممتاز</v>
      </c>
      <c r="BW133" s="73" t="e">
        <f>BU133/'الفترة الاولى'!$BZ$2</f>
        <v>#DIV/0!</v>
      </c>
    </row>
    <row r="134" spans="1:75" ht="25.2" customHeight="1" thickBot="1" x14ac:dyDescent="0.3">
      <c r="A134" s="50">
        <v>124</v>
      </c>
      <c r="B134" s="53"/>
      <c r="C134" s="101"/>
      <c r="D134" s="79"/>
      <c r="E134" s="168"/>
      <c r="F134" s="163"/>
      <c r="G134" s="89">
        <f t="shared" si="114"/>
        <v>0</v>
      </c>
      <c r="H134" s="176"/>
      <c r="I134" s="91"/>
      <c r="J134" s="173">
        <f t="shared" si="115"/>
        <v>0</v>
      </c>
      <c r="K134" s="90"/>
      <c r="L134" s="91"/>
      <c r="M134" s="89">
        <f t="shared" si="116"/>
        <v>0</v>
      </c>
      <c r="N134" s="176"/>
      <c r="O134" s="91"/>
      <c r="P134" s="173">
        <f t="shared" si="134"/>
        <v>0</v>
      </c>
      <c r="Q134" s="90"/>
      <c r="R134" s="91"/>
      <c r="S134" s="89">
        <f t="shared" si="135"/>
        <v>0</v>
      </c>
      <c r="T134" s="176"/>
      <c r="U134" s="91"/>
      <c r="V134" s="173">
        <f t="shared" si="117"/>
        <v>0</v>
      </c>
      <c r="W134" s="90"/>
      <c r="X134" s="91"/>
      <c r="Y134" s="89">
        <f t="shared" si="141"/>
        <v>0</v>
      </c>
      <c r="Z134" s="176"/>
      <c r="AA134" s="91"/>
      <c r="AB134" s="173">
        <f t="shared" si="107"/>
        <v>0</v>
      </c>
      <c r="AC134" s="90"/>
      <c r="AD134" s="91"/>
      <c r="AE134" s="89">
        <f t="shared" si="108"/>
        <v>0</v>
      </c>
      <c r="AF134" s="176"/>
      <c r="AG134" s="91"/>
      <c r="AH134" s="89">
        <f t="shared" si="118"/>
        <v>0</v>
      </c>
      <c r="AI134" s="160">
        <f t="shared" si="119"/>
        <v>0</v>
      </c>
      <c r="AJ134" s="202" t="str">
        <f t="shared" si="102"/>
        <v>ممتاز</v>
      </c>
      <c r="AK134" s="67" t="e">
        <f t="shared" si="103"/>
        <v>#DIV/0!</v>
      </c>
      <c r="AM134" s="52">
        <f t="shared" si="140"/>
        <v>124</v>
      </c>
      <c r="AN134" s="86">
        <f t="shared" si="111"/>
        <v>0</v>
      </c>
      <c r="AO134" s="98">
        <f t="shared" si="112"/>
        <v>0</v>
      </c>
      <c r="AP134" s="79">
        <f t="shared" si="113"/>
        <v>0</v>
      </c>
      <c r="AQ134" s="168">
        <f t="shared" si="120"/>
        <v>0</v>
      </c>
      <c r="AR134" s="163"/>
      <c r="AS134" s="89">
        <f t="shared" si="133"/>
        <v>0</v>
      </c>
      <c r="AT134" s="184"/>
      <c r="AU134" s="163"/>
      <c r="AV134" s="89"/>
      <c r="AW134" s="168">
        <f t="shared" si="121"/>
        <v>0</v>
      </c>
      <c r="AX134" s="163"/>
      <c r="AY134" s="89">
        <f t="shared" si="122"/>
        <v>0</v>
      </c>
      <c r="AZ134" s="168">
        <f t="shared" si="137"/>
        <v>0</v>
      </c>
      <c r="BA134" s="163"/>
      <c r="BB134" s="89">
        <f t="shared" si="138"/>
        <v>0</v>
      </c>
      <c r="BC134" s="168">
        <f t="shared" si="139"/>
        <v>0</v>
      </c>
      <c r="BD134" s="163"/>
      <c r="BE134" s="89">
        <f t="shared" si="136"/>
        <v>0</v>
      </c>
      <c r="BF134" s="168">
        <f t="shared" si="142"/>
        <v>0</v>
      </c>
      <c r="BG134" s="163"/>
      <c r="BH134" s="89">
        <f t="shared" si="123"/>
        <v>0</v>
      </c>
      <c r="BI134" s="168">
        <f t="shared" si="132"/>
        <v>0</v>
      </c>
      <c r="BJ134" s="163"/>
      <c r="BK134" s="89">
        <f t="shared" si="124"/>
        <v>0</v>
      </c>
      <c r="BL134" s="168">
        <f t="shared" si="125"/>
        <v>0</v>
      </c>
      <c r="BM134" s="163"/>
      <c r="BN134" s="89">
        <f t="shared" si="126"/>
        <v>0</v>
      </c>
      <c r="BO134" s="168">
        <f t="shared" si="127"/>
        <v>0</v>
      </c>
      <c r="BP134" s="163"/>
      <c r="BQ134" s="89">
        <f t="shared" si="128"/>
        <v>0</v>
      </c>
      <c r="BR134" s="168">
        <f t="shared" si="129"/>
        <v>0</v>
      </c>
      <c r="BS134" s="163"/>
      <c r="BT134" s="89">
        <f t="shared" si="130"/>
        <v>0</v>
      </c>
      <c r="BU134" s="74">
        <f t="shared" si="131"/>
        <v>0</v>
      </c>
      <c r="BV134" s="195" t="str">
        <f>LOOKUP(BU134,'الفترة الاولى'!$BX$2:$BY$6)</f>
        <v>ممتاز</v>
      </c>
      <c r="BW134" s="75" t="e">
        <f>BU134/'الفترة الاولى'!$BZ$2</f>
        <v>#DIV/0!</v>
      </c>
    </row>
    <row r="135" spans="1:75" ht="25.2" customHeight="1" thickBot="1" x14ac:dyDescent="0.3">
      <c r="A135" s="51">
        <v>125</v>
      </c>
      <c r="B135" s="54"/>
      <c r="C135" s="102"/>
      <c r="D135" s="80"/>
      <c r="E135" s="169"/>
      <c r="F135" s="92"/>
      <c r="G135" s="170">
        <f t="shared" si="114"/>
        <v>0</v>
      </c>
      <c r="H135" s="177"/>
      <c r="I135" s="92"/>
      <c r="J135" s="174">
        <f t="shared" si="115"/>
        <v>0</v>
      </c>
      <c r="K135" s="93"/>
      <c r="L135" s="92"/>
      <c r="M135" s="170">
        <f t="shared" si="116"/>
        <v>0</v>
      </c>
      <c r="N135" s="177"/>
      <c r="O135" s="92"/>
      <c r="P135" s="174">
        <f t="shared" si="134"/>
        <v>0</v>
      </c>
      <c r="Q135" s="93"/>
      <c r="R135" s="92"/>
      <c r="S135" s="170">
        <f t="shared" si="135"/>
        <v>0</v>
      </c>
      <c r="T135" s="177"/>
      <c r="U135" s="92"/>
      <c r="V135" s="174">
        <f t="shared" si="117"/>
        <v>0</v>
      </c>
      <c r="W135" s="93"/>
      <c r="X135" s="92"/>
      <c r="Y135" s="170">
        <f t="shared" si="141"/>
        <v>0</v>
      </c>
      <c r="Z135" s="177"/>
      <c r="AA135" s="92"/>
      <c r="AB135" s="173">
        <f t="shared" si="107"/>
        <v>0</v>
      </c>
      <c r="AC135" s="93"/>
      <c r="AD135" s="92"/>
      <c r="AE135" s="89">
        <f t="shared" si="108"/>
        <v>0</v>
      </c>
      <c r="AF135" s="177"/>
      <c r="AG135" s="92"/>
      <c r="AH135" s="170">
        <f t="shared" si="118"/>
        <v>0</v>
      </c>
      <c r="AI135" s="161">
        <f t="shared" si="119"/>
        <v>0</v>
      </c>
      <c r="AJ135" s="200" t="str">
        <f t="shared" si="102"/>
        <v>ممتاز</v>
      </c>
      <c r="AK135" s="65" t="e">
        <f t="shared" si="103"/>
        <v>#DIV/0!</v>
      </c>
      <c r="AM135" s="50">
        <f t="shared" si="140"/>
        <v>125</v>
      </c>
      <c r="AN135" s="87">
        <f t="shared" si="111"/>
        <v>0</v>
      </c>
      <c r="AO135" s="99">
        <f t="shared" si="112"/>
        <v>0</v>
      </c>
      <c r="AP135" s="80">
        <f t="shared" si="113"/>
        <v>0</v>
      </c>
      <c r="AQ135" s="169">
        <f t="shared" si="120"/>
        <v>0</v>
      </c>
      <c r="AR135" s="188"/>
      <c r="AS135" s="170">
        <f t="shared" si="133"/>
        <v>0</v>
      </c>
      <c r="AT135" s="184"/>
      <c r="AU135" s="188"/>
      <c r="AV135" s="170"/>
      <c r="AW135" s="169">
        <f t="shared" si="121"/>
        <v>0</v>
      </c>
      <c r="AX135" s="188"/>
      <c r="AY135" s="170">
        <f t="shared" si="122"/>
        <v>0</v>
      </c>
      <c r="AZ135" s="169">
        <f t="shared" si="137"/>
        <v>0</v>
      </c>
      <c r="BA135" s="188"/>
      <c r="BB135" s="170">
        <f t="shared" si="138"/>
        <v>0</v>
      </c>
      <c r="BC135" s="169">
        <f t="shared" si="139"/>
        <v>0</v>
      </c>
      <c r="BD135" s="188"/>
      <c r="BE135" s="170">
        <f t="shared" si="136"/>
        <v>0</v>
      </c>
      <c r="BF135" s="169">
        <f t="shared" si="142"/>
        <v>0</v>
      </c>
      <c r="BG135" s="188"/>
      <c r="BH135" s="170">
        <f t="shared" si="123"/>
        <v>0</v>
      </c>
      <c r="BI135" s="169">
        <f t="shared" si="132"/>
        <v>0</v>
      </c>
      <c r="BJ135" s="188"/>
      <c r="BK135" s="170">
        <f t="shared" si="124"/>
        <v>0</v>
      </c>
      <c r="BL135" s="169">
        <f t="shared" si="125"/>
        <v>0</v>
      </c>
      <c r="BM135" s="188"/>
      <c r="BN135" s="170">
        <f t="shared" si="126"/>
        <v>0</v>
      </c>
      <c r="BO135" s="169">
        <f t="shared" si="127"/>
        <v>0</v>
      </c>
      <c r="BP135" s="188"/>
      <c r="BQ135" s="170">
        <f t="shared" si="128"/>
        <v>0</v>
      </c>
      <c r="BR135" s="169">
        <f t="shared" si="129"/>
        <v>0</v>
      </c>
      <c r="BS135" s="188"/>
      <c r="BT135" s="170">
        <f t="shared" si="130"/>
        <v>0</v>
      </c>
      <c r="BU135" s="76">
        <f t="shared" si="131"/>
        <v>0</v>
      </c>
      <c r="BV135" s="196" t="str">
        <f>LOOKUP(BU135,'الفترة الاولى'!$BX$2:$BY$6)</f>
        <v>ممتاز</v>
      </c>
      <c r="BW135" s="77" t="e">
        <f>BU135/'الفترة الاولى'!$BZ$2</f>
        <v>#DIV/0!</v>
      </c>
    </row>
    <row r="136" spans="1:75" ht="25.2" customHeight="1" thickBot="1" x14ac:dyDescent="0.3">
      <c r="A136" s="52">
        <v>126</v>
      </c>
      <c r="B136" s="55"/>
      <c r="C136" s="103"/>
      <c r="D136" s="81"/>
      <c r="E136" s="171"/>
      <c r="F136" s="94"/>
      <c r="G136" s="172">
        <f t="shared" si="114"/>
        <v>0</v>
      </c>
      <c r="H136" s="178"/>
      <c r="I136" s="94"/>
      <c r="J136" s="175">
        <f t="shared" si="115"/>
        <v>0</v>
      </c>
      <c r="K136" s="95"/>
      <c r="L136" s="94"/>
      <c r="M136" s="172">
        <f t="shared" si="116"/>
        <v>0</v>
      </c>
      <c r="N136" s="178"/>
      <c r="O136" s="94"/>
      <c r="P136" s="175">
        <f t="shared" si="134"/>
        <v>0</v>
      </c>
      <c r="Q136" s="95"/>
      <c r="R136" s="94"/>
      <c r="S136" s="172">
        <f t="shared" si="135"/>
        <v>0</v>
      </c>
      <c r="T136" s="178"/>
      <c r="U136" s="94"/>
      <c r="V136" s="175">
        <f t="shared" si="117"/>
        <v>0</v>
      </c>
      <c r="W136" s="95"/>
      <c r="X136" s="94"/>
      <c r="Y136" s="172">
        <f t="shared" si="141"/>
        <v>0</v>
      </c>
      <c r="Z136" s="178"/>
      <c r="AA136" s="94"/>
      <c r="AB136" s="173">
        <f t="shared" si="107"/>
        <v>0</v>
      </c>
      <c r="AC136" s="95"/>
      <c r="AD136" s="94"/>
      <c r="AE136" s="89">
        <f t="shared" si="108"/>
        <v>0</v>
      </c>
      <c r="AF136" s="178"/>
      <c r="AG136" s="94"/>
      <c r="AH136" s="172">
        <f t="shared" si="118"/>
        <v>0</v>
      </c>
      <c r="AI136" s="162">
        <f t="shared" si="119"/>
        <v>0</v>
      </c>
      <c r="AJ136" s="201" t="str">
        <f t="shared" si="102"/>
        <v>ممتاز</v>
      </c>
      <c r="AK136" s="66" t="e">
        <f t="shared" si="103"/>
        <v>#DIV/0!</v>
      </c>
      <c r="AM136" s="51">
        <f t="shared" si="140"/>
        <v>126</v>
      </c>
      <c r="AN136" s="88">
        <f t="shared" si="111"/>
        <v>0</v>
      </c>
      <c r="AO136" s="100">
        <f t="shared" si="112"/>
        <v>0</v>
      </c>
      <c r="AP136" s="81">
        <f t="shared" si="113"/>
        <v>0</v>
      </c>
      <c r="AQ136" s="171">
        <f t="shared" si="120"/>
        <v>0</v>
      </c>
      <c r="AR136" s="189"/>
      <c r="AS136" s="172">
        <f t="shared" si="133"/>
        <v>0</v>
      </c>
      <c r="AT136" s="184"/>
      <c r="AU136" s="189"/>
      <c r="AV136" s="172"/>
      <c r="AW136" s="171">
        <f t="shared" si="121"/>
        <v>0</v>
      </c>
      <c r="AX136" s="189"/>
      <c r="AY136" s="172">
        <f t="shared" si="122"/>
        <v>0</v>
      </c>
      <c r="AZ136" s="171">
        <f t="shared" si="137"/>
        <v>0</v>
      </c>
      <c r="BA136" s="189"/>
      <c r="BB136" s="172">
        <f t="shared" si="138"/>
        <v>0</v>
      </c>
      <c r="BC136" s="171">
        <f t="shared" si="139"/>
        <v>0</v>
      </c>
      <c r="BD136" s="189"/>
      <c r="BE136" s="172">
        <f t="shared" si="136"/>
        <v>0</v>
      </c>
      <c r="BF136" s="171">
        <f t="shared" si="142"/>
        <v>0</v>
      </c>
      <c r="BG136" s="189"/>
      <c r="BH136" s="172">
        <f t="shared" si="123"/>
        <v>0</v>
      </c>
      <c r="BI136" s="171">
        <f t="shared" si="132"/>
        <v>0</v>
      </c>
      <c r="BJ136" s="189"/>
      <c r="BK136" s="172">
        <f t="shared" si="124"/>
        <v>0</v>
      </c>
      <c r="BL136" s="171">
        <f t="shared" si="125"/>
        <v>0</v>
      </c>
      <c r="BM136" s="189"/>
      <c r="BN136" s="172">
        <f t="shared" si="126"/>
        <v>0</v>
      </c>
      <c r="BO136" s="171">
        <f t="shared" si="127"/>
        <v>0</v>
      </c>
      <c r="BP136" s="189"/>
      <c r="BQ136" s="172">
        <f t="shared" si="128"/>
        <v>0</v>
      </c>
      <c r="BR136" s="171">
        <f t="shared" si="129"/>
        <v>0</v>
      </c>
      <c r="BS136" s="189"/>
      <c r="BT136" s="172">
        <f t="shared" si="130"/>
        <v>0</v>
      </c>
      <c r="BU136" s="72">
        <f t="shared" si="131"/>
        <v>0</v>
      </c>
      <c r="BV136" s="194" t="str">
        <f>LOOKUP(BU136,'الفترة الاولى'!$BX$2:$BY$6)</f>
        <v>ممتاز</v>
      </c>
      <c r="BW136" s="73" t="e">
        <f>BU136/'الفترة الاولى'!$BZ$2</f>
        <v>#DIV/0!</v>
      </c>
    </row>
    <row r="137" spans="1:75" ht="25.2" customHeight="1" thickBot="1" x14ac:dyDescent="0.3">
      <c r="A137" s="50">
        <v>127</v>
      </c>
      <c r="B137" s="53"/>
      <c r="C137" s="101"/>
      <c r="D137" s="79"/>
      <c r="E137" s="168"/>
      <c r="F137" s="163"/>
      <c r="G137" s="89">
        <f t="shared" si="114"/>
        <v>0</v>
      </c>
      <c r="H137" s="176"/>
      <c r="I137" s="91"/>
      <c r="J137" s="173">
        <f t="shared" si="115"/>
        <v>0</v>
      </c>
      <c r="K137" s="90"/>
      <c r="L137" s="91"/>
      <c r="M137" s="89">
        <f t="shared" si="116"/>
        <v>0</v>
      </c>
      <c r="N137" s="176"/>
      <c r="O137" s="91"/>
      <c r="P137" s="173">
        <f t="shared" si="134"/>
        <v>0</v>
      </c>
      <c r="Q137" s="90"/>
      <c r="R137" s="91"/>
      <c r="S137" s="89">
        <f t="shared" si="135"/>
        <v>0</v>
      </c>
      <c r="T137" s="176"/>
      <c r="U137" s="91"/>
      <c r="V137" s="173">
        <f t="shared" si="117"/>
        <v>0</v>
      </c>
      <c r="W137" s="90"/>
      <c r="X137" s="91"/>
      <c r="Y137" s="89">
        <f t="shared" si="141"/>
        <v>0</v>
      </c>
      <c r="Z137" s="176"/>
      <c r="AA137" s="91"/>
      <c r="AB137" s="173">
        <f t="shared" si="107"/>
        <v>0</v>
      </c>
      <c r="AC137" s="90"/>
      <c r="AD137" s="91"/>
      <c r="AE137" s="89">
        <f t="shared" si="108"/>
        <v>0</v>
      </c>
      <c r="AF137" s="176"/>
      <c r="AG137" s="91"/>
      <c r="AH137" s="89">
        <f t="shared" si="118"/>
        <v>0</v>
      </c>
      <c r="AI137" s="160">
        <f t="shared" si="119"/>
        <v>0</v>
      </c>
      <c r="AJ137" s="202" t="str">
        <f t="shared" si="102"/>
        <v>ممتاز</v>
      </c>
      <c r="AK137" s="67" t="e">
        <f t="shared" si="103"/>
        <v>#DIV/0!</v>
      </c>
      <c r="AM137" s="52">
        <f t="shared" si="140"/>
        <v>127</v>
      </c>
      <c r="AN137" s="86">
        <f t="shared" si="111"/>
        <v>0</v>
      </c>
      <c r="AO137" s="98">
        <f t="shared" si="112"/>
        <v>0</v>
      </c>
      <c r="AP137" s="79">
        <f t="shared" si="113"/>
        <v>0</v>
      </c>
      <c r="AQ137" s="168">
        <f t="shared" si="120"/>
        <v>0</v>
      </c>
      <c r="AR137" s="163"/>
      <c r="AS137" s="89">
        <f t="shared" si="133"/>
        <v>0</v>
      </c>
      <c r="AT137" s="184"/>
      <c r="AU137" s="163"/>
      <c r="AV137" s="89"/>
      <c r="AW137" s="168">
        <f t="shared" si="121"/>
        <v>0</v>
      </c>
      <c r="AX137" s="163"/>
      <c r="AY137" s="89">
        <f t="shared" si="122"/>
        <v>0</v>
      </c>
      <c r="AZ137" s="168">
        <f t="shared" si="137"/>
        <v>0</v>
      </c>
      <c r="BA137" s="163"/>
      <c r="BB137" s="89">
        <f t="shared" si="138"/>
        <v>0</v>
      </c>
      <c r="BC137" s="168">
        <f t="shared" si="139"/>
        <v>0</v>
      </c>
      <c r="BD137" s="163"/>
      <c r="BE137" s="89">
        <f t="shared" si="136"/>
        <v>0</v>
      </c>
      <c r="BF137" s="168">
        <f t="shared" si="142"/>
        <v>0</v>
      </c>
      <c r="BG137" s="163"/>
      <c r="BH137" s="89">
        <f t="shared" si="123"/>
        <v>0</v>
      </c>
      <c r="BI137" s="168">
        <f t="shared" si="132"/>
        <v>0</v>
      </c>
      <c r="BJ137" s="163"/>
      <c r="BK137" s="89">
        <f t="shared" si="124"/>
        <v>0</v>
      </c>
      <c r="BL137" s="168">
        <f t="shared" si="125"/>
        <v>0</v>
      </c>
      <c r="BM137" s="163"/>
      <c r="BN137" s="89">
        <f t="shared" si="126"/>
        <v>0</v>
      </c>
      <c r="BO137" s="168">
        <f t="shared" si="127"/>
        <v>0</v>
      </c>
      <c r="BP137" s="163"/>
      <c r="BQ137" s="89">
        <f t="shared" si="128"/>
        <v>0</v>
      </c>
      <c r="BR137" s="168">
        <f t="shared" si="129"/>
        <v>0</v>
      </c>
      <c r="BS137" s="163"/>
      <c r="BT137" s="89">
        <f t="shared" si="130"/>
        <v>0</v>
      </c>
      <c r="BU137" s="74">
        <f t="shared" si="131"/>
        <v>0</v>
      </c>
      <c r="BV137" s="195" t="str">
        <f>LOOKUP(BU137,'الفترة الاولى'!$BX$2:$BY$6)</f>
        <v>ممتاز</v>
      </c>
      <c r="BW137" s="75" t="e">
        <f>BU137/'الفترة الاولى'!$BZ$2</f>
        <v>#DIV/0!</v>
      </c>
    </row>
    <row r="138" spans="1:75" ht="25.2" customHeight="1" thickBot="1" x14ac:dyDescent="0.3">
      <c r="A138" s="51">
        <v>128</v>
      </c>
      <c r="B138" s="54"/>
      <c r="C138" s="102"/>
      <c r="D138" s="80"/>
      <c r="E138" s="169"/>
      <c r="F138" s="92"/>
      <c r="G138" s="170">
        <f t="shared" si="114"/>
        <v>0</v>
      </c>
      <c r="H138" s="177"/>
      <c r="I138" s="92"/>
      <c r="J138" s="174">
        <f t="shared" si="115"/>
        <v>0</v>
      </c>
      <c r="K138" s="93"/>
      <c r="L138" s="92"/>
      <c r="M138" s="170">
        <f t="shared" si="116"/>
        <v>0</v>
      </c>
      <c r="N138" s="177"/>
      <c r="O138" s="92"/>
      <c r="P138" s="174">
        <f t="shared" si="134"/>
        <v>0</v>
      </c>
      <c r="Q138" s="93"/>
      <c r="R138" s="92"/>
      <c r="S138" s="170">
        <f t="shared" si="135"/>
        <v>0</v>
      </c>
      <c r="T138" s="177"/>
      <c r="U138" s="92"/>
      <c r="V138" s="174">
        <f t="shared" si="117"/>
        <v>0</v>
      </c>
      <c r="W138" s="93"/>
      <c r="X138" s="92"/>
      <c r="Y138" s="170">
        <f t="shared" si="141"/>
        <v>0</v>
      </c>
      <c r="Z138" s="177"/>
      <c r="AA138" s="92"/>
      <c r="AB138" s="173">
        <f t="shared" si="107"/>
        <v>0</v>
      </c>
      <c r="AC138" s="93"/>
      <c r="AD138" s="92"/>
      <c r="AE138" s="89">
        <f t="shared" si="108"/>
        <v>0</v>
      </c>
      <c r="AF138" s="177"/>
      <c r="AG138" s="92"/>
      <c r="AH138" s="170">
        <f t="shared" si="118"/>
        <v>0</v>
      </c>
      <c r="AI138" s="161">
        <f t="shared" si="119"/>
        <v>0</v>
      </c>
      <c r="AJ138" s="200" t="str">
        <f t="shared" si="102"/>
        <v>ممتاز</v>
      </c>
      <c r="AK138" s="65" t="e">
        <f t="shared" si="103"/>
        <v>#DIV/0!</v>
      </c>
      <c r="AM138" s="50">
        <f t="shared" si="140"/>
        <v>128</v>
      </c>
      <c r="AN138" s="87">
        <f t="shared" si="111"/>
        <v>0</v>
      </c>
      <c r="AO138" s="99">
        <f t="shared" si="112"/>
        <v>0</v>
      </c>
      <c r="AP138" s="80">
        <f t="shared" si="113"/>
        <v>0</v>
      </c>
      <c r="AQ138" s="169">
        <f t="shared" si="120"/>
        <v>0</v>
      </c>
      <c r="AR138" s="188"/>
      <c r="AS138" s="170">
        <f t="shared" si="133"/>
        <v>0</v>
      </c>
      <c r="AT138" s="184"/>
      <c r="AU138" s="188"/>
      <c r="AV138" s="170"/>
      <c r="AW138" s="169">
        <f t="shared" si="121"/>
        <v>0</v>
      </c>
      <c r="AX138" s="188"/>
      <c r="AY138" s="170">
        <f t="shared" si="122"/>
        <v>0</v>
      </c>
      <c r="AZ138" s="169">
        <f t="shared" si="137"/>
        <v>0</v>
      </c>
      <c r="BA138" s="188"/>
      <c r="BB138" s="170">
        <f t="shared" si="138"/>
        <v>0</v>
      </c>
      <c r="BC138" s="169">
        <f t="shared" si="139"/>
        <v>0</v>
      </c>
      <c r="BD138" s="188"/>
      <c r="BE138" s="170">
        <f t="shared" si="136"/>
        <v>0</v>
      </c>
      <c r="BF138" s="169">
        <f t="shared" si="142"/>
        <v>0</v>
      </c>
      <c r="BG138" s="188"/>
      <c r="BH138" s="170">
        <f t="shared" si="123"/>
        <v>0</v>
      </c>
      <c r="BI138" s="169">
        <f t="shared" si="132"/>
        <v>0</v>
      </c>
      <c r="BJ138" s="188"/>
      <c r="BK138" s="170">
        <f t="shared" si="124"/>
        <v>0</v>
      </c>
      <c r="BL138" s="169">
        <f t="shared" si="125"/>
        <v>0</v>
      </c>
      <c r="BM138" s="188"/>
      <c r="BN138" s="170">
        <f t="shared" si="126"/>
        <v>0</v>
      </c>
      <c r="BO138" s="169">
        <f t="shared" si="127"/>
        <v>0</v>
      </c>
      <c r="BP138" s="188"/>
      <c r="BQ138" s="170">
        <f t="shared" si="128"/>
        <v>0</v>
      </c>
      <c r="BR138" s="169">
        <f t="shared" si="129"/>
        <v>0</v>
      </c>
      <c r="BS138" s="188"/>
      <c r="BT138" s="170">
        <f t="shared" si="130"/>
        <v>0</v>
      </c>
      <c r="BU138" s="76">
        <f t="shared" si="131"/>
        <v>0</v>
      </c>
      <c r="BV138" s="196" t="str">
        <f>LOOKUP(BU138,'الفترة الاولى'!$BX$2:$BY$6)</f>
        <v>ممتاز</v>
      </c>
      <c r="BW138" s="77" t="e">
        <f>BU138/'الفترة الاولى'!$BZ$2</f>
        <v>#DIV/0!</v>
      </c>
    </row>
    <row r="139" spans="1:75" ht="25.2" customHeight="1" thickBot="1" x14ac:dyDescent="0.3">
      <c r="A139" s="52">
        <v>129</v>
      </c>
      <c r="B139" s="55"/>
      <c r="C139" s="103"/>
      <c r="D139" s="81"/>
      <c r="E139" s="171"/>
      <c r="F139" s="94"/>
      <c r="G139" s="172">
        <f t="shared" si="114"/>
        <v>0</v>
      </c>
      <c r="H139" s="178"/>
      <c r="I139" s="94"/>
      <c r="J139" s="175">
        <f t="shared" si="115"/>
        <v>0</v>
      </c>
      <c r="K139" s="95"/>
      <c r="L139" s="94"/>
      <c r="M139" s="172">
        <f t="shared" si="116"/>
        <v>0</v>
      </c>
      <c r="N139" s="178"/>
      <c r="O139" s="94"/>
      <c r="P139" s="175">
        <f t="shared" si="134"/>
        <v>0</v>
      </c>
      <c r="Q139" s="95"/>
      <c r="R139" s="94"/>
      <c r="S139" s="172">
        <f t="shared" si="135"/>
        <v>0</v>
      </c>
      <c r="T139" s="178"/>
      <c r="U139" s="94"/>
      <c r="V139" s="175">
        <f t="shared" si="117"/>
        <v>0</v>
      </c>
      <c r="W139" s="95"/>
      <c r="X139" s="94"/>
      <c r="Y139" s="172">
        <f t="shared" si="141"/>
        <v>0</v>
      </c>
      <c r="Z139" s="178"/>
      <c r="AA139" s="94"/>
      <c r="AB139" s="173">
        <f t="shared" si="107"/>
        <v>0</v>
      </c>
      <c r="AC139" s="95"/>
      <c r="AD139" s="94"/>
      <c r="AE139" s="89">
        <f t="shared" si="108"/>
        <v>0</v>
      </c>
      <c r="AF139" s="178"/>
      <c r="AG139" s="94"/>
      <c r="AH139" s="172">
        <f t="shared" si="118"/>
        <v>0</v>
      </c>
      <c r="AI139" s="162">
        <f t="shared" si="119"/>
        <v>0</v>
      </c>
      <c r="AJ139" s="201" t="str">
        <f t="shared" ref="AJ139:AJ202" si="143">LOOKUP(AI139,$BX$2:$BY$6)</f>
        <v>ممتاز</v>
      </c>
      <c r="AK139" s="66" t="e">
        <f t="shared" ref="AK139:AK202" si="144">AI139/$BZ$2</f>
        <v>#DIV/0!</v>
      </c>
      <c r="AM139" s="51">
        <f t="shared" si="140"/>
        <v>129</v>
      </c>
      <c r="AN139" s="88">
        <f t="shared" si="111"/>
        <v>0</v>
      </c>
      <c r="AO139" s="100">
        <f t="shared" si="112"/>
        <v>0</v>
      </c>
      <c r="AP139" s="81">
        <f t="shared" si="113"/>
        <v>0</v>
      </c>
      <c r="AQ139" s="171">
        <f t="shared" si="120"/>
        <v>0</v>
      </c>
      <c r="AR139" s="189"/>
      <c r="AS139" s="172">
        <f t="shared" si="133"/>
        <v>0</v>
      </c>
      <c r="AT139" s="184"/>
      <c r="AU139" s="189"/>
      <c r="AV139" s="172"/>
      <c r="AW139" s="171">
        <f t="shared" si="121"/>
        <v>0</v>
      </c>
      <c r="AX139" s="189"/>
      <c r="AY139" s="172">
        <f t="shared" si="122"/>
        <v>0</v>
      </c>
      <c r="AZ139" s="171">
        <f t="shared" si="137"/>
        <v>0</v>
      </c>
      <c r="BA139" s="189"/>
      <c r="BB139" s="172">
        <f t="shared" si="138"/>
        <v>0</v>
      </c>
      <c r="BC139" s="171">
        <f t="shared" si="139"/>
        <v>0</v>
      </c>
      <c r="BD139" s="189"/>
      <c r="BE139" s="172">
        <f t="shared" si="136"/>
        <v>0</v>
      </c>
      <c r="BF139" s="171">
        <f t="shared" si="142"/>
        <v>0</v>
      </c>
      <c r="BG139" s="189"/>
      <c r="BH139" s="172">
        <f t="shared" si="123"/>
        <v>0</v>
      </c>
      <c r="BI139" s="171">
        <f t="shared" si="132"/>
        <v>0</v>
      </c>
      <c r="BJ139" s="189"/>
      <c r="BK139" s="172">
        <f t="shared" si="124"/>
        <v>0</v>
      </c>
      <c r="BL139" s="171">
        <f t="shared" si="125"/>
        <v>0</v>
      </c>
      <c r="BM139" s="189"/>
      <c r="BN139" s="172">
        <f t="shared" si="126"/>
        <v>0</v>
      </c>
      <c r="BO139" s="171">
        <f t="shared" si="127"/>
        <v>0</v>
      </c>
      <c r="BP139" s="189"/>
      <c r="BQ139" s="172">
        <f t="shared" si="128"/>
        <v>0</v>
      </c>
      <c r="BR139" s="171">
        <f t="shared" si="129"/>
        <v>0</v>
      </c>
      <c r="BS139" s="189"/>
      <c r="BT139" s="172">
        <f t="shared" si="130"/>
        <v>0</v>
      </c>
      <c r="BU139" s="72">
        <f t="shared" si="131"/>
        <v>0</v>
      </c>
      <c r="BV139" s="194" t="str">
        <f>LOOKUP(BU139,'الفترة الاولى'!$BX$2:$BY$6)</f>
        <v>ممتاز</v>
      </c>
      <c r="BW139" s="73" t="e">
        <f>BU139/'الفترة الاولى'!$BZ$2</f>
        <v>#DIV/0!</v>
      </c>
    </row>
    <row r="140" spans="1:75" ht="25.2" customHeight="1" thickBot="1" x14ac:dyDescent="0.3">
      <c r="A140" s="50">
        <v>130</v>
      </c>
      <c r="B140" s="53"/>
      <c r="C140" s="101"/>
      <c r="D140" s="79"/>
      <c r="E140" s="168"/>
      <c r="F140" s="163"/>
      <c r="G140" s="89">
        <f t="shared" si="114"/>
        <v>0</v>
      </c>
      <c r="H140" s="176"/>
      <c r="I140" s="91"/>
      <c r="J140" s="173">
        <f t="shared" si="115"/>
        <v>0</v>
      </c>
      <c r="K140" s="90"/>
      <c r="L140" s="91"/>
      <c r="M140" s="89">
        <f t="shared" si="116"/>
        <v>0</v>
      </c>
      <c r="N140" s="176"/>
      <c r="O140" s="91"/>
      <c r="P140" s="173">
        <f t="shared" si="134"/>
        <v>0</v>
      </c>
      <c r="Q140" s="90"/>
      <c r="R140" s="91"/>
      <c r="S140" s="89">
        <f t="shared" si="135"/>
        <v>0</v>
      </c>
      <c r="T140" s="176"/>
      <c r="U140" s="91"/>
      <c r="V140" s="173">
        <f t="shared" si="117"/>
        <v>0</v>
      </c>
      <c r="W140" s="90"/>
      <c r="X140" s="91"/>
      <c r="Y140" s="89">
        <f t="shared" si="141"/>
        <v>0</v>
      </c>
      <c r="Z140" s="176"/>
      <c r="AA140" s="91"/>
      <c r="AB140" s="173">
        <f t="shared" ref="AB140:AB199" si="145">SUM(Z140:AA140)</f>
        <v>0</v>
      </c>
      <c r="AC140" s="90"/>
      <c r="AD140" s="91"/>
      <c r="AE140" s="89">
        <f t="shared" ref="AE140:AE203" si="146">SUM(AC140:AD140)</f>
        <v>0</v>
      </c>
      <c r="AF140" s="176"/>
      <c r="AG140" s="91"/>
      <c r="AH140" s="89">
        <f t="shared" si="118"/>
        <v>0</v>
      </c>
      <c r="AI140" s="160">
        <f t="shared" si="119"/>
        <v>0</v>
      </c>
      <c r="AJ140" s="202" t="str">
        <f t="shared" si="143"/>
        <v>ممتاز</v>
      </c>
      <c r="AK140" s="67" t="e">
        <f t="shared" si="144"/>
        <v>#DIV/0!</v>
      </c>
      <c r="AM140" s="52">
        <f t="shared" si="140"/>
        <v>130</v>
      </c>
      <c r="AN140" s="86">
        <f t="shared" si="111"/>
        <v>0</v>
      </c>
      <c r="AO140" s="98">
        <f t="shared" si="112"/>
        <v>0</v>
      </c>
      <c r="AP140" s="79">
        <f t="shared" si="113"/>
        <v>0</v>
      </c>
      <c r="AQ140" s="168">
        <f t="shared" si="120"/>
        <v>0</v>
      </c>
      <c r="AR140" s="163"/>
      <c r="AS140" s="89">
        <f t="shared" si="133"/>
        <v>0</v>
      </c>
      <c r="AT140" s="168"/>
      <c r="AU140" s="163"/>
      <c r="AV140" s="89"/>
      <c r="AW140" s="168">
        <f t="shared" si="121"/>
        <v>0</v>
      </c>
      <c r="AX140" s="163"/>
      <c r="AY140" s="89">
        <f t="shared" si="122"/>
        <v>0</v>
      </c>
      <c r="AZ140" s="168">
        <f t="shared" si="137"/>
        <v>0</v>
      </c>
      <c r="BA140" s="163"/>
      <c r="BB140" s="89">
        <f t="shared" si="138"/>
        <v>0</v>
      </c>
      <c r="BC140" s="168">
        <f t="shared" si="139"/>
        <v>0</v>
      </c>
      <c r="BD140" s="163"/>
      <c r="BE140" s="89">
        <f t="shared" si="136"/>
        <v>0</v>
      </c>
      <c r="BF140" s="168">
        <f t="shared" si="142"/>
        <v>0</v>
      </c>
      <c r="BG140" s="163"/>
      <c r="BH140" s="89">
        <f t="shared" si="123"/>
        <v>0</v>
      </c>
      <c r="BI140" s="168">
        <f t="shared" si="132"/>
        <v>0</v>
      </c>
      <c r="BJ140" s="163"/>
      <c r="BK140" s="89">
        <f t="shared" si="124"/>
        <v>0</v>
      </c>
      <c r="BL140" s="168">
        <f t="shared" si="125"/>
        <v>0</v>
      </c>
      <c r="BM140" s="163"/>
      <c r="BN140" s="89">
        <f t="shared" si="126"/>
        <v>0</v>
      </c>
      <c r="BO140" s="168">
        <f t="shared" si="127"/>
        <v>0</v>
      </c>
      <c r="BP140" s="163"/>
      <c r="BQ140" s="89">
        <f t="shared" si="128"/>
        <v>0</v>
      </c>
      <c r="BR140" s="168">
        <f t="shared" si="129"/>
        <v>0</v>
      </c>
      <c r="BS140" s="163"/>
      <c r="BT140" s="89">
        <f t="shared" si="130"/>
        <v>0</v>
      </c>
      <c r="BU140" s="74">
        <f t="shared" si="131"/>
        <v>0</v>
      </c>
      <c r="BV140" s="195" t="str">
        <f>LOOKUP(BU140,'الفترة الاولى'!$BX$2:$BY$6)</f>
        <v>ممتاز</v>
      </c>
      <c r="BW140" s="75" t="e">
        <f>BU140/'الفترة الاولى'!$BZ$2</f>
        <v>#DIV/0!</v>
      </c>
    </row>
    <row r="141" spans="1:75" ht="25.2" customHeight="1" thickBot="1" x14ac:dyDescent="0.3">
      <c r="A141" s="51">
        <v>131</v>
      </c>
      <c r="B141" s="54"/>
      <c r="C141" s="102"/>
      <c r="D141" s="80"/>
      <c r="E141" s="169"/>
      <c r="F141" s="92"/>
      <c r="G141" s="170">
        <f t="shared" si="114"/>
        <v>0</v>
      </c>
      <c r="H141" s="177"/>
      <c r="I141" s="92"/>
      <c r="J141" s="174">
        <f t="shared" si="115"/>
        <v>0</v>
      </c>
      <c r="K141" s="93"/>
      <c r="L141" s="92"/>
      <c r="M141" s="170">
        <f t="shared" si="116"/>
        <v>0</v>
      </c>
      <c r="N141" s="177"/>
      <c r="O141" s="92"/>
      <c r="P141" s="174">
        <f t="shared" si="134"/>
        <v>0</v>
      </c>
      <c r="Q141" s="93"/>
      <c r="R141" s="92"/>
      <c r="S141" s="170">
        <f t="shared" si="135"/>
        <v>0</v>
      </c>
      <c r="T141" s="177"/>
      <c r="U141" s="92"/>
      <c r="V141" s="174">
        <f t="shared" si="117"/>
        <v>0</v>
      </c>
      <c r="W141" s="93"/>
      <c r="X141" s="92"/>
      <c r="Y141" s="170">
        <f t="shared" si="141"/>
        <v>0</v>
      </c>
      <c r="Z141" s="177"/>
      <c r="AA141" s="92"/>
      <c r="AB141" s="173">
        <f t="shared" si="145"/>
        <v>0</v>
      </c>
      <c r="AC141" s="93"/>
      <c r="AD141" s="92"/>
      <c r="AE141" s="89">
        <f t="shared" si="146"/>
        <v>0</v>
      </c>
      <c r="AF141" s="177"/>
      <c r="AG141" s="92"/>
      <c r="AH141" s="170">
        <f t="shared" si="118"/>
        <v>0</v>
      </c>
      <c r="AI141" s="161">
        <f t="shared" si="119"/>
        <v>0</v>
      </c>
      <c r="AJ141" s="200" t="str">
        <f t="shared" si="143"/>
        <v>ممتاز</v>
      </c>
      <c r="AK141" s="65" t="e">
        <f t="shared" si="144"/>
        <v>#DIV/0!</v>
      </c>
      <c r="AM141" s="50">
        <f t="shared" si="140"/>
        <v>131</v>
      </c>
      <c r="AN141" s="87">
        <f t="shared" si="111"/>
        <v>0</v>
      </c>
      <c r="AO141" s="99">
        <f t="shared" si="112"/>
        <v>0</v>
      </c>
      <c r="AP141" s="80">
        <f t="shared" si="113"/>
        <v>0</v>
      </c>
      <c r="AQ141" s="169">
        <f t="shared" si="120"/>
        <v>0</v>
      </c>
      <c r="AR141" s="188"/>
      <c r="AS141" s="170">
        <f t="shared" si="133"/>
        <v>0</v>
      </c>
      <c r="AT141" s="169"/>
      <c r="AU141" s="188"/>
      <c r="AV141" s="170"/>
      <c r="AW141" s="169">
        <f t="shared" si="121"/>
        <v>0</v>
      </c>
      <c r="AX141" s="188"/>
      <c r="AY141" s="170">
        <f t="shared" si="122"/>
        <v>0</v>
      </c>
      <c r="AZ141" s="169">
        <f t="shared" si="137"/>
        <v>0</v>
      </c>
      <c r="BA141" s="188"/>
      <c r="BB141" s="170">
        <f t="shared" si="138"/>
        <v>0</v>
      </c>
      <c r="BC141" s="169">
        <f t="shared" si="139"/>
        <v>0</v>
      </c>
      <c r="BD141" s="188"/>
      <c r="BE141" s="170">
        <f t="shared" si="136"/>
        <v>0</v>
      </c>
      <c r="BF141" s="169">
        <f t="shared" si="142"/>
        <v>0</v>
      </c>
      <c r="BG141" s="188"/>
      <c r="BH141" s="170">
        <f t="shared" si="123"/>
        <v>0</v>
      </c>
      <c r="BI141" s="169">
        <f t="shared" si="132"/>
        <v>0</v>
      </c>
      <c r="BJ141" s="188"/>
      <c r="BK141" s="170">
        <f t="shared" si="124"/>
        <v>0</v>
      </c>
      <c r="BL141" s="169">
        <f t="shared" si="125"/>
        <v>0</v>
      </c>
      <c r="BM141" s="188"/>
      <c r="BN141" s="170">
        <f t="shared" si="126"/>
        <v>0</v>
      </c>
      <c r="BO141" s="169">
        <f t="shared" si="127"/>
        <v>0</v>
      </c>
      <c r="BP141" s="188"/>
      <c r="BQ141" s="170">
        <f t="shared" si="128"/>
        <v>0</v>
      </c>
      <c r="BR141" s="169">
        <f t="shared" si="129"/>
        <v>0</v>
      </c>
      <c r="BS141" s="188"/>
      <c r="BT141" s="170">
        <f t="shared" si="130"/>
        <v>0</v>
      </c>
      <c r="BU141" s="76">
        <f t="shared" si="131"/>
        <v>0</v>
      </c>
      <c r="BV141" s="196" t="str">
        <f>LOOKUP(BU141,'الفترة الاولى'!$BX$2:$BY$6)</f>
        <v>ممتاز</v>
      </c>
      <c r="BW141" s="77" t="e">
        <f>BU141/'الفترة الاولى'!$BZ$2</f>
        <v>#DIV/0!</v>
      </c>
    </row>
    <row r="142" spans="1:75" ht="25.2" customHeight="1" thickBot="1" x14ac:dyDescent="0.3">
      <c r="A142" s="52">
        <v>132</v>
      </c>
      <c r="B142" s="55"/>
      <c r="C142" s="103"/>
      <c r="D142" s="81"/>
      <c r="E142" s="171"/>
      <c r="F142" s="94"/>
      <c r="G142" s="172">
        <f t="shared" si="114"/>
        <v>0</v>
      </c>
      <c r="H142" s="178"/>
      <c r="I142" s="94"/>
      <c r="J142" s="175">
        <f t="shared" si="115"/>
        <v>0</v>
      </c>
      <c r="K142" s="95"/>
      <c r="L142" s="94"/>
      <c r="M142" s="172">
        <f t="shared" si="116"/>
        <v>0</v>
      </c>
      <c r="N142" s="178"/>
      <c r="O142" s="94"/>
      <c r="P142" s="175">
        <f t="shared" si="134"/>
        <v>0</v>
      </c>
      <c r="Q142" s="95"/>
      <c r="R142" s="94"/>
      <c r="S142" s="172">
        <f t="shared" si="135"/>
        <v>0</v>
      </c>
      <c r="T142" s="178"/>
      <c r="U142" s="94"/>
      <c r="V142" s="175">
        <f t="shared" si="117"/>
        <v>0</v>
      </c>
      <c r="W142" s="95"/>
      <c r="X142" s="94"/>
      <c r="Y142" s="172">
        <f t="shared" si="141"/>
        <v>0</v>
      </c>
      <c r="Z142" s="178"/>
      <c r="AA142" s="94"/>
      <c r="AB142" s="173">
        <f t="shared" si="145"/>
        <v>0</v>
      </c>
      <c r="AC142" s="95"/>
      <c r="AD142" s="94"/>
      <c r="AE142" s="89">
        <f t="shared" si="146"/>
        <v>0</v>
      </c>
      <c r="AF142" s="178"/>
      <c r="AG142" s="94"/>
      <c r="AH142" s="172">
        <f t="shared" si="118"/>
        <v>0</v>
      </c>
      <c r="AI142" s="162">
        <f t="shared" si="119"/>
        <v>0</v>
      </c>
      <c r="AJ142" s="201" t="str">
        <f t="shared" si="143"/>
        <v>ممتاز</v>
      </c>
      <c r="AK142" s="66" t="e">
        <f t="shared" si="144"/>
        <v>#DIV/0!</v>
      </c>
      <c r="AM142" s="51">
        <f t="shared" si="140"/>
        <v>132</v>
      </c>
      <c r="AN142" s="88">
        <f t="shared" ref="AN142:AN205" si="147">B142</f>
        <v>0</v>
      </c>
      <c r="AO142" s="100">
        <f t="shared" ref="AO142:AO205" si="148">C142</f>
        <v>0</v>
      </c>
      <c r="AP142" s="81">
        <f t="shared" ref="AP142:AP205" si="149">D142</f>
        <v>0</v>
      </c>
      <c r="AQ142" s="171">
        <f t="shared" si="120"/>
        <v>0</v>
      </c>
      <c r="AR142" s="189"/>
      <c r="AS142" s="172">
        <f t="shared" si="133"/>
        <v>0</v>
      </c>
      <c r="AT142" s="171"/>
      <c r="AU142" s="189"/>
      <c r="AV142" s="172"/>
      <c r="AW142" s="171">
        <f t="shared" si="121"/>
        <v>0</v>
      </c>
      <c r="AX142" s="189"/>
      <c r="AY142" s="172">
        <f t="shared" si="122"/>
        <v>0</v>
      </c>
      <c r="AZ142" s="171">
        <f t="shared" si="137"/>
        <v>0</v>
      </c>
      <c r="BA142" s="189"/>
      <c r="BB142" s="172">
        <f t="shared" si="138"/>
        <v>0</v>
      </c>
      <c r="BC142" s="171">
        <f t="shared" si="139"/>
        <v>0</v>
      </c>
      <c r="BD142" s="189"/>
      <c r="BE142" s="172">
        <f t="shared" si="136"/>
        <v>0</v>
      </c>
      <c r="BF142" s="171">
        <f t="shared" si="142"/>
        <v>0</v>
      </c>
      <c r="BG142" s="189"/>
      <c r="BH142" s="172">
        <f t="shared" si="123"/>
        <v>0</v>
      </c>
      <c r="BI142" s="171">
        <f t="shared" si="132"/>
        <v>0</v>
      </c>
      <c r="BJ142" s="189"/>
      <c r="BK142" s="172">
        <f t="shared" si="124"/>
        <v>0</v>
      </c>
      <c r="BL142" s="171">
        <f t="shared" si="125"/>
        <v>0</v>
      </c>
      <c r="BM142" s="189"/>
      <c r="BN142" s="172">
        <f t="shared" si="126"/>
        <v>0</v>
      </c>
      <c r="BO142" s="171">
        <f t="shared" si="127"/>
        <v>0</v>
      </c>
      <c r="BP142" s="189"/>
      <c r="BQ142" s="172">
        <f t="shared" si="128"/>
        <v>0</v>
      </c>
      <c r="BR142" s="171">
        <f t="shared" si="129"/>
        <v>0</v>
      </c>
      <c r="BS142" s="189"/>
      <c r="BT142" s="172">
        <f t="shared" si="130"/>
        <v>0</v>
      </c>
      <c r="BU142" s="72">
        <f t="shared" si="131"/>
        <v>0</v>
      </c>
      <c r="BV142" s="194" t="str">
        <f>LOOKUP(BU142,'الفترة الاولى'!$BX$2:$BY$6)</f>
        <v>ممتاز</v>
      </c>
      <c r="BW142" s="73" t="e">
        <f>BU142/'الفترة الاولى'!$BZ$2</f>
        <v>#DIV/0!</v>
      </c>
    </row>
    <row r="143" spans="1:75" ht="25.2" customHeight="1" thickBot="1" x14ac:dyDescent="0.3">
      <c r="A143" s="50">
        <v>133</v>
      </c>
      <c r="B143" s="53"/>
      <c r="C143" s="101"/>
      <c r="D143" s="79"/>
      <c r="E143" s="168"/>
      <c r="F143" s="163"/>
      <c r="G143" s="89">
        <f t="shared" ref="G143" si="150">SUM(E143:F143)</f>
        <v>0</v>
      </c>
      <c r="H143" s="176"/>
      <c r="I143" s="91"/>
      <c r="J143" s="173">
        <f t="shared" ref="J143" si="151">SUM(H143:I143)</f>
        <v>0</v>
      </c>
      <c r="K143" s="90"/>
      <c r="L143" s="91"/>
      <c r="M143" s="89">
        <f t="shared" ref="M143" si="152">SUM(K143:L143)</f>
        <v>0</v>
      </c>
      <c r="N143" s="176"/>
      <c r="O143" s="91"/>
      <c r="P143" s="173">
        <f t="shared" ref="P143" si="153">SUM(N143:O143)</f>
        <v>0</v>
      </c>
      <c r="Q143" s="90"/>
      <c r="R143" s="91"/>
      <c r="S143" s="89">
        <f t="shared" ref="S143" si="154">SUM(Q143:R143)</f>
        <v>0</v>
      </c>
      <c r="T143" s="176"/>
      <c r="U143" s="91"/>
      <c r="V143" s="173">
        <f t="shared" ref="V143" si="155">SUM(T143:U143)</f>
        <v>0</v>
      </c>
      <c r="W143" s="90"/>
      <c r="X143" s="91"/>
      <c r="Y143" s="89">
        <f t="shared" ref="Y143" si="156">SUM(W143:X143)</f>
        <v>0</v>
      </c>
      <c r="Z143" s="176"/>
      <c r="AA143" s="91"/>
      <c r="AB143" s="173">
        <f t="shared" si="145"/>
        <v>0</v>
      </c>
      <c r="AC143" s="90"/>
      <c r="AD143" s="91"/>
      <c r="AE143" s="89">
        <f t="shared" si="146"/>
        <v>0</v>
      </c>
      <c r="AF143" s="176"/>
      <c r="AG143" s="91"/>
      <c r="AH143" s="89">
        <f t="shared" ref="AH143" si="157">SUM(AF143:AG143)</f>
        <v>0</v>
      </c>
      <c r="AI143" s="160">
        <f t="shared" ref="AI143:AI206" si="158">SUM(AH143,AE143,AB143,Y143,V143,S143,P143,M143,J143,G143)</f>
        <v>0</v>
      </c>
      <c r="AJ143" s="202" t="str">
        <f t="shared" si="143"/>
        <v>ممتاز</v>
      </c>
      <c r="AK143" s="67" t="e">
        <f t="shared" si="144"/>
        <v>#DIV/0!</v>
      </c>
      <c r="AM143" s="52">
        <f t="shared" si="140"/>
        <v>133</v>
      </c>
      <c r="AN143" s="86">
        <f t="shared" si="147"/>
        <v>0</v>
      </c>
      <c r="AO143" s="98">
        <f t="shared" si="148"/>
        <v>0</v>
      </c>
      <c r="AP143" s="79">
        <f t="shared" si="149"/>
        <v>0</v>
      </c>
      <c r="AQ143" s="168">
        <f t="shared" ref="AQ143:AQ206" si="159">E143</f>
        <v>0</v>
      </c>
      <c r="AR143" s="163"/>
      <c r="AS143" s="89">
        <f t="shared" ref="AS143:AS206" si="160">SUM(AQ143:AR143)</f>
        <v>0</v>
      </c>
      <c r="AT143" s="168"/>
      <c r="AU143" s="163"/>
      <c r="AV143" s="89"/>
      <c r="AW143" s="168">
        <f t="shared" ref="AW143:AW206" si="161">K143</f>
        <v>0</v>
      </c>
      <c r="AX143" s="163"/>
      <c r="AY143" s="89">
        <f t="shared" ref="AY143:AY206" si="162">SUM(AW143:AX143)</f>
        <v>0</v>
      </c>
      <c r="AZ143" s="168">
        <f t="shared" ref="AZ143:AZ206" si="163">N143</f>
        <v>0</v>
      </c>
      <c r="BA143" s="163"/>
      <c r="BB143" s="89">
        <f t="shared" ref="BB143:BB206" si="164">SUM(AZ143:BA143)</f>
        <v>0</v>
      </c>
      <c r="BC143" s="168">
        <f t="shared" ref="BC143:BC206" si="165">Q143</f>
        <v>0</v>
      </c>
      <c r="BD143" s="163"/>
      <c r="BE143" s="89">
        <f t="shared" ref="BE143:BE206" si="166">SUM(BC143:BD143)</f>
        <v>0</v>
      </c>
      <c r="BF143" s="168">
        <f t="shared" ref="BF143:BF206" si="167">T143</f>
        <v>0</v>
      </c>
      <c r="BG143" s="163"/>
      <c r="BH143" s="89">
        <f t="shared" ref="BH143:BH206" si="168">SUM(BF143:BG143)</f>
        <v>0</v>
      </c>
      <c r="BI143" s="168">
        <f t="shared" ref="BI143:BI206" si="169">W143</f>
        <v>0</v>
      </c>
      <c r="BJ143" s="163"/>
      <c r="BK143" s="89">
        <f t="shared" ref="BK143:BK206" si="170">SUM(BI143:BJ143)</f>
        <v>0</v>
      </c>
      <c r="BL143" s="168">
        <f t="shared" ref="BL143:BL206" si="171">Z143</f>
        <v>0</v>
      </c>
      <c r="BM143" s="163"/>
      <c r="BN143" s="89">
        <f t="shared" ref="BN143:BN206" si="172">SUM(BL143:BM143)</f>
        <v>0</v>
      </c>
      <c r="BO143" s="168">
        <f t="shared" ref="BO143:BO206" si="173">AC143</f>
        <v>0</v>
      </c>
      <c r="BP143" s="163"/>
      <c r="BQ143" s="89">
        <f t="shared" ref="BQ143:BQ206" si="174">SUM(BO143:BP143)</f>
        <v>0</v>
      </c>
      <c r="BR143" s="168">
        <f t="shared" ref="BR143:BR206" si="175">AF143</f>
        <v>0</v>
      </c>
      <c r="BS143" s="163"/>
      <c r="BT143" s="89">
        <f t="shared" ref="BT143:BT206" si="176">SUM(BR143:BS143)</f>
        <v>0</v>
      </c>
      <c r="BU143" s="74">
        <f t="shared" ref="BU143:BU206" si="177">SUM(AS143,AV143,AY143,BB143,BE143,BH143,BK143,BN143,BQ143,BT143)</f>
        <v>0</v>
      </c>
      <c r="BV143" s="195" t="str">
        <f>LOOKUP(BU143,'الفترة الاولى'!$BX$2:$BY$6)</f>
        <v>ممتاز</v>
      </c>
      <c r="BW143" s="75" t="e">
        <f>BU143/'الفترة الاولى'!$BZ$2</f>
        <v>#DIV/0!</v>
      </c>
    </row>
    <row r="144" spans="1:75" ht="25.2" customHeight="1" thickBot="1" x14ac:dyDescent="0.3">
      <c r="A144" s="51">
        <v>134</v>
      </c>
      <c r="B144" s="54"/>
      <c r="C144" s="102"/>
      <c r="D144" s="80"/>
      <c r="E144" s="169"/>
      <c r="F144" s="92"/>
      <c r="G144" s="170">
        <f t="shared" ref="G144:G207" si="178">SUM(E144:F144)</f>
        <v>0</v>
      </c>
      <c r="H144" s="177"/>
      <c r="I144" s="92"/>
      <c r="J144" s="174">
        <f t="shared" ref="J144:J207" si="179">SUM(H144:I144)</f>
        <v>0</v>
      </c>
      <c r="K144" s="93"/>
      <c r="L144" s="92"/>
      <c r="M144" s="170">
        <f t="shared" ref="M144:M207" si="180">SUM(K144:L144)</f>
        <v>0</v>
      </c>
      <c r="N144" s="177"/>
      <c r="O144" s="92"/>
      <c r="P144" s="174">
        <f t="shared" ref="P144:P207" si="181">SUM(N144:O144)</f>
        <v>0</v>
      </c>
      <c r="Q144" s="93"/>
      <c r="R144" s="92"/>
      <c r="S144" s="170">
        <f t="shared" ref="S144:S207" si="182">SUM(Q144:R144)</f>
        <v>0</v>
      </c>
      <c r="T144" s="177"/>
      <c r="U144" s="92"/>
      <c r="V144" s="174">
        <f t="shared" ref="V144:V207" si="183">SUM(T144:U144)</f>
        <v>0</v>
      </c>
      <c r="W144" s="93"/>
      <c r="X144" s="92"/>
      <c r="Y144" s="170">
        <f t="shared" ref="Y144:Y207" si="184">SUM(W144:X144)</f>
        <v>0</v>
      </c>
      <c r="Z144" s="177"/>
      <c r="AA144" s="92"/>
      <c r="AB144" s="173">
        <f t="shared" si="145"/>
        <v>0</v>
      </c>
      <c r="AC144" s="93"/>
      <c r="AD144" s="92"/>
      <c r="AE144" s="89">
        <f t="shared" si="146"/>
        <v>0</v>
      </c>
      <c r="AF144" s="177"/>
      <c r="AG144" s="92"/>
      <c r="AH144" s="170">
        <f t="shared" ref="AH144:AH207" si="185">SUM(AF144:AG144)</f>
        <v>0</v>
      </c>
      <c r="AI144" s="161">
        <f t="shared" si="158"/>
        <v>0</v>
      </c>
      <c r="AJ144" s="200" t="str">
        <f t="shared" si="143"/>
        <v>ممتاز</v>
      </c>
      <c r="AK144" s="65" t="e">
        <f t="shared" si="144"/>
        <v>#DIV/0!</v>
      </c>
      <c r="AM144" s="50">
        <f t="shared" si="140"/>
        <v>134</v>
      </c>
      <c r="AN144" s="87">
        <f t="shared" si="147"/>
        <v>0</v>
      </c>
      <c r="AO144" s="99">
        <f t="shared" si="148"/>
        <v>0</v>
      </c>
      <c r="AP144" s="80">
        <f t="shared" si="149"/>
        <v>0</v>
      </c>
      <c r="AQ144" s="169">
        <f t="shared" si="159"/>
        <v>0</v>
      </c>
      <c r="AR144" s="188"/>
      <c r="AS144" s="170">
        <f t="shared" si="160"/>
        <v>0</v>
      </c>
      <c r="AT144" s="169"/>
      <c r="AU144" s="188"/>
      <c r="AV144" s="170"/>
      <c r="AW144" s="169">
        <f t="shared" si="161"/>
        <v>0</v>
      </c>
      <c r="AX144" s="188"/>
      <c r="AY144" s="170">
        <f t="shared" si="162"/>
        <v>0</v>
      </c>
      <c r="AZ144" s="169">
        <f t="shared" si="163"/>
        <v>0</v>
      </c>
      <c r="BA144" s="188"/>
      <c r="BB144" s="170">
        <f t="shared" si="164"/>
        <v>0</v>
      </c>
      <c r="BC144" s="169">
        <f t="shared" si="165"/>
        <v>0</v>
      </c>
      <c r="BD144" s="188"/>
      <c r="BE144" s="170">
        <f t="shared" si="166"/>
        <v>0</v>
      </c>
      <c r="BF144" s="169">
        <f t="shared" si="167"/>
        <v>0</v>
      </c>
      <c r="BG144" s="188"/>
      <c r="BH144" s="170">
        <f t="shared" si="168"/>
        <v>0</v>
      </c>
      <c r="BI144" s="169">
        <f t="shared" si="169"/>
        <v>0</v>
      </c>
      <c r="BJ144" s="188"/>
      <c r="BK144" s="170">
        <f t="shared" si="170"/>
        <v>0</v>
      </c>
      <c r="BL144" s="169">
        <f t="shared" si="171"/>
        <v>0</v>
      </c>
      <c r="BM144" s="188"/>
      <c r="BN144" s="170">
        <f t="shared" si="172"/>
        <v>0</v>
      </c>
      <c r="BO144" s="169">
        <f t="shared" si="173"/>
        <v>0</v>
      </c>
      <c r="BP144" s="188"/>
      <c r="BQ144" s="170">
        <f t="shared" si="174"/>
        <v>0</v>
      </c>
      <c r="BR144" s="169">
        <f t="shared" si="175"/>
        <v>0</v>
      </c>
      <c r="BS144" s="188"/>
      <c r="BT144" s="170">
        <f t="shared" si="176"/>
        <v>0</v>
      </c>
      <c r="BU144" s="76">
        <f t="shared" si="177"/>
        <v>0</v>
      </c>
      <c r="BV144" s="196" t="str">
        <f>LOOKUP(BU144,'الفترة الاولى'!$BX$2:$BY$6)</f>
        <v>ممتاز</v>
      </c>
      <c r="BW144" s="77" t="e">
        <f>BU144/'الفترة الاولى'!$BZ$2</f>
        <v>#DIV/0!</v>
      </c>
    </row>
    <row r="145" spans="1:75" ht="25.2" customHeight="1" thickBot="1" x14ac:dyDescent="0.3">
      <c r="A145" s="52">
        <v>135</v>
      </c>
      <c r="B145" s="55"/>
      <c r="C145" s="103"/>
      <c r="D145" s="81"/>
      <c r="E145" s="171"/>
      <c r="F145" s="94"/>
      <c r="G145" s="172">
        <f t="shared" si="178"/>
        <v>0</v>
      </c>
      <c r="H145" s="178"/>
      <c r="I145" s="94"/>
      <c r="J145" s="175">
        <f t="shared" si="179"/>
        <v>0</v>
      </c>
      <c r="K145" s="95"/>
      <c r="L145" s="94"/>
      <c r="M145" s="172">
        <f t="shared" si="180"/>
        <v>0</v>
      </c>
      <c r="N145" s="178"/>
      <c r="O145" s="94"/>
      <c r="P145" s="175">
        <f t="shared" si="181"/>
        <v>0</v>
      </c>
      <c r="Q145" s="95"/>
      <c r="R145" s="94"/>
      <c r="S145" s="172">
        <f t="shared" si="182"/>
        <v>0</v>
      </c>
      <c r="T145" s="178"/>
      <c r="U145" s="94"/>
      <c r="V145" s="175">
        <f t="shared" si="183"/>
        <v>0</v>
      </c>
      <c r="W145" s="95"/>
      <c r="X145" s="94"/>
      <c r="Y145" s="172">
        <f t="shared" si="184"/>
        <v>0</v>
      </c>
      <c r="Z145" s="178"/>
      <c r="AA145" s="94"/>
      <c r="AB145" s="173">
        <f t="shared" si="145"/>
        <v>0</v>
      </c>
      <c r="AC145" s="95"/>
      <c r="AD145" s="94"/>
      <c r="AE145" s="89">
        <f t="shared" si="146"/>
        <v>0</v>
      </c>
      <c r="AF145" s="178"/>
      <c r="AG145" s="94"/>
      <c r="AH145" s="172">
        <f t="shared" si="185"/>
        <v>0</v>
      </c>
      <c r="AI145" s="162">
        <f t="shared" si="158"/>
        <v>0</v>
      </c>
      <c r="AJ145" s="201" t="str">
        <f t="shared" si="143"/>
        <v>ممتاز</v>
      </c>
      <c r="AK145" s="66" t="e">
        <f t="shared" si="144"/>
        <v>#DIV/0!</v>
      </c>
      <c r="AM145" s="51">
        <f t="shared" si="140"/>
        <v>135</v>
      </c>
      <c r="AN145" s="88">
        <f t="shared" si="147"/>
        <v>0</v>
      </c>
      <c r="AO145" s="100">
        <f t="shared" si="148"/>
        <v>0</v>
      </c>
      <c r="AP145" s="81">
        <f t="shared" si="149"/>
        <v>0</v>
      </c>
      <c r="AQ145" s="171">
        <f t="shared" si="159"/>
        <v>0</v>
      </c>
      <c r="AR145" s="189"/>
      <c r="AS145" s="172">
        <f t="shared" si="160"/>
        <v>0</v>
      </c>
      <c r="AT145" s="171"/>
      <c r="AU145" s="189"/>
      <c r="AV145" s="172"/>
      <c r="AW145" s="171">
        <f t="shared" si="161"/>
        <v>0</v>
      </c>
      <c r="AX145" s="189"/>
      <c r="AY145" s="172">
        <f t="shared" si="162"/>
        <v>0</v>
      </c>
      <c r="AZ145" s="171">
        <f t="shared" si="163"/>
        <v>0</v>
      </c>
      <c r="BA145" s="189"/>
      <c r="BB145" s="172">
        <f t="shared" si="164"/>
        <v>0</v>
      </c>
      <c r="BC145" s="171">
        <f t="shared" si="165"/>
        <v>0</v>
      </c>
      <c r="BD145" s="189"/>
      <c r="BE145" s="172">
        <f t="shared" si="166"/>
        <v>0</v>
      </c>
      <c r="BF145" s="171">
        <f t="shared" si="167"/>
        <v>0</v>
      </c>
      <c r="BG145" s="189"/>
      <c r="BH145" s="172">
        <f t="shared" si="168"/>
        <v>0</v>
      </c>
      <c r="BI145" s="171">
        <f t="shared" si="169"/>
        <v>0</v>
      </c>
      <c r="BJ145" s="189"/>
      <c r="BK145" s="172">
        <f t="shared" si="170"/>
        <v>0</v>
      </c>
      <c r="BL145" s="171">
        <f t="shared" si="171"/>
        <v>0</v>
      </c>
      <c r="BM145" s="189"/>
      <c r="BN145" s="172">
        <f t="shared" si="172"/>
        <v>0</v>
      </c>
      <c r="BO145" s="171">
        <f t="shared" si="173"/>
        <v>0</v>
      </c>
      <c r="BP145" s="189"/>
      <c r="BQ145" s="172">
        <f t="shared" si="174"/>
        <v>0</v>
      </c>
      <c r="BR145" s="171">
        <f t="shared" si="175"/>
        <v>0</v>
      </c>
      <c r="BS145" s="189"/>
      <c r="BT145" s="172">
        <f t="shared" si="176"/>
        <v>0</v>
      </c>
      <c r="BU145" s="72">
        <f t="shared" si="177"/>
        <v>0</v>
      </c>
      <c r="BV145" s="194" t="str">
        <f>LOOKUP(BU145,'الفترة الاولى'!$BX$2:$BY$6)</f>
        <v>ممتاز</v>
      </c>
      <c r="BW145" s="73" t="e">
        <f>BU145/'الفترة الاولى'!$BZ$2</f>
        <v>#DIV/0!</v>
      </c>
    </row>
    <row r="146" spans="1:75" ht="25.2" customHeight="1" thickBot="1" x14ac:dyDescent="0.3">
      <c r="A146" s="50">
        <v>136</v>
      </c>
      <c r="B146" s="53"/>
      <c r="C146" s="101"/>
      <c r="D146" s="79"/>
      <c r="E146" s="168"/>
      <c r="F146" s="163"/>
      <c r="G146" s="89">
        <f t="shared" si="178"/>
        <v>0</v>
      </c>
      <c r="H146" s="176"/>
      <c r="I146" s="91"/>
      <c r="J146" s="173">
        <f t="shared" si="179"/>
        <v>0</v>
      </c>
      <c r="K146" s="90"/>
      <c r="L146" s="91"/>
      <c r="M146" s="89">
        <f t="shared" si="180"/>
        <v>0</v>
      </c>
      <c r="N146" s="176"/>
      <c r="O146" s="91"/>
      <c r="P146" s="173">
        <f t="shared" si="181"/>
        <v>0</v>
      </c>
      <c r="Q146" s="90"/>
      <c r="R146" s="91"/>
      <c r="S146" s="89">
        <f t="shared" si="182"/>
        <v>0</v>
      </c>
      <c r="T146" s="176"/>
      <c r="U146" s="91"/>
      <c r="V146" s="173">
        <f t="shared" si="183"/>
        <v>0</v>
      </c>
      <c r="W146" s="90"/>
      <c r="X146" s="91"/>
      <c r="Y146" s="89">
        <f t="shared" si="184"/>
        <v>0</v>
      </c>
      <c r="Z146" s="176"/>
      <c r="AA146" s="91"/>
      <c r="AB146" s="173">
        <f t="shared" si="145"/>
        <v>0</v>
      </c>
      <c r="AC146" s="90"/>
      <c r="AD146" s="91"/>
      <c r="AE146" s="89">
        <f t="shared" si="146"/>
        <v>0</v>
      </c>
      <c r="AF146" s="176"/>
      <c r="AG146" s="91"/>
      <c r="AH146" s="89">
        <f t="shared" si="185"/>
        <v>0</v>
      </c>
      <c r="AI146" s="160">
        <f t="shared" si="158"/>
        <v>0</v>
      </c>
      <c r="AJ146" s="202" t="str">
        <f t="shared" si="143"/>
        <v>ممتاز</v>
      </c>
      <c r="AK146" s="67" t="e">
        <f t="shared" si="144"/>
        <v>#DIV/0!</v>
      </c>
      <c r="AM146" s="52">
        <f t="shared" si="140"/>
        <v>136</v>
      </c>
      <c r="AN146" s="86">
        <f t="shared" si="147"/>
        <v>0</v>
      </c>
      <c r="AO146" s="98">
        <f t="shared" si="148"/>
        <v>0</v>
      </c>
      <c r="AP146" s="79">
        <f t="shared" si="149"/>
        <v>0</v>
      </c>
      <c r="AQ146" s="168">
        <f t="shared" si="159"/>
        <v>0</v>
      </c>
      <c r="AR146" s="163"/>
      <c r="AS146" s="89">
        <f t="shared" si="160"/>
        <v>0</v>
      </c>
      <c r="AT146" s="168"/>
      <c r="AU146" s="163"/>
      <c r="AV146" s="89"/>
      <c r="AW146" s="168">
        <f t="shared" si="161"/>
        <v>0</v>
      </c>
      <c r="AX146" s="163"/>
      <c r="AY146" s="89">
        <f t="shared" si="162"/>
        <v>0</v>
      </c>
      <c r="AZ146" s="168">
        <f t="shared" si="163"/>
        <v>0</v>
      </c>
      <c r="BA146" s="163"/>
      <c r="BB146" s="89">
        <f t="shared" si="164"/>
        <v>0</v>
      </c>
      <c r="BC146" s="168">
        <f t="shared" si="165"/>
        <v>0</v>
      </c>
      <c r="BD146" s="163"/>
      <c r="BE146" s="89">
        <f t="shared" si="166"/>
        <v>0</v>
      </c>
      <c r="BF146" s="168">
        <f t="shared" si="167"/>
        <v>0</v>
      </c>
      <c r="BG146" s="163"/>
      <c r="BH146" s="89">
        <f t="shared" si="168"/>
        <v>0</v>
      </c>
      <c r="BI146" s="168">
        <f t="shared" si="169"/>
        <v>0</v>
      </c>
      <c r="BJ146" s="163"/>
      <c r="BK146" s="89">
        <f t="shared" si="170"/>
        <v>0</v>
      </c>
      <c r="BL146" s="168">
        <f t="shared" si="171"/>
        <v>0</v>
      </c>
      <c r="BM146" s="163"/>
      <c r="BN146" s="89">
        <f t="shared" si="172"/>
        <v>0</v>
      </c>
      <c r="BO146" s="168">
        <f t="shared" si="173"/>
        <v>0</v>
      </c>
      <c r="BP146" s="163"/>
      <c r="BQ146" s="89">
        <f t="shared" si="174"/>
        <v>0</v>
      </c>
      <c r="BR146" s="168">
        <f t="shared" si="175"/>
        <v>0</v>
      </c>
      <c r="BS146" s="163"/>
      <c r="BT146" s="89">
        <f t="shared" si="176"/>
        <v>0</v>
      </c>
      <c r="BU146" s="74">
        <f t="shared" si="177"/>
        <v>0</v>
      </c>
      <c r="BV146" s="195" t="str">
        <f>LOOKUP(BU146,'الفترة الاولى'!$BX$2:$BY$6)</f>
        <v>ممتاز</v>
      </c>
      <c r="BW146" s="75" t="e">
        <f>BU146/'الفترة الاولى'!$BZ$2</f>
        <v>#DIV/0!</v>
      </c>
    </row>
    <row r="147" spans="1:75" ht="25.2" customHeight="1" thickBot="1" x14ac:dyDescent="0.3">
      <c r="A147" s="51">
        <v>137</v>
      </c>
      <c r="B147" s="54"/>
      <c r="C147" s="102"/>
      <c r="D147" s="80"/>
      <c r="E147" s="169"/>
      <c r="F147" s="92"/>
      <c r="G147" s="170">
        <f t="shared" si="178"/>
        <v>0</v>
      </c>
      <c r="H147" s="177"/>
      <c r="I147" s="92"/>
      <c r="J147" s="174">
        <f t="shared" si="179"/>
        <v>0</v>
      </c>
      <c r="K147" s="93"/>
      <c r="L147" s="92"/>
      <c r="M147" s="170">
        <f t="shared" si="180"/>
        <v>0</v>
      </c>
      <c r="N147" s="177"/>
      <c r="O147" s="92"/>
      <c r="P147" s="174">
        <f t="shared" si="181"/>
        <v>0</v>
      </c>
      <c r="Q147" s="93"/>
      <c r="R147" s="92"/>
      <c r="S147" s="170">
        <f t="shared" si="182"/>
        <v>0</v>
      </c>
      <c r="T147" s="177"/>
      <c r="U147" s="92"/>
      <c r="V147" s="174">
        <f t="shared" si="183"/>
        <v>0</v>
      </c>
      <c r="W147" s="93"/>
      <c r="X147" s="92"/>
      <c r="Y147" s="170">
        <f t="shared" si="184"/>
        <v>0</v>
      </c>
      <c r="Z147" s="177"/>
      <c r="AA147" s="92"/>
      <c r="AB147" s="173">
        <f t="shared" si="145"/>
        <v>0</v>
      </c>
      <c r="AC147" s="93"/>
      <c r="AD147" s="92"/>
      <c r="AE147" s="89">
        <f t="shared" si="146"/>
        <v>0</v>
      </c>
      <c r="AF147" s="177"/>
      <c r="AG147" s="92"/>
      <c r="AH147" s="170">
        <f t="shared" si="185"/>
        <v>0</v>
      </c>
      <c r="AI147" s="161">
        <f t="shared" si="158"/>
        <v>0</v>
      </c>
      <c r="AJ147" s="200" t="str">
        <f t="shared" si="143"/>
        <v>ممتاز</v>
      </c>
      <c r="AK147" s="65" t="e">
        <f t="shared" si="144"/>
        <v>#DIV/0!</v>
      </c>
      <c r="AM147" s="50">
        <f t="shared" si="140"/>
        <v>137</v>
      </c>
      <c r="AN147" s="87">
        <f t="shared" si="147"/>
        <v>0</v>
      </c>
      <c r="AO147" s="99">
        <f t="shared" si="148"/>
        <v>0</v>
      </c>
      <c r="AP147" s="80">
        <f t="shared" si="149"/>
        <v>0</v>
      </c>
      <c r="AQ147" s="169">
        <f t="shared" si="159"/>
        <v>0</v>
      </c>
      <c r="AR147" s="188"/>
      <c r="AS147" s="170">
        <f t="shared" si="160"/>
        <v>0</v>
      </c>
      <c r="AT147" s="169"/>
      <c r="AU147" s="188"/>
      <c r="AV147" s="170"/>
      <c r="AW147" s="169">
        <f t="shared" si="161"/>
        <v>0</v>
      </c>
      <c r="AX147" s="188"/>
      <c r="AY147" s="170">
        <f t="shared" si="162"/>
        <v>0</v>
      </c>
      <c r="AZ147" s="169">
        <f t="shared" si="163"/>
        <v>0</v>
      </c>
      <c r="BA147" s="188"/>
      <c r="BB147" s="170">
        <f t="shared" si="164"/>
        <v>0</v>
      </c>
      <c r="BC147" s="169">
        <f t="shared" si="165"/>
        <v>0</v>
      </c>
      <c r="BD147" s="188"/>
      <c r="BE147" s="170">
        <f t="shared" si="166"/>
        <v>0</v>
      </c>
      <c r="BF147" s="169">
        <f t="shared" si="167"/>
        <v>0</v>
      </c>
      <c r="BG147" s="188"/>
      <c r="BH147" s="170">
        <f t="shared" si="168"/>
        <v>0</v>
      </c>
      <c r="BI147" s="169">
        <f t="shared" si="169"/>
        <v>0</v>
      </c>
      <c r="BJ147" s="188"/>
      <c r="BK147" s="170">
        <f t="shared" si="170"/>
        <v>0</v>
      </c>
      <c r="BL147" s="169">
        <f t="shared" si="171"/>
        <v>0</v>
      </c>
      <c r="BM147" s="188"/>
      <c r="BN147" s="170">
        <f t="shared" si="172"/>
        <v>0</v>
      </c>
      <c r="BO147" s="169">
        <f t="shared" si="173"/>
        <v>0</v>
      </c>
      <c r="BP147" s="188"/>
      <c r="BQ147" s="170">
        <f t="shared" si="174"/>
        <v>0</v>
      </c>
      <c r="BR147" s="169">
        <f t="shared" si="175"/>
        <v>0</v>
      </c>
      <c r="BS147" s="188"/>
      <c r="BT147" s="170">
        <f t="shared" si="176"/>
        <v>0</v>
      </c>
      <c r="BU147" s="76">
        <f t="shared" si="177"/>
        <v>0</v>
      </c>
      <c r="BV147" s="196" t="str">
        <f>LOOKUP(BU147,'الفترة الاولى'!$BX$2:$BY$6)</f>
        <v>ممتاز</v>
      </c>
      <c r="BW147" s="77" t="e">
        <f>BU147/'الفترة الاولى'!$BZ$2</f>
        <v>#DIV/0!</v>
      </c>
    </row>
    <row r="148" spans="1:75" ht="25.2" customHeight="1" thickBot="1" x14ac:dyDescent="0.3">
      <c r="A148" s="52">
        <v>138</v>
      </c>
      <c r="B148" s="55"/>
      <c r="C148" s="103"/>
      <c r="D148" s="81"/>
      <c r="E148" s="171"/>
      <c r="F148" s="94"/>
      <c r="G148" s="172">
        <f t="shared" si="178"/>
        <v>0</v>
      </c>
      <c r="H148" s="178"/>
      <c r="I148" s="94"/>
      <c r="J148" s="175">
        <f t="shared" si="179"/>
        <v>0</v>
      </c>
      <c r="K148" s="95"/>
      <c r="L148" s="94"/>
      <c r="M148" s="172">
        <f t="shared" si="180"/>
        <v>0</v>
      </c>
      <c r="N148" s="178"/>
      <c r="O148" s="94"/>
      <c r="P148" s="175">
        <f t="shared" si="181"/>
        <v>0</v>
      </c>
      <c r="Q148" s="95"/>
      <c r="R148" s="94"/>
      <c r="S148" s="172">
        <f t="shared" si="182"/>
        <v>0</v>
      </c>
      <c r="T148" s="178"/>
      <c r="U148" s="94"/>
      <c r="V148" s="175">
        <f t="shared" si="183"/>
        <v>0</v>
      </c>
      <c r="W148" s="95"/>
      <c r="X148" s="94"/>
      <c r="Y148" s="172">
        <f t="shared" si="184"/>
        <v>0</v>
      </c>
      <c r="Z148" s="178"/>
      <c r="AA148" s="94"/>
      <c r="AB148" s="173">
        <f t="shared" si="145"/>
        <v>0</v>
      </c>
      <c r="AC148" s="95"/>
      <c r="AD148" s="94"/>
      <c r="AE148" s="89">
        <f t="shared" si="146"/>
        <v>0</v>
      </c>
      <c r="AF148" s="178"/>
      <c r="AG148" s="94"/>
      <c r="AH148" s="172">
        <f t="shared" si="185"/>
        <v>0</v>
      </c>
      <c r="AI148" s="162">
        <f t="shared" si="158"/>
        <v>0</v>
      </c>
      <c r="AJ148" s="201" t="str">
        <f t="shared" si="143"/>
        <v>ممتاز</v>
      </c>
      <c r="AK148" s="66" t="e">
        <f t="shared" si="144"/>
        <v>#DIV/0!</v>
      </c>
      <c r="AM148" s="51">
        <f t="shared" si="140"/>
        <v>138</v>
      </c>
      <c r="AN148" s="88">
        <f t="shared" si="147"/>
        <v>0</v>
      </c>
      <c r="AO148" s="100">
        <f t="shared" si="148"/>
        <v>0</v>
      </c>
      <c r="AP148" s="81">
        <f t="shared" si="149"/>
        <v>0</v>
      </c>
      <c r="AQ148" s="171">
        <f t="shared" si="159"/>
        <v>0</v>
      </c>
      <c r="AR148" s="189"/>
      <c r="AS148" s="172">
        <f t="shared" si="160"/>
        <v>0</v>
      </c>
      <c r="AT148" s="171"/>
      <c r="AU148" s="189"/>
      <c r="AV148" s="172"/>
      <c r="AW148" s="171">
        <f t="shared" si="161"/>
        <v>0</v>
      </c>
      <c r="AX148" s="189"/>
      <c r="AY148" s="172">
        <f t="shared" si="162"/>
        <v>0</v>
      </c>
      <c r="AZ148" s="171">
        <f t="shared" si="163"/>
        <v>0</v>
      </c>
      <c r="BA148" s="189"/>
      <c r="BB148" s="172">
        <f t="shared" si="164"/>
        <v>0</v>
      </c>
      <c r="BC148" s="171">
        <f t="shared" si="165"/>
        <v>0</v>
      </c>
      <c r="BD148" s="189"/>
      <c r="BE148" s="172">
        <f t="shared" si="166"/>
        <v>0</v>
      </c>
      <c r="BF148" s="171">
        <f t="shared" si="167"/>
        <v>0</v>
      </c>
      <c r="BG148" s="189"/>
      <c r="BH148" s="172">
        <f t="shared" si="168"/>
        <v>0</v>
      </c>
      <c r="BI148" s="171">
        <f t="shared" si="169"/>
        <v>0</v>
      </c>
      <c r="BJ148" s="189"/>
      <c r="BK148" s="172">
        <f t="shared" si="170"/>
        <v>0</v>
      </c>
      <c r="BL148" s="171">
        <f t="shared" si="171"/>
        <v>0</v>
      </c>
      <c r="BM148" s="189"/>
      <c r="BN148" s="172">
        <f t="shared" si="172"/>
        <v>0</v>
      </c>
      <c r="BO148" s="171">
        <f t="shared" si="173"/>
        <v>0</v>
      </c>
      <c r="BP148" s="189"/>
      <c r="BQ148" s="172">
        <f t="shared" si="174"/>
        <v>0</v>
      </c>
      <c r="BR148" s="171">
        <f t="shared" si="175"/>
        <v>0</v>
      </c>
      <c r="BS148" s="189"/>
      <c r="BT148" s="172">
        <f t="shared" si="176"/>
        <v>0</v>
      </c>
      <c r="BU148" s="72">
        <f t="shared" si="177"/>
        <v>0</v>
      </c>
      <c r="BV148" s="194" t="str">
        <f>LOOKUP(BU148,'الفترة الاولى'!$BX$2:$BY$6)</f>
        <v>ممتاز</v>
      </c>
      <c r="BW148" s="73" t="e">
        <f>BU148/'الفترة الاولى'!$BZ$2</f>
        <v>#DIV/0!</v>
      </c>
    </row>
    <row r="149" spans="1:75" ht="25.2" customHeight="1" thickBot="1" x14ac:dyDescent="0.3">
      <c r="A149" s="50">
        <v>139</v>
      </c>
      <c r="B149" s="53"/>
      <c r="C149" s="101"/>
      <c r="D149" s="79"/>
      <c r="E149" s="168"/>
      <c r="F149" s="163"/>
      <c r="G149" s="89">
        <f t="shared" si="178"/>
        <v>0</v>
      </c>
      <c r="H149" s="176"/>
      <c r="I149" s="91"/>
      <c r="J149" s="173">
        <f t="shared" si="179"/>
        <v>0</v>
      </c>
      <c r="K149" s="90"/>
      <c r="L149" s="91"/>
      <c r="M149" s="89">
        <f t="shared" si="180"/>
        <v>0</v>
      </c>
      <c r="N149" s="176"/>
      <c r="O149" s="91"/>
      <c r="P149" s="173">
        <f t="shared" si="181"/>
        <v>0</v>
      </c>
      <c r="Q149" s="90"/>
      <c r="R149" s="91"/>
      <c r="S149" s="89">
        <f t="shared" si="182"/>
        <v>0</v>
      </c>
      <c r="T149" s="176"/>
      <c r="U149" s="91"/>
      <c r="V149" s="173">
        <f t="shared" si="183"/>
        <v>0</v>
      </c>
      <c r="W149" s="90"/>
      <c r="X149" s="91"/>
      <c r="Y149" s="89">
        <f t="shared" si="184"/>
        <v>0</v>
      </c>
      <c r="Z149" s="176"/>
      <c r="AA149" s="91"/>
      <c r="AB149" s="173">
        <f t="shared" si="145"/>
        <v>0</v>
      </c>
      <c r="AC149" s="90"/>
      <c r="AD149" s="91"/>
      <c r="AE149" s="89">
        <f t="shared" si="146"/>
        <v>0</v>
      </c>
      <c r="AF149" s="176"/>
      <c r="AG149" s="91"/>
      <c r="AH149" s="89">
        <f t="shared" si="185"/>
        <v>0</v>
      </c>
      <c r="AI149" s="160">
        <f t="shared" si="158"/>
        <v>0</v>
      </c>
      <c r="AJ149" s="202" t="str">
        <f t="shared" si="143"/>
        <v>ممتاز</v>
      </c>
      <c r="AK149" s="67" t="e">
        <f t="shared" si="144"/>
        <v>#DIV/0!</v>
      </c>
      <c r="AM149" s="52">
        <f t="shared" si="140"/>
        <v>139</v>
      </c>
      <c r="AN149" s="86">
        <f t="shared" si="147"/>
        <v>0</v>
      </c>
      <c r="AO149" s="98">
        <f t="shared" si="148"/>
        <v>0</v>
      </c>
      <c r="AP149" s="79">
        <f t="shared" si="149"/>
        <v>0</v>
      </c>
      <c r="AQ149" s="168">
        <f t="shared" si="159"/>
        <v>0</v>
      </c>
      <c r="AR149" s="163"/>
      <c r="AS149" s="89">
        <f t="shared" si="160"/>
        <v>0</v>
      </c>
      <c r="AT149" s="168"/>
      <c r="AU149" s="163"/>
      <c r="AV149" s="89"/>
      <c r="AW149" s="168">
        <f t="shared" si="161"/>
        <v>0</v>
      </c>
      <c r="AX149" s="163"/>
      <c r="AY149" s="89">
        <f t="shared" si="162"/>
        <v>0</v>
      </c>
      <c r="AZ149" s="168">
        <f t="shared" si="163"/>
        <v>0</v>
      </c>
      <c r="BA149" s="163"/>
      <c r="BB149" s="89">
        <f t="shared" si="164"/>
        <v>0</v>
      </c>
      <c r="BC149" s="168">
        <f t="shared" si="165"/>
        <v>0</v>
      </c>
      <c r="BD149" s="163"/>
      <c r="BE149" s="89">
        <f t="shared" si="166"/>
        <v>0</v>
      </c>
      <c r="BF149" s="168">
        <f t="shared" si="167"/>
        <v>0</v>
      </c>
      <c r="BG149" s="163"/>
      <c r="BH149" s="89">
        <f t="shared" si="168"/>
        <v>0</v>
      </c>
      <c r="BI149" s="168">
        <f t="shared" si="169"/>
        <v>0</v>
      </c>
      <c r="BJ149" s="163"/>
      <c r="BK149" s="89">
        <f t="shared" si="170"/>
        <v>0</v>
      </c>
      <c r="BL149" s="168">
        <f t="shared" si="171"/>
        <v>0</v>
      </c>
      <c r="BM149" s="163"/>
      <c r="BN149" s="89">
        <f t="shared" si="172"/>
        <v>0</v>
      </c>
      <c r="BO149" s="168">
        <f t="shared" si="173"/>
        <v>0</v>
      </c>
      <c r="BP149" s="163"/>
      <c r="BQ149" s="89">
        <f t="shared" si="174"/>
        <v>0</v>
      </c>
      <c r="BR149" s="168">
        <f t="shared" si="175"/>
        <v>0</v>
      </c>
      <c r="BS149" s="163"/>
      <c r="BT149" s="89">
        <f t="shared" si="176"/>
        <v>0</v>
      </c>
      <c r="BU149" s="74">
        <f t="shared" si="177"/>
        <v>0</v>
      </c>
      <c r="BV149" s="195" t="str">
        <f>LOOKUP(BU149,'الفترة الاولى'!$BX$2:$BY$6)</f>
        <v>ممتاز</v>
      </c>
      <c r="BW149" s="75" t="e">
        <f>BU149/'الفترة الاولى'!$BZ$2</f>
        <v>#DIV/0!</v>
      </c>
    </row>
    <row r="150" spans="1:75" ht="25.2" customHeight="1" thickBot="1" x14ac:dyDescent="0.3">
      <c r="A150" s="51">
        <v>140</v>
      </c>
      <c r="B150" s="54"/>
      <c r="C150" s="102"/>
      <c r="D150" s="80"/>
      <c r="E150" s="169"/>
      <c r="F150" s="92"/>
      <c r="G150" s="170">
        <f t="shared" si="178"/>
        <v>0</v>
      </c>
      <c r="H150" s="177"/>
      <c r="I150" s="92"/>
      <c r="J150" s="174">
        <f t="shared" si="179"/>
        <v>0</v>
      </c>
      <c r="K150" s="93"/>
      <c r="L150" s="92"/>
      <c r="M150" s="170">
        <f t="shared" si="180"/>
        <v>0</v>
      </c>
      <c r="N150" s="177"/>
      <c r="O150" s="92"/>
      <c r="P150" s="174">
        <f t="shared" si="181"/>
        <v>0</v>
      </c>
      <c r="Q150" s="93"/>
      <c r="R150" s="92"/>
      <c r="S150" s="170">
        <f t="shared" si="182"/>
        <v>0</v>
      </c>
      <c r="T150" s="177"/>
      <c r="U150" s="92"/>
      <c r="V150" s="174">
        <f t="shared" si="183"/>
        <v>0</v>
      </c>
      <c r="W150" s="93"/>
      <c r="X150" s="92"/>
      <c r="Y150" s="170">
        <f t="shared" si="184"/>
        <v>0</v>
      </c>
      <c r="Z150" s="177"/>
      <c r="AA150" s="92"/>
      <c r="AB150" s="173">
        <f t="shared" si="145"/>
        <v>0</v>
      </c>
      <c r="AC150" s="93"/>
      <c r="AD150" s="92"/>
      <c r="AE150" s="89">
        <f t="shared" si="146"/>
        <v>0</v>
      </c>
      <c r="AF150" s="177"/>
      <c r="AG150" s="92"/>
      <c r="AH150" s="170">
        <f t="shared" si="185"/>
        <v>0</v>
      </c>
      <c r="AI150" s="161">
        <f t="shared" si="158"/>
        <v>0</v>
      </c>
      <c r="AJ150" s="200" t="str">
        <f t="shared" si="143"/>
        <v>ممتاز</v>
      </c>
      <c r="AK150" s="65" t="e">
        <f t="shared" si="144"/>
        <v>#DIV/0!</v>
      </c>
      <c r="AM150" s="50">
        <f t="shared" si="140"/>
        <v>140</v>
      </c>
      <c r="AN150" s="87">
        <f t="shared" si="147"/>
        <v>0</v>
      </c>
      <c r="AO150" s="99">
        <f t="shared" si="148"/>
        <v>0</v>
      </c>
      <c r="AP150" s="80">
        <f t="shared" si="149"/>
        <v>0</v>
      </c>
      <c r="AQ150" s="169">
        <f t="shared" si="159"/>
        <v>0</v>
      </c>
      <c r="AR150" s="188"/>
      <c r="AS150" s="170">
        <f t="shared" si="160"/>
        <v>0</v>
      </c>
      <c r="AT150" s="169"/>
      <c r="AU150" s="188"/>
      <c r="AV150" s="170"/>
      <c r="AW150" s="169">
        <f t="shared" si="161"/>
        <v>0</v>
      </c>
      <c r="AX150" s="188"/>
      <c r="AY150" s="170">
        <f t="shared" si="162"/>
        <v>0</v>
      </c>
      <c r="AZ150" s="169">
        <f t="shared" si="163"/>
        <v>0</v>
      </c>
      <c r="BA150" s="188"/>
      <c r="BB150" s="170">
        <f t="shared" si="164"/>
        <v>0</v>
      </c>
      <c r="BC150" s="169">
        <f t="shared" si="165"/>
        <v>0</v>
      </c>
      <c r="BD150" s="188"/>
      <c r="BE150" s="170">
        <f t="shared" si="166"/>
        <v>0</v>
      </c>
      <c r="BF150" s="169">
        <f t="shared" si="167"/>
        <v>0</v>
      </c>
      <c r="BG150" s="188"/>
      <c r="BH150" s="170">
        <f t="shared" si="168"/>
        <v>0</v>
      </c>
      <c r="BI150" s="169">
        <f t="shared" si="169"/>
        <v>0</v>
      </c>
      <c r="BJ150" s="188"/>
      <c r="BK150" s="170">
        <f t="shared" si="170"/>
        <v>0</v>
      </c>
      <c r="BL150" s="169">
        <f t="shared" si="171"/>
        <v>0</v>
      </c>
      <c r="BM150" s="188"/>
      <c r="BN150" s="170">
        <f t="shared" si="172"/>
        <v>0</v>
      </c>
      <c r="BO150" s="169">
        <f t="shared" si="173"/>
        <v>0</v>
      </c>
      <c r="BP150" s="188"/>
      <c r="BQ150" s="170">
        <f t="shared" si="174"/>
        <v>0</v>
      </c>
      <c r="BR150" s="169">
        <f t="shared" si="175"/>
        <v>0</v>
      </c>
      <c r="BS150" s="188"/>
      <c r="BT150" s="170">
        <f t="shared" si="176"/>
        <v>0</v>
      </c>
      <c r="BU150" s="76">
        <f t="shared" si="177"/>
        <v>0</v>
      </c>
      <c r="BV150" s="196" t="str">
        <f>LOOKUP(BU150,'الفترة الاولى'!$BX$2:$BY$6)</f>
        <v>ممتاز</v>
      </c>
      <c r="BW150" s="77" t="e">
        <f>BU150/'الفترة الاولى'!$BZ$2</f>
        <v>#DIV/0!</v>
      </c>
    </row>
    <row r="151" spans="1:75" ht="25.2" customHeight="1" thickBot="1" x14ac:dyDescent="0.3">
      <c r="A151" s="52">
        <v>141</v>
      </c>
      <c r="B151" s="55"/>
      <c r="C151" s="103"/>
      <c r="D151" s="81"/>
      <c r="E151" s="171"/>
      <c r="F151" s="94"/>
      <c r="G151" s="172">
        <f t="shared" si="178"/>
        <v>0</v>
      </c>
      <c r="H151" s="178"/>
      <c r="I151" s="94"/>
      <c r="J151" s="175">
        <f t="shared" si="179"/>
        <v>0</v>
      </c>
      <c r="K151" s="95"/>
      <c r="L151" s="94"/>
      <c r="M151" s="172">
        <f t="shared" si="180"/>
        <v>0</v>
      </c>
      <c r="N151" s="178"/>
      <c r="O151" s="94"/>
      <c r="P151" s="175">
        <f t="shared" si="181"/>
        <v>0</v>
      </c>
      <c r="Q151" s="95"/>
      <c r="R151" s="94"/>
      <c r="S151" s="172">
        <f t="shared" si="182"/>
        <v>0</v>
      </c>
      <c r="T151" s="178"/>
      <c r="U151" s="94"/>
      <c r="V151" s="175">
        <f t="shared" si="183"/>
        <v>0</v>
      </c>
      <c r="W151" s="95"/>
      <c r="X151" s="94"/>
      <c r="Y151" s="172">
        <f t="shared" si="184"/>
        <v>0</v>
      </c>
      <c r="Z151" s="178"/>
      <c r="AA151" s="94"/>
      <c r="AB151" s="173">
        <f t="shared" si="145"/>
        <v>0</v>
      </c>
      <c r="AC151" s="95"/>
      <c r="AD151" s="94"/>
      <c r="AE151" s="89">
        <f t="shared" si="146"/>
        <v>0</v>
      </c>
      <c r="AF151" s="178"/>
      <c r="AG151" s="94"/>
      <c r="AH151" s="172">
        <f t="shared" si="185"/>
        <v>0</v>
      </c>
      <c r="AI151" s="162">
        <f t="shared" si="158"/>
        <v>0</v>
      </c>
      <c r="AJ151" s="201" t="str">
        <f t="shared" si="143"/>
        <v>ممتاز</v>
      </c>
      <c r="AK151" s="66" t="e">
        <f t="shared" si="144"/>
        <v>#DIV/0!</v>
      </c>
      <c r="AM151" s="51">
        <f t="shared" si="140"/>
        <v>141</v>
      </c>
      <c r="AN151" s="88">
        <f t="shared" si="147"/>
        <v>0</v>
      </c>
      <c r="AO151" s="100">
        <f t="shared" si="148"/>
        <v>0</v>
      </c>
      <c r="AP151" s="81">
        <f t="shared" si="149"/>
        <v>0</v>
      </c>
      <c r="AQ151" s="171">
        <f t="shared" si="159"/>
        <v>0</v>
      </c>
      <c r="AR151" s="189"/>
      <c r="AS151" s="172">
        <f t="shared" si="160"/>
        <v>0</v>
      </c>
      <c r="AT151" s="171"/>
      <c r="AU151" s="189"/>
      <c r="AV151" s="172"/>
      <c r="AW151" s="171">
        <f t="shared" si="161"/>
        <v>0</v>
      </c>
      <c r="AX151" s="189"/>
      <c r="AY151" s="172">
        <f t="shared" si="162"/>
        <v>0</v>
      </c>
      <c r="AZ151" s="171">
        <f t="shared" si="163"/>
        <v>0</v>
      </c>
      <c r="BA151" s="189"/>
      <c r="BB151" s="172">
        <f t="shared" si="164"/>
        <v>0</v>
      </c>
      <c r="BC151" s="171">
        <f t="shared" si="165"/>
        <v>0</v>
      </c>
      <c r="BD151" s="189"/>
      <c r="BE151" s="172">
        <f t="shared" si="166"/>
        <v>0</v>
      </c>
      <c r="BF151" s="171">
        <f t="shared" si="167"/>
        <v>0</v>
      </c>
      <c r="BG151" s="189"/>
      <c r="BH151" s="172">
        <f t="shared" si="168"/>
        <v>0</v>
      </c>
      <c r="BI151" s="171">
        <f t="shared" si="169"/>
        <v>0</v>
      </c>
      <c r="BJ151" s="189"/>
      <c r="BK151" s="172">
        <f t="shared" si="170"/>
        <v>0</v>
      </c>
      <c r="BL151" s="171">
        <f t="shared" si="171"/>
        <v>0</v>
      </c>
      <c r="BM151" s="189"/>
      <c r="BN151" s="172">
        <f t="shared" si="172"/>
        <v>0</v>
      </c>
      <c r="BO151" s="171">
        <f t="shared" si="173"/>
        <v>0</v>
      </c>
      <c r="BP151" s="189"/>
      <c r="BQ151" s="172">
        <f t="shared" si="174"/>
        <v>0</v>
      </c>
      <c r="BR151" s="171">
        <f t="shared" si="175"/>
        <v>0</v>
      </c>
      <c r="BS151" s="189"/>
      <c r="BT151" s="172">
        <f t="shared" si="176"/>
        <v>0</v>
      </c>
      <c r="BU151" s="72">
        <f t="shared" si="177"/>
        <v>0</v>
      </c>
      <c r="BV151" s="194" t="str">
        <f>LOOKUP(BU151,'الفترة الاولى'!$BX$2:$BY$6)</f>
        <v>ممتاز</v>
      </c>
      <c r="BW151" s="73" t="e">
        <f>BU151/'الفترة الاولى'!$BZ$2</f>
        <v>#DIV/0!</v>
      </c>
    </row>
    <row r="152" spans="1:75" ht="25.2" customHeight="1" thickBot="1" x14ac:dyDescent="0.3">
      <c r="A152" s="50">
        <v>142</v>
      </c>
      <c r="B152" s="53"/>
      <c r="C152" s="101"/>
      <c r="D152" s="79"/>
      <c r="E152" s="168"/>
      <c r="F152" s="163"/>
      <c r="G152" s="89">
        <f t="shared" si="178"/>
        <v>0</v>
      </c>
      <c r="H152" s="176"/>
      <c r="I152" s="91"/>
      <c r="J152" s="173">
        <f t="shared" si="179"/>
        <v>0</v>
      </c>
      <c r="K152" s="90"/>
      <c r="L152" s="91"/>
      <c r="M152" s="89">
        <f t="shared" si="180"/>
        <v>0</v>
      </c>
      <c r="N152" s="176"/>
      <c r="O152" s="91"/>
      <c r="P152" s="173">
        <f t="shared" si="181"/>
        <v>0</v>
      </c>
      <c r="Q152" s="90"/>
      <c r="R152" s="91"/>
      <c r="S152" s="89">
        <f t="shared" si="182"/>
        <v>0</v>
      </c>
      <c r="T152" s="176"/>
      <c r="U152" s="91"/>
      <c r="V152" s="173">
        <f t="shared" si="183"/>
        <v>0</v>
      </c>
      <c r="W152" s="90"/>
      <c r="X152" s="91"/>
      <c r="Y152" s="89">
        <f t="shared" si="184"/>
        <v>0</v>
      </c>
      <c r="Z152" s="176"/>
      <c r="AA152" s="91"/>
      <c r="AB152" s="173">
        <f t="shared" si="145"/>
        <v>0</v>
      </c>
      <c r="AC152" s="90"/>
      <c r="AD152" s="91"/>
      <c r="AE152" s="89">
        <f t="shared" si="146"/>
        <v>0</v>
      </c>
      <c r="AF152" s="176"/>
      <c r="AG152" s="91"/>
      <c r="AH152" s="89">
        <f t="shared" si="185"/>
        <v>0</v>
      </c>
      <c r="AI152" s="160">
        <f t="shared" si="158"/>
        <v>0</v>
      </c>
      <c r="AJ152" s="202" t="str">
        <f t="shared" si="143"/>
        <v>ممتاز</v>
      </c>
      <c r="AK152" s="67" t="e">
        <f t="shared" si="144"/>
        <v>#DIV/0!</v>
      </c>
      <c r="AM152" s="52">
        <f t="shared" si="140"/>
        <v>142</v>
      </c>
      <c r="AN152" s="86">
        <f t="shared" si="147"/>
        <v>0</v>
      </c>
      <c r="AO152" s="98">
        <f t="shared" si="148"/>
        <v>0</v>
      </c>
      <c r="AP152" s="79">
        <f t="shared" si="149"/>
        <v>0</v>
      </c>
      <c r="AQ152" s="168">
        <f t="shared" si="159"/>
        <v>0</v>
      </c>
      <c r="AR152" s="163"/>
      <c r="AS152" s="89">
        <f t="shared" si="160"/>
        <v>0</v>
      </c>
      <c r="AT152" s="168"/>
      <c r="AU152" s="163"/>
      <c r="AV152" s="89"/>
      <c r="AW152" s="168">
        <f t="shared" si="161"/>
        <v>0</v>
      </c>
      <c r="AX152" s="163"/>
      <c r="AY152" s="89">
        <f t="shared" si="162"/>
        <v>0</v>
      </c>
      <c r="AZ152" s="168">
        <f t="shared" si="163"/>
        <v>0</v>
      </c>
      <c r="BA152" s="163"/>
      <c r="BB152" s="89">
        <f t="shared" si="164"/>
        <v>0</v>
      </c>
      <c r="BC152" s="168">
        <f t="shared" si="165"/>
        <v>0</v>
      </c>
      <c r="BD152" s="163"/>
      <c r="BE152" s="89">
        <f t="shared" si="166"/>
        <v>0</v>
      </c>
      <c r="BF152" s="168">
        <f t="shared" si="167"/>
        <v>0</v>
      </c>
      <c r="BG152" s="163"/>
      <c r="BH152" s="89">
        <f t="shared" si="168"/>
        <v>0</v>
      </c>
      <c r="BI152" s="168">
        <f t="shared" si="169"/>
        <v>0</v>
      </c>
      <c r="BJ152" s="163"/>
      <c r="BK152" s="89">
        <f t="shared" si="170"/>
        <v>0</v>
      </c>
      <c r="BL152" s="168">
        <f t="shared" si="171"/>
        <v>0</v>
      </c>
      <c r="BM152" s="163"/>
      <c r="BN152" s="89">
        <f t="shared" si="172"/>
        <v>0</v>
      </c>
      <c r="BO152" s="168">
        <f t="shared" si="173"/>
        <v>0</v>
      </c>
      <c r="BP152" s="163"/>
      <c r="BQ152" s="89">
        <f t="shared" si="174"/>
        <v>0</v>
      </c>
      <c r="BR152" s="168">
        <f t="shared" si="175"/>
        <v>0</v>
      </c>
      <c r="BS152" s="163"/>
      <c r="BT152" s="89">
        <f t="shared" si="176"/>
        <v>0</v>
      </c>
      <c r="BU152" s="74">
        <f t="shared" si="177"/>
        <v>0</v>
      </c>
      <c r="BV152" s="195" t="str">
        <f>LOOKUP(BU152,'الفترة الاولى'!$BX$2:$BY$6)</f>
        <v>ممتاز</v>
      </c>
      <c r="BW152" s="75" t="e">
        <f>BU152/'الفترة الاولى'!$BZ$2</f>
        <v>#DIV/0!</v>
      </c>
    </row>
    <row r="153" spans="1:75" ht="25.2" customHeight="1" thickBot="1" x14ac:dyDescent="0.3">
      <c r="A153" s="51">
        <v>143</v>
      </c>
      <c r="B153" s="54"/>
      <c r="C153" s="102"/>
      <c r="D153" s="80"/>
      <c r="E153" s="169"/>
      <c r="F153" s="92"/>
      <c r="G153" s="170">
        <f t="shared" si="178"/>
        <v>0</v>
      </c>
      <c r="H153" s="177"/>
      <c r="I153" s="92"/>
      <c r="J153" s="174">
        <f t="shared" si="179"/>
        <v>0</v>
      </c>
      <c r="K153" s="93"/>
      <c r="L153" s="92"/>
      <c r="M153" s="170">
        <f t="shared" si="180"/>
        <v>0</v>
      </c>
      <c r="N153" s="177"/>
      <c r="O153" s="92"/>
      <c r="P153" s="174">
        <f t="shared" si="181"/>
        <v>0</v>
      </c>
      <c r="Q153" s="93"/>
      <c r="R153" s="92"/>
      <c r="S153" s="170">
        <f t="shared" si="182"/>
        <v>0</v>
      </c>
      <c r="T153" s="177"/>
      <c r="U153" s="92"/>
      <c r="V153" s="174">
        <f t="shared" si="183"/>
        <v>0</v>
      </c>
      <c r="W153" s="93"/>
      <c r="X153" s="92"/>
      <c r="Y153" s="170">
        <f t="shared" si="184"/>
        <v>0</v>
      </c>
      <c r="Z153" s="177"/>
      <c r="AA153" s="92"/>
      <c r="AB153" s="173">
        <f t="shared" si="145"/>
        <v>0</v>
      </c>
      <c r="AC153" s="93"/>
      <c r="AD153" s="92"/>
      <c r="AE153" s="89">
        <f t="shared" si="146"/>
        <v>0</v>
      </c>
      <c r="AF153" s="177"/>
      <c r="AG153" s="92"/>
      <c r="AH153" s="170">
        <f t="shared" si="185"/>
        <v>0</v>
      </c>
      <c r="AI153" s="161">
        <f t="shared" si="158"/>
        <v>0</v>
      </c>
      <c r="AJ153" s="200" t="str">
        <f t="shared" si="143"/>
        <v>ممتاز</v>
      </c>
      <c r="AK153" s="65" t="e">
        <f t="shared" si="144"/>
        <v>#DIV/0!</v>
      </c>
      <c r="AM153" s="50">
        <f t="shared" si="140"/>
        <v>143</v>
      </c>
      <c r="AN153" s="87">
        <f t="shared" si="147"/>
        <v>0</v>
      </c>
      <c r="AO153" s="99">
        <f t="shared" si="148"/>
        <v>0</v>
      </c>
      <c r="AP153" s="80">
        <f t="shared" si="149"/>
        <v>0</v>
      </c>
      <c r="AQ153" s="169">
        <f t="shared" si="159"/>
        <v>0</v>
      </c>
      <c r="AR153" s="188"/>
      <c r="AS153" s="170">
        <f t="shared" si="160"/>
        <v>0</v>
      </c>
      <c r="AT153" s="169"/>
      <c r="AU153" s="188"/>
      <c r="AV153" s="170"/>
      <c r="AW153" s="169">
        <f t="shared" si="161"/>
        <v>0</v>
      </c>
      <c r="AX153" s="188"/>
      <c r="AY153" s="170">
        <f t="shared" si="162"/>
        <v>0</v>
      </c>
      <c r="AZ153" s="169">
        <f t="shared" si="163"/>
        <v>0</v>
      </c>
      <c r="BA153" s="188"/>
      <c r="BB153" s="170">
        <f t="shared" si="164"/>
        <v>0</v>
      </c>
      <c r="BC153" s="169">
        <f t="shared" si="165"/>
        <v>0</v>
      </c>
      <c r="BD153" s="188"/>
      <c r="BE153" s="170">
        <f t="shared" si="166"/>
        <v>0</v>
      </c>
      <c r="BF153" s="169">
        <f t="shared" si="167"/>
        <v>0</v>
      </c>
      <c r="BG153" s="188"/>
      <c r="BH153" s="170">
        <f t="shared" si="168"/>
        <v>0</v>
      </c>
      <c r="BI153" s="169">
        <f t="shared" si="169"/>
        <v>0</v>
      </c>
      <c r="BJ153" s="188"/>
      <c r="BK153" s="170">
        <f t="shared" si="170"/>
        <v>0</v>
      </c>
      <c r="BL153" s="169">
        <f t="shared" si="171"/>
        <v>0</v>
      </c>
      <c r="BM153" s="188"/>
      <c r="BN153" s="170">
        <f t="shared" si="172"/>
        <v>0</v>
      </c>
      <c r="BO153" s="169">
        <f t="shared" si="173"/>
        <v>0</v>
      </c>
      <c r="BP153" s="188"/>
      <c r="BQ153" s="170">
        <f t="shared" si="174"/>
        <v>0</v>
      </c>
      <c r="BR153" s="169">
        <f t="shared" si="175"/>
        <v>0</v>
      </c>
      <c r="BS153" s="188"/>
      <c r="BT153" s="170">
        <f t="shared" si="176"/>
        <v>0</v>
      </c>
      <c r="BU153" s="76">
        <f t="shared" si="177"/>
        <v>0</v>
      </c>
      <c r="BV153" s="196" t="str">
        <f>LOOKUP(BU153,'الفترة الاولى'!$BX$2:$BY$6)</f>
        <v>ممتاز</v>
      </c>
      <c r="BW153" s="77" t="e">
        <f>BU153/'الفترة الاولى'!$BZ$2</f>
        <v>#DIV/0!</v>
      </c>
    </row>
    <row r="154" spans="1:75" ht="25.2" customHeight="1" thickBot="1" x14ac:dyDescent="0.3">
      <c r="A154" s="52">
        <v>144</v>
      </c>
      <c r="B154" s="55"/>
      <c r="C154" s="103"/>
      <c r="D154" s="81"/>
      <c r="E154" s="171"/>
      <c r="F154" s="94"/>
      <c r="G154" s="172">
        <f t="shared" si="178"/>
        <v>0</v>
      </c>
      <c r="H154" s="178"/>
      <c r="I154" s="94"/>
      <c r="J154" s="175">
        <f t="shared" si="179"/>
        <v>0</v>
      </c>
      <c r="K154" s="95"/>
      <c r="L154" s="94"/>
      <c r="M154" s="172">
        <f t="shared" si="180"/>
        <v>0</v>
      </c>
      <c r="N154" s="178"/>
      <c r="O154" s="94"/>
      <c r="P154" s="175">
        <f t="shared" si="181"/>
        <v>0</v>
      </c>
      <c r="Q154" s="95"/>
      <c r="R154" s="94"/>
      <c r="S154" s="172">
        <f t="shared" si="182"/>
        <v>0</v>
      </c>
      <c r="T154" s="178"/>
      <c r="U154" s="94"/>
      <c r="V154" s="175">
        <f t="shared" si="183"/>
        <v>0</v>
      </c>
      <c r="W154" s="95"/>
      <c r="X154" s="94"/>
      <c r="Y154" s="172">
        <f t="shared" si="184"/>
        <v>0</v>
      </c>
      <c r="Z154" s="178"/>
      <c r="AA154" s="94"/>
      <c r="AB154" s="173">
        <f t="shared" si="145"/>
        <v>0</v>
      </c>
      <c r="AC154" s="95"/>
      <c r="AD154" s="94"/>
      <c r="AE154" s="89">
        <f t="shared" si="146"/>
        <v>0</v>
      </c>
      <c r="AF154" s="178"/>
      <c r="AG154" s="94"/>
      <c r="AH154" s="172">
        <f t="shared" si="185"/>
        <v>0</v>
      </c>
      <c r="AI154" s="162">
        <f t="shared" si="158"/>
        <v>0</v>
      </c>
      <c r="AJ154" s="201" t="str">
        <f t="shared" si="143"/>
        <v>ممتاز</v>
      </c>
      <c r="AK154" s="66" t="e">
        <f t="shared" si="144"/>
        <v>#DIV/0!</v>
      </c>
      <c r="AM154" s="51">
        <f t="shared" si="140"/>
        <v>144</v>
      </c>
      <c r="AN154" s="88">
        <f t="shared" si="147"/>
        <v>0</v>
      </c>
      <c r="AO154" s="100">
        <f t="shared" si="148"/>
        <v>0</v>
      </c>
      <c r="AP154" s="81">
        <f t="shared" si="149"/>
        <v>0</v>
      </c>
      <c r="AQ154" s="171">
        <f t="shared" si="159"/>
        <v>0</v>
      </c>
      <c r="AR154" s="189"/>
      <c r="AS154" s="172">
        <f t="shared" si="160"/>
        <v>0</v>
      </c>
      <c r="AT154" s="171"/>
      <c r="AU154" s="189"/>
      <c r="AV154" s="172"/>
      <c r="AW154" s="171">
        <f t="shared" si="161"/>
        <v>0</v>
      </c>
      <c r="AX154" s="189"/>
      <c r="AY154" s="172">
        <f t="shared" si="162"/>
        <v>0</v>
      </c>
      <c r="AZ154" s="171">
        <f t="shared" si="163"/>
        <v>0</v>
      </c>
      <c r="BA154" s="189"/>
      <c r="BB154" s="172">
        <f t="shared" si="164"/>
        <v>0</v>
      </c>
      <c r="BC154" s="171">
        <f t="shared" si="165"/>
        <v>0</v>
      </c>
      <c r="BD154" s="189"/>
      <c r="BE154" s="172">
        <f t="shared" si="166"/>
        <v>0</v>
      </c>
      <c r="BF154" s="171">
        <f t="shared" si="167"/>
        <v>0</v>
      </c>
      <c r="BG154" s="189"/>
      <c r="BH154" s="172">
        <f t="shared" si="168"/>
        <v>0</v>
      </c>
      <c r="BI154" s="171">
        <f t="shared" si="169"/>
        <v>0</v>
      </c>
      <c r="BJ154" s="189"/>
      <c r="BK154" s="172">
        <f t="shared" si="170"/>
        <v>0</v>
      </c>
      <c r="BL154" s="171">
        <f t="shared" si="171"/>
        <v>0</v>
      </c>
      <c r="BM154" s="189"/>
      <c r="BN154" s="172">
        <f t="shared" si="172"/>
        <v>0</v>
      </c>
      <c r="BO154" s="171">
        <f t="shared" si="173"/>
        <v>0</v>
      </c>
      <c r="BP154" s="189"/>
      <c r="BQ154" s="172">
        <f t="shared" si="174"/>
        <v>0</v>
      </c>
      <c r="BR154" s="171">
        <f t="shared" si="175"/>
        <v>0</v>
      </c>
      <c r="BS154" s="189"/>
      <c r="BT154" s="172">
        <f t="shared" si="176"/>
        <v>0</v>
      </c>
      <c r="BU154" s="72">
        <f t="shared" si="177"/>
        <v>0</v>
      </c>
      <c r="BV154" s="194" t="str">
        <f>LOOKUP(BU154,'الفترة الاولى'!$BX$2:$BY$6)</f>
        <v>ممتاز</v>
      </c>
      <c r="BW154" s="73" t="e">
        <f>BU154/'الفترة الاولى'!$BZ$2</f>
        <v>#DIV/0!</v>
      </c>
    </row>
    <row r="155" spans="1:75" ht="25.2" customHeight="1" thickBot="1" x14ac:dyDescent="0.3">
      <c r="A155" s="50">
        <v>145</v>
      </c>
      <c r="B155" s="53"/>
      <c r="C155" s="101"/>
      <c r="D155" s="79"/>
      <c r="E155" s="168"/>
      <c r="F155" s="163"/>
      <c r="G155" s="89">
        <f t="shared" si="178"/>
        <v>0</v>
      </c>
      <c r="H155" s="176"/>
      <c r="I155" s="91"/>
      <c r="J155" s="173">
        <f t="shared" si="179"/>
        <v>0</v>
      </c>
      <c r="K155" s="90"/>
      <c r="L155" s="91"/>
      <c r="M155" s="89">
        <f t="shared" si="180"/>
        <v>0</v>
      </c>
      <c r="N155" s="176"/>
      <c r="O155" s="91"/>
      <c r="P155" s="173">
        <f t="shared" si="181"/>
        <v>0</v>
      </c>
      <c r="Q155" s="90"/>
      <c r="R155" s="91"/>
      <c r="S155" s="89">
        <f t="shared" si="182"/>
        <v>0</v>
      </c>
      <c r="T155" s="176"/>
      <c r="U155" s="91"/>
      <c r="V155" s="173">
        <f t="shared" si="183"/>
        <v>0</v>
      </c>
      <c r="W155" s="90"/>
      <c r="X155" s="91"/>
      <c r="Y155" s="89">
        <f t="shared" si="184"/>
        <v>0</v>
      </c>
      <c r="Z155" s="176"/>
      <c r="AA155" s="91"/>
      <c r="AB155" s="173">
        <f t="shared" si="145"/>
        <v>0</v>
      </c>
      <c r="AC155" s="90"/>
      <c r="AD155" s="91"/>
      <c r="AE155" s="89">
        <f t="shared" si="146"/>
        <v>0</v>
      </c>
      <c r="AF155" s="176"/>
      <c r="AG155" s="91"/>
      <c r="AH155" s="89">
        <f t="shared" si="185"/>
        <v>0</v>
      </c>
      <c r="AI155" s="160">
        <f t="shared" si="158"/>
        <v>0</v>
      </c>
      <c r="AJ155" s="202" t="str">
        <f t="shared" si="143"/>
        <v>ممتاز</v>
      </c>
      <c r="AK155" s="67" t="e">
        <f t="shared" si="144"/>
        <v>#DIV/0!</v>
      </c>
      <c r="AM155" s="52">
        <f t="shared" si="140"/>
        <v>145</v>
      </c>
      <c r="AN155" s="86">
        <f t="shared" si="147"/>
        <v>0</v>
      </c>
      <c r="AO155" s="98">
        <f t="shared" si="148"/>
        <v>0</v>
      </c>
      <c r="AP155" s="79">
        <f t="shared" si="149"/>
        <v>0</v>
      </c>
      <c r="AQ155" s="168">
        <f t="shared" si="159"/>
        <v>0</v>
      </c>
      <c r="AR155" s="163"/>
      <c r="AS155" s="89">
        <f t="shared" si="160"/>
        <v>0</v>
      </c>
      <c r="AT155" s="168"/>
      <c r="AU155" s="163"/>
      <c r="AV155" s="89"/>
      <c r="AW155" s="168">
        <f t="shared" si="161"/>
        <v>0</v>
      </c>
      <c r="AX155" s="163"/>
      <c r="AY155" s="89">
        <f t="shared" si="162"/>
        <v>0</v>
      </c>
      <c r="AZ155" s="168">
        <f t="shared" si="163"/>
        <v>0</v>
      </c>
      <c r="BA155" s="163"/>
      <c r="BB155" s="89">
        <f t="shared" si="164"/>
        <v>0</v>
      </c>
      <c r="BC155" s="168">
        <f t="shared" si="165"/>
        <v>0</v>
      </c>
      <c r="BD155" s="163"/>
      <c r="BE155" s="89">
        <f t="shared" si="166"/>
        <v>0</v>
      </c>
      <c r="BF155" s="168">
        <f t="shared" si="167"/>
        <v>0</v>
      </c>
      <c r="BG155" s="163"/>
      <c r="BH155" s="89">
        <f t="shared" si="168"/>
        <v>0</v>
      </c>
      <c r="BI155" s="168">
        <f t="shared" si="169"/>
        <v>0</v>
      </c>
      <c r="BJ155" s="163"/>
      <c r="BK155" s="89">
        <f t="shared" si="170"/>
        <v>0</v>
      </c>
      <c r="BL155" s="168">
        <f t="shared" si="171"/>
        <v>0</v>
      </c>
      <c r="BM155" s="163"/>
      <c r="BN155" s="89">
        <f t="shared" si="172"/>
        <v>0</v>
      </c>
      <c r="BO155" s="168">
        <f t="shared" si="173"/>
        <v>0</v>
      </c>
      <c r="BP155" s="163"/>
      <c r="BQ155" s="89">
        <f t="shared" si="174"/>
        <v>0</v>
      </c>
      <c r="BR155" s="168">
        <f t="shared" si="175"/>
        <v>0</v>
      </c>
      <c r="BS155" s="163"/>
      <c r="BT155" s="89">
        <f t="shared" si="176"/>
        <v>0</v>
      </c>
      <c r="BU155" s="74">
        <f t="shared" si="177"/>
        <v>0</v>
      </c>
      <c r="BV155" s="195" t="str">
        <f>LOOKUP(BU155,'الفترة الاولى'!$BX$2:$BY$6)</f>
        <v>ممتاز</v>
      </c>
      <c r="BW155" s="75" t="e">
        <f>BU155/'الفترة الاولى'!$BZ$2</f>
        <v>#DIV/0!</v>
      </c>
    </row>
    <row r="156" spans="1:75" ht="25.2" customHeight="1" thickBot="1" x14ac:dyDescent="0.3">
      <c r="A156" s="51">
        <v>146</v>
      </c>
      <c r="B156" s="54"/>
      <c r="C156" s="102"/>
      <c r="D156" s="80"/>
      <c r="E156" s="169"/>
      <c r="F156" s="92"/>
      <c r="G156" s="170">
        <f t="shared" si="178"/>
        <v>0</v>
      </c>
      <c r="H156" s="177"/>
      <c r="I156" s="92"/>
      <c r="J156" s="174">
        <f t="shared" si="179"/>
        <v>0</v>
      </c>
      <c r="K156" s="93"/>
      <c r="L156" s="92"/>
      <c r="M156" s="170">
        <f t="shared" si="180"/>
        <v>0</v>
      </c>
      <c r="N156" s="177"/>
      <c r="O156" s="92"/>
      <c r="P156" s="174">
        <f t="shared" si="181"/>
        <v>0</v>
      </c>
      <c r="Q156" s="93"/>
      <c r="R156" s="92"/>
      <c r="S156" s="170">
        <f t="shared" si="182"/>
        <v>0</v>
      </c>
      <c r="T156" s="177"/>
      <c r="U156" s="92"/>
      <c r="V156" s="174">
        <f t="shared" si="183"/>
        <v>0</v>
      </c>
      <c r="W156" s="93"/>
      <c r="X156" s="92"/>
      <c r="Y156" s="170">
        <f t="shared" si="184"/>
        <v>0</v>
      </c>
      <c r="Z156" s="177"/>
      <c r="AA156" s="92"/>
      <c r="AB156" s="173">
        <f t="shared" si="145"/>
        <v>0</v>
      </c>
      <c r="AC156" s="93"/>
      <c r="AD156" s="92"/>
      <c r="AE156" s="89">
        <f t="shared" si="146"/>
        <v>0</v>
      </c>
      <c r="AF156" s="177"/>
      <c r="AG156" s="92"/>
      <c r="AH156" s="170">
        <f t="shared" si="185"/>
        <v>0</v>
      </c>
      <c r="AI156" s="161">
        <f t="shared" si="158"/>
        <v>0</v>
      </c>
      <c r="AJ156" s="200" t="str">
        <f t="shared" si="143"/>
        <v>ممتاز</v>
      </c>
      <c r="AK156" s="65" t="e">
        <f t="shared" si="144"/>
        <v>#DIV/0!</v>
      </c>
      <c r="AM156" s="50">
        <f t="shared" si="140"/>
        <v>146</v>
      </c>
      <c r="AN156" s="87">
        <f t="shared" si="147"/>
        <v>0</v>
      </c>
      <c r="AO156" s="99">
        <f t="shared" si="148"/>
        <v>0</v>
      </c>
      <c r="AP156" s="80">
        <f t="shared" si="149"/>
        <v>0</v>
      </c>
      <c r="AQ156" s="169">
        <f t="shared" si="159"/>
        <v>0</v>
      </c>
      <c r="AR156" s="188"/>
      <c r="AS156" s="170">
        <f t="shared" si="160"/>
        <v>0</v>
      </c>
      <c r="AT156" s="169"/>
      <c r="AU156" s="188"/>
      <c r="AV156" s="170"/>
      <c r="AW156" s="169">
        <f t="shared" si="161"/>
        <v>0</v>
      </c>
      <c r="AX156" s="188"/>
      <c r="AY156" s="170">
        <f t="shared" si="162"/>
        <v>0</v>
      </c>
      <c r="AZ156" s="169">
        <f t="shared" si="163"/>
        <v>0</v>
      </c>
      <c r="BA156" s="188"/>
      <c r="BB156" s="170">
        <f t="shared" si="164"/>
        <v>0</v>
      </c>
      <c r="BC156" s="169">
        <f t="shared" si="165"/>
        <v>0</v>
      </c>
      <c r="BD156" s="188"/>
      <c r="BE156" s="170">
        <f t="shared" si="166"/>
        <v>0</v>
      </c>
      <c r="BF156" s="169">
        <f t="shared" si="167"/>
        <v>0</v>
      </c>
      <c r="BG156" s="188"/>
      <c r="BH156" s="170">
        <f t="shared" si="168"/>
        <v>0</v>
      </c>
      <c r="BI156" s="169">
        <f t="shared" si="169"/>
        <v>0</v>
      </c>
      <c r="BJ156" s="188"/>
      <c r="BK156" s="170">
        <f t="shared" si="170"/>
        <v>0</v>
      </c>
      <c r="BL156" s="169">
        <f t="shared" si="171"/>
        <v>0</v>
      </c>
      <c r="BM156" s="188"/>
      <c r="BN156" s="170">
        <f t="shared" si="172"/>
        <v>0</v>
      </c>
      <c r="BO156" s="169">
        <f t="shared" si="173"/>
        <v>0</v>
      </c>
      <c r="BP156" s="188"/>
      <c r="BQ156" s="170">
        <f t="shared" si="174"/>
        <v>0</v>
      </c>
      <c r="BR156" s="169">
        <f t="shared" si="175"/>
        <v>0</v>
      </c>
      <c r="BS156" s="188"/>
      <c r="BT156" s="170">
        <f t="shared" si="176"/>
        <v>0</v>
      </c>
      <c r="BU156" s="76">
        <f t="shared" si="177"/>
        <v>0</v>
      </c>
      <c r="BV156" s="196" t="str">
        <f>LOOKUP(BU156,'الفترة الاولى'!$BX$2:$BY$6)</f>
        <v>ممتاز</v>
      </c>
      <c r="BW156" s="77" t="e">
        <f>BU156/'الفترة الاولى'!$BZ$2</f>
        <v>#DIV/0!</v>
      </c>
    </row>
    <row r="157" spans="1:75" ht="25.2" customHeight="1" thickBot="1" x14ac:dyDescent="0.3">
      <c r="A157" s="52">
        <v>147</v>
      </c>
      <c r="B157" s="55"/>
      <c r="C157" s="103"/>
      <c r="D157" s="81"/>
      <c r="E157" s="171"/>
      <c r="F157" s="94"/>
      <c r="G157" s="172">
        <f t="shared" si="178"/>
        <v>0</v>
      </c>
      <c r="H157" s="178"/>
      <c r="I157" s="94"/>
      <c r="J157" s="175">
        <f t="shared" si="179"/>
        <v>0</v>
      </c>
      <c r="K157" s="95"/>
      <c r="L157" s="94"/>
      <c r="M157" s="172">
        <f t="shared" si="180"/>
        <v>0</v>
      </c>
      <c r="N157" s="178"/>
      <c r="O157" s="94"/>
      <c r="P157" s="175">
        <f t="shared" si="181"/>
        <v>0</v>
      </c>
      <c r="Q157" s="95"/>
      <c r="R157" s="94"/>
      <c r="S157" s="172">
        <f t="shared" si="182"/>
        <v>0</v>
      </c>
      <c r="T157" s="178"/>
      <c r="U157" s="94"/>
      <c r="V157" s="175">
        <f t="shared" si="183"/>
        <v>0</v>
      </c>
      <c r="W157" s="95"/>
      <c r="X157" s="94"/>
      <c r="Y157" s="172">
        <f t="shared" si="184"/>
        <v>0</v>
      </c>
      <c r="Z157" s="178"/>
      <c r="AA157" s="94"/>
      <c r="AB157" s="173">
        <f t="shared" si="145"/>
        <v>0</v>
      </c>
      <c r="AC157" s="95"/>
      <c r="AD157" s="94"/>
      <c r="AE157" s="89">
        <f t="shared" si="146"/>
        <v>0</v>
      </c>
      <c r="AF157" s="178"/>
      <c r="AG157" s="94"/>
      <c r="AH157" s="172">
        <f t="shared" si="185"/>
        <v>0</v>
      </c>
      <c r="AI157" s="162">
        <f t="shared" si="158"/>
        <v>0</v>
      </c>
      <c r="AJ157" s="201" t="str">
        <f t="shared" si="143"/>
        <v>ممتاز</v>
      </c>
      <c r="AK157" s="66" t="e">
        <f t="shared" si="144"/>
        <v>#DIV/0!</v>
      </c>
      <c r="AM157" s="51">
        <f t="shared" si="140"/>
        <v>147</v>
      </c>
      <c r="AN157" s="88">
        <f t="shared" si="147"/>
        <v>0</v>
      </c>
      <c r="AO157" s="100">
        <f t="shared" si="148"/>
        <v>0</v>
      </c>
      <c r="AP157" s="81">
        <f t="shared" si="149"/>
        <v>0</v>
      </c>
      <c r="AQ157" s="171">
        <f t="shared" si="159"/>
        <v>0</v>
      </c>
      <c r="AR157" s="189"/>
      <c r="AS157" s="172">
        <f t="shared" si="160"/>
        <v>0</v>
      </c>
      <c r="AT157" s="171"/>
      <c r="AU157" s="189"/>
      <c r="AV157" s="172"/>
      <c r="AW157" s="171">
        <f t="shared" si="161"/>
        <v>0</v>
      </c>
      <c r="AX157" s="189"/>
      <c r="AY157" s="172">
        <f t="shared" si="162"/>
        <v>0</v>
      </c>
      <c r="AZ157" s="171">
        <f t="shared" si="163"/>
        <v>0</v>
      </c>
      <c r="BA157" s="189"/>
      <c r="BB157" s="172">
        <f t="shared" si="164"/>
        <v>0</v>
      </c>
      <c r="BC157" s="171">
        <f t="shared" si="165"/>
        <v>0</v>
      </c>
      <c r="BD157" s="189"/>
      <c r="BE157" s="172">
        <f t="shared" si="166"/>
        <v>0</v>
      </c>
      <c r="BF157" s="171">
        <f t="shared" si="167"/>
        <v>0</v>
      </c>
      <c r="BG157" s="189"/>
      <c r="BH157" s="172">
        <f t="shared" si="168"/>
        <v>0</v>
      </c>
      <c r="BI157" s="171">
        <f t="shared" si="169"/>
        <v>0</v>
      </c>
      <c r="BJ157" s="189"/>
      <c r="BK157" s="172">
        <f t="shared" si="170"/>
        <v>0</v>
      </c>
      <c r="BL157" s="171">
        <f t="shared" si="171"/>
        <v>0</v>
      </c>
      <c r="BM157" s="189"/>
      <c r="BN157" s="172">
        <f t="shared" si="172"/>
        <v>0</v>
      </c>
      <c r="BO157" s="171">
        <f t="shared" si="173"/>
        <v>0</v>
      </c>
      <c r="BP157" s="189"/>
      <c r="BQ157" s="172">
        <f t="shared" si="174"/>
        <v>0</v>
      </c>
      <c r="BR157" s="171">
        <f t="shared" si="175"/>
        <v>0</v>
      </c>
      <c r="BS157" s="189"/>
      <c r="BT157" s="172">
        <f t="shared" si="176"/>
        <v>0</v>
      </c>
      <c r="BU157" s="72">
        <f t="shared" si="177"/>
        <v>0</v>
      </c>
      <c r="BV157" s="194" t="str">
        <f>LOOKUP(BU157,'الفترة الاولى'!$BX$2:$BY$6)</f>
        <v>ممتاز</v>
      </c>
      <c r="BW157" s="73" t="e">
        <f>BU157/'الفترة الاولى'!$BZ$2</f>
        <v>#DIV/0!</v>
      </c>
    </row>
    <row r="158" spans="1:75" ht="25.2" customHeight="1" thickBot="1" x14ac:dyDescent="0.3">
      <c r="A158" s="50">
        <v>148</v>
      </c>
      <c r="B158" s="53"/>
      <c r="C158" s="101"/>
      <c r="D158" s="79"/>
      <c r="E158" s="168"/>
      <c r="F158" s="163"/>
      <c r="G158" s="89">
        <f t="shared" si="178"/>
        <v>0</v>
      </c>
      <c r="H158" s="176"/>
      <c r="I158" s="91"/>
      <c r="J158" s="173">
        <f t="shared" si="179"/>
        <v>0</v>
      </c>
      <c r="K158" s="90"/>
      <c r="L158" s="91"/>
      <c r="M158" s="89">
        <f t="shared" si="180"/>
        <v>0</v>
      </c>
      <c r="N158" s="176"/>
      <c r="O158" s="91"/>
      <c r="P158" s="173">
        <f t="shared" si="181"/>
        <v>0</v>
      </c>
      <c r="Q158" s="90"/>
      <c r="R158" s="91"/>
      <c r="S158" s="89">
        <f t="shared" si="182"/>
        <v>0</v>
      </c>
      <c r="T158" s="176"/>
      <c r="U158" s="91"/>
      <c r="V158" s="173">
        <f t="shared" si="183"/>
        <v>0</v>
      </c>
      <c r="W158" s="90"/>
      <c r="X158" s="91"/>
      <c r="Y158" s="89">
        <f t="shared" si="184"/>
        <v>0</v>
      </c>
      <c r="Z158" s="176"/>
      <c r="AA158" s="91"/>
      <c r="AB158" s="173">
        <f t="shared" si="145"/>
        <v>0</v>
      </c>
      <c r="AC158" s="90"/>
      <c r="AD158" s="91"/>
      <c r="AE158" s="89">
        <f t="shared" si="146"/>
        <v>0</v>
      </c>
      <c r="AF158" s="176"/>
      <c r="AG158" s="91"/>
      <c r="AH158" s="89">
        <f t="shared" si="185"/>
        <v>0</v>
      </c>
      <c r="AI158" s="160">
        <f t="shared" si="158"/>
        <v>0</v>
      </c>
      <c r="AJ158" s="202" t="str">
        <f t="shared" si="143"/>
        <v>ممتاز</v>
      </c>
      <c r="AK158" s="67" t="e">
        <f t="shared" si="144"/>
        <v>#DIV/0!</v>
      </c>
      <c r="AM158" s="52">
        <f t="shared" si="140"/>
        <v>148</v>
      </c>
      <c r="AN158" s="86">
        <f t="shared" si="147"/>
        <v>0</v>
      </c>
      <c r="AO158" s="98">
        <f t="shared" si="148"/>
        <v>0</v>
      </c>
      <c r="AP158" s="79">
        <f t="shared" si="149"/>
        <v>0</v>
      </c>
      <c r="AQ158" s="168">
        <f t="shared" si="159"/>
        <v>0</v>
      </c>
      <c r="AR158" s="163"/>
      <c r="AS158" s="89">
        <f t="shared" si="160"/>
        <v>0</v>
      </c>
      <c r="AT158" s="168"/>
      <c r="AU158" s="163"/>
      <c r="AV158" s="89"/>
      <c r="AW158" s="168">
        <f t="shared" si="161"/>
        <v>0</v>
      </c>
      <c r="AX158" s="163"/>
      <c r="AY158" s="89">
        <f t="shared" si="162"/>
        <v>0</v>
      </c>
      <c r="AZ158" s="168">
        <f t="shared" si="163"/>
        <v>0</v>
      </c>
      <c r="BA158" s="163"/>
      <c r="BB158" s="89">
        <f t="shared" si="164"/>
        <v>0</v>
      </c>
      <c r="BC158" s="168">
        <f t="shared" si="165"/>
        <v>0</v>
      </c>
      <c r="BD158" s="163"/>
      <c r="BE158" s="89">
        <f t="shared" si="166"/>
        <v>0</v>
      </c>
      <c r="BF158" s="168">
        <f t="shared" si="167"/>
        <v>0</v>
      </c>
      <c r="BG158" s="163"/>
      <c r="BH158" s="89">
        <f t="shared" si="168"/>
        <v>0</v>
      </c>
      <c r="BI158" s="168">
        <f t="shared" si="169"/>
        <v>0</v>
      </c>
      <c r="BJ158" s="163"/>
      <c r="BK158" s="89">
        <f t="shared" si="170"/>
        <v>0</v>
      </c>
      <c r="BL158" s="168">
        <f t="shared" si="171"/>
        <v>0</v>
      </c>
      <c r="BM158" s="163"/>
      <c r="BN158" s="89">
        <f t="shared" si="172"/>
        <v>0</v>
      </c>
      <c r="BO158" s="168">
        <f t="shared" si="173"/>
        <v>0</v>
      </c>
      <c r="BP158" s="163"/>
      <c r="BQ158" s="89">
        <f t="shared" si="174"/>
        <v>0</v>
      </c>
      <c r="BR158" s="168">
        <f t="shared" si="175"/>
        <v>0</v>
      </c>
      <c r="BS158" s="163"/>
      <c r="BT158" s="89">
        <f t="shared" si="176"/>
        <v>0</v>
      </c>
      <c r="BU158" s="74">
        <f t="shared" si="177"/>
        <v>0</v>
      </c>
      <c r="BV158" s="195" t="str">
        <f>LOOKUP(BU158,'الفترة الاولى'!$BX$2:$BY$6)</f>
        <v>ممتاز</v>
      </c>
      <c r="BW158" s="75" t="e">
        <f>BU158/'الفترة الاولى'!$BZ$2</f>
        <v>#DIV/0!</v>
      </c>
    </row>
    <row r="159" spans="1:75" ht="25.2" customHeight="1" thickBot="1" x14ac:dyDescent="0.3">
      <c r="A159" s="51">
        <v>149</v>
      </c>
      <c r="B159" s="54"/>
      <c r="C159" s="102"/>
      <c r="D159" s="80"/>
      <c r="E159" s="169"/>
      <c r="F159" s="92"/>
      <c r="G159" s="170">
        <f t="shared" si="178"/>
        <v>0</v>
      </c>
      <c r="H159" s="177"/>
      <c r="I159" s="92"/>
      <c r="J159" s="174">
        <f t="shared" si="179"/>
        <v>0</v>
      </c>
      <c r="K159" s="93"/>
      <c r="L159" s="92"/>
      <c r="M159" s="170">
        <f t="shared" si="180"/>
        <v>0</v>
      </c>
      <c r="N159" s="177"/>
      <c r="O159" s="92"/>
      <c r="P159" s="174">
        <f t="shared" si="181"/>
        <v>0</v>
      </c>
      <c r="Q159" s="93"/>
      <c r="R159" s="92"/>
      <c r="S159" s="170">
        <f t="shared" si="182"/>
        <v>0</v>
      </c>
      <c r="T159" s="177"/>
      <c r="U159" s="92"/>
      <c r="V159" s="174">
        <f t="shared" si="183"/>
        <v>0</v>
      </c>
      <c r="W159" s="93"/>
      <c r="X159" s="92"/>
      <c r="Y159" s="170">
        <f t="shared" si="184"/>
        <v>0</v>
      </c>
      <c r="Z159" s="177"/>
      <c r="AA159" s="92"/>
      <c r="AB159" s="173">
        <f t="shared" si="145"/>
        <v>0</v>
      </c>
      <c r="AC159" s="93"/>
      <c r="AD159" s="92"/>
      <c r="AE159" s="89">
        <f t="shared" si="146"/>
        <v>0</v>
      </c>
      <c r="AF159" s="177"/>
      <c r="AG159" s="92"/>
      <c r="AH159" s="170">
        <f t="shared" si="185"/>
        <v>0</v>
      </c>
      <c r="AI159" s="161">
        <f t="shared" si="158"/>
        <v>0</v>
      </c>
      <c r="AJ159" s="200" t="str">
        <f t="shared" si="143"/>
        <v>ممتاز</v>
      </c>
      <c r="AK159" s="65" t="e">
        <f t="shared" si="144"/>
        <v>#DIV/0!</v>
      </c>
      <c r="AM159" s="50">
        <f t="shared" si="140"/>
        <v>149</v>
      </c>
      <c r="AN159" s="87">
        <f t="shared" si="147"/>
        <v>0</v>
      </c>
      <c r="AO159" s="99">
        <f t="shared" si="148"/>
        <v>0</v>
      </c>
      <c r="AP159" s="80">
        <f t="shared" si="149"/>
        <v>0</v>
      </c>
      <c r="AQ159" s="169">
        <f t="shared" si="159"/>
        <v>0</v>
      </c>
      <c r="AR159" s="188"/>
      <c r="AS159" s="170">
        <f t="shared" si="160"/>
        <v>0</v>
      </c>
      <c r="AT159" s="169"/>
      <c r="AU159" s="188"/>
      <c r="AV159" s="170"/>
      <c r="AW159" s="169">
        <f t="shared" si="161"/>
        <v>0</v>
      </c>
      <c r="AX159" s="188"/>
      <c r="AY159" s="170">
        <f t="shared" si="162"/>
        <v>0</v>
      </c>
      <c r="AZ159" s="169">
        <f t="shared" si="163"/>
        <v>0</v>
      </c>
      <c r="BA159" s="188"/>
      <c r="BB159" s="170">
        <f t="shared" si="164"/>
        <v>0</v>
      </c>
      <c r="BC159" s="169">
        <f t="shared" si="165"/>
        <v>0</v>
      </c>
      <c r="BD159" s="188"/>
      <c r="BE159" s="170">
        <f t="shared" si="166"/>
        <v>0</v>
      </c>
      <c r="BF159" s="169">
        <f t="shared" si="167"/>
        <v>0</v>
      </c>
      <c r="BG159" s="188"/>
      <c r="BH159" s="170">
        <f t="shared" si="168"/>
        <v>0</v>
      </c>
      <c r="BI159" s="169">
        <f t="shared" si="169"/>
        <v>0</v>
      </c>
      <c r="BJ159" s="188"/>
      <c r="BK159" s="170">
        <f t="shared" si="170"/>
        <v>0</v>
      </c>
      <c r="BL159" s="169">
        <f t="shared" si="171"/>
        <v>0</v>
      </c>
      <c r="BM159" s="188"/>
      <c r="BN159" s="170">
        <f t="shared" si="172"/>
        <v>0</v>
      </c>
      <c r="BO159" s="169">
        <f t="shared" si="173"/>
        <v>0</v>
      </c>
      <c r="BP159" s="188"/>
      <c r="BQ159" s="170">
        <f t="shared" si="174"/>
        <v>0</v>
      </c>
      <c r="BR159" s="169">
        <f t="shared" si="175"/>
        <v>0</v>
      </c>
      <c r="BS159" s="188"/>
      <c r="BT159" s="170">
        <f t="shared" si="176"/>
        <v>0</v>
      </c>
      <c r="BU159" s="76">
        <f t="shared" si="177"/>
        <v>0</v>
      </c>
      <c r="BV159" s="196" t="str">
        <f>LOOKUP(BU159,'الفترة الاولى'!$BX$2:$BY$6)</f>
        <v>ممتاز</v>
      </c>
      <c r="BW159" s="77" t="e">
        <f>BU159/'الفترة الاولى'!$BZ$2</f>
        <v>#DIV/0!</v>
      </c>
    </row>
    <row r="160" spans="1:75" ht="25.2" customHeight="1" thickBot="1" x14ac:dyDescent="0.3">
      <c r="A160" s="52">
        <v>150</v>
      </c>
      <c r="B160" s="55"/>
      <c r="C160" s="103"/>
      <c r="D160" s="81"/>
      <c r="E160" s="171"/>
      <c r="F160" s="94"/>
      <c r="G160" s="172">
        <f t="shared" si="178"/>
        <v>0</v>
      </c>
      <c r="H160" s="178"/>
      <c r="I160" s="94"/>
      <c r="J160" s="175">
        <f t="shared" si="179"/>
        <v>0</v>
      </c>
      <c r="K160" s="95"/>
      <c r="L160" s="94"/>
      <c r="M160" s="172">
        <f t="shared" si="180"/>
        <v>0</v>
      </c>
      <c r="N160" s="178"/>
      <c r="O160" s="94"/>
      <c r="P160" s="175">
        <f t="shared" si="181"/>
        <v>0</v>
      </c>
      <c r="Q160" s="95"/>
      <c r="R160" s="94"/>
      <c r="S160" s="172">
        <f t="shared" si="182"/>
        <v>0</v>
      </c>
      <c r="T160" s="178"/>
      <c r="U160" s="94"/>
      <c r="V160" s="175">
        <f t="shared" si="183"/>
        <v>0</v>
      </c>
      <c r="W160" s="95"/>
      <c r="X160" s="94"/>
      <c r="Y160" s="172">
        <f t="shared" si="184"/>
        <v>0</v>
      </c>
      <c r="Z160" s="178"/>
      <c r="AA160" s="94"/>
      <c r="AB160" s="173">
        <f t="shared" si="145"/>
        <v>0</v>
      </c>
      <c r="AC160" s="95"/>
      <c r="AD160" s="94"/>
      <c r="AE160" s="89">
        <f t="shared" si="146"/>
        <v>0</v>
      </c>
      <c r="AF160" s="178"/>
      <c r="AG160" s="94"/>
      <c r="AH160" s="172">
        <f t="shared" si="185"/>
        <v>0</v>
      </c>
      <c r="AI160" s="162">
        <f t="shared" si="158"/>
        <v>0</v>
      </c>
      <c r="AJ160" s="201" t="str">
        <f t="shared" si="143"/>
        <v>ممتاز</v>
      </c>
      <c r="AK160" s="66" t="e">
        <f t="shared" si="144"/>
        <v>#DIV/0!</v>
      </c>
      <c r="AM160" s="51">
        <f t="shared" si="140"/>
        <v>150</v>
      </c>
      <c r="AN160" s="88">
        <f t="shared" si="147"/>
        <v>0</v>
      </c>
      <c r="AO160" s="100">
        <f t="shared" si="148"/>
        <v>0</v>
      </c>
      <c r="AP160" s="81">
        <f t="shared" si="149"/>
        <v>0</v>
      </c>
      <c r="AQ160" s="171">
        <f t="shared" si="159"/>
        <v>0</v>
      </c>
      <c r="AR160" s="189"/>
      <c r="AS160" s="172">
        <f t="shared" si="160"/>
        <v>0</v>
      </c>
      <c r="AT160" s="171"/>
      <c r="AU160" s="189"/>
      <c r="AV160" s="172"/>
      <c r="AW160" s="171">
        <f t="shared" si="161"/>
        <v>0</v>
      </c>
      <c r="AX160" s="189"/>
      <c r="AY160" s="172">
        <f t="shared" si="162"/>
        <v>0</v>
      </c>
      <c r="AZ160" s="171">
        <f t="shared" si="163"/>
        <v>0</v>
      </c>
      <c r="BA160" s="189"/>
      <c r="BB160" s="172">
        <f t="shared" si="164"/>
        <v>0</v>
      </c>
      <c r="BC160" s="171">
        <f t="shared" si="165"/>
        <v>0</v>
      </c>
      <c r="BD160" s="189"/>
      <c r="BE160" s="172">
        <f t="shared" si="166"/>
        <v>0</v>
      </c>
      <c r="BF160" s="171">
        <f t="shared" si="167"/>
        <v>0</v>
      </c>
      <c r="BG160" s="189"/>
      <c r="BH160" s="172">
        <f t="shared" si="168"/>
        <v>0</v>
      </c>
      <c r="BI160" s="171">
        <f t="shared" si="169"/>
        <v>0</v>
      </c>
      <c r="BJ160" s="189"/>
      <c r="BK160" s="172">
        <f t="shared" si="170"/>
        <v>0</v>
      </c>
      <c r="BL160" s="171">
        <f t="shared" si="171"/>
        <v>0</v>
      </c>
      <c r="BM160" s="189"/>
      <c r="BN160" s="172">
        <f t="shared" si="172"/>
        <v>0</v>
      </c>
      <c r="BO160" s="171">
        <f t="shared" si="173"/>
        <v>0</v>
      </c>
      <c r="BP160" s="189"/>
      <c r="BQ160" s="172">
        <f t="shared" si="174"/>
        <v>0</v>
      </c>
      <c r="BR160" s="171">
        <f t="shared" si="175"/>
        <v>0</v>
      </c>
      <c r="BS160" s="189"/>
      <c r="BT160" s="172">
        <f t="shared" si="176"/>
        <v>0</v>
      </c>
      <c r="BU160" s="72">
        <f t="shared" si="177"/>
        <v>0</v>
      </c>
      <c r="BV160" s="194" t="str">
        <f>LOOKUP(BU160,'الفترة الاولى'!$BX$2:$BY$6)</f>
        <v>ممتاز</v>
      </c>
      <c r="BW160" s="73" t="e">
        <f>BU160/'الفترة الاولى'!$BZ$2</f>
        <v>#DIV/0!</v>
      </c>
    </row>
    <row r="161" spans="1:75" ht="25.2" customHeight="1" thickBot="1" x14ac:dyDescent="0.3">
      <c r="A161" s="50">
        <v>151</v>
      </c>
      <c r="B161" s="53"/>
      <c r="C161" s="101"/>
      <c r="D161" s="79"/>
      <c r="E161" s="168"/>
      <c r="F161" s="163"/>
      <c r="G161" s="89">
        <f t="shared" si="178"/>
        <v>0</v>
      </c>
      <c r="H161" s="176"/>
      <c r="I161" s="91"/>
      <c r="J161" s="173">
        <f t="shared" si="179"/>
        <v>0</v>
      </c>
      <c r="K161" s="90"/>
      <c r="L161" s="91"/>
      <c r="M161" s="89">
        <f t="shared" si="180"/>
        <v>0</v>
      </c>
      <c r="N161" s="176"/>
      <c r="O161" s="91"/>
      <c r="P161" s="173">
        <f t="shared" si="181"/>
        <v>0</v>
      </c>
      <c r="Q161" s="90"/>
      <c r="R161" s="91"/>
      <c r="S161" s="89">
        <f t="shared" si="182"/>
        <v>0</v>
      </c>
      <c r="T161" s="176"/>
      <c r="U161" s="91"/>
      <c r="V161" s="173">
        <f t="shared" si="183"/>
        <v>0</v>
      </c>
      <c r="W161" s="90"/>
      <c r="X161" s="91"/>
      <c r="Y161" s="89">
        <f t="shared" si="184"/>
        <v>0</v>
      </c>
      <c r="Z161" s="176"/>
      <c r="AA161" s="91"/>
      <c r="AB161" s="173">
        <f t="shared" si="145"/>
        <v>0</v>
      </c>
      <c r="AC161" s="90"/>
      <c r="AD161" s="91"/>
      <c r="AE161" s="89">
        <f t="shared" si="146"/>
        <v>0</v>
      </c>
      <c r="AF161" s="176"/>
      <c r="AG161" s="91"/>
      <c r="AH161" s="89">
        <f t="shared" si="185"/>
        <v>0</v>
      </c>
      <c r="AI161" s="160">
        <f t="shared" si="158"/>
        <v>0</v>
      </c>
      <c r="AJ161" s="202" t="str">
        <f t="shared" si="143"/>
        <v>ممتاز</v>
      </c>
      <c r="AK161" s="67" t="e">
        <f t="shared" si="144"/>
        <v>#DIV/0!</v>
      </c>
      <c r="AM161" s="52">
        <f t="shared" si="140"/>
        <v>151</v>
      </c>
      <c r="AN161" s="86">
        <f t="shared" si="147"/>
        <v>0</v>
      </c>
      <c r="AO161" s="98">
        <f t="shared" si="148"/>
        <v>0</v>
      </c>
      <c r="AP161" s="79">
        <f t="shared" si="149"/>
        <v>0</v>
      </c>
      <c r="AQ161" s="168">
        <f t="shared" si="159"/>
        <v>0</v>
      </c>
      <c r="AR161" s="163"/>
      <c r="AS161" s="89">
        <f t="shared" si="160"/>
        <v>0</v>
      </c>
      <c r="AT161" s="168"/>
      <c r="AU161" s="163"/>
      <c r="AV161" s="89"/>
      <c r="AW161" s="168">
        <f t="shared" si="161"/>
        <v>0</v>
      </c>
      <c r="AX161" s="163"/>
      <c r="AY161" s="89">
        <f t="shared" si="162"/>
        <v>0</v>
      </c>
      <c r="AZ161" s="168">
        <f t="shared" si="163"/>
        <v>0</v>
      </c>
      <c r="BA161" s="163"/>
      <c r="BB161" s="89">
        <f t="shared" si="164"/>
        <v>0</v>
      </c>
      <c r="BC161" s="168">
        <f t="shared" si="165"/>
        <v>0</v>
      </c>
      <c r="BD161" s="163"/>
      <c r="BE161" s="89">
        <f t="shared" si="166"/>
        <v>0</v>
      </c>
      <c r="BF161" s="168">
        <f t="shared" si="167"/>
        <v>0</v>
      </c>
      <c r="BG161" s="163"/>
      <c r="BH161" s="89">
        <f t="shared" si="168"/>
        <v>0</v>
      </c>
      <c r="BI161" s="168">
        <f t="shared" si="169"/>
        <v>0</v>
      </c>
      <c r="BJ161" s="163"/>
      <c r="BK161" s="89">
        <f t="shared" si="170"/>
        <v>0</v>
      </c>
      <c r="BL161" s="168">
        <f t="shared" si="171"/>
        <v>0</v>
      </c>
      <c r="BM161" s="163"/>
      <c r="BN161" s="89">
        <f t="shared" si="172"/>
        <v>0</v>
      </c>
      <c r="BO161" s="168">
        <f t="shared" si="173"/>
        <v>0</v>
      </c>
      <c r="BP161" s="163"/>
      <c r="BQ161" s="89">
        <f t="shared" si="174"/>
        <v>0</v>
      </c>
      <c r="BR161" s="168">
        <f t="shared" si="175"/>
        <v>0</v>
      </c>
      <c r="BS161" s="163"/>
      <c r="BT161" s="89">
        <f t="shared" si="176"/>
        <v>0</v>
      </c>
      <c r="BU161" s="74">
        <f t="shared" si="177"/>
        <v>0</v>
      </c>
      <c r="BV161" s="195" t="str">
        <f>LOOKUP(BU161,'الفترة الاولى'!$BX$2:$BY$6)</f>
        <v>ممتاز</v>
      </c>
      <c r="BW161" s="75" t="e">
        <f>BU161/'الفترة الاولى'!$BZ$2</f>
        <v>#DIV/0!</v>
      </c>
    </row>
    <row r="162" spans="1:75" ht="25.2" customHeight="1" thickBot="1" x14ac:dyDescent="0.3">
      <c r="A162" s="51">
        <v>152</v>
      </c>
      <c r="B162" s="54"/>
      <c r="C162" s="102"/>
      <c r="D162" s="80"/>
      <c r="E162" s="169"/>
      <c r="F162" s="92"/>
      <c r="G162" s="170">
        <f t="shared" si="178"/>
        <v>0</v>
      </c>
      <c r="H162" s="177"/>
      <c r="I162" s="92"/>
      <c r="J162" s="174">
        <f t="shared" si="179"/>
        <v>0</v>
      </c>
      <c r="K162" s="93"/>
      <c r="L162" s="92"/>
      <c r="M162" s="170">
        <f t="shared" si="180"/>
        <v>0</v>
      </c>
      <c r="N162" s="177"/>
      <c r="O162" s="92"/>
      <c r="P162" s="174">
        <f t="shared" si="181"/>
        <v>0</v>
      </c>
      <c r="Q162" s="93"/>
      <c r="R162" s="92"/>
      <c r="S162" s="170">
        <f t="shared" si="182"/>
        <v>0</v>
      </c>
      <c r="T162" s="177"/>
      <c r="U162" s="92"/>
      <c r="V162" s="174">
        <f t="shared" si="183"/>
        <v>0</v>
      </c>
      <c r="W162" s="93"/>
      <c r="X162" s="92"/>
      <c r="Y162" s="170">
        <f t="shared" si="184"/>
        <v>0</v>
      </c>
      <c r="Z162" s="177"/>
      <c r="AA162" s="92"/>
      <c r="AB162" s="173">
        <f t="shared" si="145"/>
        <v>0</v>
      </c>
      <c r="AC162" s="93"/>
      <c r="AD162" s="92"/>
      <c r="AE162" s="89">
        <f t="shared" si="146"/>
        <v>0</v>
      </c>
      <c r="AF162" s="177"/>
      <c r="AG162" s="92"/>
      <c r="AH162" s="170">
        <f t="shared" si="185"/>
        <v>0</v>
      </c>
      <c r="AI162" s="161">
        <f t="shared" si="158"/>
        <v>0</v>
      </c>
      <c r="AJ162" s="200" t="str">
        <f t="shared" si="143"/>
        <v>ممتاز</v>
      </c>
      <c r="AK162" s="65" t="e">
        <f t="shared" si="144"/>
        <v>#DIV/0!</v>
      </c>
      <c r="AM162" s="50">
        <f t="shared" si="140"/>
        <v>152</v>
      </c>
      <c r="AN162" s="87">
        <f t="shared" si="147"/>
        <v>0</v>
      </c>
      <c r="AO162" s="99">
        <f t="shared" si="148"/>
        <v>0</v>
      </c>
      <c r="AP162" s="80">
        <f t="shared" si="149"/>
        <v>0</v>
      </c>
      <c r="AQ162" s="169">
        <f t="shared" si="159"/>
        <v>0</v>
      </c>
      <c r="AR162" s="188"/>
      <c r="AS162" s="170">
        <f t="shared" si="160"/>
        <v>0</v>
      </c>
      <c r="AT162" s="169"/>
      <c r="AU162" s="188"/>
      <c r="AV162" s="170"/>
      <c r="AW162" s="169">
        <f t="shared" si="161"/>
        <v>0</v>
      </c>
      <c r="AX162" s="188"/>
      <c r="AY162" s="170">
        <f t="shared" si="162"/>
        <v>0</v>
      </c>
      <c r="AZ162" s="169">
        <f t="shared" si="163"/>
        <v>0</v>
      </c>
      <c r="BA162" s="188"/>
      <c r="BB162" s="170">
        <f t="shared" si="164"/>
        <v>0</v>
      </c>
      <c r="BC162" s="169">
        <f t="shared" si="165"/>
        <v>0</v>
      </c>
      <c r="BD162" s="188"/>
      <c r="BE162" s="170">
        <f t="shared" si="166"/>
        <v>0</v>
      </c>
      <c r="BF162" s="169">
        <f t="shared" si="167"/>
        <v>0</v>
      </c>
      <c r="BG162" s="188"/>
      <c r="BH162" s="170">
        <f t="shared" si="168"/>
        <v>0</v>
      </c>
      <c r="BI162" s="169">
        <f t="shared" si="169"/>
        <v>0</v>
      </c>
      <c r="BJ162" s="188"/>
      <c r="BK162" s="170">
        <f t="shared" si="170"/>
        <v>0</v>
      </c>
      <c r="BL162" s="169">
        <f t="shared" si="171"/>
        <v>0</v>
      </c>
      <c r="BM162" s="188"/>
      <c r="BN162" s="170">
        <f t="shared" si="172"/>
        <v>0</v>
      </c>
      <c r="BO162" s="169">
        <f t="shared" si="173"/>
        <v>0</v>
      </c>
      <c r="BP162" s="188"/>
      <c r="BQ162" s="170">
        <f t="shared" si="174"/>
        <v>0</v>
      </c>
      <c r="BR162" s="169">
        <f t="shared" si="175"/>
        <v>0</v>
      </c>
      <c r="BS162" s="188"/>
      <c r="BT162" s="170">
        <f t="shared" si="176"/>
        <v>0</v>
      </c>
      <c r="BU162" s="76">
        <f t="shared" si="177"/>
        <v>0</v>
      </c>
      <c r="BV162" s="196" t="str">
        <f>LOOKUP(BU162,'الفترة الاولى'!$BX$2:$BY$6)</f>
        <v>ممتاز</v>
      </c>
      <c r="BW162" s="77" t="e">
        <f>BU162/'الفترة الاولى'!$BZ$2</f>
        <v>#DIV/0!</v>
      </c>
    </row>
    <row r="163" spans="1:75" ht="25.2" customHeight="1" thickBot="1" x14ac:dyDescent="0.3">
      <c r="A163" s="52">
        <v>153</v>
      </c>
      <c r="B163" s="55"/>
      <c r="C163" s="103"/>
      <c r="D163" s="81"/>
      <c r="E163" s="171"/>
      <c r="F163" s="94"/>
      <c r="G163" s="172">
        <f t="shared" si="178"/>
        <v>0</v>
      </c>
      <c r="H163" s="178"/>
      <c r="I163" s="94"/>
      <c r="J163" s="175">
        <f t="shared" si="179"/>
        <v>0</v>
      </c>
      <c r="K163" s="95"/>
      <c r="L163" s="94"/>
      <c r="M163" s="172">
        <f t="shared" si="180"/>
        <v>0</v>
      </c>
      <c r="N163" s="178"/>
      <c r="O163" s="94"/>
      <c r="P163" s="175">
        <f t="shared" si="181"/>
        <v>0</v>
      </c>
      <c r="Q163" s="95"/>
      <c r="R163" s="94"/>
      <c r="S163" s="172">
        <f t="shared" si="182"/>
        <v>0</v>
      </c>
      <c r="T163" s="178"/>
      <c r="U163" s="94"/>
      <c r="V163" s="175">
        <f t="shared" si="183"/>
        <v>0</v>
      </c>
      <c r="W163" s="95"/>
      <c r="X163" s="94"/>
      <c r="Y163" s="172">
        <f t="shared" si="184"/>
        <v>0</v>
      </c>
      <c r="Z163" s="178"/>
      <c r="AA163" s="94"/>
      <c r="AB163" s="173">
        <f t="shared" si="145"/>
        <v>0</v>
      </c>
      <c r="AC163" s="95"/>
      <c r="AD163" s="94"/>
      <c r="AE163" s="89">
        <f t="shared" si="146"/>
        <v>0</v>
      </c>
      <c r="AF163" s="178"/>
      <c r="AG163" s="94"/>
      <c r="AH163" s="172">
        <f t="shared" si="185"/>
        <v>0</v>
      </c>
      <c r="AI163" s="162">
        <f t="shared" si="158"/>
        <v>0</v>
      </c>
      <c r="AJ163" s="201" t="str">
        <f t="shared" si="143"/>
        <v>ممتاز</v>
      </c>
      <c r="AK163" s="66" t="e">
        <f t="shared" si="144"/>
        <v>#DIV/0!</v>
      </c>
      <c r="AM163" s="51">
        <f t="shared" si="140"/>
        <v>153</v>
      </c>
      <c r="AN163" s="88">
        <f t="shared" si="147"/>
        <v>0</v>
      </c>
      <c r="AO163" s="100">
        <f t="shared" si="148"/>
        <v>0</v>
      </c>
      <c r="AP163" s="81">
        <f t="shared" si="149"/>
        <v>0</v>
      </c>
      <c r="AQ163" s="171">
        <f t="shared" si="159"/>
        <v>0</v>
      </c>
      <c r="AR163" s="189"/>
      <c r="AS163" s="172">
        <f t="shared" si="160"/>
        <v>0</v>
      </c>
      <c r="AT163" s="171"/>
      <c r="AU163" s="189"/>
      <c r="AV163" s="172"/>
      <c r="AW163" s="171">
        <f t="shared" si="161"/>
        <v>0</v>
      </c>
      <c r="AX163" s="189"/>
      <c r="AY163" s="172">
        <f t="shared" si="162"/>
        <v>0</v>
      </c>
      <c r="AZ163" s="171">
        <f t="shared" si="163"/>
        <v>0</v>
      </c>
      <c r="BA163" s="189"/>
      <c r="BB163" s="172">
        <f t="shared" si="164"/>
        <v>0</v>
      </c>
      <c r="BC163" s="171">
        <f t="shared" si="165"/>
        <v>0</v>
      </c>
      <c r="BD163" s="189"/>
      <c r="BE163" s="172">
        <f t="shared" si="166"/>
        <v>0</v>
      </c>
      <c r="BF163" s="171">
        <f t="shared" si="167"/>
        <v>0</v>
      </c>
      <c r="BG163" s="189"/>
      <c r="BH163" s="172">
        <f t="shared" si="168"/>
        <v>0</v>
      </c>
      <c r="BI163" s="171">
        <f t="shared" si="169"/>
        <v>0</v>
      </c>
      <c r="BJ163" s="189"/>
      <c r="BK163" s="172">
        <f t="shared" si="170"/>
        <v>0</v>
      </c>
      <c r="BL163" s="171">
        <f t="shared" si="171"/>
        <v>0</v>
      </c>
      <c r="BM163" s="189"/>
      <c r="BN163" s="172">
        <f t="shared" si="172"/>
        <v>0</v>
      </c>
      <c r="BO163" s="171">
        <f t="shared" si="173"/>
        <v>0</v>
      </c>
      <c r="BP163" s="189"/>
      <c r="BQ163" s="172">
        <f t="shared" si="174"/>
        <v>0</v>
      </c>
      <c r="BR163" s="171">
        <f t="shared" si="175"/>
        <v>0</v>
      </c>
      <c r="BS163" s="189"/>
      <c r="BT163" s="172">
        <f t="shared" si="176"/>
        <v>0</v>
      </c>
      <c r="BU163" s="72">
        <f t="shared" si="177"/>
        <v>0</v>
      </c>
      <c r="BV163" s="194" t="str">
        <f>LOOKUP(BU163,'الفترة الاولى'!$BX$2:$BY$6)</f>
        <v>ممتاز</v>
      </c>
      <c r="BW163" s="73" t="e">
        <f>BU163/'الفترة الاولى'!$BZ$2</f>
        <v>#DIV/0!</v>
      </c>
    </row>
    <row r="164" spans="1:75" ht="25.2" customHeight="1" thickBot="1" x14ac:dyDescent="0.3">
      <c r="A164" s="50">
        <v>154</v>
      </c>
      <c r="B164" s="53"/>
      <c r="C164" s="101"/>
      <c r="D164" s="79"/>
      <c r="E164" s="168"/>
      <c r="F164" s="163"/>
      <c r="G164" s="89">
        <f t="shared" si="178"/>
        <v>0</v>
      </c>
      <c r="H164" s="176"/>
      <c r="I164" s="91"/>
      <c r="J164" s="173">
        <f t="shared" si="179"/>
        <v>0</v>
      </c>
      <c r="K164" s="90"/>
      <c r="L164" s="91"/>
      <c r="M164" s="89">
        <f t="shared" si="180"/>
        <v>0</v>
      </c>
      <c r="N164" s="176"/>
      <c r="O164" s="91"/>
      <c r="P164" s="173">
        <f t="shared" si="181"/>
        <v>0</v>
      </c>
      <c r="Q164" s="90"/>
      <c r="R164" s="91"/>
      <c r="S164" s="89">
        <f t="shared" si="182"/>
        <v>0</v>
      </c>
      <c r="T164" s="176"/>
      <c r="U164" s="91"/>
      <c r="V164" s="173">
        <f t="shared" si="183"/>
        <v>0</v>
      </c>
      <c r="W164" s="90"/>
      <c r="X164" s="91"/>
      <c r="Y164" s="89">
        <f t="shared" si="184"/>
        <v>0</v>
      </c>
      <c r="Z164" s="176"/>
      <c r="AA164" s="91"/>
      <c r="AB164" s="173">
        <f t="shared" si="145"/>
        <v>0</v>
      </c>
      <c r="AC164" s="90"/>
      <c r="AD164" s="91"/>
      <c r="AE164" s="89">
        <f t="shared" si="146"/>
        <v>0</v>
      </c>
      <c r="AF164" s="176"/>
      <c r="AG164" s="91"/>
      <c r="AH164" s="89">
        <f t="shared" si="185"/>
        <v>0</v>
      </c>
      <c r="AI164" s="160">
        <f t="shared" si="158"/>
        <v>0</v>
      </c>
      <c r="AJ164" s="202" t="str">
        <f t="shared" si="143"/>
        <v>ممتاز</v>
      </c>
      <c r="AK164" s="67" t="e">
        <f t="shared" si="144"/>
        <v>#DIV/0!</v>
      </c>
      <c r="AM164" s="52">
        <f t="shared" si="140"/>
        <v>154</v>
      </c>
      <c r="AN164" s="86">
        <f t="shared" si="147"/>
        <v>0</v>
      </c>
      <c r="AO164" s="98">
        <f t="shared" si="148"/>
        <v>0</v>
      </c>
      <c r="AP164" s="79">
        <f t="shared" si="149"/>
        <v>0</v>
      </c>
      <c r="AQ164" s="168">
        <f t="shared" si="159"/>
        <v>0</v>
      </c>
      <c r="AR164" s="163"/>
      <c r="AS164" s="89">
        <f t="shared" si="160"/>
        <v>0</v>
      </c>
      <c r="AT164" s="168"/>
      <c r="AU164" s="163"/>
      <c r="AV164" s="89"/>
      <c r="AW164" s="168">
        <f t="shared" si="161"/>
        <v>0</v>
      </c>
      <c r="AX164" s="163"/>
      <c r="AY164" s="89">
        <f t="shared" si="162"/>
        <v>0</v>
      </c>
      <c r="AZ164" s="168">
        <f t="shared" si="163"/>
        <v>0</v>
      </c>
      <c r="BA164" s="163"/>
      <c r="BB164" s="89">
        <f t="shared" si="164"/>
        <v>0</v>
      </c>
      <c r="BC164" s="168">
        <f t="shared" si="165"/>
        <v>0</v>
      </c>
      <c r="BD164" s="163"/>
      <c r="BE164" s="89">
        <f t="shared" si="166"/>
        <v>0</v>
      </c>
      <c r="BF164" s="168">
        <f t="shared" si="167"/>
        <v>0</v>
      </c>
      <c r="BG164" s="163"/>
      <c r="BH164" s="89">
        <f t="shared" si="168"/>
        <v>0</v>
      </c>
      <c r="BI164" s="168">
        <f t="shared" si="169"/>
        <v>0</v>
      </c>
      <c r="BJ164" s="163"/>
      <c r="BK164" s="89">
        <f t="shared" si="170"/>
        <v>0</v>
      </c>
      <c r="BL164" s="168">
        <f t="shared" si="171"/>
        <v>0</v>
      </c>
      <c r="BM164" s="163"/>
      <c r="BN164" s="89">
        <f t="shared" si="172"/>
        <v>0</v>
      </c>
      <c r="BO164" s="168">
        <f t="shared" si="173"/>
        <v>0</v>
      </c>
      <c r="BP164" s="163"/>
      <c r="BQ164" s="89">
        <f t="shared" si="174"/>
        <v>0</v>
      </c>
      <c r="BR164" s="168">
        <f t="shared" si="175"/>
        <v>0</v>
      </c>
      <c r="BS164" s="163"/>
      <c r="BT164" s="89">
        <f t="shared" si="176"/>
        <v>0</v>
      </c>
      <c r="BU164" s="74">
        <f t="shared" si="177"/>
        <v>0</v>
      </c>
      <c r="BV164" s="195" t="str">
        <f>LOOKUP(BU164,'الفترة الاولى'!$BX$2:$BY$6)</f>
        <v>ممتاز</v>
      </c>
      <c r="BW164" s="75" t="e">
        <f>BU164/'الفترة الاولى'!$BZ$2</f>
        <v>#DIV/0!</v>
      </c>
    </row>
    <row r="165" spans="1:75" ht="25.2" customHeight="1" thickBot="1" x14ac:dyDescent="0.3">
      <c r="A165" s="51">
        <v>155</v>
      </c>
      <c r="B165" s="54"/>
      <c r="C165" s="102"/>
      <c r="D165" s="80"/>
      <c r="E165" s="169"/>
      <c r="F165" s="92"/>
      <c r="G165" s="170">
        <f t="shared" si="178"/>
        <v>0</v>
      </c>
      <c r="H165" s="177"/>
      <c r="I165" s="92"/>
      <c r="J165" s="174">
        <f t="shared" si="179"/>
        <v>0</v>
      </c>
      <c r="K165" s="93"/>
      <c r="L165" s="92"/>
      <c r="M165" s="170">
        <f t="shared" si="180"/>
        <v>0</v>
      </c>
      <c r="N165" s="177"/>
      <c r="O165" s="92"/>
      <c r="P165" s="174">
        <f t="shared" si="181"/>
        <v>0</v>
      </c>
      <c r="Q165" s="93"/>
      <c r="R165" s="92"/>
      <c r="S165" s="170">
        <f t="shared" si="182"/>
        <v>0</v>
      </c>
      <c r="T165" s="177"/>
      <c r="U165" s="92"/>
      <c r="V165" s="174">
        <f t="shared" si="183"/>
        <v>0</v>
      </c>
      <c r="W165" s="93"/>
      <c r="X165" s="92"/>
      <c r="Y165" s="170">
        <f t="shared" si="184"/>
        <v>0</v>
      </c>
      <c r="Z165" s="177"/>
      <c r="AA165" s="92"/>
      <c r="AB165" s="173">
        <f t="shared" si="145"/>
        <v>0</v>
      </c>
      <c r="AC165" s="93"/>
      <c r="AD165" s="92"/>
      <c r="AE165" s="89">
        <f t="shared" si="146"/>
        <v>0</v>
      </c>
      <c r="AF165" s="177"/>
      <c r="AG165" s="92"/>
      <c r="AH165" s="170">
        <f t="shared" si="185"/>
        <v>0</v>
      </c>
      <c r="AI165" s="161">
        <f t="shared" si="158"/>
        <v>0</v>
      </c>
      <c r="AJ165" s="200" t="str">
        <f t="shared" si="143"/>
        <v>ممتاز</v>
      </c>
      <c r="AK165" s="65" t="e">
        <f t="shared" si="144"/>
        <v>#DIV/0!</v>
      </c>
      <c r="AM165" s="50">
        <f t="shared" si="140"/>
        <v>155</v>
      </c>
      <c r="AN165" s="87">
        <f t="shared" si="147"/>
        <v>0</v>
      </c>
      <c r="AO165" s="99">
        <f t="shared" si="148"/>
        <v>0</v>
      </c>
      <c r="AP165" s="80">
        <f t="shared" si="149"/>
        <v>0</v>
      </c>
      <c r="AQ165" s="169">
        <f t="shared" si="159"/>
        <v>0</v>
      </c>
      <c r="AR165" s="188"/>
      <c r="AS165" s="170">
        <f t="shared" si="160"/>
        <v>0</v>
      </c>
      <c r="AT165" s="169"/>
      <c r="AU165" s="188"/>
      <c r="AV165" s="170"/>
      <c r="AW165" s="169">
        <f t="shared" si="161"/>
        <v>0</v>
      </c>
      <c r="AX165" s="188"/>
      <c r="AY165" s="170">
        <f t="shared" si="162"/>
        <v>0</v>
      </c>
      <c r="AZ165" s="169">
        <f t="shared" si="163"/>
        <v>0</v>
      </c>
      <c r="BA165" s="188"/>
      <c r="BB165" s="170">
        <f t="shared" si="164"/>
        <v>0</v>
      </c>
      <c r="BC165" s="169">
        <f t="shared" si="165"/>
        <v>0</v>
      </c>
      <c r="BD165" s="188"/>
      <c r="BE165" s="170">
        <f t="shared" si="166"/>
        <v>0</v>
      </c>
      <c r="BF165" s="169">
        <f t="shared" si="167"/>
        <v>0</v>
      </c>
      <c r="BG165" s="188"/>
      <c r="BH165" s="170">
        <f t="shared" si="168"/>
        <v>0</v>
      </c>
      <c r="BI165" s="169">
        <f t="shared" si="169"/>
        <v>0</v>
      </c>
      <c r="BJ165" s="188"/>
      <c r="BK165" s="170">
        <f t="shared" si="170"/>
        <v>0</v>
      </c>
      <c r="BL165" s="169">
        <f t="shared" si="171"/>
        <v>0</v>
      </c>
      <c r="BM165" s="188"/>
      <c r="BN165" s="170">
        <f t="shared" si="172"/>
        <v>0</v>
      </c>
      <c r="BO165" s="169">
        <f t="shared" si="173"/>
        <v>0</v>
      </c>
      <c r="BP165" s="188"/>
      <c r="BQ165" s="170">
        <f t="shared" si="174"/>
        <v>0</v>
      </c>
      <c r="BR165" s="169">
        <f t="shared" si="175"/>
        <v>0</v>
      </c>
      <c r="BS165" s="188"/>
      <c r="BT165" s="170">
        <f t="shared" si="176"/>
        <v>0</v>
      </c>
      <c r="BU165" s="76">
        <f t="shared" si="177"/>
        <v>0</v>
      </c>
      <c r="BV165" s="196" t="str">
        <f>LOOKUP(BU165,'الفترة الاولى'!$BX$2:$BY$6)</f>
        <v>ممتاز</v>
      </c>
      <c r="BW165" s="77" t="e">
        <f>BU165/'الفترة الاولى'!$BZ$2</f>
        <v>#DIV/0!</v>
      </c>
    </row>
    <row r="166" spans="1:75" ht="25.2" customHeight="1" thickBot="1" x14ac:dyDescent="0.3">
      <c r="A166" s="52">
        <v>156</v>
      </c>
      <c r="B166" s="55"/>
      <c r="C166" s="103"/>
      <c r="D166" s="81"/>
      <c r="E166" s="171"/>
      <c r="F166" s="94"/>
      <c r="G166" s="172">
        <f t="shared" si="178"/>
        <v>0</v>
      </c>
      <c r="H166" s="178"/>
      <c r="I166" s="94"/>
      <c r="J166" s="175">
        <f t="shared" si="179"/>
        <v>0</v>
      </c>
      <c r="K166" s="95"/>
      <c r="L166" s="94"/>
      <c r="M166" s="172">
        <f t="shared" si="180"/>
        <v>0</v>
      </c>
      <c r="N166" s="178"/>
      <c r="O166" s="94"/>
      <c r="P166" s="175">
        <f t="shared" si="181"/>
        <v>0</v>
      </c>
      <c r="Q166" s="95"/>
      <c r="R166" s="94"/>
      <c r="S166" s="172">
        <f t="shared" si="182"/>
        <v>0</v>
      </c>
      <c r="T166" s="178"/>
      <c r="U166" s="94"/>
      <c r="V166" s="175">
        <f t="shared" si="183"/>
        <v>0</v>
      </c>
      <c r="W166" s="95"/>
      <c r="X166" s="94"/>
      <c r="Y166" s="172">
        <f t="shared" si="184"/>
        <v>0</v>
      </c>
      <c r="Z166" s="178"/>
      <c r="AA166" s="94"/>
      <c r="AB166" s="173">
        <f t="shared" si="145"/>
        <v>0</v>
      </c>
      <c r="AC166" s="95"/>
      <c r="AD166" s="94"/>
      <c r="AE166" s="89">
        <f t="shared" si="146"/>
        <v>0</v>
      </c>
      <c r="AF166" s="178"/>
      <c r="AG166" s="94"/>
      <c r="AH166" s="172">
        <f t="shared" si="185"/>
        <v>0</v>
      </c>
      <c r="AI166" s="162">
        <f t="shared" si="158"/>
        <v>0</v>
      </c>
      <c r="AJ166" s="201" t="str">
        <f t="shared" si="143"/>
        <v>ممتاز</v>
      </c>
      <c r="AK166" s="66" t="e">
        <f t="shared" si="144"/>
        <v>#DIV/0!</v>
      </c>
      <c r="AM166" s="51">
        <f t="shared" si="140"/>
        <v>156</v>
      </c>
      <c r="AN166" s="88">
        <f t="shared" si="147"/>
        <v>0</v>
      </c>
      <c r="AO166" s="100">
        <f t="shared" si="148"/>
        <v>0</v>
      </c>
      <c r="AP166" s="81">
        <f t="shared" si="149"/>
        <v>0</v>
      </c>
      <c r="AQ166" s="171">
        <f t="shared" si="159"/>
        <v>0</v>
      </c>
      <c r="AR166" s="189"/>
      <c r="AS166" s="172">
        <f t="shared" si="160"/>
        <v>0</v>
      </c>
      <c r="AT166" s="171"/>
      <c r="AU166" s="189"/>
      <c r="AV166" s="172"/>
      <c r="AW166" s="171">
        <f t="shared" si="161"/>
        <v>0</v>
      </c>
      <c r="AX166" s="189"/>
      <c r="AY166" s="172">
        <f t="shared" si="162"/>
        <v>0</v>
      </c>
      <c r="AZ166" s="171">
        <f t="shared" si="163"/>
        <v>0</v>
      </c>
      <c r="BA166" s="189"/>
      <c r="BB166" s="172">
        <f t="shared" si="164"/>
        <v>0</v>
      </c>
      <c r="BC166" s="171">
        <f t="shared" si="165"/>
        <v>0</v>
      </c>
      <c r="BD166" s="189"/>
      <c r="BE166" s="172">
        <f t="shared" si="166"/>
        <v>0</v>
      </c>
      <c r="BF166" s="171">
        <f t="shared" si="167"/>
        <v>0</v>
      </c>
      <c r="BG166" s="189"/>
      <c r="BH166" s="172">
        <f t="shared" si="168"/>
        <v>0</v>
      </c>
      <c r="BI166" s="171">
        <f t="shared" si="169"/>
        <v>0</v>
      </c>
      <c r="BJ166" s="189"/>
      <c r="BK166" s="172">
        <f t="shared" si="170"/>
        <v>0</v>
      </c>
      <c r="BL166" s="171">
        <f t="shared" si="171"/>
        <v>0</v>
      </c>
      <c r="BM166" s="189"/>
      <c r="BN166" s="172">
        <f t="shared" si="172"/>
        <v>0</v>
      </c>
      <c r="BO166" s="171">
        <f t="shared" si="173"/>
        <v>0</v>
      </c>
      <c r="BP166" s="189"/>
      <c r="BQ166" s="172">
        <f t="shared" si="174"/>
        <v>0</v>
      </c>
      <c r="BR166" s="171">
        <f t="shared" si="175"/>
        <v>0</v>
      </c>
      <c r="BS166" s="189"/>
      <c r="BT166" s="172">
        <f t="shared" si="176"/>
        <v>0</v>
      </c>
      <c r="BU166" s="72">
        <f t="shared" si="177"/>
        <v>0</v>
      </c>
      <c r="BV166" s="194" t="str">
        <f>LOOKUP(BU166,'الفترة الاولى'!$BX$2:$BY$6)</f>
        <v>ممتاز</v>
      </c>
      <c r="BW166" s="73" t="e">
        <f>BU166/'الفترة الاولى'!$BZ$2</f>
        <v>#DIV/0!</v>
      </c>
    </row>
    <row r="167" spans="1:75" ht="25.2" customHeight="1" thickBot="1" x14ac:dyDescent="0.3">
      <c r="A167" s="50">
        <v>157</v>
      </c>
      <c r="B167" s="53"/>
      <c r="C167" s="101"/>
      <c r="D167" s="79"/>
      <c r="E167" s="168"/>
      <c r="F167" s="163"/>
      <c r="G167" s="89">
        <f t="shared" si="178"/>
        <v>0</v>
      </c>
      <c r="H167" s="176"/>
      <c r="I167" s="91"/>
      <c r="J167" s="173">
        <f t="shared" si="179"/>
        <v>0</v>
      </c>
      <c r="K167" s="90"/>
      <c r="L167" s="91"/>
      <c r="M167" s="89">
        <f t="shared" si="180"/>
        <v>0</v>
      </c>
      <c r="N167" s="176"/>
      <c r="O167" s="91"/>
      <c r="P167" s="173">
        <f t="shared" si="181"/>
        <v>0</v>
      </c>
      <c r="Q167" s="90"/>
      <c r="R167" s="91"/>
      <c r="S167" s="89">
        <f t="shared" si="182"/>
        <v>0</v>
      </c>
      <c r="T167" s="176"/>
      <c r="U167" s="91"/>
      <c r="V167" s="173">
        <f t="shared" si="183"/>
        <v>0</v>
      </c>
      <c r="W167" s="90"/>
      <c r="X167" s="91"/>
      <c r="Y167" s="89">
        <f t="shared" si="184"/>
        <v>0</v>
      </c>
      <c r="Z167" s="176"/>
      <c r="AA167" s="91"/>
      <c r="AB167" s="173">
        <f t="shared" si="145"/>
        <v>0</v>
      </c>
      <c r="AC167" s="90"/>
      <c r="AD167" s="91"/>
      <c r="AE167" s="89">
        <f t="shared" si="146"/>
        <v>0</v>
      </c>
      <c r="AF167" s="176"/>
      <c r="AG167" s="91"/>
      <c r="AH167" s="89">
        <f t="shared" si="185"/>
        <v>0</v>
      </c>
      <c r="AI167" s="160">
        <f t="shared" si="158"/>
        <v>0</v>
      </c>
      <c r="AJ167" s="202" t="str">
        <f t="shared" si="143"/>
        <v>ممتاز</v>
      </c>
      <c r="AK167" s="67" t="e">
        <f t="shared" si="144"/>
        <v>#DIV/0!</v>
      </c>
      <c r="AM167" s="52">
        <f t="shared" si="140"/>
        <v>157</v>
      </c>
      <c r="AN167" s="86">
        <f t="shared" si="147"/>
        <v>0</v>
      </c>
      <c r="AO167" s="98">
        <f t="shared" si="148"/>
        <v>0</v>
      </c>
      <c r="AP167" s="79">
        <f t="shared" si="149"/>
        <v>0</v>
      </c>
      <c r="AQ167" s="168">
        <f t="shared" si="159"/>
        <v>0</v>
      </c>
      <c r="AR167" s="163"/>
      <c r="AS167" s="89">
        <f t="shared" si="160"/>
        <v>0</v>
      </c>
      <c r="AT167" s="168"/>
      <c r="AU167" s="163"/>
      <c r="AV167" s="89"/>
      <c r="AW167" s="168">
        <f t="shared" si="161"/>
        <v>0</v>
      </c>
      <c r="AX167" s="163"/>
      <c r="AY167" s="89">
        <f t="shared" si="162"/>
        <v>0</v>
      </c>
      <c r="AZ167" s="168">
        <f t="shared" si="163"/>
        <v>0</v>
      </c>
      <c r="BA167" s="163"/>
      <c r="BB167" s="89">
        <f t="shared" si="164"/>
        <v>0</v>
      </c>
      <c r="BC167" s="168">
        <f t="shared" si="165"/>
        <v>0</v>
      </c>
      <c r="BD167" s="163"/>
      <c r="BE167" s="89">
        <f t="shared" si="166"/>
        <v>0</v>
      </c>
      <c r="BF167" s="168">
        <f t="shared" si="167"/>
        <v>0</v>
      </c>
      <c r="BG167" s="163"/>
      <c r="BH167" s="89">
        <f t="shared" si="168"/>
        <v>0</v>
      </c>
      <c r="BI167" s="168">
        <f t="shared" si="169"/>
        <v>0</v>
      </c>
      <c r="BJ167" s="163"/>
      <c r="BK167" s="89">
        <f t="shared" si="170"/>
        <v>0</v>
      </c>
      <c r="BL167" s="168">
        <f t="shared" si="171"/>
        <v>0</v>
      </c>
      <c r="BM167" s="163"/>
      <c r="BN167" s="89">
        <f t="shared" si="172"/>
        <v>0</v>
      </c>
      <c r="BO167" s="168">
        <f t="shared" si="173"/>
        <v>0</v>
      </c>
      <c r="BP167" s="163"/>
      <c r="BQ167" s="89">
        <f t="shared" si="174"/>
        <v>0</v>
      </c>
      <c r="BR167" s="168">
        <f t="shared" si="175"/>
        <v>0</v>
      </c>
      <c r="BS167" s="163"/>
      <c r="BT167" s="89">
        <f t="shared" si="176"/>
        <v>0</v>
      </c>
      <c r="BU167" s="74">
        <f t="shared" si="177"/>
        <v>0</v>
      </c>
      <c r="BV167" s="195" t="str">
        <f>LOOKUP(BU167,'الفترة الاولى'!$BX$2:$BY$6)</f>
        <v>ممتاز</v>
      </c>
      <c r="BW167" s="75" t="e">
        <f>BU167/'الفترة الاولى'!$BZ$2</f>
        <v>#DIV/0!</v>
      </c>
    </row>
    <row r="168" spans="1:75" ht="25.2" customHeight="1" thickBot="1" x14ac:dyDescent="0.3">
      <c r="A168" s="51">
        <v>158</v>
      </c>
      <c r="B168" s="54"/>
      <c r="C168" s="102"/>
      <c r="D168" s="80"/>
      <c r="E168" s="169"/>
      <c r="F168" s="92"/>
      <c r="G168" s="170">
        <f t="shared" si="178"/>
        <v>0</v>
      </c>
      <c r="H168" s="177"/>
      <c r="I168" s="92"/>
      <c r="J168" s="174">
        <f t="shared" si="179"/>
        <v>0</v>
      </c>
      <c r="K168" s="93"/>
      <c r="L168" s="92"/>
      <c r="M168" s="170">
        <f t="shared" si="180"/>
        <v>0</v>
      </c>
      <c r="N168" s="177"/>
      <c r="O168" s="92"/>
      <c r="P168" s="174">
        <f t="shared" si="181"/>
        <v>0</v>
      </c>
      <c r="Q168" s="93"/>
      <c r="R168" s="92"/>
      <c r="S168" s="170">
        <f t="shared" si="182"/>
        <v>0</v>
      </c>
      <c r="T168" s="177"/>
      <c r="U168" s="92"/>
      <c r="V168" s="174">
        <f t="shared" si="183"/>
        <v>0</v>
      </c>
      <c r="W168" s="93"/>
      <c r="X168" s="92"/>
      <c r="Y168" s="170">
        <f t="shared" si="184"/>
        <v>0</v>
      </c>
      <c r="Z168" s="177"/>
      <c r="AA168" s="92"/>
      <c r="AB168" s="173">
        <f t="shared" si="145"/>
        <v>0</v>
      </c>
      <c r="AC168" s="93"/>
      <c r="AD168" s="92"/>
      <c r="AE168" s="89">
        <f t="shared" si="146"/>
        <v>0</v>
      </c>
      <c r="AF168" s="177"/>
      <c r="AG168" s="92"/>
      <c r="AH168" s="170">
        <f t="shared" si="185"/>
        <v>0</v>
      </c>
      <c r="AI168" s="161">
        <f t="shared" si="158"/>
        <v>0</v>
      </c>
      <c r="AJ168" s="200" t="str">
        <f t="shared" si="143"/>
        <v>ممتاز</v>
      </c>
      <c r="AK168" s="65" t="e">
        <f t="shared" si="144"/>
        <v>#DIV/0!</v>
      </c>
      <c r="AM168" s="50">
        <f t="shared" si="140"/>
        <v>158</v>
      </c>
      <c r="AN168" s="87">
        <f t="shared" si="147"/>
        <v>0</v>
      </c>
      <c r="AO168" s="99">
        <f t="shared" si="148"/>
        <v>0</v>
      </c>
      <c r="AP168" s="80">
        <f t="shared" si="149"/>
        <v>0</v>
      </c>
      <c r="AQ168" s="169">
        <f t="shared" si="159"/>
        <v>0</v>
      </c>
      <c r="AR168" s="188"/>
      <c r="AS168" s="170">
        <f t="shared" si="160"/>
        <v>0</v>
      </c>
      <c r="AT168" s="169"/>
      <c r="AU168" s="188"/>
      <c r="AV168" s="170"/>
      <c r="AW168" s="169">
        <f t="shared" si="161"/>
        <v>0</v>
      </c>
      <c r="AX168" s="188"/>
      <c r="AY168" s="170">
        <f t="shared" si="162"/>
        <v>0</v>
      </c>
      <c r="AZ168" s="169">
        <f t="shared" si="163"/>
        <v>0</v>
      </c>
      <c r="BA168" s="188"/>
      <c r="BB168" s="170">
        <f t="shared" si="164"/>
        <v>0</v>
      </c>
      <c r="BC168" s="169">
        <f t="shared" si="165"/>
        <v>0</v>
      </c>
      <c r="BD168" s="188"/>
      <c r="BE168" s="170">
        <f t="shared" si="166"/>
        <v>0</v>
      </c>
      <c r="BF168" s="169">
        <f t="shared" si="167"/>
        <v>0</v>
      </c>
      <c r="BG168" s="188"/>
      <c r="BH168" s="170">
        <f t="shared" si="168"/>
        <v>0</v>
      </c>
      <c r="BI168" s="169">
        <f t="shared" si="169"/>
        <v>0</v>
      </c>
      <c r="BJ168" s="188"/>
      <c r="BK168" s="170">
        <f t="shared" si="170"/>
        <v>0</v>
      </c>
      <c r="BL168" s="169">
        <f t="shared" si="171"/>
        <v>0</v>
      </c>
      <c r="BM168" s="188"/>
      <c r="BN168" s="170">
        <f t="shared" si="172"/>
        <v>0</v>
      </c>
      <c r="BO168" s="169">
        <f t="shared" si="173"/>
        <v>0</v>
      </c>
      <c r="BP168" s="188"/>
      <c r="BQ168" s="170">
        <f t="shared" si="174"/>
        <v>0</v>
      </c>
      <c r="BR168" s="169">
        <f t="shared" si="175"/>
        <v>0</v>
      </c>
      <c r="BS168" s="188"/>
      <c r="BT168" s="170">
        <f t="shared" si="176"/>
        <v>0</v>
      </c>
      <c r="BU168" s="76">
        <f t="shared" si="177"/>
        <v>0</v>
      </c>
      <c r="BV168" s="196" t="str">
        <f>LOOKUP(BU168,'الفترة الاولى'!$BX$2:$BY$6)</f>
        <v>ممتاز</v>
      </c>
      <c r="BW168" s="77" t="e">
        <f>BU168/'الفترة الاولى'!$BZ$2</f>
        <v>#DIV/0!</v>
      </c>
    </row>
    <row r="169" spans="1:75" ht="25.2" customHeight="1" thickBot="1" x14ac:dyDescent="0.3">
      <c r="A169" s="52">
        <v>159</v>
      </c>
      <c r="B169" s="55"/>
      <c r="C169" s="103"/>
      <c r="D169" s="81"/>
      <c r="E169" s="171"/>
      <c r="F169" s="94"/>
      <c r="G169" s="172">
        <f t="shared" si="178"/>
        <v>0</v>
      </c>
      <c r="H169" s="178"/>
      <c r="I169" s="94"/>
      <c r="J169" s="175">
        <f t="shared" si="179"/>
        <v>0</v>
      </c>
      <c r="K169" s="95"/>
      <c r="L169" s="94"/>
      <c r="M169" s="172">
        <f t="shared" si="180"/>
        <v>0</v>
      </c>
      <c r="N169" s="178"/>
      <c r="O169" s="94"/>
      <c r="P169" s="175">
        <f t="shared" si="181"/>
        <v>0</v>
      </c>
      <c r="Q169" s="95"/>
      <c r="R169" s="94"/>
      <c r="S169" s="172">
        <f t="shared" si="182"/>
        <v>0</v>
      </c>
      <c r="T169" s="178"/>
      <c r="U169" s="94"/>
      <c r="V169" s="175">
        <f t="shared" si="183"/>
        <v>0</v>
      </c>
      <c r="W169" s="95"/>
      <c r="X169" s="94"/>
      <c r="Y169" s="172">
        <f t="shared" si="184"/>
        <v>0</v>
      </c>
      <c r="Z169" s="178"/>
      <c r="AA169" s="94"/>
      <c r="AB169" s="173">
        <f t="shared" si="145"/>
        <v>0</v>
      </c>
      <c r="AC169" s="95"/>
      <c r="AD169" s="94"/>
      <c r="AE169" s="89">
        <f t="shared" si="146"/>
        <v>0</v>
      </c>
      <c r="AF169" s="178"/>
      <c r="AG169" s="94"/>
      <c r="AH169" s="172">
        <f t="shared" si="185"/>
        <v>0</v>
      </c>
      <c r="AI169" s="162">
        <f t="shared" si="158"/>
        <v>0</v>
      </c>
      <c r="AJ169" s="201" t="str">
        <f t="shared" si="143"/>
        <v>ممتاز</v>
      </c>
      <c r="AK169" s="66" t="e">
        <f t="shared" si="144"/>
        <v>#DIV/0!</v>
      </c>
      <c r="AM169" s="51">
        <f t="shared" si="140"/>
        <v>159</v>
      </c>
      <c r="AN169" s="88">
        <f t="shared" si="147"/>
        <v>0</v>
      </c>
      <c r="AO169" s="100">
        <f t="shared" si="148"/>
        <v>0</v>
      </c>
      <c r="AP169" s="81">
        <f t="shared" si="149"/>
        <v>0</v>
      </c>
      <c r="AQ169" s="171">
        <f t="shared" si="159"/>
        <v>0</v>
      </c>
      <c r="AR169" s="189"/>
      <c r="AS169" s="172">
        <f t="shared" si="160"/>
        <v>0</v>
      </c>
      <c r="AT169" s="171"/>
      <c r="AU169" s="189"/>
      <c r="AV169" s="172"/>
      <c r="AW169" s="171">
        <f t="shared" si="161"/>
        <v>0</v>
      </c>
      <c r="AX169" s="189"/>
      <c r="AY169" s="172">
        <f t="shared" si="162"/>
        <v>0</v>
      </c>
      <c r="AZ169" s="171">
        <f t="shared" si="163"/>
        <v>0</v>
      </c>
      <c r="BA169" s="189"/>
      <c r="BB169" s="172">
        <f t="shared" si="164"/>
        <v>0</v>
      </c>
      <c r="BC169" s="171">
        <f t="shared" si="165"/>
        <v>0</v>
      </c>
      <c r="BD169" s="189"/>
      <c r="BE169" s="172">
        <f t="shared" si="166"/>
        <v>0</v>
      </c>
      <c r="BF169" s="171">
        <f t="shared" si="167"/>
        <v>0</v>
      </c>
      <c r="BG169" s="189"/>
      <c r="BH169" s="172">
        <f t="shared" si="168"/>
        <v>0</v>
      </c>
      <c r="BI169" s="171">
        <f t="shared" si="169"/>
        <v>0</v>
      </c>
      <c r="BJ169" s="189"/>
      <c r="BK169" s="172">
        <f t="shared" si="170"/>
        <v>0</v>
      </c>
      <c r="BL169" s="171">
        <f t="shared" si="171"/>
        <v>0</v>
      </c>
      <c r="BM169" s="189"/>
      <c r="BN169" s="172">
        <f t="shared" si="172"/>
        <v>0</v>
      </c>
      <c r="BO169" s="171">
        <f t="shared" si="173"/>
        <v>0</v>
      </c>
      <c r="BP169" s="189"/>
      <c r="BQ169" s="172">
        <f t="shared" si="174"/>
        <v>0</v>
      </c>
      <c r="BR169" s="171">
        <f t="shared" si="175"/>
        <v>0</v>
      </c>
      <c r="BS169" s="189"/>
      <c r="BT169" s="172">
        <f t="shared" si="176"/>
        <v>0</v>
      </c>
      <c r="BU169" s="72">
        <f t="shared" si="177"/>
        <v>0</v>
      </c>
      <c r="BV169" s="194" t="str">
        <f>LOOKUP(BU169,'الفترة الاولى'!$BX$2:$BY$6)</f>
        <v>ممتاز</v>
      </c>
      <c r="BW169" s="73" t="e">
        <f>BU169/'الفترة الاولى'!$BZ$2</f>
        <v>#DIV/0!</v>
      </c>
    </row>
    <row r="170" spans="1:75" ht="25.2" customHeight="1" thickBot="1" x14ac:dyDescent="0.3">
      <c r="A170" s="50">
        <v>160</v>
      </c>
      <c r="B170" s="53"/>
      <c r="C170" s="101"/>
      <c r="D170" s="79"/>
      <c r="E170" s="168"/>
      <c r="F170" s="163"/>
      <c r="G170" s="89">
        <f t="shared" si="178"/>
        <v>0</v>
      </c>
      <c r="H170" s="176"/>
      <c r="I170" s="91"/>
      <c r="J170" s="173">
        <f t="shared" si="179"/>
        <v>0</v>
      </c>
      <c r="K170" s="90"/>
      <c r="L170" s="91"/>
      <c r="M170" s="89">
        <f t="shared" si="180"/>
        <v>0</v>
      </c>
      <c r="N170" s="176"/>
      <c r="O170" s="91"/>
      <c r="P170" s="173">
        <f t="shared" si="181"/>
        <v>0</v>
      </c>
      <c r="Q170" s="90"/>
      <c r="R170" s="91"/>
      <c r="S170" s="89">
        <f t="shared" si="182"/>
        <v>0</v>
      </c>
      <c r="T170" s="176"/>
      <c r="U170" s="91"/>
      <c r="V170" s="173">
        <f t="shared" si="183"/>
        <v>0</v>
      </c>
      <c r="W170" s="90"/>
      <c r="X170" s="91"/>
      <c r="Y170" s="89">
        <f t="shared" si="184"/>
        <v>0</v>
      </c>
      <c r="Z170" s="176"/>
      <c r="AA170" s="91"/>
      <c r="AB170" s="173">
        <f t="shared" si="145"/>
        <v>0</v>
      </c>
      <c r="AC170" s="90"/>
      <c r="AD170" s="91"/>
      <c r="AE170" s="89">
        <f t="shared" si="146"/>
        <v>0</v>
      </c>
      <c r="AF170" s="176"/>
      <c r="AG170" s="91"/>
      <c r="AH170" s="89">
        <f t="shared" si="185"/>
        <v>0</v>
      </c>
      <c r="AI170" s="160">
        <f t="shared" si="158"/>
        <v>0</v>
      </c>
      <c r="AJ170" s="202" t="str">
        <f t="shared" si="143"/>
        <v>ممتاز</v>
      </c>
      <c r="AK170" s="67" t="e">
        <f t="shared" si="144"/>
        <v>#DIV/0!</v>
      </c>
      <c r="AM170" s="52">
        <f t="shared" si="140"/>
        <v>160</v>
      </c>
      <c r="AN170" s="86">
        <f t="shared" si="147"/>
        <v>0</v>
      </c>
      <c r="AO170" s="98">
        <f t="shared" si="148"/>
        <v>0</v>
      </c>
      <c r="AP170" s="79">
        <f t="shared" si="149"/>
        <v>0</v>
      </c>
      <c r="AQ170" s="168">
        <f t="shared" si="159"/>
        <v>0</v>
      </c>
      <c r="AR170" s="163"/>
      <c r="AS170" s="89">
        <f t="shared" si="160"/>
        <v>0</v>
      </c>
      <c r="AT170" s="168"/>
      <c r="AU170" s="163"/>
      <c r="AV170" s="89"/>
      <c r="AW170" s="168">
        <f t="shared" si="161"/>
        <v>0</v>
      </c>
      <c r="AX170" s="163"/>
      <c r="AY170" s="89">
        <f t="shared" si="162"/>
        <v>0</v>
      </c>
      <c r="AZ170" s="168">
        <f t="shared" si="163"/>
        <v>0</v>
      </c>
      <c r="BA170" s="163"/>
      <c r="BB170" s="89">
        <f t="shared" si="164"/>
        <v>0</v>
      </c>
      <c r="BC170" s="168">
        <f t="shared" si="165"/>
        <v>0</v>
      </c>
      <c r="BD170" s="163"/>
      <c r="BE170" s="89">
        <f t="shared" si="166"/>
        <v>0</v>
      </c>
      <c r="BF170" s="168">
        <f t="shared" si="167"/>
        <v>0</v>
      </c>
      <c r="BG170" s="163"/>
      <c r="BH170" s="89">
        <f t="shared" si="168"/>
        <v>0</v>
      </c>
      <c r="BI170" s="168">
        <f t="shared" si="169"/>
        <v>0</v>
      </c>
      <c r="BJ170" s="163"/>
      <c r="BK170" s="89">
        <f t="shared" si="170"/>
        <v>0</v>
      </c>
      <c r="BL170" s="168">
        <f t="shared" si="171"/>
        <v>0</v>
      </c>
      <c r="BM170" s="163"/>
      <c r="BN170" s="89">
        <f t="shared" si="172"/>
        <v>0</v>
      </c>
      <c r="BO170" s="168">
        <f t="shared" si="173"/>
        <v>0</v>
      </c>
      <c r="BP170" s="163"/>
      <c r="BQ170" s="89">
        <f t="shared" si="174"/>
        <v>0</v>
      </c>
      <c r="BR170" s="168">
        <f t="shared" si="175"/>
        <v>0</v>
      </c>
      <c r="BS170" s="163"/>
      <c r="BT170" s="89">
        <f t="shared" si="176"/>
        <v>0</v>
      </c>
      <c r="BU170" s="74">
        <f t="shared" si="177"/>
        <v>0</v>
      </c>
      <c r="BV170" s="195" t="str">
        <f>LOOKUP(BU170,'الفترة الاولى'!$BX$2:$BY$6)</f>
        <v>ممتاز</v>
      </c>
      <c r="BW170" s="75" t="e">
        <f>BU170/'الفترة الاولى'!$BZ$2</f>
        <v>#DIV/0!</v>
      </c>
    </row>
    <row r="171" spans="1:75" ht="25.2" customHeight="1" thickBot="1" x14ac:dyDescent="0.3">
      <c r="A171" s="51">
        <v>161</v>
      </c>
      <c r="B171" s="54"/>
      <c r="C171" s="102"/>
      <c r="D171" s="80"/>
      <c r="E171" s="169"/>
      <c r="F171" s="92"/>
      <c r="G171" s="170">
        <f t="shared" si="178"/>
        <v>0</v>
      </c>
      <c r="H171" s="177"/>
      <c r="I171" s="92"/>
      <c r="J171" s="174">
        <f t="shared" si="179"/>
        <v>0</v>
      </c>
      <c r="K171" s="93"/>
      <c r="L171" s="92"/>
      <c r="M171" s="170">
        <f t="shared" si="180"/>
        <v>0</v>
      </c>
      <c r="N171" s="177"/>
      <c r="O171" s="92"/>
      <c r="P171" s="174">
        <f t="shared" si="181"/>
        <v>0</v>
      </c>
      <c r="Q171" s="93"/>
      <c r="R171" s="92"/>
      <c r="S171" s="170">
        <f t="shared" si="182"/>
        <v>0</v>
      </c>
      <c r="T171" s="177"/>
      <c r="U171" s="92"/>
      <c r="V171" s="174">
        <f t="shared" si="183"/>
        <v>0</v>
      </c>
      <c r="W171" s="93"/>
      <c r="X171" s="92"/>
      <c r="Y171" s="170">
        <f t="shared" si="184"/>
        <v>0</v>
      </c>
      <c r="Z171" s="177"/>
      <c r="AA171" s="92"/>
      <c r="AB171" s="173">
        <f t="shared" si="145"/>
        <v>0</v>
      </c>
      <c r="AC171" s="93"/>
      <c r="AD171" s="92"/>
      <c r="AE171" s="89">
        <f t="shared" si="146"/>
        <v>0</v>
      </c>
      <c r="AF171" s="177"/>
      <c r="AG171" s="92"/>
      <c r="AH171" s="170">
        <f t="shared" si="185"/>
        <v>0</v>
      </c>
      <c r="AI171" s="161">
        <f t="shared" si="158"/>
        <v>0</v>
      </c>
      <c r="AJ171" s="200" t="str">
        <f t="shared" si="143"/>
        <v>ممتاز</v>
      </c>
      <c r="AK171" s="65" t="e">
        <f t="shared" si="144"/>
        <v>#DIV/0!</v>
      </c>
      <c r="AM171" s="50">
        <f t="shared" si="140"/>
        <v>161</v>
      </c>
      <c r="AN171" s="87">
        <f t="shared" si="147"/>
        <v>0</v>
      </c>
      <c r="AO171" s="99">
        <f t="shared" si="148"/>
        <v>0</v>
      </c>
      <c r="AP171" s="80">
        <f t="shared" si="149"/>
        <v>0</v>
      </c>
      <c r="AQ171" s="169">
        <f t="shared" si="159"/>
        <v>0</v>
      </c>
      <c r="AR171" s="188"/>
      <c r="AS171" s="170">
        <f t="shared" si="160"/>
        <v>0</v>
      </c>
      <c r="AT171" s="169"/>
      <c r="AU171" s="188"/>
      <c r="AV171" s="170"/>
      <c r="AW171" s="169">
        <f t="shared" si="161"/>
        <v>0</v>
      </c>
      <c r="AX171" s="188"/>
      <c r="AY171" s="170">
        <f t="shared" si="162"/>
        <v>0</v>
      </c>
      <c r="AZ171" s="169">
        <f t="shared" si="163"/>
        <v>0</v>
      </c>
      <c r="BA171" s="188"/>
      <c r="BB171" s="170">
        <f t="shared" si="164"/>
        <v>0</v>
      </c>
      <c r="BC171" s="169">
        <f t="shared" si="165"/>
        <v>0</v>
      </c>
      <c r="BD171" s="188"/>
      <c r="BE171" s="170">
        <f t="shared" si="166"/>
        <v>0</v>
      </c>
      <c r="BF171" s="169">
        <f t="shared" si="167"/>
        <v>0</v>
      </c>
      <c r="BG171" s="188"/>
      <c r="BH171" s="170">
        <f t="shared" si="168"/>
        <v>0</v>
      </c>
      <c r="BI171" s="169">
        <f t="shared" si="169"/>
        <v>0</v>
      </c>
      <c r="BJ171" s="188"/>
      <c r="BK171" s="170">
        <f t="shared" si="170"/>
        <v>0</v>
      </c>
      <c r="BL171" s="169">
        <f t="shared" si="171"/>
        <v>0</v>
      </c>
      <c r="BM171" s="188"/>
      <c r="BN171" s="170">
        <f t="shared" si="172"/>
        <v>0</v>
      </c>
      <c r="BO171" s="169">
        <f t="shared" si="173"/>
        <v>0</v>
      </c>
      <c r="BP171" s="188"/>
      <c r="BQ171" s="170">
        <f t="shared" si="174"/>
        <v>0</v>
      </c>
      <c r="BR171" s="169">
        <f t="shared" si="175"/>
        <v>0</v>
      </c>
      <c r="BS171" s="188"/>
      <c r="BT171" s="170">
        <f t="shared" si="176"/>
        <v>0</v>
      </c>
      <c r="BU171" s="76">
        <f t="shared" si="177"/>
        <v>0</v>
      </c>
      <c r="BV171" s="196" t="str">
        <f>LOOKUP(BU171,'الفترة الاولى'!$BX$2:$BY$6)</f>
        <v>ممتاز</v>
      </c>
      <c r="BW171" s="77" t="e">
        <f>BU171/'الفترة الاولى'!$BZ$2</f>
        <v>#DIV/0!</v>
      </c>
    </row>
    <row r="172" spans="1:75" ht="25.2" customHeight="1" thickBot="1" x14ac:dyDescent="0.3">
      <c r="A172" s="52">
        <v>162</v>
      </c>
      <c r="B172" s="55"/>
      <c r="C172" s="103"/>
      <c r="D172" s="81"/>
      <c r="E172" s="171"/>
      <c r="F172" s="94"/>
      <c r="G172" s="172">
        <f t="shared" si="178"/>
        <v>0</v>
      </c>
      <c r="H172" s="178"/>
      <c r="I172" s="94"/>
      <c r="J172" s="175">
        <f t="shared" si="179"/>
        <v>0</v>
      </c>
      <c r="K172" s="95"/>
      <c r="L172" s="94"/>
      <c r="M172" s="172">
        <f t="shared" si="180"/>
        <v>0</v>
      </c>
      <c r="N172" s="178"/>
      <c r="O172" s="94"/>
      <c r="P172" s="175">
        <f t="shared" si="181"/>
        <v>0</v>
      </c>
      <c r="Q172" s="95"/>
      <c r="R172" s="94"/>
      <c r="S172" s="172">
        <f t="shared" si="182"/>
        <v>0</v>
      </c>
      <c r="T172" s="178"/>
      <c r="U172" s="94"/>
      <c r="V172" s="175">
        <f t="shared" si="183"/>
        <v>0</v>
      </c>
      <c r="W172" s="95"/>
      <c r="X172" s="94"/>
      <c r="Y172" s="172">
        <f t="shared" si="184"/>
        <v>0</v>
      </c>
      <c r="Z172" s="178"/>
      <c r="AA172" s="94"/>
      <c r="AB172" s="173">
        <f t="shared" si="145"/>
        <v>0</v>
      </c>
      <c r="AC172" s="95"/>
      <c r="AD172" s="94"/>
      <c r="AE172" s="89">
        <f t="shared" si="146"/>
        <v>0</v>
      </c>
      <c r="AF172" s="178"/>
      <c r="AG172" s="94"/>
      <c r="AH172" s="172">
        <f t="shared" si="185"/>
        <v>0</v>
      </c>
      <c r="AI172" s="162">
        <f t="shared" si="158"/>
        <v>0</v>
      </c>
      <c r="AJ172" s="201" t="str">
        <f t="shared" si="143"/>
        <v>ممتاز</v>
      </c>
      <c r="AK172" s="66" t="e">
        <f t="shared" si="144"/>
        <v>#DIV/0!</v>
      </c>
      <c r="AM172" s="51">
        <f t="shared" si="140"/>
        <v>162</v>
      </c>
      <c r="AN172" s="88">
        <f t="shared" si="147"/>
        <v>0</v>
      </c>
      <c r="AO172" s="100">
        <f t="shared" si="148"/>
        <v>0</v>
      </c>
      <c r="AP172" s="81">
        <f t="shared" si="149"/>
        <v>0</v>
      </c>
      <c r="AQ172" s="171">
        <f t="shared" si="159"/>
        <v>0</v>
      </c>
      <c r="AR172" s="189"/>
      <c r="AS172" s="172">
        <f t="shared" si="160"/>
        <v>0</v>
      </c>
      <c r="AT172" s="171"/>
      <c r="AU172" s="189"/>
      <c r="AV172" s="172"/>
      <c r="AW172" s="171">
        <f t="shared" si="161"/>
        <v>0</v>
      </c>
      <c r="AX172" s="189"/>
      <c r="AY172" s="172">
        <f t="shared" si="162"/>
        <v>0</v>
      </c>
      <c r="AZ172" s="171">
        <f t="shared" si="163"/>
        <v>0</v>
      </c>
      <c r="BA172" s="189"/>
      <c r="BB172" s="172">
        <f t="shared" si="164"/>
        <v>0</v>
      </c>
      <c r="BC172" s="171">
        <f t="shared" si="165"/>
        <v>0</v>
      </c>
      <c r="BD172" s="189"/>
      <c r="BE172" s="172">
        <f t="shared" si="166"/>
        <v>0</v>
      </c>
      <c r="BF172" s="171">
        <f t="shared" si="167"/>
        <v>0</v>
      </c>
      <c r="BG172" s="189"/>
      <c r="BH172" s="172">
        <f t="shared" si="168"/>
        <v>0</v>
      </c>
      <c r="BI172" s="171">
        <f t="shared" si="169"/>
        <v>0</v>
      </c>
      <c r="BJ172" s="189"/>
      <c r="BK172" s="172">
        <f t="shared" si="170"/>
        <v>0</v>
      </c>
      <c r="BL172" s="171">
        <f t="shared" si="171"/>
        <v>0</v>
      </c>
      <c r="BM172" s="189"/>
      <c r="BN172" s="172">
        <f t="shared" si="172"/>
        <v>0</v>
      </c>
      <c r="BO172" s="171">
        <f t="shared" si="173"/>
        <v>0</v>
      </c>
      <c r="BP172" s="189"/>
      <c r="BQ172" s="172">
        <f t="shared" si="174"/>
        <v>0</v>
      </c>
      <c r="BR172" s="171">
        <f t="shared" si="175"/>
        <v>0</v>
      </c>
      <c r="BS172" s="189"/>
      <c r="BT172" s="172">
        <f t="shared" si="176"/>
        <v>0</v>
      </c>
      <c r="BU172" s="72">
        <f t="shared" si="177"/>
        <v>0</v>
      </c>
      <c r="BV172" s="194" t="str">
        <f>LOOKUP(BU172,'الفترة الاولى'!$BX$2:$BY$6)</f>
        <v>ممتاز</v>
      </c>
      <c r="BW172" s="73" t="e">
        <f>BU172/'الفترة الاولى'!$BZ$2</f>
        <v>#DIV/0!</v>
      </c>
    </row>
    <row r="173" spans="1:75" ht="25.2" customHeight="1" thickBot="1" x14ac:dyDescent="0.3">
      <c r="A173" s="50">
        <v>163</v>
      </c>
      <c r="B173" s="53"/>
      <c r="C173" s="101"/>
      <c r="D173" s="79"/>
      <c r="E173" s="168"/>
      <c r="F173" s="163"/>
      <c r="G173" s="89">
        <f t="shared" si="178"/>
        <v>0</v>
      </c>
      <c r="H173" s="176"/>
      <c r="I173" s="91"/>
      <c r="J173" s="173">
        <f t="shared" si="179"/>
        <v>0</v>
      </c>
      <c r="K173" s="90"/>
      <c r="L173" s="91"/>
      <c r="M173" s="89">
        <f t="shared" si="180"/>
        <v>0</v>
      </c>
      <c r="N173" s="176"/>
      <c r="O173" s="91"/>
      <c r="P173" s="173">
        <f t="shared" si="181"/>
        <v>0</v>
      </c>
      <c r="Q173" s="90"/>
      <c r="R173" s="91"/>
      <c r="S173" s="89">
        <f t="shared" si="182"/>
        <v>0</v>
      </c>
      <c r="T173" s="176"/>
      <c r="U173" s="91"/>
      <c r="V173" s="173">
        <f t="shared" si="183"/>
        <v>0</v>
      </c>
      <c r="W173" s="90"/>
      <c r="X173" s="91"/>
      <c r="Y173" s="89">
        <f t="shared" si="184"/>
        <v>0</v>
      </c>
      <c r="Z173" s="176"/>
      <c r="AA173" s="91"/>
      <c r="AB173" s="173">
        <f t="shared" si="145"/>
        <v>0</v>
      </c>
      <c r="AC173" s="90"/>
      <c r="AD173" s="91"/>
      <c r="AE173" s="89">
        <f t="shared" si="146"/>
        <v>0</v>
      </c>
      <c r="AF173" s="176"/>
      <c r="AG173" s="91"/>
      <c r="AH173" s="89">
        <f t="shared" si="185"/>
        <v>0</v>
      </c>
      <c r="AI173" s="160">
        <f t="shared" si="158"/>
        <v>0</v>
      </c>
      <c r="AJ173" s="202" t="str">
        <f t="shared" si="143"/>
        <v>ممتاز</v>
      </c>
      <c r="AK173" s="67" t="e">
        <f t="shared" si="144"/>
        <v>#DIV/0!</v>
      </c>
      <c r="AM173" s="52">
        <f t="shared" si="140"/>
        <v>163</v>
      </c>
      <c r="AN173" s="86">
        <f t="shared" si="147"/>
        <v>0</v>
      </c>
      <c r="AO173" s="98">
        <f t="shared" si="148"/>
        <v>0</v>
      </c>
      <c r="AP173" s="79">
        <f t="shared" si="149"/>
        <v>0</v>
      </c>
      <c r="AQ173" s="168">
        <f t="shared" si="159"/>
        <v>0</v>
      </c>
      <c r="AR173" s="163"/>
      <c r="AS173" s="89">
        <f t="shared" si="160"/>
        <v>0</v>
      </c>
      <c r="AT173" s="168"/>
      <c r="AU173" s="163"/>
      <c r="AV173" s="89"/>
      <c r="AW173" s="168">
        <f t="shared" si="161"/>
        <v>0</v>
      </c>
      <c r="AX173" s="163"/>
      <c r="AY173" s="89">
        <f t="shared" si="162"/>
        <v>0</v>
      </c>
      <c r="AZ173" s="168">
        <f t="shared" si="163"/>
        <v>0</v>
      </c>
      <c r="BA173" s="163"/>
      <c r="BB173" s="89">
        <f t="shared" si="164"/>
        <v>0</v>
      </c>
      <c r="BC173" s="168">
        <f t="shared" si="165"/>
        <v>0</v>
      </c>
      <c r="BD173" s="163"/>
      <c r="BE173" s="89">
        <f t="shared" si="166"/>
        <v>0</v>
      </c>
      <c r="BF173" s="168">
        <f t="shared" si="167"/>
        <v>0</v>
      </c>
      <c r="BG173" s="163"/>
      <c r="BH173" s="89">
        <f t="shared" si="168"/>
        <v>0</v>
      </c>
      <c r="BI173" s="168">
        <f t="shared" si="169"/>
        <v>0</v>
      </c>
      <c r="BJ173" s="163"/>
      <c r="BK173" s="89">
        <f t="shared" si="170"/>
        <v>0</v>
      </c>
      <c r="BL173" s="168">
        <f t="shared" si="171"/>
        <v>0</v>
      </c>
      <c r="BM173" s="163"/>
      <c r="BN173" s="89">
        <f t="shared" si="172"/>
        <v>0</v>
      </c>
      <c r="BO173" s="168">
        <f t="shared" si="173"/>
        <v>0</v>
      </c>
      <c r="BP173" s="163"/>
      <c r="BQ173" s="89">
        <f t="shared" si="174"/>
        <v>0</v>
      </c>
      <c r="BR173" s="168">
        <f t="shared" si="175"/>
        <v>0</v>
      </c>
      <c r="BS173" s="163"/>
      <c r="BT173" s="89">
        <f t="shared" si="176"/>
        <v>0</v>
      </c>
      <c r="BU173" s="74">
        <f t="shared" si="177"/>
        <v>0</v>
      </c>
      <c r="BV173" s="195" t="str">
        <f>LOOKUP(BU173,'الفترة الاولى'!$BX$2:$BY$6)</f>
        <v>ممتاز</v>
      </c>
      <c r="BW173" s="75" t="e">
        <f>BU173/'الفترة الاولى'!$BZ$2</f>
        <v>#DIV/0!</v>
      </c>
    </row>
    <row r="174" spans="1:75" ht="25.2" customHeight="1" thickBot="1" x14ac:dyDescent="0.3">
      <c r="A174" s="51">
        <v>164</v>
      </c>
      <c r="B174" s="54"/>
      <c r="C174" s="102"/>
      <c r="D174" s="80"/>
      <c r="E174" s="169"/>
      <c r="F174" s="92"/>
      <c r="G174" s="170">
        <f t="shared" si="178"/>
        <v>0</v>
      </c>
      <c r="H174" s="177"/>
      <c r="I174" s="92"/>
      <c r="J174" s="174">
        <f t="shared" si="179"/>
        <v>0</v>
      </c>
      <c r="K174" s="93"/>
      <c r="L174" s="92"/>
      <c r="M174" s="170">
        <f t="shared" si="180"/>
        <v>0</v>
      </c>
      <c r="N174" s="177"/>
      <c r="O174" s="92"/>
      <c r="P174" s="174">
        <f t="shared" si="181"/>
        <v>0</v>
      </c>
      <c r="Q174" s="93"/>
      <c r="R174" s="92"/>
      <c r="S174" s="170">
        <f t="shared" si="182"/>
        <v>0</v>
      </c>
      <c r="T174" s="177"/>
      <c r="U174" s="92"/>
      <c r="V174" s="174">
        <f t="shared" si="183"/>
        <v>0</v>
      </c>
      <c r="W174" s="93"/>
      <c r="X174" s="92"/>
      <c r="Y174" s="170">
        <f t="shared" si="184"/>
        <v>0</v>
      </c>
      <c r="Z174" s="177"/>
      <c r="AA174" s="92"/>
      <c r="AB174" s="173">
        <f t="shared" si="145"/>
        <v>0</v>
      </c>
      <c r="AC174" s="93"/>
      <c r="AD174" s="92"/>
      <c r="AE174" s="89">
        <f t="shared" si="146"/>
        <v>0</v>
      </c>
      <c r="AF174" s="177"/>
      <c r="AG174" s="92"/>
      <c r="AH174" s="170">
        <f t="shared" si="185"/>
        <v>0</v>
      </c>
      <c r="AI174" s="161">
        <f t="shared" si="158"/>
        <v>0</v>
      </c>
      <c r="AJ174" s="200" t="str">
        <f t="shared" si="143"/>
        <v>ممتاز</v>
      </c>
      <c r="AK174" s="65" t="e">
        <f t="shared" si="144"/>
        <v>#DIV/0!</v>
      </c>
      <c r="AM174" s="50">
        <f t="shared" si="140"/>
        <v>164</v>
      </c>
      <c r="AN174" s="87">
        <f t="shared" si="147"/>
        <v>0</v>
      </c>
      <c r="AO174" s="99">
        <f t="shared" si="148"/>
        <v>0</v>
      </c>
      <c r="AP174" s="80">
        <f t="shared" si="149"/>
        <v>0</v>
      </c>
      <c r="AQ174" s="169">
        <f t="shared" si="159"/>
        <v>0</v>
      </c>
      <c r="AR174" s="188"/>
      <c r="AS174" s="170">
        <f t="shared" si="160"/>
        <v>0</v>
      </c>
      <c r="AT174" s="169"/>
      <c r="AU174" s="188"/>
      <c r="AV174" s="170"/>
      <c r="AW174" s="169">
        <f t="shared" si="161"/>
        <v>0</v>
      </c>
      <c r="AX174" s="188"/>
      <c r="AY174" s="170">
        <f t="shared" si="162"/>
        <v>0</v>
      </c>
      <c r="AZ174" s="169">
        <f t="shared" si="163"/>
        <v>0</v>
      </c>
      <c r="BA174" s="188"/>
      <c r="BB174" s="170">
        <f t="shared" si="164"/>
        <v>0</v>
      </c>
      <c r="BC174" s="169">
        <f t="shared" si="165"/>
        <v>0</v>
      </c>
      <c r="BD174" s="188"/>
      <c r="BE174" s="170">
        <f t="shared" si="166"/>
        <v>0</v>
      </c>
      <c r="BF174" s="169">
        <f t="shared" si="167"/>
        <v>0</v>
      </c>
      <c r="BG174" s="188"/>
      <c r="BH174" s="170">
        <f t="shared" si="168"/>
        <v>0</v>
      </c>
      <c r="BI174" s="169">
        <f t="shared" si="169"/>
        <v>0</v>
      </c>
      <c r="BJ174" s="188"/>
      <c r="BK174" s="170">
        <f t="shared" si="170"/>
        <v>0</v>
      </c>
      <c r="BL174" s="169">
        <f t="shared" si="171"/>
        <v>0</v>
      </c>
      <c r="BM174" s="188"/>
      <c r="BN174" s="170">
        <f t="shared" si="172"/>
        <v>0</v>
      </c>
      <c r="BO174" s="169">
        <f t="shared" si="173"/>
        <v>0</v>
      </c>
      <c r="BP174" s="188"/>
      <c r="BQ174" s="170">
        <f t="shared" si="174"/>
        <v>0</v>
      </c>
      <c r="BR174" s="169">
        <f t="shared" si="175"/>
        <v>0</v>
      </c>
      <c r="BS174" s="188"/>
      <c r="BT174" s="170">
        <f t="shared" si="176"/>
        <v>0</v>
      </c>
      <c r="BU174" s="76">
        <f t="shared" si="177"/>
        <v>0</v>
      </c>
      <c r="BV174" s="196" t="str">
        <f>LOOKUP(BU174,'الفترة الاولى'!$BX$2:$BY$6)</f>
        <v>ممتاز</v>
      </c>
      <c r="BW174" s="77" t="e">
        <f>BU174/'الفترة الاولى'!$BZ$2</f>
        <v>#DIV/0!</v>
      </c>
    </row>
    <row r="175" spans="1:75" ht="25.2" customHeight="1" thickBot="1" x14ac:dyDescent="0.3">
      <c r="A175" s="52">
        <v>165</v>
      </c>
      <c r="B175" s="55"/>
      <c r="C175" s="103"/>
      <c r="D175" s="81"/>
      <c r="E175" s="171"/>
      <c r="F175" s="94"/>
      <c r="G175" s="172">
        <f t="shared" si="178"/>
        <v>0</v>
      </c>
      <c r="H175" s="178"/>
      <c r="I175" s="94"/>
      <c r="J175" s="175">
        <f t="shared" si="179"/>
        <v>0</v>
      </c>
      <c r="K175" s="95"/>
      <c r="L175" s="94"/>
      <c r="M175" s="172">
        <f t="shared" si="180"/>
        <v>0</v>
      </c>
      <c r="N175" s="178"/>
      <c r="O175" s="94"/>
      <c r="P175" s="175">
        <f t="shared" si="181"/>
        <v>0</v>
      </c>
      <c r="Q175" s="95"/>
      <c r="R175" s="94"/>
      <c r="S175" s="172">
        <f t="shared" si="182"/>
        <v>0</v>
      </c>
      <c r="T175" s="178"/>
      <c r="U175" s="94"/>
      <c r="V175" s="175">
        <f t="shared" si="183"/>
        <v>0</v>
      </c>
      <c r="W175" s="95"/>
      <c r="X175" s="94"/>
      <c r="Y175" s="172">
        <f t="shared" si="184"/>
        <v>0</v>
      </c>
      <c r="Z175" s="178"/>
      <c r="AA175" s="94"/>
      <c r="AB175" s="173">
        <f t="shared" si="145"/>
        <v>0</v>
      </c>
      <c r="AC175" s="95"/>
      <c r="AD175" s="94"/>
      <c r="AE175" s="89">
        <f t="shared" si="146"/>
        <v>0</v>
      </c>
      <c r="AF175" s="178"/>
      <c r="AG175" s="94"/>
      <c r="AH175" s="172">
        <f t="shared" si="185"/>
        <v>0</v>
      </c>
      <c r="AI175" s="162">
        <f t="shared" si="158"/>
        <v>0</v>
      </c>
      <c r="AJ175" s="201" t="str">
        <f t="shared" si="143"/>
        <v>ممتاز</v>
      </c>
      <c r="AK175" s="66" t="e">
        <f t="shared" si="144"/>
        <v>#DIV/0!</v>
      </c>
      <c r="AM175" s="51">
        <f t="shared" si="140"/>
        <v>165</v>
      </c>
      <c r="AN175" s="88">
        <f t="shared" si="147"/>
        <v>0</v>
      </c>
      <c r="AO175" s="100">
        <f t="shared" si="148"/>
        <v>0</v>
      </c>
      <c r="AP175" s="81">
        <f t="shared" si="149"/>
        <v>0</v>
      </c>
      <c r="AQ175" s="171">
        <f t="shared" si="159"/>
        <v>0</v>
      </c>
      <c r="AR175" s="189"/>
      <c r="AS175" s="172">
        <f t="shared" si="160"/>
        <v>0</v>
      </c>
      <c r="AT175" s="171"/>
      <c r="AU175" s="189"/>
      <c r="AV175" s="172"/>
      <c r="AW175" s="171">
        <f t="shared" si="161"/>
        <v>0</v>
      </c>
      <c r="AX175" s="189"/>
      <c r="AY175" s="172">
        <f t="shared" si="162"/>
        <v>0</v>
      </c>
      <c r="AZ175" s="171">
        <f t="shared" si="163"/>
        <v>0</v>
      </c>
      <c r="BA175" s="189"/>
      <c r="BB175" s="172">
        <f t="shared" si="164"/>
        <v>0</v>
      </c>
      <c r="BC175" s="171">
        <f t="shared" si="165"/>
        <v>0</v>
      </c>
      <c r="BD175" s="189"/>
      <c r="BE175" s="172">
        <f t="shared" si="166"/>
        <v>0</v>
      </c>
      <c r="BF175" s="171">
        <f t="shared" si="167"/>
        <v>0</v>
      </c>
      <c r="BG175" s="189"/>
      <c r="BH175" s="172">
        <f t="shared" si="168"/>
        <v>0</v>
      </c>
      <c r="BI175" s="171">
        <f t="shared" si="169"/>
        <v>0</v>
      </c>
      <c r="BJ175" s="189"/>
      <c r="BK175" s="172">
        <f t="shared" si="170"/>
        <v>0</v>
      </c>
      <c r="BL175" s="171">
        <f t="shared" si="171"/>
        <v>0</v>
      </c>
      <c r="BM175" s="189"/>
      <c r="BN175" s="172">
        <f t="shared" si="172"/>
        <v>0</v>
      </c>
      <c r="BO175" s="171">
        <f t="shared" si="173"/>
        <v>0</v>
      </c>
      <c r="BP175" s="189"/>
      <c r="BQ175" s="172">
        <f t="shared" si="174"/>
        <v>0</v>
      </c>
      <c r="BR175" s="171">
        <f t="shared" si="175"/>
        <v>0</v>
      </c>
      <c r="BS175" s="189"/>
      <c r="BT175" s="172">
        <f t="shared" si="176"/>
        <v>0</v>
      </c>
      <c r="BU175" s="72">
        <f t="shared" si="177"/>
        <v>0</v>
      </c>
      <c r="BV175" s="194" t="str">
        <f>LOOKUP(BU175,'الفترة الاولى'!$BX$2:$BY$6)</f>
        <v>ممتاز</v>
      </c>
      <c r="BW175" s="73" t="e">
        <f>BU175/'الفترة الاولى'!$BZ$2</f>
        <v>#DIV/0!</v>
      </c>
    </row>
    <row r="176" spans="1:75" ht="25.2" customHeight="1" thickBot="1" x14ac:dyDescent="0.3">
      <c r="A176" s="50">
        <v>166</v>
      </c>
      <c r="B176" s="53"/>
      <c r="C176" s="101"/>
      <c r="D176" s="79"/>
      <c r="E176" s="168"/>
      <c r="F176" s="163"/>
      <c r="G176" s="89">
        <f t="shared" si="178"/>
        <v>0</v>
      </c>
      <c r="H176" s="176"/>
      <c r="I176" s="91"/>
      <c r="J176" s="173">
        <f t="shared" si="179"/>
        <v>0</v>
      </c>
      <c r="K176" s="90"/>
      <c r="L176" s="91"/>
      <c r="M176" s="89">
        <f t="shared" si="180"/>
        <v>0</v>
      </c>
      <c r="N176" s="176"/>
      <c r="O176" s="91"/>
      <c r="P176" s="173">
        <f t="shared" si="181"/>
        <v>0</v>
      </c>
      <c r="Q176" s="90"/>
      <c r="R176" s="91"/>
      <c r="S176" s="89">
        <f t="shared" si="182"/>
        <v>0</v>
      </c>
      <c r="T176" s="176"/>
      <c r="U176" s="91"/>
      <c r="V176" s="173">
        <f t="shared" si="183"/>
        <v>0</v>
      </c>
      <c r="W176" s="90"/>
      <c r="X176" s="91"/>
      <c r="Y176" s="89">
        <f t="shared" si="184"/>
        <v>0</v>
      </c>
      <c r="Z176" s="176"/>
      <c r="AA176" s="91"/>
      <c r="AB176" s="173">
        <f t="shared" si="145"/>
        <v>0</v>
      </c>
      <c r="AC176" s="90"/>
      <c r="AD176" s="91"/>
      <c r="AE176" s="89">
        <f t="shared" si="146"/>
        <v>0</v>
      </c>
      <c r="AF176" s="176"/>
      <c r="AG176" s="91"/>
      <c r="AH176" s="89">
        <f t="shared" si="185"/>
        <v>0</v>
      </c>
      <c r="AI176" s="160">
        <f t="shared" si="158"/>
        <v>0</v>
      </c>
      <c r="AJ176" s="202" t="str">
        <f t="shared" si="143"/>
        <v>ممتاز</v>
      </c>
      <c r="AK176" s="67" t="e">
        <f t="shared" si="144"/>
        <v>#DIV/0!</v>
      </c>
      <c r="AM176" s="52">
        <f t="shared" si="140"/>
        <v>166</v>
      </c>
      <c r="AN176" s="86">
        <f t="shared" si="147"/>
        <v>0</v>
      </c>
      <c r="AO176" s="98">
        <f t="shared" si="148"/>
        <v>0</v>
      </c>
      <c r="AP176" s="79">
        <f t="shared" si="149"/>
        <v>0</v>
      </c>
      <c r="AQ176" s="168">
        <f t="shared" si="159"/>
        <v>0</v>
      </c>
      <c r="AR176" s="163"/>
      <c r="AS176" s="89">
        <f t="shared" si="160"/>
        <v>0</v>
      </c>
      <c r="AT176" s="168"/>
      <c r="AU176" s="163"/>
      <c r="AV176" s="89"/>
      <c r="AW176" s="168">
        <f t="shared" si="161"/>
        <v>0</v>
      </c>
      <c r="AX176" s="163"/>
      <c r="AY176" s="89">
        <f t="shared" si="162"/>
        <v>0</v>
      </c>
      <c r="AZ176" s="168">
        <f t="shared" si="163"/>
        <v>0</v>
      </c>
      <c r="BA176" s="163"/>
      <c r="BB176" s="89">
        <f t="shared" si="164"/>
        <v>0</v>
      </c>
      <c r="BC176" s="168">
        <f t="shared" si="165"/>
        <v>0</v>
      </c>
      <c r="BD176" s="163"/>
      <c r="BE176" s="89">
        <f t="shared" si="166"/>
        <v>0</v>
      </c>
      <c r="BF176" s="168">
        <f t="shared" si="167"/>
        <v>0</v>
      </c>
      <c r="BG176" s="163"/>
      <c r="BH176" s="89">
        <f t="shared" si="168"/>
        <v>0</v>
      </c>
      <c r="BI176" s="168">
        <f t="shared" si="169"/>
        <v>0</v>
      </c>
      <c r="BJ176" s="163"/>
      <c r="BK176" s="89">
        <f t="shared" si="170"/>
        <v>0</v>
      </c>
      <c r="BL176" s="168">
        <f t="shared" si="171"/>
        <v>0</v>
      </c>
      <c r="BM176" s="163"/>
      <c r="BN176" s="89">
        <f t="shared" si="172"/>
        <v>0</v>
      </c>
      <c r="BO176" s="168">
        <f t="shared" si="173"/>
        <v>0</v>
      </c>
      <c r="BP176" s="163"/>
      <c r="BQ176" s="89">
        <f t="shared" si="174"/>
        <v>0</v>
      </c>
      <c r="BR176" s="168">
        <f t="shared" si="175"/>
        <v>0</v>
      </c>
      <c r="BS176" s="163"/>
      <c r="BT176" s="89">
        <f t="shared" si="176"/>
        <v>0</v>
      </c>
      <c r="BU176" s="74">
        <f t="shared" si="177"/>
        <v>0</v>
      </c>
      <c r="BV176" s="195" t="str">
        <f>LOOKUP(BU176,'الفترة الاولى'!$BX$2:$BY$6)</f>
        <v>ممتاز</v>
      </c>
      <c r="BW176" s="75" t="e">
        <f>BU176/'الفترة الاولى'!$BZ$2</f>
        <v>#DIV/0!</v>
      </c>
    </row>
    <row r="177" spans="1:75" ht="25.2" customHeight="1" thickBot="1" x14ac:dyDescent="0.3">
      <c r="A177" s="51">
        <v>167</v>
      </c>
      <c r="B177" s="54"/>
      <c r="C177" s="102"/>
      <c r="D177" s="80"/>
      <c r="E177" s="169"/>
      <c r="F177" s="92"/>
      <c r="G177" s="170">
        <f t="shared" si="178"/>
        <v>0</v>
      </c>
      <c r="H177" s="177"/>
      <c r="I177" s="92"/>
      <c r="J177" s="174">
        <f t="shared" si="179"/>
        <v>0</v>
      </c>
      <c r="K177" s="93"/>
      <c r="L177" s="92"/>
      <c r="M177" s="170">
        <f t="shared" si="180"/>
        <v>0</v>
      </c>
      <c r="N177" s="177"/>
      <c r="O177" s="92"/>
      <c r="P177" s="174">
        <f t="shared" si="181"/>
        <v>0</v>
      </c>
      <c r="Q177" s="93"/>
      <c r="R177" s="92"/>
      <c r="S177" s="170">
        <f t="shared" si="182"/>
        <v>0</v>
      </c>
      <c r="T177" s="177"/>
      <c r="U177" s="92"/>
      <c r="V177" s="174">
        <f t="shared" si="183"/>
        <v>0</v>
      </c>
      <c r="W177" s="93"/>
      <c r="X177" s="92"/>
      <c r="Y177" s="170">
        <f t="shared" si="184"/>
        <v>0</v>
      </c>
      <c r="Z177" s="177"/>
      <c r="AA177" s="92"/>
      <c r="AB177" s="173">
        <f t="shared" si="145"/>
        <v>0</v>
      </c>
      <c r="AC177" s="93"/>
      <c r="AD177" s="92"/>
      <c r="AE177" s="89">
        <f t="shared" si="146"/>
        <v>0</v>
      </c>
      <c r="AF177" s="177"/>
      <c r="AG177" s="92"/>
      <c r="AH177" s="170">
        <f t="shared" si="185"/>
        <v>0</v>
      </c>
      <c r="AI177" s="161">
        <f t="shared" si="158"/>
        <v>0</v>
      </c>
      <c r="AJ177" s="200" t="str">
        <f t="shared" si="143"/>
        <v>ممتاز</v>
      </c>
      <c r="AK177" s="65" t="e">
        <f t="shared" si="144"/>
        <v>#DIV/0!</v>
      </c>
      <c r="AM177" s="50">
        <f t="shared" si="140"/>
        <v>167</v>
      </c>
      <c r="AN177" s="87">
        <f t="shared" si="147"/>
        <v>0</v>
      </c>
      <c r="AO177" s="99">
        <f t="shared" si="148"/>
        <v>0</v>
      </c>
      <c r="AP177" s="80">
        <f t="shared" si="149"/>
        <v>0</v>
      </c>
      <c r="AQ177" s="169">
        <f t="shared" si="159"/>
        <v>0</v>
      </c>
      <c r="AR177" s="188"/>
      <c r="AS177" s="170">
        <f t="shared" si="160"/>
        <v>0</v>
      </c>
      <c r="AT177" s="169"/>
      <c r="AU177" s="188"/>
      <c r="AV177" s="170"/>
      <c r="AW177" s="169">
        <f t="shared" si="161"/>
        <v>0</v>
      </c>
      <c r="AX177" s="188"/>
      <c r="AY177" s="170">
        <f t="shared" si="162"/>
        <v>0</v>
      </c>
      <c r="AZ177" s="169">
        <f t="shared" si="163"/>
        <v>0</v>
      </c>
      <c r="BA177" s="188"/>
      <c r="BB177" s="170">
        <f t="shared" si="164"/>
        <v>0</v>
      </c>
      <c r="BC177" s="169">
        <f t="shared" si="165"/>
        <v>0</v>
      </c>
      <c r="BD177" s="188"/>
      <c r="BE177" s="170">
        <f t="shared" si="166"/>
        <v>0</v>
      </c>
      <c r="BF177" s="169">
        <f t="shared" si="167"/>
        <v>0</v>
      </c>
      <c r="BG177" s="188"/>
      <c r="BH177" s="170">
        <f t="shared" si="168"/>
        <v>0</v>
      </c>
      <c r="BI177" s="169">
        <f t="shared" si="169"/>
        <v>0</v>
      </c>
      <c r="BJ177" s="188"/>
      <c r="BK177" s="170">
        <f t="shared" si="170"/>
        <v>0</v>
      </c>
      <c r="BL177" s="169">
        <f t="shared" si="171"/>
        <v>0</v>
      </c>
      <c r="BM177" s="188"/>
      <c r="BN177" s="170">
        <f t="shared" si="172"/>
        <v>0</v>
      </c>
      <c r="BO177" s="169">
        <f t="shared" si="173"/>
        <v>0</v>
      </c>
      <c r="BP177" s="188"/>
      <c r="BQ177" s="170">
        <f t="shared" si="174"/>
        <v>0</v>
      </c>
      <c r="BR177" s="169">
        <f t="shared" si="175"/>
        <v>0</v>
      </c>
      <c r="BS177" s="188"/>
      <c r="BT177" s="170">
        <f t="shared" si="176"/>
        <v>0</v>
      </c>
      <c r="BU177" s="76">
        <f t="shared" si="177"/>
        <v>0</v>
      </c>
      <c r="BV177" s="196" t="str">
        <f>LOOKUP(BU177,'الفترة الاولى'!$BX$2:$BY$6)</f>
        <v>ممتاز</v>
      </c>
      <c r="BW177" s="77" t="e">
        <f>BU177/'الفترة الاولى'!$BZ$2</f>
        <v>#DIV/0!</v>
      </c>
    </row>
    <row r="178" spans="1:75" ht="25.2" customHeight="1" thickBot="1" x14ac:dyDescent="0.3">
      <c r="A178" s="52">
        <v>168</v>
      </c>
      <c r="B178" s="55"/>
      <c r="C178" s="103"/>
      <c r="D178" s="81"/>
      <c r="E178" s="171"/>
      <c r="F178" s="94"/>
      <c r="G178" s="172">
        <f t="shared" si="178"/>
        <v>0</v>
      </c>
      <c r="H178" s="178"/>
      <c r="I178" s="94"/>
      <c r="J178" s="175">
        <f t="shared" si="179"/>
        <v>0</v>
      </c>
      <c r="K178" s="95"/>
      <c r="L178" s="94"/>
      <c r="M178" s="172">
        <f t="shared" si="180"/>
        <v>0</v>
      </c>
      <c r="N178" s="178"/>
      <c r="O178" s="94"/>
      <c r="P178" s="175">
        <f t="shared" si="181"/>
        <v>0</v>
      </c>
      <c r="Q178" s="95"/>
      <c r="R178" s="94"/>
      <c r="S178" s="172">
        <f t="shared" si="182"/>
        <v>0</v>
      </c>
      <c r="T178" s="178"/>
      <c r="U178" s="94"/>
      <c r="V178" s="175">
        <f t="shared" si="183"/>
        <v>0</v>
      </c>
      <c r="W178" s="95"/>
      <c r="X178" s="94"/>
      <c r="Y178" s="172">
        <f t="shared" si="184"/>
        <v>0</v>
      </c>
      <c r="Z178" s="178"/>
      <c r="AA178" s="94"/>
      <c r="AB178" s="173">
        <f t="shared" si="145"/>
        <v>0</v>
      </c>
      <c r="AC178" s="95"/>
      <c r="AD178" s="94"/>
      <c r="AE178" s="89">
        <f t="shared" si="146"/>
        <v>0</v>
      </c>
      <c r="AF178" s="178"/>
      <c r="AG178" s="94"/>
      <c r="AH178" s="172">
        <f t="shared" si="185"/>
        <v>0</v>
      </c>
      <c r="AI178" s="162">
        <f t="shared" si="158"/>
        <v>0</v>
      </c>
      <c r="AJ178" s="201" t="str">
        <f t="shared" si="143"/>
        <v>ممتاز</v>
      </c>
      <c r="AK178" s="66" t="e">
        <f t="shared" si="144"/>
        <v>#DIV/0!</v>
      </c>
      <c r="AM178" s="51">
        <f t="shared" ref="AM178:AM210" si="186">A178</f>
        <v>168</v>
      </c>
      <c r="AN178" s="88">
        <f t="shared" si="147"/>
        <v>0</v>
      </c>
      <c r="AO178" s="100">
        <f t="shared" si="148"/>
        <v>0</v>
      </c>
      <c r="AP178" s="81">
        <f t="shared" si="149"/>
        <v>0</v>
      </c>
      <c r="AQ178" s="171">
        <f t="shared" si="159"/>
        <v>0</v>
      </c>
      <c r="AR178" s="189"/>
      <c r="AS178" s="172">
        <f t="shared" si="160"/>
        <v>0</v>
      </c>
      <c r="AT178" s="171"/>
      <c r="AU178" s="189"/>
      <c r="AV178" s="172"/>
      <c r="AW178" s="171">
        <f t="shared" si="161"/>
        <v>0</v>
      </c>
      <c r="AX178" s="189"/>
      <c r="AY178" s="172">
        <f t="shared" si="162"/>
        <v>0</v>
      </c>
      <c r="AZ178" s="171">
        <f t="shared" si="163"/>
        <v>0</v>
      </c>
      <c r="BA178" s="189"/>
      <c r="BB178" s="172">
        <f t="shared" si="164"/>
        <v>0</v>
      </c>
      <c r="BC178" s="171">
        <f t="shared" si="165"/>
        <v>0</v>
      </c>
      <c r="BD178" s="189"/>
      <c r="BE178" s="172">
        <f t="shared" si="166"/>
        <v>0</v>
      </c>
      <c r="BF178" s="171">
        <f t="shared" si="167"/>
        <v>0</v>
      </c>
      <c r="BG178" s="189"/>
      <c r="BH178" s="172">
        <f t="shared" si="168"/>
        <v>0</v>
      </c>
      <c r="BI178" s="171">
        <f t="shared" si="169"/>
        <v>0</v>
      </c>
      <c r="BJ178" s="189"/>
      <c r="BK178" s="172">
        <f t="shared" si="170"/>
        <v>0</v>
      </c>
      <c r="BL178" s="171">
        <f t="shared" si="171"/>
        <v>0</v>
      </c>
      <c r="BM178" s="189"/>
      <c r="BN178" s="172">
        <f t="shared" si="172"/>
        <v>0</v>
      </c>
      <c r="BO178" s="171">
        <f t="shared" si="173"/>
        <v>0</v>
      </c>
      <c r="BP178" s="189"/>
      <c r="BQ178" s="172">
        <f t="shared" si="174"/>
        <v>0</v>
      </c>
      <c r="BR178" s="171">
        <f t="shared" si="175"/>
        <v>0</v>
      </c>
      <c r="BS178" s="189"/>
      <c r="BT178" s="172">
        <f t="shared" si="176"/>
        <v>0</v>
      </c>
      <c r="BU178" s="72">
        <f t="shared" si="177"/>
        <v>0</v>
      </c>
      <c r="BV178" s="194" t="str">
        <f>LOOKUP(BU178,'الفترة الاولى'!$BX$2:$BY$6)</f>
        <v>ممتاز</v>
      </c>
      <c r="BW178" s="73" t="e">
        <f>BU178/'الفترة الاولى'!$BZ$2</f>
        <v>#DIV/0!</v>
      </c>
    </row>
    <row r="179" spans="1:75" ht="25.2" customHeight="1" thickBot="1" x14ac:dyDescent="0.3">
      <c r="A179" s="50">
        <v>169</v>
      </c>
      <c r="B179" s="53"/>
      <c r="C179" s="101"/>
      <c r="D179" s="79"/>
      <c r="E179" s="168"/>
      <c r="F179" s="163"/>
      <c r="G179" s="89">
        <f t="shared" si="178"/>
        <v>0</v>
      </c>
      <c r="H179" s="176"/>
      <c r="I179" s="91"/>
      <c r="J179" s="173">
        <f t="shared" si="179"/>
        <v>0</v>
      </c>
      <c r="K179" s="90"/>
      <c r="L179" s="91"/>
      <c r="M179" s="89">
        <f t="shared" si="180"/>
        <v>0</v>
      </c>
      <c r="N179" s="176"/>
      <c r="O179" s="91"/>
      <c r="P179" s="173">
        <f t="shared" si="181"/>
        <v>0</v>
      </c>
      <c r="Q179" s="90"/>
      <c r="R179" s="91"/>
      <c r="S179" s="89">
        <f t="shared" si="182"/>
        <v>0</v>
      </c>
      <c r="T179" s="176"/>
      <c r="U179" s="91"/>
      <c r="V179" s="173">
        <f t="shared" si="183"/>
        <v>0</v>
      </c>
      <c r="W179" s="90"/>
      <c r="X179" s="91"/>
      <c r="Y179" s="89">
        <f t="shared" si="184"/>
        <v>0</v>
      </c>
      <c r="Z179" s="176"/>
      <c r="AA179" s="91"/>
      <c r="AB179" s="173">
        <f t="shared" si="145"/>
        <v>0</v>
      </c>
      <c r="AC179" s="90"/>
      <c r="AD179" s="91"/>
      <c r="AE179" s="89">
        <f t="shared" si="146"/>
        <v>0</v>
      </c>
      <c r="AF179" s="176"/>
      <c r="AG179" s="91"/>
      <c r="AH179" s="89">
        <f t="shared" si="185"/>
        <v>0</v>
      </c>
      <c r="AI179" s="160">
        <f t="shared" si="158"/>
        <v>0</v>
      </c>
      <c r="AJ179" s="202" t="str">
        <f t="shared" si="143"/>
        <v>ممتاز</v>
      </c>
      <c r="AK179" s="67" t="e">
        <f t="shared" si="144"/>
        <v>#DIV/0!</v>
      </c>
      <c r="AM179" s="52">
        <f t="shared" si="186"/>
        <v>169</v>
      </c>
      <c r="AN179" s="86">
        <f t="shared" si="147"/>
        <v>0</v>
      </c>
      <c r="AO179" s="98">
        <f t="shared" si="148"/>
        <v>0</v>
      </c>
      <c r="AP179" s="79">
        <f t="shared" si="149"/>
        <v>0</v>
      </c>
      <c r="AQ179" s="168">
        <f t="shared" si="159"/>
        <v>0</v>
      </c>
      <c r="AR179" s="163"/>
      <c r="AS179" s="89">
        <f t="shared" si="160"/>
        <v>0</v>
      </c>
      <c r="AT179" s="168"/>
      <c r="AU179" s="163"/>
      <c r="AV179" s="89"/>
      <c r="AW179" s="168">
        <f t="shared" si="161"/>
        <v>0</v>
      </c>
      <c r="AX179" s="163"/>
      <c r="AY179" s="89">
        <f t="shared" si="162"/>
        <v>0</v>
      </c>
      <c r="AZ179" s="168">
        <f t="shared" si="163"/>
        <v>0</v>
      </c>
      <c r="BA179" s="163"/>
      <c r="BB179" s="89">
        <f t="shared" si="164"/>
        <v>0</v>
      </c>
      <c r="BC179" s="168">
        <f t="shared" si="165"/>
        <v>0</v>
      </c>
      <c r="BD179" s="163"/>
      <c r="BE179" s="89">
        <f t="shared" si="166"/>
        <v>0</v>
      </c>
      <c r="BF179" s="168">
        <f t="shared" si="167"/>
        <v>0</v>
      </c>
      <c r="BG179" s="163"/>
      <c r="BH179" s="89">
        <f t="shared" si="168"/>
        <v>0</v>
      </c>
      <c r="BI179" s="168">
        <f t="shared" si="169"/>
        <v>0</v>
      </c>
      <c r="BJ179" s="163"/>
      <c r="BK179" s="89">
        <f t="shared" si="170"/>
        <v>0</v>
      </c>
      <c r="BL179" s="168">
        <f t="shared" si="171"/>
        <v>0</v>
      </c>
      <c r="BM179" s="163"/>
      <c r="BN179" s="89">
        <f t="shared" si="172"/>
        <v>0</v>
      </c>
      <c r="BO179" s="168">
        <f t="shared" si="173"/>
        <v>0</v>
      </c>
      <c r="BP179" s="163"/>
      <c r="BQ179" s="89">
        <f t="shared" si="174"/>
        <v>0</v>
      </c>
      <c r="BR179" s="168">
        <f t="shared" si="175"/>
        <v>0</v>
      </c>
      <c r="BS179" s="163"/>
      <c r="BT179" s="89">
        <f t="shared" si="176"/>
        <v>0</v>
      </c>
      <c r="BU179" s="74">
        <f t="shared" si="177"/>
        <v>0</v>
      </c>
      <c r="BV179" s="195" t="str">
        <f>LOOKUP(BU179,'الفترة الاولى'!$BX$2:$BY$6)</f>
        <v>ممتاز</v>
      </c>
      <c r="BW179" s="75" t="e">
        <f>BU179/'الفترة الاولى'!$BZ$2</f>
        <v>#DIV/0!</v>
      </c>
    </row>
    <row r="180" spans="1:75" ht="25.2" customHeight="1" thickBot="1" x14ac:dyDescent="0.3">
      <c r="A180" s="51">
        <v>170</v>
      </c>
      <c r="B180" s="54"/>
      <c r="C180" s="102"/>
      <c r="D180" s="80"/>
      <c r="E180" s="169"/>
      <c r="F180" s="92"/>
      <c r="G180" s="170">
        <f t="shared" si="178"/>
        <v>0</v>
      </c>
      <c r="H180" s="177"/>
      <c r="I180" s="92"/>
      <c r="J180" s="174">
        <f t="shared" si="179"/>
        <v>0</v>
      </c>
      <c r="K180" s="93"/>
      <c r="L180" s="92"/>
      <c r="M180" s="170">
        <f t="shared" si="180"/>
        <v>0</v>
      </c>
      <c r="N180" s="177"/>
      <c r="O180" s="92"/>
      <c r="P180" s="174">
        <f t="shared" si="181"/>
        <v>0</v>
      </c>
      <c r="Q180" s="93"/>
      <c r="R180" s="92"/>
      <c r="S180" s="170">
        <f t="shared" si="182"/>
        <v>0</v>
      </c>
      <c r="T180" s="177"/>
      <c r="U180" s="92"/>
      <c r="V180" s="174">
        <f t="shared" si="183"/>
        <v>0</v>
      </c>
      <c r="W180" s="93"/>
      <c r="X180" s="92"/>
      <c r="Y180" s="170">
        <f t="shared" si="184"/>
        <v>0</v>
      </c>
      <c r="Z180" s="177"/>
      <c r="AA180" s="92"/>
      <c r="AB180" s="173">
        <f t="shared" si="145"/>
        <v>0</v>
      </c>
      <c r="AC180" s="93"/>
      <c r="AD180" s="92"/>
      <c r="AE180" s="89">
        <f t="shared" si="146"/>
        <v>0</v>
      </c>
      <c r="AF180" s="177"/>
      <c r="AG180" s="92"/>
      <c r="AH180" s="170">
        <f t="shared" si="185"/>
        <v>0</v>
      </c>
      <c r="AI180" s="161">
        <f t="shared" si="158"/>
        <v>0</v>
      </c>
      <c r="AJ180" s="200" t="str">
        <f t="shared" si="143"/>
        <v>ممتاز</v>
      </c>
      <c r="AK180" s="65" t="e">
        <f t="shared" si="144"/>
        <v>#DIV/0!</v>
      </c>
      <c r="AM180" s="50">
        <f t="shared" si="186"/>
        <v>170</v>
      </c>
      <c r="AN180" s="87">
        <f t="shared" si="147"/>
        <v>0</v>
      </c>
      <c r="AO180" s="99">
        <f t="shared" si="148"/>
        <v>0</v>
      </c>
      <c r="AP180" s="80">
        <f t="shared" si="149"/>
        <v>0</v>
      </c>
      <c r="AQ180" s="169">
        <f t="shared" si="159"/>
        <v>0</v>
      </c>
      <c r="AR180" s="188"/>
      <c r="AS180" s="170">
        <f t="shared" si="160"/>
        <v>0</v>
      </c>
      <c r="AT180" s="169"/>
      <c r="AU180" s="188"/>
      <c r="AV180" s="170"/>
      <c r="AW180" s="169">
        <f t="shared" si="161"/>
        <v>0</v>
      </c>
      <c r="AX180" s="188"/>
      <c r="AY180" s="170">
        <f t="shared" si="162"/>
        <v>0</v>
      </c>
      <c r="AZ180" s="169">
        <f t="shared" si="163"/>
        <v>0</v>
      </c>
      <c r="BA180" s="188"/>
      <c r="BB180" s="170">
        <f t="shared" si="164"/>
        <v>0</v>
      </c>
      <c r="BC180" s="169">
        <f t="shared" si="165"/>
        <v>0</v>
      </c>
      <c r="BD180" s="188"/>
      <c r="BE180" s="170">
        <f t="shared" si="166"/>
        <v>0</v>
      </c>
      <c r="BF180" s="169">
        <f t="shared" si="167"/>
        <v>0</v>
      </c>
      <c r="BG180" s="188"/>
      <c r="BH180" s="170">
        <f t="shared" si="168"/>
        <v>0</v>
      </c>
      <c r="BI180" s="169">
        <f t="shared" si="169"/>
        <v>0</v>
      </c>
      <c r="BJ180" s="188"/>
      <c r="BK180" s="170">
        <f t="shared" si="170"/>
        <v>0</v>
      </c>
      <c r="BL180" s="169">
        <f t="shared" si="171"/>
        <v>0</v>
      </c>
      <c r="BM180" s="188"/>
      <c r="BN180" s="170">
        <f t="shared" si="172"/>
        <v>0</v>
      </c>
      <c r="BO180" s="169">
        <f t="shared" si="173"/>
        <v>0</v>
      </c>
      <c r="BP180" s="188"/>
      <c r="BQ180" s="170">
        <f t="shared" si="174"/>
        <v>0</v>
      </c>
      <c r="BR180" s="169">
        <f t="shared" si="175"/>
        <v>0</v>
      </c>
      <c r="BS180" s="188"/>
      <c r="BT180" s="170">
        <f t="shared" si="176"/>
        <v>0</v>
      </c>
      <c r="BU180" s="76">
        <f t="shared" si="177"/>
        <v>0</v>
      </c>
      <c r="BV180" s="196" t="str">
        <f>LOOKUP(BU180,'الفترة الاولى'!$BX$2:$BY$6)</f>
        <v>ممتاز</v>
      </c>
      <c r="BW180" s="77" t="e">
        <f>BU180/'الفترة الاولى'!$BZ$2</f>
        <v>#DIV/0!</v>
      </c>
    </row>
    <row r="181" spans="1:75" ht="25.2" customHeight="1" thickBot="1" x14ac:dyDescent="0.3">
      <c r="A181" s="52">
        <v>171</v>
      </c>
      <c r="B181" s="55"/>
      <c r="C181" s="103"/>
      <c r="D181" s="81"/>
      <c r="E181" s="171"/>
      <c r="F181" s="94"/>
      <c r="G181" s="172">
        <f t="shared" si="178"/>
        <v>0</v>
      </c>
      <c r="H181" s="178"/>
      <c r="I181" s="94"/>
      <c r="J181" s="175">
        <f t="shared" si="179"/>
        <v>0</v>
      </c>
      <c r="K181" s="95"/>
      <c r="L181" s="94"/>
      <c r="M181" s="172">
        <f t="shared" si="180"/>
        <v>0</v>
      </c>
      <c r="N181" s="178"/>
      <c r="O181" s="94"/>
      <c r="P181" s="175">
        <f t="shared" si="181"/>
        <v>0</v>
      </c>
      <c r="Q181" s="95"/>
      <c r="R181" s="94"/>
      <c r="S181" s="172">
        <f t="shared" si="182"/>
        <v>0</v>
      </c>
      <c r="T181" s="178"/>
      <c r="U181" s="94"/>
      <c r="V181" s="175">
        <f t="shared" si="183"/>
        <v>0</v>
      </c>
      <c r="W181" s="95"/>
      <c r="X181" s="94"/>
      <c r="Y181" s="172">
        <f t="shared" si="184"/>
        <v>0</v>
      </c>
      <c r="Z181" s="178"/>
      <c r="AA181" s="94"/>
      <c r="AB181" s="173">
        <f t="shared" si="145"/>
        <v>0</v>
      </c>
      <c r="AC181" s="95"/>
      <c r="AD181" s="94"/>
      <c r="AE181" s="89">
        <f t="shared" si="146"/>
        <v>0</v>
      </c>
      <c r="AF181" s="178"/>
      <c r="AG181" s="94"/>
      <c r="AH181" s="172">
        <f t="shared" si="185"/>
        <v>0</v>
      </c>
      <c r="AI181" s="162">
        <f t="shared" si="158"/>
        <v>0</v>
      </c>
      <c r="AJ181" s="201" t="str">
        <f t="shared" si="143"/>
        <v>ممتاز</v>
      </c>
      <c r="AK181" s="66" t="e">
        <f t="shared" si="144"/>
        <v>#DIV/0!</v>
      </c>
      <c r="AM181" s="51">
        <f t="shared" si="186"/>
        <v>171</v>
      </c>
      <c r="AN181" s="88">
        <f t="shared" si="147"/>
        <v>0</v>
      </c>
      <c r="AO181" s="100">
        <f t="shared" si="148"/>
        <v>0</v>
      </c>
      <c r="AP181" s="81">
        <f t="shared" si="149"/>
        <v>0</v>
      </c>
      <c r="AQ181" s="171">
        <f t="shared" si="159"/>
        <v>0</v>
      </c>
      <c r="AR181" s="189"/>
      <c r="AS181" s="172">
        <f t="shared" si="160"/>
        <v>0</v>
      </c>
      <c r="AT181" s="171"/>
      <c r="AU181" s="189"/>
      <c r="AV181" s="172"/>
      <c r="AW181" s="171">
        <f t="shared" si="161"/>
        <v>0</v>
      </c>
      <c r="AX181" s="189"/>
      <c r="AY181" s="172">
        <f t="shared" si="162"/>
        <v>0</v>
      </c>
      <c r="AZ181" s="171">
        <f t="shared" si="163"/>
        <v>0</v>
      </c>
      <c r="BA181" s="189"/>
      <c r="BB181" s="172">
        <f t="shared" si="164"/>
        <v>0</v>
      </c>
      <c r="BC181" s="171">
        <f t="shared" si="165"/>
        <v>0</v>
      </c>
      <c r="BD181" s="189"/>
      <c r="BE181" s="172">
        <f t="shared" si="166"/>
        <v>0</v>
      </c>
      <c r="BF181" s="171">
        <f t="shared" si="167"/>
        <v>0</v>
      </c>
      <c r="BG181" s="189"/>
      <c r="BH181" s="172">
        <f t="shared" si="168"/>
        <v>0</v>
      </c>
      <c r="BI181" s="171">
        <f t="shared" si="169"/>
        <v>0</v>
      </c>
      <c r="BJ181" s="189"/>
      <c r="BK181" s="172">
        <f t="shared" si="170"/>
        <v>0</v>
      </c>
      <c r="BL181" s="171">
        <f t="shared" si="171"/>
        <v>0</v>
      </c>
      <c r="BM181" s="189"/>
      <c r="BN181" s="172">
        <f t="shared" si="172"/>
        <v>0</v>
      </c>
      <c r="BO181" s="171">
        <f t="shared" si="173"/>
        <v>0</v>
      </c>
      <c r="BP181" s="189"/>
      <c r="BQ181" s="172">
        <f t="shared" si="174"/>
        <v>0</v>
      </c>
      <c r="BR181" s="171">
        <f t="shared" si="175"/>
        <v>0</v>
      </c>
      <c r="BS181" s="189"/>
      <c r="BT181" s="172">
        <f t="shared" si="176"/>
        <v>0</v>
      </c>
      <c r="BU181" s="72">
        <f t="shared" si="177"/>
        <v>0</v>
      </c>
      <c r="BV181" s="194" t="str">
        <f>LOOKUP(BU181,'الفترة الاولى'!$BX$2:$BY$6)</f>
        <v>ممتاز</v>
      </c>
      <c r="BW181" s="73" t="e">
        <f>BU181/'الفترة الاولى'!$BZ$2</f>
        <v>#DIV/0!</v>
      </c>
    </row>
    <row r="182" spans="1:75" ht="25.2" customHeight="1" thickBot="1" x14ac:dyDescent="0.3">
      <c r="A182" s="50">
        <v>172</v>
      </c>
      <c r="B182" s="53"/>
      <c r="C182" s="101"/>
      <c r="D182" s="79"/>
      <c r="E182" s="168"/>
      <c r="F182" s="163"/>
      <c r="G182" s="89">
        <f t="shared" si="178"/>
        <v>0</v>
      </c>
      <c r="H182" s="176"/>
      <c r="I182" s="91"/>
      <c r="J182" s="173">
        <f t="shared" si="179"/>
        <v>0</v>
      </c>
      <c r="K182" s="90"/>
      <c r="L182" s="91"/>
      <c r="M182" s="89">
        <f t="shared" si="180"/>
        <v>0</v>
      </c>
      <c r="N182" s="176"/>
      <c r="O182" s="91"/>
      <c r="P182" s="173">
        <f t="shared" si="181"/>
        <v>0</v>
      </c>
      <c r="Q182" s="90"/>
      <c r="R182" s="91"/>
      <c r="S182" s="89">
        <f t="shared" si="182"/>
        <v>0</v>
      </c>
      <c r="T182" s="176"/>
      <c r="U182" s="91"/>
      <c r="V182" s="173">
        <f t="shared" si="183"/>
        <v>0</v>
      </c>
      <c r="W182" s="90"/>
      <c r="X182" s="91"/>
      <c r="Y182" s="89">
        <f t="shared" si="184"/>
        <v>0</v>
      </c>
      <c r="Z182" s="176"/>
      <c r="AA182" s="91"/>
      <c r="AB182" s="173">
        <f t="shared" si="145"/>
        <v>0</v>
      </c>
      <c r="AC182" s="90"/>
      <c r="AD182" s="91"/>
      <c r="AE182" s="89">
        <f t="shared" si="146"/>
        <v>0</v>
      </c>
      <c r="AF182" s="176"/>
      <c r="AG182" s="91"/>
      <c r="AH182" s="89">
        <f t="shared" si="185"/>
        <v>0</v>
      </c>
      <c r="AI182" s="160">
        <f t="shared" si="158"/>
        <v>0</v>
      </c>
      <c r="AJ182" s="202" t="str">
        <f t="shared" si="143"/>
        <v>ممتاز</v>
      </c>
      <c r="AK182" s="67" t="e">
        <f t="shared" si="144"/>
        <v>#DIV/0!</v>
      </c>
      <c r="AM182" s="52">
        <f t="shared" si="186"/>
        <v>172</v>
      </c>
      <c r="AN182" s="86">
        <f t="shared" si="147"/>
        <v>0</v>
      </c>
      <c r="AO182" s="98">
        <f t="shared" si="148"/>
        <v>0</v>
      </c>
      <c r="AP182" s="79">
        <f t="shared" si="149"/>
        <v>0</v>
      </c>
      <c r="AQ182" s="168">
        <f t="shared" si="159"/>
        <v>0</v>
      </c>
      <c r="AR182" s="163"/>
      <c r="AS182" s="89">
        <f t="shared" si="160"/>
        <v>0</v>
      </c>
      <c r="AT182" s="168"/>
      <c r="AU182" s="163"/>
      <c r="AV182" s="89"/>
      <c r="AW182" s="168">
        <f t="shared" si="161"/>
        <v>0</v>
      </c>
      <c r="AX182" s="163"/>
      <c r="AY182" s="89">
        <f t="shared" si="162"/>
        <v>0</v>
      </c>
      <c r="AZ182" s="168">
        <f t="shared" si="163"/>
        <v>0</v>
      </c>
      <c r="BA182" s="163"/>
      <c r="BB182" s="89">
        <f t="shared" si="164"/>
        <v>0</v>
      </c>
      <c r="BC182" s="168">
        <f t="shared" si="165"/>
        <v>0</v>
      </c>
      <c r="BD182" s="163"/>
      <c r="BE182" s="89">
        <f t="shared" si="166"/>
        <v>0</v>
      </c>
      <c r="BF182" s="168">
        <f t="shared" si="167"/>
        <v>0</v>
      </c>
      <c r="BG182" s="163"/>
      <c r="BH182" s="89">
        <f t="shared" si="168"/>
        <v>0</v>
      </c>
      <c r="BI182" s="168">
        <f t="shared" si="169"/>
        <v>0</v>
      </c>
      <c r="BJ182" s="163"/>
      <c r="BK182" s="89">
        <f t="shared" si="170"/>
        <v>0</v>
      </c>
      <c r="BL182" s="168">
        <f t="shared" si="171"/>
        <v>0</v>
      </c>
      <c r="BM182" s="163"/>
      <c r="BN182" s="89">
        <f t="shared" si="172"/>
        <v>0</v>
      </c>
      <c r="BO182" s="168">
        <f t="shared" si="173"/>
        <v>0</v>
      </c>
      <c r="BP182" s="163"/>
      <c r="BQ182" s="89">
        <f t="shared" si="174"/>
        <v>0</v>
      </c>
      <c r="BR182" s="168">
        <f t="shared" si="175"/>
        <v>0</v>
      </c>
      <c r="BS182" s="163"/>
      <c r="BT182" s="89">
        <f t="shared" si="176"/>
        <v>0</v>
      </c>
      <c r="BU182" s="74">
        <f t="shared" si="177"/>
        <v>0</v>
      </c>
      <c r="BV182" s="195" t="str">
        <f>LOOKUP(BU182,'الفترة الاولى'!$BX$2:$BY$6)</f>
        <v>ممتاز</v>
      </c>
      <c r="BW182" s="75" t="e">
        <f>BU182/'الفترة الاولى'!$BZ$2</f>
        <v>#DIV/0!</v>
      </c>
    </row>
    <row r="183" spans="1:75" ht="25.2" customHeight="1" thickBot="1" x14ac:dyDescent="0.3">
      <c r="A183" s="51">
        <v>173</v>
      </c>
      <c r="B183" s="54"/>
      <c r="C183" s="102"/>
      <c r="D183" s="80"/>
      <c r="E183" s="169"/>
      <c r="F183" s="92"/>
      <c r="G183" s="170">
        <f t="shared" si="178"/>
        <v>0</v>
      </c>
      <c r="H183" s="177"/>
      <c r="I183" s="92"/>
      <c r="J183" s="174">
        <f t="shared" si="179"/>
        <v>0</v>
      </c>
      <c r="K183" s="93"/>
      <c r="L183" s="92"/>
      <c r="M183" s="170">
        <f t="shared" si="180"/>
        <v>0</v>
      </c>
      <c r="N183" s="177"/>
      <c r="O183" s="92"/>
      <c r="P183" s="174">
        <f t="shared" si="181"/>
        <v>0</v>
      </c>
      <c r="Q183" s="93"/>
      <c r="R183" s="92"/>
      <c r="S183" s="170">
        <f t="shared" si="182"/>
        <v>0</v>
      </c>
      <c r="T183" s="177"/>
      <c r="U183" s="92"/>
      <c r="V183" s="174">
        <f t="shared" si="183"/>
        <v>0</v>
      </c>
      <c r="W183" s="93"/>
      <c r="X183" s="92"/>
      <c r="Y183" s="170">
        <f t="shared" si="184"/>
        <v>0</v>
      </c>
      <c r="Z183" s="177"/>
      <c r="AA183" s="92"/>
      <c r="AB183" s="173">
        <f t="shared" si="145"/>
        <v>0</v>
      </c>
      <c r="AC183" s="93"/>
      <c r="AD183" s="92"/>
      <c r="AE183" s="89">
        <f t="shared" si="146"/>
        <v>0</v>
      </c>
      <c r="AF183" s="177"/>
      <c r="AG183" s="92"/>
      <c r="AH183" s="170">
        <f t="shared" si="185"/>
        <v>0</v>
      </c>
      <c r="AI183" s="161">
        <f t="shared" si="158"/>
        <v>0</v>
      </c>
      <c r="AJ183" s="200" t="str">
        <f t="shared" si="143"/>
        <v>ممتاز</v>
      </c>
      <c r="AK183" s="65" t="e">
        <f t="shared" si="144"/>
        <v>#DIV/0!</v>
      </c>
      <c r="AM183" s="50">
        <f t="shared" si="186"/>
        <v>173</v>
      </c>
      <c r="AN183" s="87">
        <f t="shared" si="147"/>
        <v>0</v>
      </c>
      <c r="AO183" s="99">
        <f t="shared" si="148"/>
        <v>0</v>
      </c>
      <c r="AP183" s="80">
        <f t="shared" si="149"/>
        <v>0</v>
      </c>
      <c r="AQ183" s="169">
        <f t="shared" si="159"/>
        <v>0</v>
      </c>
      <c r="AR183" s="188"/>
      <c r="AS183" s="170">
        <f t="shared" si="160"/>
        <v>0</v>
      </c>
      <c r="AT183" s="169"/>
      <c r="AU183" s="188"/>
      <c r="AV183" s="170"/>
      <c r="AW183" s="169">
        <f t="shared" si="161"/>
        <v>0</v>
      </c>
      <c r="AX183" s="188"/>
      <c r="AY183" s="170">
        <f t="shared" si="162"/>
        <v>0</v>
      </c>
      <c r="AZ183" s="169">
        <f t="shared" si="163"/>
        <v>0</v>
      </c>
      <c r="BA183" s="188"/>
      <c r="BB183" s="170">
        <f t="shared" si="164"/>
        <v>0</v>
      </c>
      <c r="BC183" s="169">
        <f t="shared" si="165"/>
        <v>0</v>
      </c>
      <c r="BD183" s="188"/>
      <c r="BE183" s="170">
        <f t="shared" si="166"/>
        <v>0</v>
      </c>
      <c r="BF183" s="169">
        <f t="shared" si="167"/>
        <v>0</v>
      </c>
      <c r="BG183" s="188"/>
      <c r="BH183" s="170">
        <f t="shared" si="168"/>
        <v>0</v>
      </c>
      <c r="BI183" s="169">
        <f t="shared" si="169"/>
        <v>0</v>
      </c>
      <c r="BJ183" s="188"/>
      <c r="BK183" s="170">
        <f t="shared" si="170"/>
        <v>0</v>
      </c>
      <c r="BL183" s="169">
        <f t="shared" si="171"/>
        <v>0</v>
      </c>
      <c r="BM183" s="188"/>
      <c r="BN183" s="170">
        <f t="shared" si="172"/>
        <v>0</v>
      </c>
      <c r="BO183" s="169">
        <f t="shared" si="173"/>
        <v>0</v>
      </c>
      <c r="BP183" s="188"/>
      <c r="BQ183" s="170">
        <f t="shared" si="174"/>
        <v>0</v>
      </c>
      <c r="BR183" s="169">
        <f t="shared" si="175"/>
        <v>0</v>
      </c>
      <c r="BS183" s="188"/>
      <c r="BT183" s="170">
        <f t="shared" si="176"/>
        <v>0</v>
      </c>
      <c r="BU183" s="76">
        <f t="shared" si="177"/>
        <v>0</v>
      </c>
      <c r="BV183" s="196" t="str">
        <f>LOOKUP(BU183,'الفترة الاولى'!$BX$2:$BY$6)</f>
        <v>ممتاز</v>
      </c>
      <c r="BW183" s="77" t="e">
        <f>BU183/'الفترة الاولى'!$BZ$2</f>
        <v>#DIV/0!</v>
      </c>
    </row>
    <row r="184" spans="1:75" ht="25.2" customHeight="1" thickBot="1" x14ac:dyDescent="0.3">
      <c r="A184" s="52">
        <v>174</v>
      </c>
      <c r="B184" s="55"/>
      <c r="C184" s="103"/>
      <c r="D184" s="81"/>
      <c r="E184" s="171"/>
      <c r="F184" s="94"/>
      <c r="G184" s="172">
        <f t="shared" si="178"/>
        <v>0</v>
      </c>
      <c r="H184" s="178"/>
      <c r="I184" s="94"/>
      <c r="J184" s="175">
        <f t="shared" si="179"/>
        <v>0</v>
      </c>
      <c r="K184" s="95"/>
      <c r="L184" s="94"/>
      <c r="M184" s="172">
        <f t="shared" si="180"/>
        <v>0</v>
      </c>
      <c r="N184" s="178"/>
      <c r="O184" s="94"/>
      <c r="P184" s="175">
        <f t="shared" si="181"/>
        <v>0</v>
      </c>
      <c r="Q184" s="95"/>
      <c r="R184" s="94"/>
      <c r="S184" s="172">
        <f t="shared" si="182"/>
        <v>0</v>
      </c>
      <c r="T184" s="178"/>
      <c r="U184" s="94"/>
      <c r="V184" s="175">
        <f t="shared" si="183"/>
        <v>0</v>
      </c>
      <c r="W184" s="95"/>
      <c r="X184" s="94"/>
      <c r="Y184" s="172">
        <f t="shared" si="184"/>
        <v>0</v>
      </c>
      <c r="Z184" s="178"/>
      <c r="AA184" s="94"/>
      <c r="AB184" s="173">
        <f t="shared" si="145"/>
        <v>0</v>
      </c>
      <c r="AC184" s="95"/>
      <c r="AD184" s="94"/>
      <c r="AE184" s="89">
        <f t="shared" si="146"/>
        <v>0</v>
      </c>
      <c r="AF184" s="178"/>
      <c r="AG184" s="94"/>
      <c r="AH184" s="172">
        <f t="shared" si="185"/>
        <v>0</v>
      </c>
      <c r="AI184" s="162">
        <f t="shared" si="158"/>
        <v>0</v>
      </c>
      <c r="AJ184" s="201" t="str">
        <f t="shared" si="143"/>
        <v>ممتاز</v>
      </c>
      <c r="AK184" s="66" t="e">
        <f t="shared" si="144"/>
        <v>#DIV/0!</v>
      </c>
      <c r="AM184" s="51">
        <f t="shared" si="186"/>
        <v>174</v>
      </c>
      <c r="AN184" s="88">
        <f t="shared" si="147"/>
        <v>0</v>
      </c>
      <c r="AO184" s="100">
        <f t="shared" si="148"/>
        <v>0</v>
      </c>
      <c r="AP184" s="81">
        <f t="shared" si="149"/>
        <v>0</v>
      </c>
      <c r="AQ184" s="171">
        <f t="shared" si="159"/>
        <v>0</v>
      </c>
      <c r="AR184" s="189"/>
      <c r="AS184" s="172">
        <f t="shared" si="160"/>
        <v>0</v>
      </c>
      <c r="AT184" s="171"/>
      <c r="AU184" s="189"/>
      <c r="AV184" s="172"/>
      <c r="AW184" s="171">
        <f t="shared" si="161"/>
        <v>0</v>
      </c>
      <c r="AX184" s="189"/>
      <c r="AY184" s="172">
        <f t="shared" si="162"/>
        <v>0</v>
      </c>
      <c r="AZ184" s="171">
        <f t="shared" si="163"/>
        <v>0</v>
      </c>
      <c r="BA184" s="189"/>
      <c r="BB184" s="172">
        <f t="shared" si="164"/>
        <v>0</v>
      </c>
      <c r="BC184" s="171">
        <f t="shared" si="165"/>
        <v>0</v>
      </c>
      <c r="BD184" s="189"/>
      <c r="BE184" s="172">
        <f t="shared" si="166"/>
        <v>0</v>
      </c>
      <c r="BF184" s="171">
        <f t="shared" si="167"/>
        <v>0</v>
      </c>
      <c r="BG184" s="189"/>
      <c r="BH184" s="172">
        <f t="shared" si="168"/>
        <v>0</v>
      </c>
      <c r="BI184" s="171">
        <f t="shared" si="169"/>
        <v>0</v>
      </c>
      <c r="BJ184" s="189"/>
      <c r="BK184" s="172">
        <f t="shared" si="170"/>
        <v>0</v>
      </c>
      <c r="BL184" s="171">
        <f t="shared" si="171"/>
        <v>0</v>
      </c>
      <c r="BM184" s="189"/>
      <c r="BN184" s="172">
        <f t="shared" si="172"/>
        <v>0</v>
      </c>
      <c r="BO184" s="171">
        <f t="shared" si="173"/>
        <v>0</v>
      </c>
      <c r="BP184" s="189"/>
      <c r="BQ184" s="172">
        <f t="shared" si="174"/>
        <v>0</v>
      </c>
      <c r="BR184" s="171">
        <f t="shared" si="175"/>
        <v>0</v>
      </c>
      <c r="BS184" s="189"/>
      <c r="BT184" s="172">
        <f t="shared" si="176"/>
        <v>0</v>
      </c>
      <c r="BU184" s="72">
        <f t="shared" si="177"/>
        <v>0</v>
      </c>
      <c r="BV184" s="194" t="str">
        <f>LOOKUP(BU184,'الفترة الاولى'!$BX$2:$BY$6)</f>
        <v>ممتاز</v>
      </c>
      <c r="BW184" s="73" t="e">
        <f>BU184/'الفترة الاولى'!$BZ$2</f>
        <v>#DIV/0!</v>
      </c>
    </row>
    <row r="185" spans="1:75" ht="25.2" customHeight="1" thickBot="1" x14ac:dyDescent="0.3">
      <c r="A185" s="50">
        <v>175</v>
      </c>
      <c r="B185" s="53"/>
      <c r="C185" s="101"/>
      <c r="D185" s="79"/>
      <c r="E185" s="168"/>
      <c r="F185" s="163"/>
      <c r="G185" s="89">
        <f t="shared" si="178"/>
        <v>0</v>
      </c>
      <c r="H185" s="176"/>
      <c r="I185" s="91"/>
      <c r="J185" s="173">
        <f t="shared" si="179"/>
        <v>0</v>
      </c>
      <c r="K185" s="90"/>
      <c r="L185" s="91"/>
      <c r="M185" s="89">
        <f t="shared" si="180"/>
        <v>0</v>
      </c>
      <c r="N185" s="176"/>
      <c r="O185" s="91"/>
      <c r="P185" s="173">
        <f t="shared" si="181"/>
        <v>0</v>
      </c>
      <c r="Q185" s="90"/>
      <c r="R185" s="91"/>
      <c r="S185" s="89">
        <f t="shared" si="182"/>
        <v>0</v>
      </c>
      <c r="T185" s="176"/>
      <c r="U185" s="91"/>
      <c r="V185" s="173">
        <f t="shared" si="183"/>
        <v>0</v>
      </c>
      <c r="W185" s="90"/>
      <c r="X185" s="91"/>
      <c r="Y185" s="89">
        <f t="shared" si="184"/>
        <v>0</v>
      </c>
      <c r="Z185" s="176"/>
      <c r="AA185" s="91"/>
      <c r="AB185" s="173">
        <f t="shared" si="145"/>
        <v>0</v>
      </c>
      <c r="AC185" s="90"/>
      <c r="AD185" s="91"/>
      <c r="AE185" s="89">
        <f t="shared" si="146"/>
        <v>0</v>
      </c>
      <c r="AF185" s="176"/>
      <c r="AG185" s="91"/>
      <c r="AH185" s="89">
        <f t="shared" si="185"/>
        <v>0</v>
      </c>
      <c r="AI185" s="160">
        <f t="shared" si="158"/>
        <v>0</v>
      </c>
      <c r="AJ185" s="202" t="str">
        <f t="shared" si="143"/>
        <v>ممتاز</v>
      </c>
      <c r="AK185" s="67" t="e">
        <f t="shared" si="144"/>
        <v>#DIV/0!</v>
      </c>
      <c r="AM185" s="52">
        <f t="shared" si="186"/>
        <v>175</v>
      </c>
      <c r="AN185" s="86">
        <f t="shared" si="147"/>
        <v>0</v>
      </c>
      <c r="AO185" s="98">
        <f t="shared" si="148"/>
        <v>0</v>
      </c>
      <c r="AP185" s="79">
        <f t="shared" si="149"/>
        <v>0</v>
      </c>
      <c r="AQ185" s="168">
        <f t="shared" si="159"/>
        <v>0</v>
      </c>
      <c r="AR185" s="163"/>
      <c r="AS185" s="89">
        <f t="shared" si="160"/>
        <v>0</v>
      </c>
      <c r="AT185" s="168"/>
      <c r="AU185" s="163"/>
      <c r="AV185" s="89"/>
      <c r="AW185" s="168">
        <f t="shared" si="161"/>
        <v>0</v>
      </c>
      <c r="AX185" s="163"/>
      <c r="AY185" s="89">
        <f t="shared" si="162"/>
        <v>0</v>
      </c>
      <c r="AZ185" s="168">
        <f t="shared" si="163"/>
        <v>0</v>
      </c>
      <c r="BA185" s="163"/>
      <c r="BB185" s="89">
        <f t="shared" si="164"/>
        <v>0</v>
      </c>
      <c r="BC185" s="168">
        <f t="shared" si="165"/>
        <v>0</v>
      </c>
      <c r="BD185" s="163"/>
      <c r="BE185" s="89">
        <f t="shared" si="166"/>
        <v>0</v>
      </c>
      <c r="BF185" s="168">
        <f t="shared" si="167"/>
        <v>0</v>
      </c>
      <c r="BG185" s="163"/>
      <c r="BH185" s="89">
        <f t="shared" si="168"/>
        <v>0</v>
      </c>
      <c r="BI185" s="168">
        <f t="shared" si="169"/>
        <v>0</v>
      </c>
      <c r="BJ185" s="163"/>
      <c r="BK185" s="89">
        <f t="shared" si="170"/>
        <v>0</v>
      </c>
      <c r="BL185" s="168">
        <f t="shared" si="171"/>
        <v>0</v>
      </c>
      <c r="BM185" s="163"/>
      <c r="BN185" s="89">
        <f t="shared" si="172"/>
        <v>0</v>
      </c>
      <c r="BO185" s="168">
        <f t="shared" si="173"/>
        <v>0</v>
      </c>
      <c r="BP185" s="163"/>
      <c r="BQ185" s="89">
        <f t="shared" si="174"/>
        <v>0</v>
      </c>
      <c r="BR185" s="168">
        <f t="shared" si="175"/>
        <v>0</v>
      </c>
      <c r="BS185" s="163"/>
      <c r="BT185" s="89">
        <f t="shared" si="176"/>
        <v>0</v>
      </c>
      <c r="BU185" s="74">
        <f t="shared" si="177"/>
        <v>0</v>
      </c>
      <c r="BV185" s="195" t="str">
        <f>LOOKUP(BU185,'الفترة الاولى'!$BX$2:$BY$6)</f>
        <v>ممتاز</v>
      </c>
      <c r="BW185" s="75" t="e">
        <f>BU185/'الفترة الاولى'!$BZ$2</f>
        <v>#DIV/0!</v>
      </c>
    </row>
    <row r="186" spans="1:75" ht="25.2" customHeight="1" thickBot="1" x14ac:dyDescent="0.3">
      <c r="A186" s="51">
        <v>176</v>
      </c>
      <c r="B186" s="54"/>
      <c r="C186" s="102"/>
      <c r="D186" s="80"/>
      <c r="E186" s="169"/>
      <c r="F186" s="92"/>
      <c r="G186" s="170">
        <f t="shared" si="178"/>
        <v>0</v>
      </c>
      <c r="H186" s="177"/>
      <c r="I186" s="92"/>
      <c r="J186" s="174">
        <f t="shared" si="179"/>
        <v>0</v>
      </c>
      <c r="K186" s="93"/>
      <c r="L186" s="92"/>
      <c r="M186" s="170">
        <f t="shared" si="180"/>
        <v>0</v>
      </c>
      <c r="N186" s="177"/>
      <c r="O186" s="92"/>
      <c r="P186" s="174">
        <f t="shared" si="181"/>
        <v>0</v>
      </c>
      <c r="Q186" s="93"/>
      <c r="R186" s="92"/>
      <c r="S186" s="170">
        <f t="shared" si="182"/>
        <v>0</v>
      </c>
      <c r="T186" s="177"/>
      <c r="U186" s="92"/>
      <c r="V186" s="174">
        <f t="shared" si="183"/>
        <v>0</v>
      </c>
      <c r="W186" s="93"/>
      <c r="X186" s="92"/>
      <c r="Y186" s="170">
        <f t="shared" si="184"/>
        <v>0</v>
      </c>
      <c r="Z186" s="177"/>
      <c r="AA186" s="92"/>
      <c r="AB186" s="173">
        <f t="shared" si="145"/>
        <v>0</v>
      </c>
      <c r="AC186" s="93"/>
      <c r="AD186" s="92"/>
      <c r="AE186" s="89">
        <f t="shared" si="146"/>
        <v>0</v>
      </c>
      <c r="AF186" s="177"/>
      <c r="AG186" s="92"/>
      <c r="AH186" s="170">
        <f t="shared" si="185"/>
        <v>0</v>
      </c>
      <c r="AI186" s="161">
        <f t="shared" si="158"/>
        <v>0</v>
      </c>
      <c r="AJ186" s="200" t="str">
        <f t="shared" si="143"/>
        <v>ممتاز</v>
      </c>
      <c r="AK186" s="65" t="e">
        <f t="shared" si="144"/>
        <v>#DIV/0!</v>
      </c>
      <c r="AM186" s="50">
        <f t="shared" si="186"/>
        <v>176</v>
      </c>
      <c r="AN186" s="87">
        <f t="shared" si="147"/>
        <v>0</v>
      </c>
      <c r="AO186" s="99">
        <f t="shared" si="148"/>
        <v>0</v>
      </c>
      <c r="AP186" s="80">
        <f t="shared" si="149"/>
        <v>0</v>
      </c>
      <c r="AQ186" s="169">
        <f t="shared" si="159"/>
        <v>0</v>
      </c>
      <c r="AR186" s="188"/>
      <c r="AS186" s="170">
        <f t="shared" si="160"/>
        <v>0</v>
      </c>
      <c r="AT186" s="169"/>
      <c r="AU186" s="188"/>
      <c r="AV186" s="170"/>
      <c r="AW186" s="169">
        <f t="shared" si="161"/>
        <v>0</v>
      </c>
      <c r="AX186" s="188"/>
      <c r="AY186" s="170">
        <f t="shared" si="162"/>
        <v>0</v>
      </c>
      <c r="AZ186" s="169">
        <f t="shared" si="163"/>
        <v>0</v>
      </c>
      <c r="BA186" s="188"/>
      <c r="BB186" s="170">
        <f t="shared" si="164"/>
        <v>0</v>
      </c>
      <c r="BC186" s="169">
        <f t="shared" si="165"/>
        <v>0</v>
      </c>
      <c r="BD186" s="188"/>
      <c r="BE186" s="170">
        <f t="shared" si="166"/>
        <v>0</v>
      </c>
      <c r="BF186" s="169">
        <f t="shared" si="167"/>
        <v>0</v>
      </c>
      <c r="BG186" s="188"/>
      <c r="BH186" s="170">
        <f t="shared" si="168"/>
        <v>0</v>
      </c>
      <c r="BI186" s="169">
        <f t="shared" si="169"/>
        <v>0</v>
      </c>
      <c r="BJ186" s="188"/>
      <c r="BK186" s="170">
        <f t="shared" si="170"/>
        <v>0</v>
      </c>
      <c r="BL186" s="169">
        <f t="shared" si="171"/>
        <v>0</v>
      </c>
      <c r="BM186" s="188"/>
      <c r="BN186" s="170">
        <f t="shared" si="172"/>
        <v>0</v>
      </c>
      <c r="BO186" s="169">
        <f t="shared" si="173"/>
        <v>0</v>
      </c>
      <c r="BP186" s="188"/>
      <c r="BQ186" s="170">
        <f t="shared" si="174"/>
        <v>0</v>
      </c>
      <c r="BR186" s="169">
        <f t="shared" si="175"/>
        <v>0</v>
      </c>
      <c r="BS186" s="188"/>
      <c r="BT186" s="170">
        <f t="shared" si="176"/>
        <v>0</v>
      </c>
      <c r="BU186" s="76">
        <f t="shared" si="177"/>
        <v>0</v>
      </c>
      <c r="BV186" s="196" t="str">
        <f>LOOKUP(BU186,'الفترة الاولى'!$BX$2:$BY$6)</f>
        <v>ممتاز</v>
      </c>
      <c r="BW186" s="77" t="e">
        <f>BU186/'الفترة الاولى'!$BZ$2</f>
        <v>#DIV/0!</v>
      </c>
    </row>
    <row r="187" spans="1:75" ht="25.2" customHeight="1" thickBot="1" x14ac:dyDescent="0.3">
      <c r="A187" s="52">
        <v>177</v>
      </c>
      <c r="B187" s="55"/>
      <c r="C187" s="103"/>
      <c r="D187" s="81"/>
      <c r="E187" s="171"/>
      <c r="F187" s="94"/>
      <c r="G187" s="172">
        <f t="shared" si="178"/>
        <v>0</v>
      </c>
      <c r="H187" s="178"/>
      <c r="I187" s="94"/>
      <c r="J187" s="175">
        <f t="shared" si="179"/>
        <v>0</v>
      </c>
      <c r="K187" s="95"/>
      <c r="L187" s="94"/>
      <c r="M187" s="172">
        <f t="shared" si="180"/>
        <v>0</v>
      </c>
      <c r="N187" s="178"/>
      <c r="O187" s="94"/>
      <c r="P187" s="175">
        <f t="shared" si="181"/>
        <v>0</v>
      </c>
      <c r="Q187" s="95"/>
      <c r="R187" s="94"/>
      <c r="S187" s="172">
        <f t="shared" si="182"/>
        <v>0</v>
      </c>
      <c r="T187" s="178"/>
      <c r="U187" s="94"/>
      <c r="V187" s="175">
        <f t="shared" si="183"/>
        <v>0</v>
      </c>
      <c r="W187" s="95"/>
      <c r="X187" s="94"/>
      <c r="Y187" s="172">
        <f t="shared" si="184"/>
        <v>0</v>
      </c>
      <c r="Z187" s="178"/>
      <c r="AA187" s="94"/>
      <c r="AB187" s="173">
        <f t="shared" si="145"/>
        <v>0</v>
      </c>
      <c r="AC187" s="95"/>
      <c r="AD187" s="94"/>
      <c r="AE187" s="89">
        <f t="shared" si="146"/>
        <v>0</v>
      </c>
      <c r="AF187" s="178"/>
      <c r="AG187" s="94"/>
      <c r="AH187" s="172">
        <f t="shared" si="185"/>
        <v>0</v>
      </c>
      <c r="AI187" s="162">
        <f t="shared" si="158"/>
        <v>0</v>
      </c>
      <c r="AJ187" s="201" t="str">
        <f t="shared" si="143"/>
        <v>ممتاز</v>
      </c>
      <c r="AK187" s="66" t="e">
        <f t="shared" si="144"/>
        <v>#DIV/0!</v>
      </c>
      <c r="AM187" s="51">
        <f t="shared" si="186"/>
        <v>177</v>
      </c>
      <c r="AN187" s="88">
        <f t="shared" si="147"/>
        <v>0</v>
      </c>
      <c r="AO187" s="100">
        <f t="shared" si="148"/>
        <v>0</v>
      </c>
      <c r="AP187" s="81">
        <f t="shared" si="149"/>
        <v>0</v>
      </c>
      <c r="AQ187" s="171">
        <f t="shared" si="159"/>
        <v>0</v>
      </c>
      <c r="AR187" s="189"/>
      <c r="AS187" s="172">
        <f t="shared" si="160"/>
        <v>0</v>
      </c>
      <c r="AT187" s="171"/>
      <c r="AU187" s="189"/>
      <c r="AV187" s="172"/>
      <c r="AW187" s="171">
        <f t="shared" si="161"/>
        <v>0</v>
      </c>
      <c r="AX187" s="189"/>
      <c r="AY187" s="172">
        <f t="shared" si="162"/>
        <v>0</v>
      </c>
      <c r="AZ187" s="171">
        <f t="shared" si="163"/>
        <v>0</v>
      </c>
      <c r="BA187" s="189"/>
      <c r="BB187" s="172">
        <f t="shared" si="164"/>
        <v>0</v>
      </c>
      <c r="BC187" s="171">
        <f t="shared" si="165"/>
        <v>0</v>
      </c>
      <c r="BD187" s="189"/>
      <c r="BE187" s="172">
        <f t="shared" si="166"/>
        <v>0</v>
      </c>
      <c r="BF187" s="171">
        <f t="shared" si="167"/>
        <v>0</v>
      </c>
      <c r="BG187" s="189"/>
      <c r="BH187" s="172">
        <f t="shared" si="168"/>
        <v>0</v>
      </c>
      <c r="BI187" s="171">
        <f t="shared" si="169"/>
        <v>0</v>
      </c>
      <c r="BJ187" s="189"/>
      <c r="BK187" s="172">
        <f t="shared" si="170"/>
        <v>0</v>
      </c>
      <c r="BL187" s="171">
        <f t="shared" si="171"/>
        <v>0</v>
      </c>
      <c r="BM187" s="189"/>
      <c r="BN187" s="172">
        <f t="shared" si="172"/>
        <v>0</v>
      </c>
      <c r="BO187" s="171">
        <f t="shared" si="173"/>
        <v>0</v>
      </c>
      <c r="BP187" s="189"/>
      <c r="BQ187" s="172">
        <f t="shared" si="174"/>
        <v>0</v>
      </c>
      <c r="BR187" s="171">
        <f t="shared" si="175"/>
        <v>0</v>
      </c>
      <c r="BS187" s="189"/>
      <c r="BT187" s="172">
        <f t="shared" si="176"/>
        <v>0</v>
      </c>
      <c r="BU187" s="72">
        <f t="shared" si="177"/>
        <v>0</v>
      </c>
      <c r="BV187" s="194" t="str">
        <f>LOOKUP(BU187,'الفترة الاولى'!$BX$2:$BY$6)</f>
        <v>ممتاز</v>
      </c>
      <c r="BW187" s="73" t="e">
        <f>BU187/'الفترة الاولى'!$BZ$2</f>
        <v>#DIV/0!</v>
      </c>
    </row>
    <row r="188" spans="1:75" ht="25.2" customHeight="1" thickBot="1" x14ac:dyDescent="0.3">
      <c r="A188" s="50">
        <v>178</v>
      </c>
      <c r="B188" s="53"/>
      <c r="C188" s="101"/>
      <c r="D188" s="79"/>
      <c r="E188" s="168"/>
      <c r="F188" s="163"/>
      <c r="G188" s="89">
        <f t="shared" si="178"/>
        <v>0</v>
      </c>
      <c r="H188" s="176"/>
      <c r="I188" s="91"/>
      <c r="J188" s="173">
        <f t="shared" si="179"/>
        <v>0</v>
      </c>
      <c r="K188" s="90"/>
      <c r="L188" s="91"/>
      <c r="M188" s="89">
        <f t="shared" si="180"/>
        <v>0</v>
      </c>
      <c r="N188" s="176"/>
      <c r="O188" s="91"/>
      <c r="P188" s="173">
        <f t="shared" si="181"/>
        <v>0</v>
      </c>
      <c r="Q188" s="90"/>
      <c r="R188" s="91"/>
      <c r="S188" s="89">
        <f t="shared" si="182"/>
        <v>0</v>
      </c>
      <c r="T188" s="176"/>
      <c r="U188" s="91"/>
      <c r="V188" s="173">
        <f t="shared" si="183"/>
        <v>0</v>
      </c>
      <c r="W188" s="90"/>
      <c r="X188" s="91"/>
      <c r="Y188" s="89">
        <f t="shared" si="184"/>
        <v>0</v>
      </c>
      <c r="Z188" s="176"/>
      <c r="AA188" s="91"/>
      <c r="AB188" s="173">
        <f t="shared" si="145"/>
        <v>0</v>
      </c>
      <c r="AC188" s="90"/>
      <c r="AD188" s="91"/>
      <c r="AE188" s="89">
        <f t="shared" si="146"/>
        <v>0</v>
      </c>
      <c r="AF188" s="176"/>
      <c r="AG188" s="91"/>
      <c r="AH188" s="89">
        <f t="shared" si="185"/>
        <v>0</v>
      </c>
      <c r="AI188" s="160">
        <f t="shared" si="158"/>
        <v>0</v>
      </c>
      <c r="AJ188" s="202" t="str">
        <f t="shared" si="143"/>
        <v>ممتاز</v>
      </c>
      <c r="AK188" s="67" t="e">
        <f t="shared" si="144"/>
        <v>#DIV/0!</v>
      </c>
      <c r="AM188" s="52">
        <f t="shared" si="186"/>
        <v>178</v>
      </c>
      <c r="AN188" s="86">
        <f t="shared" si="147"/>
        <v>0</v>
      </c>
      <c r="AO188" s="98">
        <f t="shared" si="148"/>
        <v>0</v>
      </c>
      <c r="AP188" s="79">
        <f t="shared" si="149"/>
        <v>0</v>
      </c>
      <c r="AQ188" s="168">
        <f t="shared" si="159"/>
        <v>0</v>
      </c>
      <c r="AR188" s="163"/>
      <c r="AS188" s="89">
        <f t="shared" si="160"/>
        <v>0</v>
      </c>
      <c r="AT188" s="168"/>
      <c r="AU188" s="163"/>
      <c r="AV188" s="89"/>
      <c r="AW188" s="168">
        <f t="shared" si="161"/>
        <v>0</v>
      </c>
      <c r="AX188" s="163"/>
      <c r="AY188" s="89">
        <f t="shared" si="162"/>
        <v>0</v>
      </c>
      <c r="AZ188" s="168">
        <f t="shared" si="163"/>
        <v>0</v>
      </c>
      <c r="BA188" s="163"/>
      <c r="BB188" s="89">
        <f t="shared" si="164"/>
        <v>0</v>
      </c>
      <c r="BC188" s="168">
        <f t="shared" si="165"/>
        <v>0</v>
      </c>
      <c r="BD188" s="163"/>
      <c r="BE188" s="89">
        <f t="shared" si="166"/>
        <v>0</v>
      </c>
      <c r="BF188" s="168">
        <f t="shared" si="167"/>
        <v>0</v>
      </c>
      <c r="BG188" s="163"/>
      <c r="BH188" s="89">
        <f t="shared" si="168"/>
        <v>0</v>
      </c>
      <c r="BI188" s="168">
        <f t="shared" si="169"/>
        <v>0</v>
      </c>
      <c r="BJ188" s="163"/>
      <c r="BK188" s="89">
        <f t="shared" si="170"/>
        <v>0</v>
      </c>
      <c r="BL188" s="168">
        <f t="shared" si="171"/>
        <v>0</v>
      </c>
      <c r="BM188" s="163"/>
      <c r="BN188" s="89">
        <f t="shared" si="172"/>
        <v>0</v>
      </c>
      <c r="BO188" s="168">
        <f t="shared" si="173"/>
        <v>0</v>
      </c>
      <c r="BP188" s="163"/>
      <c r="BQ188" s="89">
        <f t="shared" si="174"/>
        <v>0</v>
      </c>
      <c r="BR188" s="168">
        <f t="shared" si="175"/>
        <v>0</v>
      </c>
      <c r="BS188" s="163"/>
      <c r="BT188" s="89">
        <f t="shared" si="176"/>
        <v>0</v>
      </c>
      <c r="BU188" s="74">
        <f t="shared" si="177"/>
        <v>0</v>
      </c>
      <c r="BV188" s="195" t="str">
        <f>LOOKUP(BU188,'الفترة الاولى'!$BX$2:$BY$6)</f>
        <v>ممتاز</v>
      </c>
      <c r="BW188" s="75" t="e">
        <f>BU188/'الفترة الاولى'!$BZ$2</f>
        <v>#DIV/0!</v>
      </c>
    </row>
    <row r="189" spans="1:75" ht="25.2" customHeight="1" thickBot="1" x14ac:dyDescent="0.3">
      <c r="A189" s="51">
        <v>179</v>
      </c>
      <c r="B189" s="54"/>
      <c r="C189" s="102"/>
      <c r="D189" s="80"/>
      <c r="E189" s="169"/>
      <c r="F189" s="92"/>
      <c r="G189" s="170">
        <f t="shared" si="178"/>
        <v>0</v>
      </c>
      <c r="H189" s="177"/>
      <c r="I189" s="92"/>
      <c r="J189" s="174">
        <f t="shared" si="179"/>
        <v>0</v>
      </c>
      <c r="K189" s="93"/>
      <c r="L189" s="92"/>
      <c r="M189" s="170">
        <f t="shared" si="180"/>
        <v>0</v>
      </c>
      <c r="N189" s="177"/>
      <c r="O189" s="92"/>
      <c r="P189" s="174">
        <f t="shared" si="181"/>
        <v>0</v>
      </c>
      <c r="Q189" s="93"/>
      <c r="R189" s="92"/>
      <c r="S189" s="170">
        <f t="shared" si="182"/>
        <v>0</v>
      </c>
      <c r="T189" s="177"/>
      <c r="U189" s="92"/>
      <c r="V189" s="174">
        <f t="shared" si="183"/>
        <v>0</v>
      </c>
      <c r="W189" s="93"/>
      <c r="X189" s="92"/>
      <c r="Y189" s="170">
        <f t="shared" si="184"/>
        <v>0</v>
      </c>
      <c r="Z189" s="177"/>
      <c r="AA189" s="92"/>
      <c r="AB189" s="173">
        <f t="shared" si="145"/>
        <v>0</v>
      </c>
      <c r="AC189" s="93"/>
      <c r="AD189" s="92"/>
      <c r="AE189" s="89">
        <f t="shared" si="146"/>
        <v>0</v>
      </c>
      <c r="AF189" s="177"/>
      <c r="AG189" s="92"/>
      <c r="AH189" s="170">
        <f t="shared" si="185"/>
        <v>0</v>
      </c>
      <c r="AI189" s="161">
        <f t="shared" si="158"/>
        <v>0</v>
      </c>
      <c r="AJ189" s="200" t="str">
        <f t="shared" si="143"/>
        <v>ممتاز</v>
      </c>
      <c r="AK189" s="65" t="e">
        <f t="shared" si="144"/>
        <v>#DIV/0!</v>
      </c>
      <c r="AM189" s="50">
        <f t="shared" si="186"/>
        <v>179</v>
      </c>
      <c r="AN189" s="87">
        <f t="shared" si="147"/>
        <v>0</v>
      </c>
      <c r="AO189" s="99">
        <f t="shared" si="148"/>
        <v>0</v>
      </c>
      <c r="AP189" s="80">
        <f t="shared" si="149"/>
        <v>0</v>
      </c>
      <c r="AQ189" s="169">
        <f t="shared" si="159"/>
        <v>0</v>
      </c>
      <c r="AR189" s="188"/>
      <c r="AS189" s="170">
        <f t="shared" si="160"/>
        <v>0</v>
      </c>
      <c r="AT189" s="169"/>
      <c r="AU189" s="188"/>
      <c r="AV189" s="170"/>
      <c r="AW189" s="169">
        <f t="shared" si="161"/>
        <v>0</v>
      </c>
      <c r="AX189" s="188"/>
      <c r="AY189" s="170">
        <f t="shared" si="162"/>
        <v>0</v>
      </c>
      <c r="AZ189" s="169">
        <f t="shared" si="163"/>
        <v>0</v>
      </c>
      <c r="BA189" s="188"/>
      <c r="BB189" s="170">
        <f t="shared" si="164"/>
        <v>0</v>
      </c>
      <c r="BC189" s="169">
        <f t="shared" si="165"/>
        <v>0</v>
      </c>
      <c r="BD189" s="188"/>
      <c r="BE189" s="170">
        <f t="shared" si="166"/>
        <v>0</v>
      </c>
      <c r="BF189" s="169">
        <f t="shared" si="167"/>
        <v>0</v>
      </c>
      <c r="BG189" s="188"/>
      <c r="BH189" s="170">
        <f t="shared" si="168"/>
        <v>0</v>
      </c>
      <c r="BI189" s="169">
        <f t="shared" si="169"/>
        <v>0</v>
      </c>
      <c r="BJ189" s="188"/>
      <c r="BK189" s="170">
        <f t="shared" si="170"/>
        <v>0</v>
      </c>
      <c r="BL189" s="169">
        <f t="shared" si="171"/>
        <v>0</v>
      </c>
      <c r="BM189" s="188"/>
      <c r="BN189" s="170">
        <f t="shared" si="172"/>
        <v>0</v>
      </c>
      <c r="BO189" s="169">
        <f t="shared" si="173"/>
        <v>0</v>
      </c>
      <c r="BP189" s="188"/>
      <c r="BQ189" s="170">
        <f t="shared" si="174"/>
        <v>0</v>
      </c>
      <c r="BR189" s="169">
        <f t="shared" si="175"/>
        <v>0</v>
      </c>
      <c r="BS189" s="188"/>
      <c r="BT189" s="170">
        <f t="shared" si="176"/>
        <v>0</v>
      </c>
      <c r="BU189" s="76">
        <f t="shared" si="177"/>
        <v>0</v>
      </c>
      <c r="BV189" s="196" t="str">
        <f>LOOKUP(BU189,'الفترة الاولى'!$BX$2:$BY$6)</f>
        <v>ممتاز</v>
      </c>
      <c r="BW189" s="77" t="e">
        <f>BU189/'الفترة الاولى'!$BZ$2</f>
        <v>#DIV/0!</v>
      </c>
    </row>
    <row r="190" spans="1:75" ht="25.2" customHeight="1" thickBot="1" x14ac:dyDescent="0.3">
      <c r="A190" s="52">
        <v>180</v>
      </c>
      <c r="B190" s="55"/>
      <c r="C190" s="103"/>
      <c r="D190" s="81"/>
      <c r="E190" s="171"/>
      <c r="F190" s="94"/>
      <c r="G190" s="172">
        <f t="shared" si="178"/>
        <v>0</v>
      </c>
      <c r="H190" s="178"/>
      <c r="I190" s="94"/>
      <c r="J190" s="175">
        <f t="shared" si="179"/>
        <v>0</v>
      </c>
      <c r="K190" s="95"/>
      <c r="L190" s="94"/>
      <c r="M190" s="172">
        <f t="shared" si="180"/>
        <v>0</v>
      </c>
      <c r="N190" s="178"/>
      <c r="O190" s="94"/>
      <c r="P190" s="175">
        <f t="shared" si="181"/>
        <v>0</v>
      </c>
      <c r="Q190" s="95"/>
      <c r="R190" s="94"/>
      <c r="S190" s="172">
        <f t="shared" si="182"/>
        <v>0</v>
      </c>
      <c r="T190" s="178"/>
      <c r="U190" s="94"/>
      <c r="V190" s="175">
        <f t="shared" si="183"/>
        <v>0</v>
      </c>
      <c r="W190" s="95"/>
      <c r="X190" s="94"/>
      <c r="Y190" s="172">
        <f t="shared" si="184"/>
        <v>0</v>
      </c>
      <c r="Z190" s="178"/>
      <c r="AA190" s="94"/>
      <c r="AB190" s="173">
        <f t="shared" si="145"/>
        <v>0</v>
      </c>
      <c r="AC190" s="95"/>
      <c r="AD190" s="94"/>
      <c r="AE190" s="89">
        <f t="shared" si="146"/>
        <v>0</v>
      </c>
      <c r="AF190" s="178"/>
      <c r="AG190" s="94"/>
      <c r="AH190" s="172">
        <f t="shared" si="185"/>
        <v>0</v>
      </c>
      <c r="AI190" s="162">
        <f t="shared" si="158"/>
        <v>0</v>
      </c>
      <c r="AJ190" s="201" t="str">
        <f t="shared" si="143"/>
        <v>ممتاز</v>
      </c>
      <c r="AK190" s="66" t="e">
        <f t="shared" si="144"/>
        <v>#DIV/0!</v>
      </c>
      <c r="AM190" s="51">
        <f t="shared" si="186"/>
        <v>180</v>
      </c>
      <c r="AN190" s="88">
        <f t="shared" si="147"/>
        <v>0</v>
      </c>
      <c r="AO190" s="100">
        <f t="shared" si="148"/>
        <v>0</v>
      </c>
      <c r="AP190" s="81">
        <f t="shared" si="149"/>
        <v>0</v>
      </c>
      <c r="AQ190" s="171">
        <f t="shared" si="159"/>
        <v>0</v>
      </c>
      <c r="AR190" s="189"/>
      <c r="AS190" s="172">
        <f t="shared" si="160"/>
        <v>0</v>
      </c>
      <c r="AT190" s="171"/>
      <c r="AU190" s="189"/>
      <c r="AV190" s="172"/>
      <c r="AW190" s="171">
        <f t="shared" si="161"/>
        <v>0</v>
      </c>
      <c r="AX190" s="189"/>
      <c r="AY190" s="172">
        <f t="shared" si="162"/>
        <v>0</v>
      </c>
      <c r="AZ190" s="171">
        <f t="shared" si="163"/>
        <v>0</v>
      </c>
      <c r="BA190" s="189"/>
      <c r="BB190" s="172">
        <f t="shared" si="164"/>
        <v>0</v>
      </c>
      <c r="BC190" s="171">
        <f t="shared" si="165"/>
        <v>0</v>
      </c>
      <c r="BD190" s="189"/>
      <c r="BE190" s="172">
        <f t="shared" si="166"/>
        <v>0</v>
      </c>
      <c r="BF190" s="171">
        <f t="shared" si="167"/>
        <v>0</v>
      </c>
      <c r="BG190" s="189"/>
      <c r="BH190" s="172">
        <f t="shared" si="168"/>
        <v>0</v>
      </c>
      <c r="BI190" s="171">
        <f t="shared" si="169"/>
        <v>0</v>
      </c>
      <c r="BJ190" s="189"/>
      <c r="BK190" s="172">
        <f t="shared" si="170"/>
        <v>0</v>
      </c>
      <c r="BL190" s="171">
        <f t="shared" si="171"/>
        <v>0</v>
      </c>
      <c r="BM190" s="189"/>
      <c r="BN190" s="172">
        <f t="shared" si="172"/>
        <v>0</v>
      </c>
      <c r="BO190" s="171">
        <f t="shared" si="173"/>
        <v>0</v>
      </c>
      <c r="BP190" s="189"/>
      <c r="BQ190" s="172">
        <f t="shared" si="174"/>
        <v>0</v>
      </c>
      <c r="BR190" s="171">
        <f t="shared" si="175"/>
        <v>0</v>
      </c>
      <c r="BS190" s="189"/>
      <c r="BT190" s="172">
        <f t="shared" si="176"/>
        <v>0</v>
      </c>
      <c r="BU190" s="72">
        <f t="shared" si="177"/>
        <v>0</v>
      </c>
      <c r="BV190" s="194" t="str">
        <f>LOOKUP(BU190,'الفترة الاولى'!$BX$2:$BY$6)</f>
        <v>ممتاز</v>
      </c>
      <c r="BW190" s="73" t="e">
        <f>BU190/'الفترة الاولى'!$BZ$2</f>
        <v>#DIV/0!</v>
      </c>
    </row>
    <row r="191" spans="1:75" ht="25.2" customHeight="1" thickBot="1" x14ac:dyDescent="0.3">
      <c r="A191" s="50">
        <v>181</v>
      </c>
      <c r="B191" s="53"/>
      <c r="C191" s="101"/>
      <c r="D191" s="79"/>
      <c r="E191" s="168"/>
      <c r="F191" s="163"/>
      <c r="G191" s="89">
        <f t="shared" si="178"/>
        <v>0</v>
      </c>
      <c r="H191" s="176"/>
      <c r="I191" s="91"/>
      <c r="J191" s="173">
        <f t="shared" si="179"/>
        <v>0</v>
      </c>
      <c r="K191" s="90"/>
      <c r="L191" s="91"/>
      <c r="M191" s="89">
        <f t="shared" si="180"/>
        <v>0</v>
      </c>
      <c r="N191" s="176"/>
      <c r="O191" s="91"/>
      <c r="P191" s="173">
        <f t="shared" si="181"/>
        <v>0</v>
      </c>
      <c r="Q191" s="90"/>
      <c r="R191" s="91"/>
      <c r="S191" s="89">
        <f t="shared" si="182"/>
        <v>0</v>
      </c>
      <c r="T191" s="176"/>
      <c r="U191" s="91"/>
      <c r="V191" s="173">
        <f t="shared" si="183"/>
        <v>0</v>
      </c>
      <c r="W191" s="90"/>
      <c r="X191" s="91"/>
      <c r="Y191" s="89">
        <f t="shared" si="184"/>
        <v>0</v>
      </c>
      <c r="Z191" s="176"/>
      <c r="AA191" s="91"/>
      <c r="AB191" s="173">
        <f t="shared" si="145"/>
        <v>0</v>
      </c>
      <c r="AC191" s="90"/>
      <c r="AD191" s="91"/>
      <c r="AE191" s="89">
        <f t="shared" si="146"/>
        <v>0</v>
      </c>
      <c r="AF191" s="176"/>
      <c r="AG191" s="91"/>
      <c r="AH191" s="89">
        <f t="shared" si="185"/>
        <v>0</v>
      </c>
      <c r="AI191" s="160">
        <f t="shared" si="158"/>
        <v>0</v>
      </c>
      <c r="AJ191" s="202" t="str">
        <f t="shared" si="143"/>
        <v>ممتاز</v>
      </c>
      <c r="AK191" s="67" t="e">
        <f t="shared" si="144"/>
        <v>#DIV/0!</v>
      </c>
      <c r="AM191" s="52">
        <f t="shared" si="186"/>
        <v>181</v>
      </c>
      <c r="AN191" s="86">
        <f t="shared" si="147"/>
        <v>0</v>
      </c>
      <c r="AO191" s="98">
        <f t="shared" si="148"/>
        <v>0</v>
      </c>
      <c r="AP191" s="79">
        <f t="shared" si="149"/>
        <v>0</v>
      </c>
      <c r="AQ191" s="168">
        <f t="shared" si="159"/>
        <v>0</v>
      </c>
      <c r="AR191" s="163"/>
      <c r="AS191" s="89">
        <f t="shared" si="160"/>
        <v>0</v>
      </c>
      <c r="AT191" s="168"/>
      <c r="AU191" s="163"/>
      <c r="AV191" s="89"/>
      <c r="AW191" s="168">
        <f t="shared" si="161"/>
        <v>0</v>
      </c>
      <c r="AX191" s="163"/>
      <c r="AY191" s="89">
        <f t="shared" si="162"/>
        <v>0</v>
      </c>
      <c r="AZ191" s="168">
        <f t="shared" si="163"/>
        <v>0</v>
      </c>
      <c r="BA191" s="163"/>
      <c r="BB191" s="89">
        <f t="shared" si="164"/>
        <v>0</v>
      </c>
      <c r="BC191" s="168">
        <f t="shared" si="165"/>
        <v>0</v>
      </c>
      <c r="BD191" s="163"/>
      <c r="BE191" s="89">
        <f t="shared" si="166"/>
        <v>0</v>
      </c>
      <c r="BF191" s="168">
        <f t="shared" si="167"/>
        <v>0</v>
      </c>
      <c r="BG191" s="163"/>
      <c r="BH191" s="89">
        <f t="shared" si="168"/>
        <v>0</v>
      </c>
      <c r="BI191" s="168">
        <f t="shared" si="169"/>
        <v>0</v>
      </c>
      <c r="BJ191" s="163"/>
      <c r="BK191" s="89">
        <f t="shared" si="170"/>
        <v>0</v>
      </c>
      <c r="BL191" s="168">
        <f t="shared" si="171"/>
        <v>0</v>
      </c>
      <c r="BM191" s="163"/>
      <c r="BN191" s="89">
        <f t="shared" si="172"/>
        <v>0</v>
      </c>
      <c r="BO191" s="168">
        <f t="shared" si="173"/>
        <v>0</v>
      </c>
      <c r="BP191" s="163"/>
      <c r="BQ191" s="89">
        <f t="shared" si="174"/>
        <v>0</v>
      </c>
      <c r="BR191" s="168">
        <f t="shared" si="175"/>
        <v>0</v>
      </c>
      <c r="BS191" s="163"/>
      <c r="BT191" s="89">
        <f t="shared" si="176"/>
        <v>0</v>
      </c>
      <c r="BU191" s="74">
        <f t="shared" si="177"/>
        <v>0</v>
      </c>
      <c r="BV191" s="195" t="str">
        <f>LOOKUP(BU191,'الفترة الاولى'!$BX$2:$BY$6)</f>
        <v>ممتاز</v>
      </c>
      <c r="BW191" s="75" t="e">
        <f>BU191/'الفترة الاولى'!$BZ$2</f>
        <v>#DIV/0!</v>
      </c>
    </row>
    <row r="192" spans="1:75" ht="25.2" customHeight="1" thickBot="1" x14ac:dyDescent="0.3">
      <c r="A192" s="51">
        <v>182</v>
      </c>
      <c r="B192" s="54"/>
      <c r="C192" s="102"/>
      <c r="D192" s="80"/>
      <c r="E192" s="169"/>
      <c r="F192" s="92"/>
      <c r="G192" s="170">
        <f t="shared" si="178"/>
        <v>0</v>
      </c>
      <c r="H192" s="177"/>
      <c r="I192" s="92"/>
      <c r="J192" s="174">
        <f t="shared" si="179"/>
        <v>0</v>
      </c>
      <c r="K192" s="93"/>
      <c r="L192" s="92"/>
      <c r="M192" s="170">
        <f t="shared" si="180"/>
        <v>0</v>
      </c>
      <c r="N192" s="177"/>
      <c r="O192" s="92"/>
      <c r="P192" s="174">
        <f t="shared" si="181"/>
        <v>0</v>
      </c>
      <c r="Q192" s="93"/>
      <c r="R192" s="92"/>
      <c r="S192" s="170">
        <f t="shared" si="182"/>
        <v>0</v>
      </c>
      <c r="T192" s="177"/>
      <c r="U192" s="92"/>
      <c r="V192" s="174">
        <f t="shared" si="183"/>
        <v>0</v>
      </c>
      <c r="W192" s="93"/>
      <c r="X192" s="92"/>
      <c r="Y192" s="170">
        <f t="shared" si="184"/>
        <v>0</v>
      </c>
      <c r="Z192" s="177"/>
      <c r="AA192" s="92"/>
      <c r="AB192" s="173">
        <f t="shared" si="145"/>
        <v>0</v>
      </c>
      <c r="AC192" s="93"/>
      <c r="AD192" s="92"/>
      <c r="AE192" s="89">
        <f t="shared" si="146"/>
        <v>0</v>
      </c>
      <c r="AF192" s="177"/>
      <c r="AG192" s="92"/>
      <c r="AH192" s="170">
        <f t="shared" si="185"/>
        <v>0</v>
      </c>
      <c r="AI192" s="161">
        <f t="shared" si="158"/>
        <v>0</v>
      </c>
      <c r="AJ192" s="200" t="str">
        <f t="shared" si="143"/>
        <v>ممتاز</v>
      </c>
      <c r="AK192" s="65" t="e">
        <f t="shared" si="144"/>
        <v>#DIV/0!</v>
      </c>
      <c r="AM192" s="50">
        <f t="shared" si="186"/>
        <v>182</v>
      </c>
      <c r="AN192" s="87">
        <f t="shared" si="147"/>
        <v>0</v>
      </c>
      <c r="AO192" s="99">
        <f t="shared" si="148"/>
        <v>0</v>
      </c>
      <c r="AP192" s="80">
        <f t="shared" si="149"/>
        <v>0</v>
      </c>
      <c r="AQ192" s="169">
        <f t="shared" si="159"/>
        <v>0</v>
      </c>
      <c r="AR192" s="188"/>
      <c r="AS192" s="170">
        <f t="shared" si="160"/>
        <v>0</v>
      </c>
      <c r="AT192" s="169"/>
      <c r="AU192" s="188"/>
      <c r="AV192" s="170"/>
      <c r="AW192" s="169">
        <f t="shared" si="161"/>
        <v>0</v>
      </c>
      <c r="AX192" s="188"/>
      <c r="AY192" s="170">
        <f t="shared" si="162"/>
        <v>0</v>
      </c>
      <c r="AZ192" s="169">
        <f t="shared" si="163"/>
        <v>0</v>
      </c>
      <c r="BA192" s="188"/>
      <c r="BB192" s="170">
        <f t="shared" si="164"/>
        <v>0</v>
      </c>
      <c r="BC192" s="169">
        <f t="shared" si="165"/>
        <v>0</v>
      </c>
      <c r="BD192" s="188"/>
      <c r="BE192" s="170">
        <f t="shared" si="166"/>
        <v>0</v>
      </c>
      <c r="BF192" s="169">
        <f t="shared" si="167"/>
        <v>0</v>
      </c>
      <c r="BG192" s="188"/>
      <c r="BH192" s="170">
        <f t="shared" si="168"/>
        <v>0</v>
      </c>
      <c r="BI192" s="169">
        <f t="shared" si="169"/>
        <v>0</v>
      </c>
      <c r="BJ192" s="188"/>
      <c r="BK192" s="170">
        <f t="shared" si="170"/>
        <v>0</v>
      </c>
      <c r="BL192" s="169">
        <f t="shared" si="171"/>
        <v>0</v>
      </c>
      <c r="BM192" s="188"/>
      <c r="BN192" s="170">
        <f t="shared" si="172"/>
        <v>0</v>
      </c>
      <c r="BO192" s="169">
        <f t="shared" si="173"/>
        <v>0</v>
      </c>
      <c r="BP192" s="188"/>
      <c r="BQ192" s="170">
        <f t="shared" si="174"/>
        <v>0</v>
      </c>
      <c r="BR192" s="169">
        <f t="shared" si="175"/>
        <v>0</v>
      </c>
      <c r="BS192" s="188"/>
      <c r="BT192" s="170">
        <f t="shared" si="176"/>
        <v>0</v>
      </c>
      <c r="BU192" s="76">
        <f t="shared" si="177"/>
        <v>0</v>
      </c>
      <c r="BV192" s="196" t="str">
        <f>LOOKUP(BU192,'الفترة الاولى'!$BX$2:$BY$6)</f>
        <v>ممتاز</v>
      </c>
      <c r="BW192" s="77" t="e">
        <f>BU192/'الفترة الاولى'!$BZ$2</f>
        <v>#DIV/0!</v>
      </c>
    </row>
    <row r="193" spans="1:75" ht="25.2" customHeight="1" thickBot="1" x14ac:dyDescent="0.3">
      <c r="A193" s="52">
        <v>183</v>
      </c>
      <c r="B193" s="55"/>
      <c r="C193" s="103"/>
      <c r="D193" s="81"/>
      <c r="E193" s="171"/>
      <c r="F193" s="94"/>
      <c r="G193" s="172">
        <f t="shared" si="178"/>
        <v>0</v>
      </c>
      <c r="H193" s="178"/>
      <c r="I193" s="94"/>
      <c r="J193" s="175">
        <f t="shared" si="179"/>
        <v>0</v>
      </c>
      <c r="K193" s="95"/>
      <c r="L193" s="94"/>
      <c r="M193" s="172">
        <f t="shared" si="180"/>
        <v>0</v>
      </c>
      <c r="N193" s="178"/>
      <c r="O193" s="94"/>
      <c r="P193" s="175">
        <f t="shared" si="181"/>
        <v>0</v>
      </c>
      <c r="Q193" s="95"/>
      <c r="R193" s="94"/>
      <c r="S193" s="172">
        <f t="shared" si="182"/>
        <v>0</v>
      </c>
      <c r="T193" s="178"/>
      <c r="U193" s="94"/>
      <c r="V193" s="175">
        <f t="shared" si="183"/>
        <v>0</v>
      </c>
      <c r="W193" s="95"/>
      <c r="X193" s="94"/>
      <c r="Y193" s="172">
        <f t="shared" si="184"/>
        <v>0</v>
      </c>
      <c r="Z193" s="178"/>
      <c r="AA193" s="94"/>
      <c r="AB193" s="173">
        <f t="shared" si="145"/>
        <v>0</v>
      </c>
      <c r="AC193" s="95"/>
      <c r="AD193" s="94"/>
      <c r="AE193" s="89">
        <f t="shared" si="146"/>
        <v>0</v>
      </c>
      <c r="AF193" s="178"/>
      <c r="AG193" s="94"/>
      <c r="AH193" s="172">
        <f t="shared" si="185"/>
        <v>0</v>
      </c>
      <c r="AI193" s="162">
        <f t="shared" si="158"/>
        <v>0</v>
      </c>
      <c r="AJ193" s="201" t="str">
        <f t="shared" si="143"/>
        <v>ممتاز</v>
      </c>
      <c r="AK193" s="66" t="e">
        <f t="shared" si="144"/>
        <v>#DIV/0!</v>
      </c>
      <c r="AM193" s="51">
        <f t="shared" si="186"/>
        <v>183</v>
      </c>
      <c r="AN193" s="88">
        <f t="shared" si="147"/>
        <v>0</v>
      </c>
      <c r="AO193" s="100">
        <f t="shared" si="148"/>
        <v>0</v>
      </c>
      <c r="AP193" s="81">
        <f t="shared" si="149"/>
        <v>0</v>
      </c>
      <c r="AQ193" s="171">
        <f t="shared" si="159"/>
        <v>0</v>
      </c>
      <c r="AR193" s="189"/>
      <c r="AS193" s="172">
        <f t="shared" si="160"/>
        <v>0</v>
      </c>
      <c r="AT193" s="171"/>
      <c r="AU193" s="189"/>
      <c r="AV193" s="172"/>
      <c r="AW193" s="171">
        <f t="shared" si="161"/>
        <v>0</v>
      </c>
      <c r="AX193" s="189"/>
      <c r="AY193" s="172">
        <f t="shared" si="162"/>
        <v>0</v>
      </c>
      <c r="AZ193" s="171">
        <f t="shared" si="163"/>
        <v>0</v>
      </c>
      <c r="BA193" s="189"/>
      <c r="BB193" s="172">
        <f t="shared" si="164"/>
        <v>0</v>
      </c>
      <c r="BC193" s="171">
        <f t="shared" si="165"/>
        <v>0</v>
      </c>
      <c r="BD193" s="189"/>
      <c r="BE193" s="172">
        <f t="shared" si="166"/>
        <v>0</v>
      </c>
      <c r="BF193" s="171">
        <f t="shared" si="167"/>
        <v>0</v>
      </c>
      <c r="BG193" s="189"/>
      <c r="BH193" s="172">
        <f t="shared" si="168"/>
        <v>0</v>
      </c>
      <c r="BI193" s="171">
        <f t="shared" si="169"/>
        <v>0</v>
      </c>
      <c r="BJ193" s="189"/>
      <c r="BK193" s="172">
        <f t="shared" si="170"/>
        <v>0</v>
      </c>
      <c r="BL193" s="171">
        <f t="shared" si="171"/>
        <v>0</v>
      </c>
      <c r="BM193" s="189"/>
      <c r="BN193" s="172">
        <f t="shared" si="172"/>
        <v>0</v>
      </c>
      <c r="BO193" s="171">
        <f t="shared" si="173"/>
        <v>0</v>
      </c>
      <c r="BP193" s="189"/>
      <c r="BQ193" s="172">
        <f t="shared" si="174"/>
        <v>0</v>
      </c>
      <c r="BR193" s="171">
        <f t="shared" si="175"/>
        <v>0</v>
      </c>
      <c r="BS193" s="189"/>
      <c r="BT193" s="172">
        <f t="shared" si="176"/>
        <v>0</v>
      </c>
      <c r="BU193" s="72">
        <f t="shared" si="177"/>
        <v>0</v>
      </c>
      <c r="BV193" s="194" t="str">
        <f>LOOKUP(BU193,'الفترة الاولى'!$BX$2:$BY$6)</f>
        <v>ممتاز</v>
      </c>
      <c r="BW193" s="73" t="e">
        <f>BU193/'الفترة الاولى'!$BZ$2</f>
        <v>#DIV/0!</v>
      </c>
    </row>
    <row r="194" spans="1:75" ht="25.2" customHeight="1" thickBot="1" x14ac:dyDescent="0.3">
      <c r="A194" s="50">
        <v>184</v>
      </c>
      <c r="B194" s="53"/>
      <c r="C194" s="101"/>
      <c r="D194" s="79"/>
      <c r="E194" s="168"/>
      <c r="F194" s="163"/>
      <c r="G194" s="89">
        <f t="shared" si="178"/>
        <v>0</v>
      </c>
      <c r="H194" s="176"/>
      <c r="I194" s="91"/>
      <c r="J194" s="173">
        <f t="shared" si="179"/>
        <v>0</v>
      </c>
      <c r="K194" s="90"/>
      <c r="L194" s="91"/>
      <c r="M194" s="89">
        <f t="shared" si="180"/>
        <v>0</v>
      </c>
      <c r="N194" s="176"/>
      <c r="O194" s="91"/>
      <c r="P194" s="173">
        <f t="shared" si="181"/>
        <v>0</v>
      </c>
      <c r="Q194" s="90"/>
      <c r="R194" s="91"/>
      <c r="S194" s="89">
        <f t="shared" si="182"/>
        <v>0</v>
      </c>
      <c r="T194" s="176"/>
      <c r="U194" s="91"/>
      <c r="V194" s="173">
        <f t="shared" si="183"/>
        <v>0</v>
      </c>
      <c r="W194" s="90"/>
      <c r="X194" s="91"/>
      <c r="Y194" s="89">
        <f t="shared" si="184"/>
        <v>0</v>
      </c>
      <c r="Z194" s="176"/>
      <c r="AA194" s="91"/>
      <c r="AB194" s="173">
        <f t="shared" si="145"/>
        <v>0</v>
      </c>
      <c r="AC194" s="90"/>
      <c r="AD194" s="91"/>
      <c r="AE194" s="89">
        <f t="shared" si="146"/>
        <v>0</v>
      </c>
      <c r="AF194" s="176"/>
      <c r="AG194" s="91"/>
      <c r="AH194" s="89">
        <f t="shared" si="185"/>
        <v>0</v>
      </c>
      <c r="AI194" s="160">
        <f t="shared" si="158"/>
        <v>0</v>
      </c>
      <c r="AJ194" s="202" t="str">
        <f t="shared" si="143"/>
        <v>ممتاز</v>
      </c>
      <c r="AK194" s="67" t="e">
        <f t="shared" si="144"/>
        <v>#DIV/0!</v>
      </c>
      <c r="AM194" s="52">
        <f t="shared" si="186"/>
        <v>184</v>
      </c>
      <c r="AN194" s="86">
        <f t="shared" si="147"/>
        <v>0</v>
      </c>
      <c r="AO194" s="98">
        <f t="shared" si="148"/>
        <v>0</v>
      </c>
      <c r="AP194" s="79">
        <f t="shared" si="149"/>
        <v>0</v>
      </c>
      <c r="AQ194" s="168">
        <f t="shared" si="159"/>
        <v>0</v>
      </c>
      <c r="AR194" s="163"/>
      <c r="AS194" s="89">
        <f t="shared" si="160"/>
        <v>0</v>
      </c>
      <c r="AT194" s="168"/>
      <c r="AU194" s="163"/>
      <c r="AV194" s="89"/>
      <c r="AW194" s="168">
        <f t="shared" si="161"/>
        <v>0</v>
      </c>
      <c r="AX194" s="163"/>
      <c r="AY194" s="89">
        <f t="shared" si="162"/>
        <v>0</v>
      </c>
      <c r="AZ194" s="168">
        <f t="shared" si="163"/>
        <v>0</v>
      </c>
      <c r="BA194" s="163"/>
      <c r="BB194" s="89">
        <f t="shared" si="164"/>
        <v>0</v>
      </c>
      <c r="BC194" s="168">
        <f t="shared" si="165"/>
        <v>0</v>
      </c>
      <c r="BD194" s="163"/>
      <c r="BE194" s="89">
        <f t="shared" si="166"/>
        <v>0</v>
      </c>
      <c r="BF194" s="168">
        <f t="shared" si="167"/>
        <v>0</v>
      </c>
      <c r="BG194" s="163"/>
      <c r="BH194" s="89">
        <f t="shared" si="168"/>
        <v>0</v>
      </c>
      <c r="BI194" s="168">
        <f t="shared" si="169"/>
        <v>0</v>
      </c>
      <c r="BJ194" s="163"/>
      <c r="BK194" s="89">
        <f t="shared" si="170"/>
        <v>0</v>
      </c>
      <c r="BL194" s="168">
        <f t="shared" si="171"/>
        <v>0</v>
      </c>
      <c r="BM194" s="163"/>
      <c r="BN194" s="89">
        <f t="shared" si="172"/>
        <v>0</v>
      </c>
      <c r="BO194" s="168">
        <f t="shared" si="173"/>
        <v>0</v>
      </c>
      <c r="BP194" s="163"/>
      <c r="BQ194" s="89">
        <f t="shared" si="174"/>
        <v>0</v>
      </c>
      <c r="BR194" s="168">
        <f t="shared" si="175"/>
        <v>0</v>
      </c>
      <c r="BS194" s="163"/>
      <c r="BT194" s="89">
        <f t="shared" si="176"/>
        <v>0</v>
      </c>
      <c r="BU194" s="74">
        <f t="shared" si="177"/>
        <v>0</v>
      </c>
      <c r="BV194" s="195" t="str">
        <f>LOOKUP(BU194,'الفترة الاولى'!$BX$2:$BY$6)</f>
        <v>ممتاز</v>
      </c>
      <c r="BW194" s="75" t="e">
        <f>BU194/'الفترة الاولى'!$BZ$2</f>
        <v>#DIV/0!</v>
      </c>
    </row>
    <row r="195" spans="1:75" ht="25.2" customHeight="1" thickBot="1" x14ac:dyDescent="0.3">
      <c r="A195" s="51">
        <v>185</v>
      </c>
      <c r="B195" s="54"/>
      <c r="C195" s="102"/>
      <c r="D195" s="80"/>
      <c r="E195" s="169"/>
      <c r="F195" s="92"/>
      <c r="G195" s="170">
        <f t="shared" si="178"/>
        <v>0</v>
      </c>
      <c r="H195" s="177"/>
      <c r="I195" s="92"/>
      <c r="J195" s="174">
        <f t="shared" si="179"/>
        <v>0</v>
      </c>
      <c r="K195" s="93"/>
      <c r="L195" s="92"/>
      <c r="M195" s="170">
        <f t="shared" si="180"/>
        <v>0</v>
      </c>
      <c r="N195" s="177"/>
      <c r="O195" s="92"/>
      <c r="P195" s="174">
        <f t="shared" si="181"/>
        <v>0</v>
      </c>
      <c r="Q195" s="93"/>
      <c r="R195" s="92"/>
      <c r="S195" s="170">
        <f t="shared" si="182"/>
        <v>0</v>
      </c>
      <c r="T195" s="177"/>
      <c r="U195" s="92"/>
      <c r="V195" s="174">
        <f t="shared" si="183"/>
        <v>0</v>
      </c>
      <c r="W195" s="93"/>
      <c r="X195" s="92"/>
      <c r="Y195" s="170">
        <f t="shared" si="184"/>
        <v>0</v>
      </c>
      <c r="Z195" s="177"/>
      <c r="AA195" s="92"/>
      <c r="AB195" s="173">
        <f t="shared" si="145"/>
        <v>0</v>
      </c>
      <c r="AC195" s="93"/>
      <c r="AD195" s="92"/>
      <c r="AE195" s="89">
        <f t="shared" si="146"/>
        <v>0</v>
      </c>
      <c r="AF195" s="177"/>
      <c r="AG195" s="92"/>
      <c r="AH195" s="170">
        <f t="shared" si="185"/>
        <v>0</v>
      </c>
      <c r="AI195" s="161">
        <f t="shared" si="158"/>
        <v>0</v>
      </c>
      <c r="AJ195" s="200" t="str">
        <f t="shared" si="143"/>
        <v>ممتاز</v>
      </c>
      <c r="AK195" s="65" t="e">
        <f t="shared" si="144"/>
        <v>#DIV/0!</v>
      </c>
      <c r="AM195" s="50">
        <f t="shared" si="186"/>
        <v>185</v>
      </c>
      <c r="AN195" s="87">
        <f t="shared" si="147"/>
        <v>0</v>
      </c>
      <c r="AO195" s="99">
        <f t="shared" si="148"/>
        <v>0</v>
      </c>
      <c r="AP195" s="80">
        <f t="shared" si="149"/>
        <v>0</v>
      </c>
      <c r="AQ195" s="169">
        <f t="shared" si="159"/>
        <v>0</v>
      </c>
      <c r="AR195" s="188"/>
      <c r="AS195" s="170">
        <f t="shared" si="160"/>
        <v>0</v>
      </c>
      <c r="AT195" s="169"/>
      <c r="AU195" s="188"/>
      <c r="AV195" s="170"/>
      <c r="AW195" s="169">
        <f t="shared" si="161"/>
        <v>0</v>
      </c>
      <c r="AX195" s="188"/>
      <c r="AY195" s="170">
        <f t="shared" si="162"/>
        <v>0</v>
      </c>
      <c r="AZ195" s="169">
        <f t="shared" si="163"/>
        <v>0</v>
      </c>
      <c r="BA195" s="188"/>
      <c r="BB195" s="170">
        <f t="shared" si="164"/>
        <v>0</v>
      </c>
      <c r="BC195" s="169">
        <f t="shared" si="165"/>
        <v>0</v>
      </c>
      <c r="BD195" s="188"/>
      <c r="BE195" s="170">
        <f t="shared" si="166"/>
        <v>0</v>
      </c>
      <c r="BF195" s="169">
        <f t="shared" si="167"/>
        <v>0</v>
      </c>
      <c r="BG195" s="188"/>
      <c r="BH195" s="170">
        <f t="shared" si="168"/>
        <v>0</v>
      </c>
      <c r="BI195" s="169">
        <f t="shared" si="169"/>
        <v>0</v>
      </c>
      <c r="BJ195" s="188"/>
      <c r="BK195" s="170">
        <f t="shared" si="170"/>
        <v>0</v>
      </c>
      <c r="BL195" s="169">
        <f t="shared" si="171"/>
        <v>0</v>
      </c>
      <c r="BM195" s="188"/>
      <c r="BN195" s="170">
        <f t="shared" si="172"/>
        <v>0</v>
      </c>
      <c r="BO195" s="169">
        <f t="shared" si="173"/>
        <v>0</v>
      </c>
      <c r="BP195" s="188"/>
      <c r="BQ195" s="170">
        <f t="shared" si="174"/>
        <v>0</v>
      </c>
      <c r="BR195" s="169">
        <f t="shared" si="175"/>
        <v>0</v>
      </c>
      <c r="BS195" s="188"/>
      <c r="BT195" s="170">
        <f t="shared" si="176"/>
        <v>0</v>
      </c>
      <c r="BU195" s="76">
        <f t="shared" si="177"/>
        <v>0</v>
      </c>
      <c r="BV195" s="196" t="str">
        <f>LOOKUP(BU195,'الفترة الاولى'!$BX$2:$BY$6)</f>
        <v>ممتاز</v>
      </c>
      <c r="BW195" s="77" t="e">
        <f>BU195/'الفترة الاولى'!$BZ$2</f>
        <v>#DIV/0!</v>
      </c>
    </row>
    <row r="196" spans="1:75" ht="25.2" customHeight="1" thickBot="1" x14ac:dyDescent="0.3">
      <c r="A196" s="52">
        <v>186</v>
      </c>
      <c r="B196" s="55"/>
      <c r="C196" s="103"/>
      <c r="D196" s="81"/>
      <c r="E196" s="171"/>
      <c r="F196" s="94"/>
      <c r="G196" s="172">
        <f t="shared" si="178"/>
        <v>0</v>
      </c>
      <c r="H196" s="178"/>
      <c r="I196" s="94"/>
      <c r="J196" s="175">
        <f t="shared" si="179"/>
        <v>0</v>
      </c>
      <c r="K196" s="95"/>
      <c r="L196" s="94"/>
      <c r="M196" s="172">
        <f t="shared" si="180"/>
        <v>0</v>
      </c>
      <c r="N196" s="178"/>
      <c r="O196" s="94"/>
      <c r="P196" s="175">
        <f t="shared" si="181"/>
        <v>0</v>
      </c>
      <c r="Q196" s="95"/>
      <c r="R196" s="94"/>
      <c r="S196" s="172">
        <f t="shared" si="182"/>
        <v>0</v>
      </c>
      <c r="T196" s="178"/>
      <c r="U196" s="94"/>
      <c r="V196" s="175">
        <f t="shared" si="183"/>
        <v>0</v>
      </c>
      <c r="W196" s="95"/>
      <c r="X196" s="94"/>
      <c r="Y196" s="172">
        <f t="shared" si="184"/>
        <v>0</v>
      </c>
      <c r="Z196" s="178"/>
      <c r="AA196" s="94"/>
      <c r="AB196" s="173">
        <f t="shared" si="145"/>
        <v>0</v>
      </c>
      <c r="AC196" s="95"/>
      <c r="AD196" s="94"/>
      <c r="AE196" s="89">
        <f t="shared" si="146"/>
        <v>0</v>
      </c>
      <c r="AF196" s="178"/>
      <c r="AG196" s="94"/>
      <c r="AH196" s="172">
        <f t="shared" si="185"/>
        <v>0</v>
      </c>
      <c r="AI196" s="162">
        <f t="shared" si="158"/>
        <v>0</v>
      </c>
      <c r="AJ196" s="201" t="str">
        <f t="shared" si="143"/>
        <v>ممتاز</v>
      </c>
      <c r="AK196" s="66" t="e">
        <f t="shared" si="144"/>
        <v>#DIV/0!</v>
      </c>
      <c r="AM196" s="51">
        <f t="shared" si="186"/>
        <v>186</v>
      </c>
      <c r="AN196" s="88">
        <f t="shared" si="147"/>
        <v>0</v>
      </c>
      <c r="AO196" s="100">
        <f t="shared" si="148"/>
        <v>0</v>
      </c>
      <c r="AP196" s="81">
        <f t="shared" si="149"/>
        <v>0</v>
      </c>
      <c r="AQ196" s="171">
        <f t="shared" si="159"/>
        <v>0</v>
      </c>
      <c r="AR196" s="189"/>
      <c r="AS196" s="172">
        <f t="shared" si="160"/>
        <v>0</v>
      </c>
      <c r="AT196" s="171">
        <f t="shared" ref="AT196:AT206" si="187">H196</f>
        <v>0</v>
      </c>
      <c r="AU196" s="189"/>
      <c r="AV196" s="172">
        <f t="shared" ref="AV196:AV206" si="188">SUM(AT196:AU196)</f>
        <v>0</v>
      </c>
      <c r="AW196" s="171">
        <f t="shared" si="161"/>
        <v>0</v>
      </c>
      <c r="AX196" s="189"/>
      <c r="AY196" s="172">
        <f t="shared" si="162"/>
        <v>0</v>
      </c>
      <c r="AZ196" s="171">
        <f t="shared" si="163"/>
        <v>0</v>
      </c>
      <c r="BA196" s="189"/>
      <c r="BB196" s="172">
        <f t="shared" si="164"/>
        <v>0</v>
      </c>
      <c r="BC196" s="171">
        <f t="shared" si="165"/>
        <v>0</v>
      </c>
      <c r="BD196" s="189"/>
      <c r="BE196" s="172">
        <f t="shared" si="166"/>
        <v>0</v>
      </c>
      <c r="BF196" s="171">
        <f t="shared" si="167"/>
        <v>0</v>
      </c>
      <c r="BG196" s="189"/>
      <c r="BH196" s="172">
        <f t="shared" si="168"/>
        <v>0</v>
      </c>
      <c r="BI196" s="171">
        <f t="shared" si="169"/>
        <v>0</v>
      </c>
      <c r="BJ196" s="189"/>
      <c r="BK196" s="172">
        <f t="shared" si="170"/>
        <v>0</v>
      </c>
      <c r="BL196" s="171">
        <f t="shared" si="171"/>
        <v>0</v>
      </c>
      <c r="BM196" s="189"/>
      <c r="BN196" s="172">
        <f t="shared" si="172"/>
        <v>0</v>
      </c>
      <c r="BO196" s="171">
        <f t="shared" si="173"/>
        <v>0</v>
      </c>
      <c r="BP196" s="189"/>
      <c r="BQ196" s="172">
        <f t="shared" si="174"/>
        <v>0</v>
      </c>
      <c r="BR196" s="171">
        <f t="shared" si="175"/>
        <v>0</v>
      </c>
      <c r="BS196" s="189"/>
      <c r="BT196" s="172">
        <f t="shared" si="176"/>
        <v>0</v>
      </c>
      <c r="BU196" s="72">
        <f t="shared" si="177"/>
        <v>0</v>
      </c>
      <c r="BV196" s="194" t="str">
        <f>LOOKUP(BU196,'الفترة الاولى'!$BX$2:$BY$6)</f>
        <v>ممتاز</v>
      </c>
      <c r="BW196" s="73" t="e">
        <f>BU196/'الفترة الاولى'!$BZ$2</f>
        <v>#DIV/0!</v>
      </c>
    </row>
    <row r="197" spans="1:75" ht="25.2" customHeight="1" thickBot="1" x14ac:dyDescent="0.3">
      <c r="A197" s="50">
        <v>187</v>
      </c>
      <c r="B197" s="53"/>
      <c r="C197" s="101"/>
      <c r="D197" s="79"/>
      <c r="E197" s="168"/>
      <c r="F197" s="163"/>
      <c r="G197" s="89">
        <f t="shared" si="178"/>
        <v>0</v>
      </c>
      <c r="H197" s="176"/>
      <c r="I197" s="91"/>
      <c r="J197" s="173">
        <f t="shared" si="179"/>
        <v>0</v>
      </c>
      <c r="K197" s="90"/>
      <c r="L197" s="91"/>
      <c r="M197" s="89">
        <f t="shared" si="180"/>
        <v>0</v>
      </c>
      <c r="N197" s="176"/>
      <c r="O197" s="91"/>
      <c r="P197" s="173">
        <f t="shared" si="181"/>
        <v>0</v>
      </c>
      <c r="Q197" s="90"/>
      <c r="R197" s="91"/>
      <c r="S197" s="89">
        <f t="shared" si="182"/>
        <v>0</v>
      </c>
      <c r="T197" s="176"/>
      <c r="U197" s="91"/>
      <c r="V197" s="173">
        <f t="shared" si="183"/>
        <v>0</v>
      </c>
      <c r="W197" s="90"/>
      <c r="X197" s="91"/>
      <c r="Y197" s="89">
        <f t="shared" si="184"/>
        <v>0</v>
      </c>
      <c r="Z197" s="176"/>
      <c r="AA197" s="91"/>
      <c r="AB197" s="173">
        <f t="shared" si="145"/>
        <v>0</v>
      </c>
      <c r="AC197" s="90"/>
      <c r="AD197" s="91"/>
      <c r="AE197" s="89">
        <f t="shared" si="146"/>
        <v>0</v>
      </c>
      <c r="AF197" s="176"/>
      <c r="AG197" s="91"/>
      <c r="AH197" s="89">
        <f t="shared" si="185"/>
        <v>0</v>
      </c>
      <c r="AI197" s="160">
        <f t="shared" si="158"/>
        <v>0</v>
      </c>
      <c r="AJ197" s="202" t="str">
        <f t="shared" si="143"/>
        <v>ممتاز</v>
      </c>
      <c r="AK197" s="67" t="e">
        <f t="shared" si="144"/>
        <v>#DIV/0!</v>
      </c>
      <c r="AM197" s="52">
        <f t="shared" si="186"/>
        <v>187</v>
      </c>
      <c r="AN197" s="86">
        <f t="shared" si="147"/>
        <v>0</v>
      </c>
      <c r="AO197" s="98">
        <f t="shared" si="148"/>
        <v>0</v>
      </c>
      <c r="AP197" s="79">
        <f t="shared" si="149"/>
        <v>0</v>
      </c>
      <c r="AQ197" s="168">
        <f t="shared" si="159"/>
        <v>0</v>
      </c>
      <c r="AR197" s="163"/>
      <c r="AS197" s="89">
        <f t="shared" si="160"/>
        <v>0</v>
      </c>
      <c r="AT197" s="168">
        <f t="shared" si="187"/>
        <v>0</v>
      </c>
      <c r="AU197" s="163"/>
      <c r="AV197" s="89">
        <f t="shared" si="188"/>
        <v>0</v>
      </c>
      <c r="AW197" s="168">
        <f t="shared" si="161"/>
        <v>0</v>
      </c>
      <c r="AX197" s="163"/>
      <c r="AY197" s="89">
        <f t="shared" si="162"/>
        <v>0</v>
      </c>
      <c r="AZ197" s="168">
        <f t="shared" si="163"/>
        <v>0</v>
      </c>
      <c r="BA197" s="163"/>
      <c r="BB197" s="89">
        <f t="shared" si="164"/>
        <v>0</v>
      </c>
      <c r="BC197" s="168">
        <f t="shared" si="165"/>
        <v>0</v>
      </c>
      <c r="BD197" s="163"/>
      <c r="BE197" s="89">
        <f t="shared" si="166"/>
        <v>0</v>
      </c>
      <c r="BF197" s="168">
        <f t="shared" si="167"/>
        <v>0</v>
      </c>
      <c r="BG197" s="163"/>
      <c r="BH197" s="89">
        <f t="shared" si="168"/>
        <v>0</v>
      </c>
      <c r="BI197" s="168">
        <f t="shared" si="169"/>
        <v>0</v>
      </c>
      <c r="BJ197" s="163"/>
      <c r="BK197" s="89">
        <f t="shared" si="170"/>
        <v>0</v>
      </c>
      <c r="BL197" s="168">
        <f t="shared" si="171"/>
        <v>0</v>
      </c>
      <c r="BM197" s="163"/>
      <c r="BN197" s="89">
        <f t="shared" si="172"/>
        <v>0</v>
      </c>
      <c r="BO197" s="168">
        <f t="shared" si="173"/>
        <v>0</v>
      </c>
      <c r="BP197" s="163"/>
      <c r="BQ197" s="89">
        <f t="shared" si="174"/>
        <v>0</v>
      </c>
      <c r="BR197" s="168">
        <f t="shared" si="175"/>
        <v>0</v>
      </c>
      <c r="BS197" s="163"/>
      <c r="BT197" s="89">
        <f t="shared" si="176"/>
        <v>0</v>
      </c>
      <c r="BU197" s="74">
        <f t="shared" si="177"/>
        <v>0</v>
      </c>
      <c r="BV197" s="195" t="str">
        <f>LOOKUP(BU197,'الفترة الاولى'!$BX$2:$BY$6)</f>
        <v>ممتاز</v>
      </c>
      <c r="BW197" s="75" t="e">
        <f>BU197/'الفترة الاولى'!$BZ$2</f>
        <v>#DIV/0!</v>
      </c>
    </row>
    <row r="198" spans="1:75" ht="25.2" customHeight="1" thickBot="1" x14ac:dyDescent="0.3">
      <c r="A198" s="51">
        <v>188</v>
      </c>
      <c r="B198" s="54"/>
      <c r="C198" s="102"/>
      <c r="D198" s="80"/>
      <c r="E198" s="169"/>
      <c r="F198" s="92"/>
      <c r="G198" s="170">
        <f t="shared" si="178"/>
        <v>0</v>
      </c>
      <c r="H198" s="177"/>
      <c r="I198" s="92"/>
      <c r="J198" s="174">
        <f t="shared" si="179"/>
        <v>0</v>
      </c>
      <c r="K198" s="93"/>
      <c r="L198" s="92"/>
      <c r="M198" s="170">
        <f t="shared" si="180"/>
        <v>0</v>
      </c>
      <c r="N198" s="177"/>
      <c r="O198" s="92"/>
      <c r="P198" s="174">
        <f t="shared" si="181"/>
        <v>0</v>
      </c>
      <c r="Q198" s="93"/>
      <c r="R198" s="92"/>
      <c r="S198" s="170">
        <f t="shared" si="182"/>
        <v>0</v>
      </c>
      <c r="T198" s="177"/>
      <c r="U198" s="92"/>
      <c r="V198" s="174">
        <f t="shared" si="183"/>
        <v>0</v>
      </c>
      <c r="W198" s="93"/>
      <c r="X198" s="92"/>
      <c r="Y198" s="170">
        <f t="shared" si="184"/>
        <v>0</v>
      </c>
      <c r="Z198" s="177"/>
      <c r="AA198" s="92"/>
      <c r="AB198" s="173">
        <f t="shared" si="145"/>
        <v>0</v>
      </c>
      <c r="AC198" s="93"/>
      <c r="AD198" s="92"/>
      <c r="AE198" s="89">
        <f t="shared" si="146"/>
        <v>0</v>
      </c>
      <c r="AF198" s="177"/>
      <c r="AG198" s="92"/>
      <c r="AH198" s="170">
        <f t="shared" si="185"/>
        <v>0</v>
      </c>
      <c r="AI198" s="161">
        <f t="shared" si="158"/>
        <v>0</v>
      </c>
      <c r="AJ198" s="200" t="str">
        <f t="shared" si="143"/>
        <v>ممتاز</v>
      </c>
      <c r="AK198" s="65" t="e">
        <f t="shared" si="144"/>
        <v>#DIV/0!</v>
      </c>
      <c r="AM198" s="50">
        <f t="shared" si="186"/>
        <v>188</v>
      </c>
      <c r="AN198" s="87">
        <f t="shared" si="147"/>
        <v>0</v>
      </c>
      <c r="AO198" s="99">
        <f t="shared" si="148"/>
        <v>0</v>
      </c>
      <c r="AP198" s="80">
        <f t="shared" si="149"/>
        <v>0</v>
      </c>
      <c r="AQ198" s="169">
        <f t="shared" si="159"/>
        <v>0</v>
      </c>
      <c r="AR198" s="188"/>
      <c r="AS198" s="170">
        <f t="shared" si="160"/>
        <v>0</v>
      </c>
      <c r="AT198" s="169">
        <f t="shared" si="187"/>
        <v>0</v>
      </c>
      <c r="AU198" s="188"/>
      <c r="AV198" s="170">
        <f t="shared" si="188"/>
        <v>0</v>
      </c>
      <c r="AW198" s="169">
        <f t="shared" si="161"/>
        <v>0</v>
      </c>
      <c r="AX198" s="188"/>
      <c r="AY198" s="170">
        <f t="shared" si="162"/>
        <v>0</v>
      </c>
      <c r="AZ198" s="169">
        <f t="shared" si="163"/>
        <v>0</v>
      </c>
      <c r="BA198" s="188"/>
      <c r="BB198" s="170">
        <f t="shared" si="164"/>
        <v>0</v>
      </c>
      <c r="BC198" s="169">
        <f t="shared" si="165"/>
        <v>0</v>
      </c>
      <c r="BD198" s="188"/>
      <c r="BE198" s="170">
        <f t="shared" si="166"/>
        <v>0</v>
      </c>
      <c r="BF198" s="169">
        <f t="shared" si="167"/>
        <v>0</v>
      </c>
      <c r="BG198" s="188"/>
      <c r="BH198" s="170">
        <f t="shared" si="168"/>
        <v>0</v>
      </c>
      <c r="BI198" s="169">
        <f t="shared" si="169"/>
        <v>0</v>
      </c>
      <c r="BJ198" s="188"/>
      <c r="BK198" s="170">
        <f t="shared" si="170"/>
        <v>0</v>
      </c>
      <c r="BL198" s="169">
        <f t="shared" si="171"/>
        <v>0</v>
      </c>
      <c r="BM198" s="188"/>
      <c r="BN198" s="170">
        <f t="shared" si="172"/>
        <v>0</v>
      </c>
      <c r="BO198" s="169">
        <f t="shared" si="173"/>
        <v>0</v>
      </c>
      <c r="BP198" s="188"/>
      <c r="BQ198" s="170">
        <f t="shared" si="174"/>
        <v>0</v>
      </c>
      <c r="BR198" s="169">
        <f t="shared" si="175"/>
        <v>0</v>
      </c>
      <c r="BS198" s="188"/>
      <c r="BT198" s="170">
        <f t="shared" si="176"/>
        <v>0</v>
      </c>
      <c r="BU198" s="76">
        <f t="shared" si="177"/>
        <v>0</v>
      </c>
      <c r="BV198" s="196" t="str">
        <f>LOOKUP(BU198,'الفترة الاولى'!$BX$2:$BY$6)</f>
        <v>ممتاز</v>
      </c>
      <c r="BW198" s="77" t="e">
        <f>BU198/'الفترة الاولى'!$BZ$2</f>
        <v>#DIV/0!</v>
      </c>
    </row>
    <row r="199" spans="1:75" ht="25.2" customHeight="1" thickBot="1" x14ac:dyDescent="0.3">
      <c r="A199" s="52">
        <v>189</v>
      </c>
      <c r="B199" s="55"/>
      <c r="C199" s="103"/>
      <c r="D199" s="81"/>
      <c r="E199" s="171"/>
      <c r="F199" s="94"/>
      <c r="G199" s="172">
        <f t="shared" si="178"/>
        <v>0</v>
      </c>
      <c r="H199" s="178"/>
      <c r="I199" s="94"/>
      <c r="J199" s="175">
        <f t="shared" si="179"/>
        <v>0</v>
      </c>
      <c r="K199" s="95"/>
      <c r="L199" s="94"/>
      <c r="M199" s="172">
        <f t="shared" si="180"/>
        <v>0</v>
      </c>
      <c r="N199" s="178"/>
      <c r="O199" s="94"/>
      <c r="P199" s="175">
        <f t="shared" si="181"/>
        <v>0</v>
      </c>
      <c r="Q199" s="95"/>
      <c r="R199" s="94"/>
      <c r="S199" s="172">
        <f t="shared" si="182"/>
        <v>0</v>
      </c>
      <c r="T199" s="178"/>
      <c r="U199" s="94"/>
      <c r="V199" s="175">
        <f t="shared" si="183"/>
        <v>0</v>
      </c>
      <c r="W199" s="95"/>
      <c r="X199" s="94"/>
      <c r="Y199" s="172">
        <f t="shared" si="184"/>
        <v>0</v>
      </c>
      <c r="Z199" s="178"/>
      <c r="AA199" s="94"/>
      <c r="AB199" s="173">
        <f t="shared" si="145"/>
        <v>0</v>
      </c>
      <c r="AC199" s="95"/>
      <c r="AD199" s="94"/>
      <c r="AE199" s="89">
        <f t="shared" si="146"/>
        <v>0</v>
      </c>
      <c r="AF199" s="178"/>
      <c r="AG199" s="94"/>
      <c r="AH199" s="172">
        <f t="shared" si="185"/>
        <v>0</v>
      </c>
      <c r="AI199" s="162">
        <f t="shared" si="158"/>
        <v>0</v>
      </c>
      <c r="AJ199" s="201" t="str">
        <f t="shared" si="143"/>
        <v>ممتاز</v>
      </c>
      <c r="AK199" s="66" t="e">
        <f t="shared" si="144"/>
        <v>#DIV/0!</v>
      </c>
      <c r="AM199" s="51">
        <f t="shared" si="186"/>
        <v>189</v>
      </c>
      <c r="AN199" s="88">
        <f t="shared" si="147"/>
        <v>0</v>
      </c>
      <c r="AO199" s="100">
        <f t="shared" si="148"/>
        <v>0</v>
      </c>
      <c r="AP199" s="81">
        <f t="shared" si="149"/>
        <v>0</v>
      </c>
      <c r="AQ199" s="171">
        <f t="shared" si="159"/>
        <v>0</v>
      </c>
      <c r="AR199" s="189"/>
      <c r="AS199" s="172">
        <f t="shared" si="160"/>
        <v>0</v>
      </c>
      <c r="AT199" s="171">
        <f t="shared" si="187"/>
        <v>0</v>
      </c>
      <c r="AU199" s="189"/>
      <c r="AV199" s="172">
        <f t="shared" si="188"/>
        <v>0</v>
      </c>
      <c r="AW199" s="171">
        <f t="shared" si="161"/>
        <v>0</v>
      </c>
      <c r="AX199" s="189"/>
      <c r="AY199" s="172">
        <f t="shared" si="162"/>
        <v>0</v>
      </c>
      <c r="AZ199" s="171">
        <f t="shared" si="163"/>
        <v>0</v>
      </c>
      <c r="BA199" s="189"/>
      <c r="BB199" s="172">
        <f t="shared" si="164"/>
        <v>0</v>
      </c>
      <c r="BC199" s="171">
        <f t="shared" si="165"/>
        <v>0</v>
      </c>
      <c r="BD199" s="189"/>
      <c r="BE199" s="172">
        <f t="shared" si="166"/>
        <v>0</v>
      </c>
      <c r="BF199" s="171">
        <f t="shared" si="167"/>
        <v>0</v>
      </c>
      <c r="BG199" s="189"/>
      <c r="BH199" s="172">
        <f t="shared" si="168"/>
        <v>0</v>
      </c>
      <c r="BI199" s="171">
        <f t="shared" si="169"/>
        <v>0</v>
      </c>
      <c r="BJ199" s="189"/>
      <c r="BK199" s="172">
        <f t="shared" si="170"/>
        <v>0</v>
      </c>
      <c r="BL199" s="171">
        <f t="shared" si="171"/>
        <v>0</v>
      </c>
      <c r="BM199" s="189"/>
      <c r="BN199" s="172">
        <f t="shared" si="172"/>
        <v>0</v>
      </c>
      <c r="BO199" s="171">
        <f t="shared" si="173"/>
        <v>0</v>
      </c>
      <c r="BP199" s="189"/>
      <c r="BQ199" s="172">
        <f t="shared" si="174"/>
        <v>0</v>
      </c>
      <c r="BR199" s="171">
        <f t="shared" si="175"/>
        <v>0</v>
      </c>
      <c r="BS199" s="189"/>
      <c r="BT199" s="172">
        <f t="shared" si="176"/>
        <v>0</v>
      </c>
      <c r="BU199" s="72">
        <f t="shared" si="177"/>
        <v>0</v>
      </c>
      <c r="BV199" s="194" t="str">
        <f>LOOKUP(BU199,'الفترة الاولى'!$BX$2:$BY$6)</f>
        <v>ممتاز</v>
      </c>
      <c r="BW199" s="73" t="e">
        <f>BU199/'الفترة الاولى'!$BZ$2</f>
        <v>#DIV/0!</v>
      </c>
    </row>
    <row r="200" spans="1:75" ht="25.2" customHeight="1" thickBot="1" x14ac:dyDescent="0.3">
      <c r="A200" s="50">
        <v>190</v>
      </c>
      <c r="B200" s="53"/>
      <c r="C200" s="101"/>
      <c r="D200" s="79"/>
      <c r="E200" s="168"/>
      <c r="F200" s="163"/>
      <c r="G200" s="89">
        <f t="shared" si="178"/>
        <v>0</v>
      </c>
      <c r="H200" s="176"/>
      <c r="I200" s="91"/>
      <c r="J200" s="173">
        <f t="shared" si="179"/>
        <v>0</v>
      </c>
      <c r="K200" s="90"/>
      <c r="L200" s="91"/>
      <c r="M200" s="89">
        <f t="shared" si="180"/>
        <v>0</v>
      </c>
      <c r="N200" s="176"/>
      <c r="O200" s="91"/>
      <c r="P200" s="173">
        <f t="shared" si="181"/>
        <v>0</v>
      </c>
      <c r="Q200" s="90"/>
      <c r="R200" s="91"/>
      <c r="S200" s="89">
        <f t="shared" si="182"/>
        <v>0</v>
      </c>
      <c r="T200" s="176"/>
      <c r="U200" s="91"/>
      <c r="V200" s="173">
        <f t="shared" si="183"/>
        <v>0</v>
      </c>
      <c r="W200" s="90"/>
      <c r="X200" s="91"/>
      <c r="Y200" s="89">
        <f t="shared" si="184"/>
        <v>0</v>
      </c>
      <c r="Z200" s="176"/>
      <c r="AA200" s="91"/>
      <c r="AB200" s="173">
        <f t="shared" ref="AB200:AB207" si="189">SUM(Z200:AA200)</f>
        <v>0</v>
      </c>
      <c r="AC200" s="90"/>
      <c r="AD200" s="91"/>
      <c r="AE200" s="89">
        <f t="shared" si="146"/>
        <v>0</v>
      </c>
      <c r="AF200" s="176"/>
      <c r="AG200" s="91"/>
      <c r="AH200" s="89">
        <f t="shared" si="185"/>
        <v>0</v>
      </c>
      <c r="AI200" s="160">
        <f t="shared" si="158"/>
        <v>0</v>
      </c>
      <c r="AJ200" s="202" t="str">
        <f t="shared" si="143"/>
        <v>ممتاز</v>
      </c>
      <c r="AK200" s="67" t="e">
        <f t="shared" si="144"/>
        <v>#DIV/0!</v>
      </c>
      <c r="AM200" s="52">
        <f t="shared" si="186"/>
        <v>190</v>
      </c>
      <c r="AN200" s="86">
        <f t="shared" si="147"/>
        <v>0</v>
      </c>
      <c r="AO200" s="98">
        <f t="shared" si="148"/>
        <v>0</v>
      </c>
      <c r="AP200" s="79">
        <f t="shared" si="149"/>
        <v>0</v>
      </c>
      <c r="AQ200" s="168">
        <f t="shared" si="159"/>
        <v>0</v>
      </c>
      <c r="AR200" s="163"/>
      <c r="AS200" s="89">
        <f t="shared" si="160"/>
        <v>0</v>
      </c>
      <c r="AT200" s="168">
        <f t="shared" si="187"/>
        <v>0</v>
      </c>
      <c r="AU200" s="163"/>
      <c r="AV200" s="89">
        <f t="shared" si="188"/>
        <v>0</v>
      </c>
      <c r="AW200" s="168">
        <f t="shared" si="161"/>
        <v>0</v>
      </c>
      <c r="AX200" s="163"/>
      <c r="AY200" s="89">
        <f t="shared" si="162"/>
        <v>0</v>
      </c>
      <c r="AZ200" s="168">
        <f t="shared" si="163"/>
        <v>0</v>
      </c>
      <c r="BA200" s="163"/>
      <c r="BB200" s="89">
        <f t="shared" si="164"/>
        <v>0</v>
      </c>
      <c r="BC200" s="168">
        <f t="shared" si="165"/>
        <v>0</v>
      </c>
      <c r="BD200" s="163"/>
      <c r="BE200" s="89">
        <f t="shared" si="166"/>
        <v>0</v>
      </c>
      <c r="BF200" s="168">
        <f t="shared" si="167"/>
        <v>0</v>
      </c>
      <c r="BG200" s="163"/>
      <c r="BH200" s="89">
        <f t="shared" si="168"/>
        <v>0</v>
      </c>
      <c r="BI200" s="168">
        <f t="shared" si="169"/>
        <v>0</v>
      </c>
      <c r="BJ200" s="163"/>
      <c r="BK200" s="89">
        <f t="shared" si="170"/>
        <v>0</v>
      </c>
      <c r="BL200" s="168">
        <f t="shared" si="171"/>
        <v>0</v>
      </c>
      <c r="BM200" s="163"/>
      <c r="BN200" s="89">
        <f t="shared" si="172"/>
        <v>0</v>
      </c>
      <c r="BO200" s="168">
        <f t="shared" si="173"/>
        <v>0</v>
      </c>
      <c r="BP200" s="163"/>
      <c r="BQ200" s="89">
        <f t="shared" si="174"/>
        <v>0</v>
      </c>
      <c r="BR200" s="168">
        <f t="shared" si="175"/>
        <v>0</v>
      </c>
      <c r="BS200" s="163"/>
      <c r="BT200" s="89">
        <f t="shared" si="176"/>
        <v>0</v>
      </c>
      <c r="BU200" s="74">
        <f t="shared" si="177"/>
        <v>0</v>
      </c>
      <c r="BV200" s="195" t="str">
        <f>LOOKUP(BU200,'الفترة الاولى'!$BX$2:$BY$6)</f>
        <v>ممتاز</v>
      </c>
      <c r="BW200" s="75" t="e">
        <f>BU200/'الفترة الاولى'!$BZ$2</f>
        <v>#DIV/0!</v>
      </c>
    </row>
    <row r="201" spans="1:75" ht="25.2" customHeight="1" thickBot="1" x14ac:dyDescent="0.3">
      <c r="A201" s="51">
        <v>191</v>
      </c>
      <c r="B201" s="54"/>
      <c r="C201" s="102"/>
      <c r="D201" s="80"/>
      <c r="E201" s="169"/>
      <c r="F201" s="92"/>
      <c r="G201" s="170">
        <f t="shared" si="178"/>
        <v>0</v>
      </c>
      <c r="H201" s="177"/>
      <c r="I201" s="92"/>
      <c r="J201" s="174">
        <f t="shared" si="179"/>
        <v>0</v>
      </c>
      <c r="K201" s="93"/>
      <c r="L201" s="92"/>
      <c r="M201" s="170">
        <f t="shared" si="180"/>
        <v>0</v>
      </c>
      <c r="N201" s="177"/>
      <c r="O201" s="92"/>
      <c r="P201" s="174">
        <f t="shared" si="181"/>
        <v>0</v>
      </c>
      <c r="Q201" s="93"/>
      <c r="R201" s="92"/>
      <c r="S201" s="170">
        <f t="shared" si="182"/>
        <v>0</v>
      </c>
      <c r="T201" s="177"/>
      <c r="U201" s="92"/>
      <c r="V201" s="174">
        <f t="shared" si="183"/>
        <v>0</v>
      </c>
      <c r="W201" s="93"/>
      <c r="X201" s="92"/>
      <c r="Y201" s="170">
        <f t="shared" si="184"/>
        <v>0</v>
      </c>
      <c r="Z201" s="177"/>
      <c r="AA201" s="92"/>
      <c r="AB201" s="174">
        <f t="shared" si="189"/>
        <v>0</v>
      </c>
      <c r="AC201" s="93"/>
      <c r="AD201" s="92"/>
      <c r="AE201" s="89">
        <f t="shared" si="146"/>
        <v>0</v>
      </c>
      <c r="AF201" s="177"/>
      <c r="AG201" s="92"/>
      <c r="AH201" s="170">
        <f t="shared" si="185"/>
        <v>0</v>
      </c>
      <c r="AI201" s="161">
        <f t="shared" si="158"/>
        <v>0</v>
      </c>
      <c r="AJ201" s="200" t="str">
        <f t="shared" si="143"/>
        <v>ممتاز</v>
      </c>
      <c r="AK201" s="65" t="e">
        <f t="shared" si="144"/>
        <v>#DIV/0!</v>
      </c>
      <c r="AM201" s="50">
        <f t="shared" si="186"/>
        <v>191</v>
      </c>
      <c r="AN201" s="87">
        <f t="shared" si="147"/>
        <v>0</v>
      </c>
      <c r="AO201" s="99">
        <f t="shared" si="148"/>
        <v>0</v>
      </c>
      <c r="AP201" s="80">
        <f t="shared" si="149"/>
        <v>0</v>
      </c>
      <c r="AQ201" s="169">
        <f t="shared" si="159"/>
        <v>0</v>
      </c>
      <c r="AR201" s="188"/>
      <c r="AS201" s="170">
        <f t="shared" si="160"/>
        <v>0</v>
      </c>
      <c r="AT201" s="169">
        <f t="shared" si="187"/>
        <v>0</v>
      </c>
      <c r="AU201" s="188"/>
      <c r="AV201" s="170">
        <f t="shared" si="188"/>
        <v>0</v>
      </c>
      <c r="AW201" s="169">
        <f t="shared" si="161"/>
        <v>0</v>
      </c>
      <c r="AX201" s="188"/>
      <c r="AY201" s="170">
        <f t="shared" si="162"/>
        <v>0</v>
      </c>
      <c r="AZ201" s="169">
        <f t="shared" si="163"/>
        <v>0</v>
      </c>
      <c r="BA201" s="188"/>
      <c r="BB201" s="170">
        <f t="shared" si="164"/>
        <v>0</v>
      </c>
      <c r="BC201" s="169">
        <f t="shared" si="165"/>
        <v>0</v>
      </c>
      <c r="BD201" s="188"/>
      <c r="BE201" s="170">
        <f t="shared" si="166"/>
        <v>0</v>
      </c>
      <c r="BF201" s="169">
        <f t="shared" si="167"/>
        <v>0</v>
      </c>
      <c r="BG201" s="188"/>
      <c r="BH201" s="170">
        <f t="shared" si="168"/>
        <v>0</v>
      </c>
      <c r="BI201" s="169">
        <f t="shared" si="169"/>
        <v>0</v>
      </c>
      <c r="BJ201" s="188"/>
      <c r="BK201" s="170">
        <f t="shared" si="170"/>
        <v>0</v>
      </c>
      <c r="BL201" s="169">
        <f t="shared" si="171"/>
        <v>0</v>
      </c>
      <c r="BM201" s="188"/>
      <c r="BN201" s="170">
        <f t="shared" si="172"/>
        <v>0</v>
      </c>
      <c r="BO201" s="169">
        <f t="shared" si="173"/>
        <v>0</v>
      </c>
      <c r="BP201" s="188"/>
      <c r="BQ201" s="170">
        <f t="shared" si="174"/>
        <v>0</v>
      </c>
      <c r="BR201" s="169">
        <f t="shared" si="175"/>
        <v>0</v>
      </c>
      <c r="BS201" s="188"/>
      <c r="BT201" s="170">
        <f t="shared" si="176"/>
        <v>0</v>
      </c>
      <c r="BU201" s="76">
        <f t="shared" si="177"/>
        <v>0</v>
      </c>
      <c r="BV201" s="196" t="str">
        <f>LOOKUP(BU201,'الفترة الاولى'!$BX$2:$BY$6)</f>
        <v>ممتاز</v>
      </c>
      <c r="BW201" s="77" t="e">
        <f>BU201/'الفترة الاولى'!$BZ$2</f>
        <v>#DIV/0!</v>
      </c>
    </row>
    <row r="202" spans="1:75" ht="25.2" customHeight="1" thickBot="1" x14ac:dyDescent="0.3">
      <c r="A202" s="52">
        <v>192</v>
      </c>
      <c r="B202" s="55"/>
      <c r="C202" s="103"/>
      <c r="D202" s="81"/>
      <c r="E202" s="171"/>
      <c r="F202" s="94"/>
      <c r="G202" s="172">
        <f t="shared" si="178"/>
        <v>0</v>
      </c>
      <c r="H202" s="178"/>
      <c r="I202" s="94"/>
      <c r="J202" s="175">
        <f t="shared" si="179"/>
        <v>0</v>
      </c>
      <c r="K202" s="95"/>
      <c r="L202" s="94"/>
      <c r="M202" s="172">
        <f t="shared" si="180"/>
        <v>0</v>
      </c>
      <c r="N202" s="178"/>
      <c r="O202" s="94"/>
      <c r="P202" s="175">
        <f t="shared" si="181"/>
        <v>0</v>
      </c>
      <c r="Q202" s="95"/>
      <c r="R202" s="94"/>
      <c r="S202" s="172">
        <f t="shared" si="182"/>
        <v>0</v>
      </c>
      <c r="T202" s="178"/>
      <c r="U202" s="94"/>
      <c r="V202" s="175">
        <f t="shared" si="183"/>
        <v>0</v>
      </c>
      <c r="W202" s="95"/>
      <c r="X202" s="94"/>
      <c r="Y202" s="172">
        <f t="shared" si="184"/>
        <v>0</v>
      </c>
      <c r="Z202" s="178"/>
      <c r="AA202" s="94"/>
      <c r="AB202" s="175">
        <f t="shared" si="189"/>
        <v>0</v>
      </c>
      <c r="AC202" s="95"/>
      <c r="AD202" s="94"/>
      <c r="AE202" s="89">
        <f t="shared" si="146"/>
        <v>0</v>
      </c>
      <c r="AF202" s="178"/>
      <c r="AG202" s="94"/>
      <c r="AH202" s="172">
        <f t="shared" si="185"/>
        <v>0</v>
      </c>
      <c r="AI202" s="162">
        <f t="shared" si="158"/>
        <v>0</v>
      </c>
      <c r="AJ202" s="201" t="str">
        <f t="shared" si="143"/>
        <v>ممتاز</v>
      </c>
      <c r="AK202" s="66" t="e">
        <f t="shared" si="144"/>
        <v>#DIV/0!</v>
      </c>
      <c r="AM202" s="51">
        <f t="shared" si="186"/>
        <v>192</v>
      </c>
      <c r="AN202" s="88">
        <f t="shared" si="147"/>
        <v>0</v>
      </c>
      <c r="AO202" s="100">
        <f t="shared" si="148"/>
        <v>0</v>
      </c>
      <c r="AP202" s="81">
        <f t="shared" si="149"/>
        <v>0</v>
      </c>
      <c r="AQ202" s="171">
        <f t="shared" si="159"/>
        <v>0</v>
      </c>
      <c r="AR202" s="189"/>
      <c r="AS202" s="172">
        <f t="shared" si="160"/>
        <v>0</v>
      </c>
      <c r="AT202" s="171">
        <f t="shared" si="187"/>
        <v>0</v>
      </c>
      <c r="AU202" s="189"/>
      <c r="AV202" s="172">
        <f t="shared" si="188"/>
        <v>0</v>
      </c>
      <c r="AW202" s="171">
        <f t="shared" si="161"/>
        <v>0</v>
      </c>
      <c r="AX202" s="189"/>
      <c r="AY202" s="172">
        <f t="shared" si="162"/>
        <v>0</v>
      </c>
      <c r="AZ202" s="171">
        <f t="shared" si="163"/>
        <v>0</v>
      </c>
      <c r="BA202" s="189"/>
      <c r="BB202" s="172">
        <f t="shared" si="164"/>
        <v>0</v>
      </c>
      <c r="BC202" s="171">
        <f t="shared" si="165"/>
        <v>0</v>
      </c>
      <c r="BD202" s="189"/>
      <c r="BE202" s="172">
        <f t="shared" si="166"/>
        <v>0</v>
      </c>
      <c r="BF202" s="171">
        <f t="shared" si="167"/>
        <v>0</v>
      </c>
      <c r="BG202" s="189"/>
      <c r="BH202" s="172">
        <f t="shared" si="168"/>
        <v>0</v>
      </c>
      <c r="BI202" s="171">
        <f t="shared" si="169"/>
        <v>0</v>
      </c>
      <c r="BJ202" s="189"/>
      <c r="BK202" s="172">
        <f t="shared" si="170"/>
        <v>0</v>
      </c>
      <c r="BL202" s="171">
        <f t="shared" si="171"/>
        <v>0</v>
      </c>
      <c r="BM202" s="189"/>
      <c r="BN202" s="172">
        <f t="shared" si="172"/>
        <v>0</v>
      </c>
      <c r="BO202" s="171">
        <f t="shared" si="173"/>
        <v>0</v>
      </c>
      <c r="BP202" s="189"/>
      <c r="BQ202" s="172">
        <f t="shared" si="174"/>
        <v>0</v>
      </c>
      <c r="BR202" s="171">
        <f t="shared" si="175"/>
        <v>0</v>
      </c>
      <c r="BS202" s="189"/>
      <c r="BT202" s="172">
        <f t="shared" si="176"/>
        <v>0</v>
      </c>
      <c r="BU202" s="72">
        <f t="shared" si="177"/>
        <v>0</v>
      </c>
      <c r="BV202" s="194" t="str">
        <f>LOOKUP(BU202,'الفترة الاولى'!$BX$2:$BY$6)</f>
        <v>ممتاز</v>
      </c>
      <c r="BW202" s="73" t="e">
        <f>BU202/'الفترة الاولى'!$BZ$2</f>
        <v>#DIV/0!</v>
      </c>
    </row>
    <row r="203" spans="1:75" ht="25.2" customHeight="1" thickBot="1" x14ac:dyDescent="0.3">
      <c r="A203" s="50">
        <v>193</v>
      </c>
      <c r="B203" s="53"/>
      <c r="C203" s="101"/>
      <c r="D203" s="79"/>
      <c r="E203" s="168"/>
      <c r="F203" s="163"/>
      <c r="G203" s="89">
        <f t="shared" si="178"/>
        <v>0</v>
      </c>
      <c r="H203" s="176"/>
      <c r="I203" s="91"/>
      <c r="J203" s="173">
        <f t="shared" si="179"/>
        <v>0</v>
      </c>
      <c r="K203" s="90"/>
      <c r="L203" s="91"/>
      <c r="M203" s="89">
        <f t="shared" si="180"/>
        <v>0</v>
      </c>
      <c r="N203" s="176"/>
      <c r="O203" s="91"/>
      <c r="P203" s="173">
        <f t="shared" si="181"/>
        <v>0</v>
      </c>
      <c r="Q203" s="90"/>
      <c r="R203" s="91"/>
      <c r="S203" s="89">
        <f t="shared" si="182"/>
        <v>0</v>
      </c>
      <c r="T203" s="176"/>
      <c r="U203" s="91"/>
      <c r="V203" s="173">
        <f t="shared" si="183"/>
        <v>0</v>
      </c>
      <c r="W203" s="90"/>
      <c r="X203" s="91"/>
      <c r="Y203" s="89">
        <f t="shared" si="184"/>
        <v>0</v>
      </c>
      <c r="Z203" s="176"/>
      <c r="AA203" s="91"/>
      <c r="AB203" s="173">
        <f t="shared" si="189"/>
        <v>0</v>
      </c>
      <c r="AC203" s="90"/>
      <c r="AD203" s="91"/>
      <c r="AE203" s="89">
        <f t="shared" si="146"/>
        <v>0</v>
      </c>
      <c r="AF203" s="176"/>
      <c r="AG203" s="91"/>
      <c r="AH203" s="89">
        <f t="shared" si="185"/>
        <v>0</v>
      </c>
      <c r="AI203" s="160">
        <f t="shared" si="158"/>
        <v>0</v>
      </c>
      <c r="AJ203" s="202" t="str">
        <f t="shared" ref="AJ203:AJ266" si="190">LOOKUP(AI203,$BX$2:$BY$6)</f>
        <v>ممتاز</v>
      </c>
      <c r="AK203" s="67" t="e">
        <f t="shared" ref="AK203:AK266" si="191">AI203/$BZ$2</f>
        <v>#DIV/0!</v>
      </c>
      <c r="AM203" s="52">
        <f t="shared" si="186"/>
        <v>193</v>
      </c>
      <c r="AN203" s="86">
        <f t="shared" si="147"/>
        <v>0</v>
      </c>
      <c r="AO203" s="98">
        <f t="shared" si="148"/>
        <v>0</v>
      </c>
      <c r="AP203" s="79">
        <f t="shared" si="149"/>
        <v>0</v>
      </c>
      <c r="AQ203" s="168">
        <f t="shared" si="159"/>
        <v>0</v>
      </c>
      <c r="AR203" s="163"/>
      <c r="AS203" s="89">
        <f t="shared" si="160"/>
        <v>0</v>
      </c>
      <c r="AT203" s="168">
        <f t="shared" si="187"/>
        <v>0</v>
      </c>
      <c r="AU203" s="163"/>
      <c r="AV203" s="89">
        <f t="shared" si="188"/>
        <v>0</v>
      </c>
      <c r="AW203" s="168">
        <f t="shared" si="161"/>
        <v>0</v>
      </c>
      <c r="AX203" s="163"/>
      <c r="AY203" s="89">
        <f t="shared" si="162"/>
        <v>0</v>
      </c>
      <c r="AZ203" s="168">
        <f t="shared" si="163"/>
        <v>0</v>
      </c>
      <c r="BA203" s="163"/>
      <c r="BB203" s="89">
        <f t="shared" si="164"/>
        <v>0</v>
      </c>
      <c r="BC203" s="168">
        <f t="shared" si="165"/>
        <v>0</v>
      </c>
      <c r="BD203" s="163"/>
      <c r="BE203" s="89">
        <f t="shared" si="166"/>
        <v>0</v>
      </c>
      <c r="BF203" s="168">
        <f t="shared" si="167"/>
        <v>0</v>
      </c>
      <c r="BG203" s="163"/>
      <c r="BH203" s="89">
        <f t="shared" si="168"/>
        <v>0</v>
      </c>
      <c r="BI203" s="168">
        <f t="shared" si="169"/>
        <v>0</v>
      </c>
      <c r="BJ203" s="163"/>
      <c r="BK203" s="89">
        <f t="shared" si="170"/>
        <v>0</v>
      </c>
      <c r="BL203" s="168">
        <f t="shared" si="171"/>
        <v>0</v>
      </c>
      <c r="BM203" s="163"/>
      <c r="BN203" s="89">
        <f t="shared" si="172"/>
        <v>0</v>
      </c>
      <c r="BO203" s="168">
        <f t="shared" si="173"/>
        <v>0</v>
      </c>
      <c r="BP203" s="163"/>
      <c r="BQ203" s="89">
        <f t="shared" si="174"/>
        <v>0</v>
      </c>
      <c r="BR203" s="168">
        <f t="shared" si="175"/>
        <v>0</v>
      </c>
      <c r="BS203" s="163"/>
      <c r="BT203" s="89">
        <f t="shared" si="176"/>
        <v>0</v>
      </c>
      <c r="BU203" s="74">
        <f t="shared" si="177"/>
        <v>0</v>
      </c>
      <c r="BV203" s="195" t="str">
        <f>LOOKUP(BU203,'الفترة الاولى'!$BX$2:$BY$6)</f>
        <v>ممتاز</v>
      </c>
      <c r="BW203" s="75" t="e">
        <f>BU203/'الفترة الاولى'!$BZ$2</f>
        <v>#DIV/0!</v>
      </c>
    </row>
    <row r="204" spans="1:75" ht="25.2" customHeight="1" thickBot="1" x14ac:dyDescent="0.3">
      <c r="A204" s="51">
        <v>194</v>
      </c>
      <c r="B204" s="54"/>
      <c r="C204" s="102"/>
      <c r="D204" s="80"/>
      <c r="E204" s="169"/>
      <c r="F204" s="92"/>
      <c r="G204" s="170">
        <f t="shared" si="178"/>
        <v>0</v>
      </c>
      <c r="H204" s="177"/>
      <c r="I204" s="92"/>
      <c r="J204" s="174">
        <f t="shared" si="179"/>
        <v>0</v>
      </c>
      <c r="K204" s="93"/>
      <c r="L204" s="92"/>
      <c r="M204" s="170">
        <f t="shared" si="180"/>
        <v>0</v>
      </c>
      <c r="N204" s="177"/>
      <c r="O204" s="92"/>
      <c r="P204" s="174">
        <f t="shared" si="181"/>
        <v>0</v>
      </c>
      <c r="Q204" s="93"/>
      <c r="R204" s="92"/>
      <c r="S204" s="170">
        <f t="shared" si="182"/>
        <v>0</v>
      </c>
      <c r="T204" s="177"/>
      <c r="U204" s="92"/>
      <c r="V204" s="174">
        <f t="shared" si="183"/>
        <v>0</v>
      </c>
      <c r="W204" s="93"/>
      <c r="X204" s="92"/>
      <c r="Y204" s="170">
        <f t="shared" si="184"/>
        <v>0</v>
      </c>
      <c r="Z204" s="177"/>
      <c r="AA204" s="92"/>
      <c r="AB204" s="174">
        <f t="shared" si="189"/>
        <v>0</v>
      </c>
      <c r="AC204" s="93"/>
      <c r="AD204" s="92"/>
      <c r="AE204" s="89">
        <f t="shared" ref="AE204:AE267" si="192">SUM(AC204:AD204)</f>
        <v>0</v>
      </c>
      <c r="AF204" s="177"/>
      <c r="AG204" s="92"/>
      <c r="AH204" s="170">
        <f t="shared" si="185"/>
        <v>0</v>
      </c>
      <c r="AI204" s="161">
        <f t="shared" si="158"/>
        <v>0</v>
      </c>
      <c r="AJ204" s="200" t="str">
        <f t="shared" si="190"/>
        <v>ممتاز</v>
      </c>
      <c r="AK204" s="65" t="e">
        <f t="shared" si="191"/>
        <v>#DIV/0!</v>
      </c>
      <c r="AM204" s="50">
        <f t="shared" si="186"/>
        <v>194</v>
      </c>
      <c r="AN204" s="87">
        <f t="shared" si="147"/>
        <v>0</v>
      </c>
      <c r="AO204" s="99">
        <f t="shared" si="148"/>
        <v>0</v>
      </c>
      <c r="AP204" s="80">
        <f t="shared" si="149"/>
        <v>0</v>
      </c>
      <c r="AQ204" s="169">
        <f t="shared" si="159"/>
        <v>0</v>
      </c>
      <c r="AR204" s="188"/>
      <c r="AS204" s="170">
        <f t="shared" si="160"/>
        <v>0</v>
      </c>
      <c r="AT204" s="169">
        <f t="shared" si="187"/>
        <v>0</v>
      </c>
      <c r="AU204" s="188"/>
      <c r="AV204" s="170">
        <f t="shared" si="188"/>
        <v>0</v>
      </c>
      <c r="AW204" s="169">
        <f t="shared" si="161"/>
        <v>0</v>
      </c>
      <c r="AX204" s="188"/>
      <c r="AY204" s="170">
        <f t="shared" si="162"/>
        <v>0</v>
      </c>
      <c r="AZ204" s="169">
        <f t="shared" si="163"/>
        <v>0</v>
      </c>
      <c r="BA204" s="188"/>
      <c r="BB204" s="170">
        <f t="shared" si="164"/>
        <v>0</v>
      </c>
      <c r="BC204" s="169">
        <f t="shared" si="165"/>
        <v>0</v>
      </c>
      <c r="BD204" s="188"/>
      <c r="BE204" s="170">
        <f t="shared" si="166"/>
        <v>0</v>
      </c>
      <c r="BF204" s="169">
        <f t="shared" si="167"/>
        <v>0</v>
      </c>
      <c r="BG204" s="188"/>
      <c r="BH204" s="170">
        <f t="shared" si="168"/>
        <v>0</v>
      </c>
      <c r="BI204" s="169">
        <f t="shared" si="169"/>
        <v>0</v>
      </c>
      <c r="BJ204" s="188"/>
      <c r="BK204" s="170">
        <f t="shared" si="170"/>
        <v>0</v>
      </c>
      <c r="BL204" s="169">
        <f t="shared" si="171"/>
        <v>0</v>
      </c>
      <c r="BM204" s="188"/>
      <c r="BN204" s="170">
        <f t="shared" si="172"/>
        <v>0</v>
      </c>
      <c r="BO204" s="169">
        <f t="shared" si="173"/>
        <v>0</v>
      </c>
      <c r="BP204" s="188"/>
      <c r="BQ204" s="170">
        <f t="shared" si="174"/>
        <v>0</v>
      </c>
      <c r="BR204" s="169">
        <f t="shared" si="175"/>
        <v>0</v>
      </c>
      <c r="BS204" s="188"/>
      <c r="BT204" s="170">
        <f t="shared" si="176"/>
        <v>0</v>
      </c>
      <c r="BU204" s="76">
        <f t="shared" si="177"/>
        <v>0</v>
      </c>
      <c r="BV204" s="196" t="str">
        <f>LOOKUP(BU204,'الفترة الاولى'!$BX$2:$BY$6)</f>
        <v>ممتاز</v>
      </c>
      <c r="BW204" s="77" t="e">
        <f>BU204/'الفترة الاولى'!$BZ$2</f>
        <v>#DIV/0!</v>
      </c>
    </row>
    <row r="205" spans="1:75" ht="25.2" customHeight="1" thickBot="1" x14ac:dyDescent="0.3">
      <c r="A205" s="52">
        <v>195</v>
      </c>
      <c r="B205" s="55"/>
      <c r="C205" s="103"/>
      <c r="D205" s="81"/>
      <c r="E205" s="171"/>
      <c r="F205" s="94"/>
      <c r="G205" s="172">
        <f t="shared" si="178"/>
        <v>0</v>
      </c>
      <c r="H205" s="178"/>
      <c r="I205" s="94"/>
      <c r="J205" s="175">
        <f t="shared" si="179"/>
        <v>0</v>
      </c>
      <c r="K205" s="95"/>
      <c r="L205" s="94"/>
      <c r="M205" s="172">
        <f t="shared" si="180"/>
        <v>0</v>
      </c>
      <c r="N205" s="178"/>
      <c r="O205" s="94"/>
      <c r="P205" s="175">
        <f t="shared" si="181"/>
        <v>0</v>
      </c>
      <c r="Q205" s="95"/>
      <c r="R205" s="94"/>
      <c r="S205" s="172">
        <f t="shared" si="182"/>
        <v>0</v>
      </c>
      <c r="T205" s="178"/>
      <c r="U205" s="94"/>
      <c r="V205" s="175">
        <f t="shared" si="183"/>
        <v>0</v>
      </c>
      <c r="W205" s="95"/>
      <c r="X205" s="94"/>
      <c r="Y205" s="172">
        <f t="shared" si="184"/>
        <v>0</v>
      </c>
      <c r="Z205" s="178"/>
      <c r="AA205" s="94"/>
      <c r="AB205" s="175">
        <f t="shared" si="189"/>
        <v>0</v>
      </c>
      <c r="AC205" s="95"/>
      <c r="AD205" s="94"/>
      <c r="AE205" s="89">
        <f t="shared" si="192"/>
        <v>0</v>
      </c>
      <c r="AF205" s="178"/>
      <c r="AG205" s="94"/>
      <c r="AH205" s="172">
        <f t="shared" si="185"/>
        <v>0</v>
      </c>
      <c r="AI205" s="162">
        <f t="shared" si="158"/>
        <v>0</v>
      </c>
      <c r="AJ205" s="201" t="str">
        <f t="shared" si="190"/>
        <v>ممتاز</v>
      </c>
      <c r="AK205" s="66" t="e">
        <f t="shared" si="191"/>
        <v>#DIV/0!</v>
      </c>
      <c r="AM205" s="51">
        <f t="shared" si="186"/>
        <v>195</v>
      </c>
      <c r="AN205" s="88">
        <f t="shared" si="147"/>
        <v>0</v>
      </c>
      <c r="AO205" s="100">
        <f t="shared" si="148"/>
        <v>0</v>
      </c>
      <c r="AP205" s="81">
        <f t="shared" si="149"/>
        <v>0</v>
      </c>
      <c r="AQ205" s="171">
        <f t="shared" si="159"/>
        <v>0</v>
      </c>
      <c r="AR205" s="189"/>
      <c r="AS205" s="172">
        <f t="shared" si="160"/>
        <v>0</v>
      </c>
      <c r="AT205" s="171">
        <f t="shared" si="187"/>
        <v>0</v>
      </c>
      <c r="AU205" s="189"/>
      <c r="AV205" s="172">
        <f t="shared" si="188"/>
        <v>0</v>
      </c>
      <c r="AW205" s="171">
        <f t="shared" si="161"/>
        <v>0</v>
      </c>
      <c r="AX205" s="189"/>
      <c r="AY205" s="172">
        <f t="shared" si="162"/>
        <v>0</v>
      </c>
      <c r="AZ205" s="171">
        <f t="shared" si="163"/>
        <v>0</v>
      </c>
      <c r="BA205" s="189"/>
      <c r="BB205" s="172">
        <f t="shared" si="164"/>
        <v>0</v>
      </c>
      <c r="BC205" s="171">
        <f t="shared" si="165"/>
        <v>0</v>
      </c>
      <c r="BD205" s="189"/>
      <c r="BE205" s="172">
        <f t="shared" si="166"/>
        <v>0</v>
      </c>
      <c r="BF205" s="171">
        <f t="shared" si="167"/>
        <v>0</v>
      </c>
      <c r="BG205" s="189"/>
      <c r="BH205" s="172">
        <f t="shared" si="168"/>
        <v>0</v>
      </c>
      <c r="BI205" s="171">
        <f t="shared" si="169"/>
        <v>0</v>
      </c>
      <c r="BJ205" s="189"/>
      <c r="BK205" s="172">
        <f t="shared" si="170"/>
        <v>0</v>
      </c>
      <c r="BL205" s="171">
        <f t="shared" si="171"/>
        <v>0</v>
      </c>
      <c r="BM205" s="189"/>
      <c r="BN205" s="172">
        <f t="shared" si="172"/>
        <v>0</v>
      </c>
      <c r="BO205" s="171">
        <f t="shared" si="173"/>
        <v>0</v>
      </c>
      <c r="BP205" s="189"/>
      <c r="BQ205" s="172">
        <f t="shared" si="174"/>
        <v>0</v>
      </c>
      <c r="BR205" s="171">
        <f t="shared" si="175"/>
        <v>0</v>
      </c>
      <c r="BS205" s="189"/>
      <c r="BT205" s="172">
        <f t="shared" si="176"/>
        <v>0</v>
      </c>
      <c r="BU205" s="72">
        <f t="shared" si="177"/>
        <v>0</v>
      </c>
      <c r="BV205" s="194" t="str">
        <f>LOOKUP(BU205,'الفترة الاولى'!$BX$2:$BY$6)</f>
        <v>ممتاز</v>
      </c>
      <c r="BW205" s="73" t="e">
        <f>BU205/'الفترة الاولى'!$BZ$2</f>
        <v>#DIV/0!</v>
      </c>
    </row>
    <row r="206" spans="1:75" ht="25.2" customHeight="1" thickBot="1" x14ac:dyDescent="0.3">
      <c r="A206" s="50">
        <v>196</v>
      </c>
      <c r="B206" s="53"/>
      <c r="C206" s="101"/>
      <c r="D206" s="79"/>
      <c r="E206" s="168"/>
      <c r="F206" s="163"/>
      <c r="G206" s="89">
        <f t="shared" si="178"/>
        <v>0</v>
      </c>
      <c r="H206" s="176"/>
      <c r="I206" s="91"/>
      <c r="J206" s="173">
        <f t="shared" si="179"/>
        <v>0</v>
      </c>
      <c r="K206" s="90"/>
      <c r="L206" s="91"/>
      <c r="M206" s="89">
        <f t="shared" si="180"/>
        <v>0</v>
      </c>
      <c r="N206" s="176"/>
      <c r="O206" s="91"/>
      <c r="P206" s="173">
        <f t="shared" si="181"/>
        <v>0</v>
      </c>
      <c r="Q206" s="90"/>
      <c r="R206" s="91"/>
      <c r="S206" s="89">
        <f t="shared" si="182"/>
        <v>0</v>
      </c>
      <c r="T206" s="176"/>
      <c r="U206" s="91"/>
      <c r="V206" s="173">
        <f t="shared" si="183"/>
        <v>0</v>
      </c>
      <c r="W206" s="90"/>
      <c r="X206" s="91"/>
      <c r="Y206" s="89">
        <f t="shared" si="184"/>
        <v>0</v>
      </c>
      <c r="Z206" s="176"/>
      <c r="AA206" s="91"/>
      <c r="AB206" s="173">
        <f t="shared" si="189"/>
        <v>0</v>
      </c>
      <c r="AC206" s="90"/>
      <c r="AD206" s="91"/>
      <c r="AE206" s="89">
        <f t="shared" si="192"/>
        <v>0</v>
      </c>
      <c r="AF206" s="176"/>
      <c r="AG206" s="91"/>
      <c r="AH206" s="89">
        <f t="shared" si="185"/>
        <v>0</v>
      </c>
      <c r="AI206" s="160">
        <f t="shared" si="158"/>
        <v>0</v>
      </c>
      <c r="AJ206" s="202" t="str">
        <f t="shared" si="190"/>
        <v>ممتاز</v>
      </c>
      <c r="AK206" s="67" t="e">
        <f t="shared" si="191"/>
        <v>#DIV/0!</v>
      </c>
      <c r="AM206" s="52">
        <f t="shared" si="186"/>
        <v>196</v>
      </c>
      <c r="AN206" s="86">
        <f t="shared" ref="AN206:AN269" si="193">B206</f>
        <v>0</v>
      </c>
      <c r="AO206" s="98">
        <f t="shared" ref="AO206:AO269" si="194">C206</f>
        <v>0</v>
      </c>
      <c r="AP206" s="79">
        <f t="shared" ref="AP206:AP269" si="195">D206</f>
        <v>0</v>
      </c>
      <c r="AQ206" s="168">
        <f t="shared" si="159"/>
        <v>0</v>
      </c>
      <c r="AR206" s="163"/>
      <c r="AS206" s="89">
        <f t="shared" si="160"/>
        <v>0</v>
      </c>
      <c r="AT206" s="168">
        <f t="shared" si="187"/>
        <v>0</v>
      </c>
      <c r="AU206" s="163"/>
      <c r="AV206" s="89">
        <f t="shared" si="188"/>
        <v>0</v>
      </c>
      <c r="AW206" s="168">
        <f t="shared" si="161"/>
        <v>0</v>
      </c>
      <c r="AX206" s="163"/>
      <c r="AY206" s="89">
        <f t="shared" si="162"/>
        <v>0</v>
      </c>
      <c r="AZ206" s="168">
        <f t="shared" si="163"/>
        <v>0</v>
      </c>
      <c r="BA206" s="163"/>
      <c r="BB206" s="89">
        <f t="shared" si="164"/>
        <v>0</v>
      </c>
      <c r="BC206" s="168">
        <f t="shared" si="165"/>
        <v>0</v>
      </c>
      <c r="BD206" s="163"/>
      <c r="BE206" s="89">
        <f t="shared" si="166"/>
        <v>0</v>
      </c>
      <c r="BF206" s="168">
        <f t="shared" si="167"/>
        <v>0</v>
      </c>
      <c r="BG206" s="163"/>
      <c r="BH206" s="89">
        <f t="shared" si="168"/>
        <v>0</v>
      </c>
      <c r="BI206" s="168">
        <f t="shared" si="169"/>
        <v>0</v>
      </c>
      <c r="BJ206" s="163"/>
      <c r="BK206" s="89">
        <f t="shared" si="170"/>
        <v>0</v>
      </c>
      <c r="BL206" s="168">
        <f t="shared" si="171"/>
        <v>0</v>
      </c>
      <c r="BM206" s="163"/>
      <c r="BN206" s="89">
        <f t="shared" si="172"/>
        <v>0</v>
      </c>
      <c r="BO206" s="168">
        <f t="shared" si="173"/>
        <v>0</v>
      </c>
      <c r="BP206" s="163"/>
      <c r="BQ206" s="89">
        <f t="shared" si="174"/>
        <v>0</v>
      </c>
      <c r="BR206" s="168">
        <f t="shared" si="175"/>
        <v>0</v>
      </c>
      <c r="BS206" s="163"/>
      <c r="BT206" s="89">
        <f t="shared" si="176"/>
        <v>0</v>
      </c>
      <c r="BU206" s="74">
        <f t="shared" si="177"/>
        <v>0</v>
      </c>
      <c r="BV206" s="195" t="str">
        <f>LOOKUP(BU206,'الفترة الاولى'!$BX$2:$BY$6)</f>
        <v>ممتاز</v>
      </c>
      <c r="BW206" s="75" t="e">
        <f>BU206/'الفترة الاولى'!$BZ$2</f>
        <v>#DIV/0!</v>
      </c>
    </row>
    <row r="207" spans="1:75" ht="25.2" customHeight="1" thickBot="1" x14ac:dyDescent="0.3">
      <c r="A207" s="51">
        <v>197</v>
      </c>
      <c r="B207" s="54"/>
      <c r="C207" s="102"/>
      <c r="D207" s="80"/>
      <c r="E207" s="169"/>
      <c r="F207" s="92"/>
      <c r="G207" s="170">
        <f t="shared" si="178"/>
        <v>0</v>
      </c>
      <c r="H207" s="177"/>
      <c r="I207" s="92"/>
      <c r="J207" s="174">
        <f t="shared" si="179"/>
        <v>0</v>
      </c>
      <c r="K207" s="93"/>
      <c r="L207" s="92"/>
      <c r="M207" s="170">
        <f t="shared" si="180"/>
        <v>0</v>
      </c>
      <c r="N207" s="177"/>
      <c r="O207" s="92"/>
      <c r="P207" s="174">
        <f t="shared" si="181"/>
        <v>0</v>
      </c>
      <c r="Q207" s="93"/>
      <c r="R207" s="92"/>
      <c r="S207" s="170">
        <f t="shared" si="182"/>
        <v>0</v>
      </c>
      <c r="T207" s="177"/>
      <c r="U207" s="92"/>
      <c r="V207" s="174">
        <f t="shared" si="183"/>
        <v>0</v>
      </c>
      <c r="W207" s="93"/>
      <c r="X207" s="92"/>
      <c r="Y207" s="170">
        <f t="shared" si="184"/>
        <v>0</v>
      </c>
      <c r="Z207" s="177"/>
      <c r="AA207" s="92"/>
      <c r="AB207" s="174">
        <f t="shared" si="189"/>
        <v>0</v>
      </c>
      <c r="AC207" s="93"/>
      <c r="AD207" s="92"/>
      <c r="AE207" s="89">
        <f t="shared" si="192"/>
        <v>0</v>
      </c>
      <c r="AF207" s="177"/>
      <c r="AG207" s="92"/>
      <c r="AH207" s="170">
        <f t="shared" si="185"/>
        <v>0</v>
      </c>
      <c r="AI207" s="161">
        <f t="shared" ref="AI207:AI270" si="196">SUM(AH207,AE207,AB207,Y207,V207,S207,P207,M207,J207,G207)</f>
        <v>0</v>
      </c>
      <c r="AJ207" s="200" t="str">
        <f t="shared" si="190"/>
        <v>ممتاز</v>
      </c>
      <c r="AK207" s="65" t="e">
        <f t="shared" si="191"/>
        <v>#DIV/0!</v>
      </c>
      <c r="AM207" s="50">
        <f t="shared" si="186"/>
        <v>197</v>
      </c>
      <c r="AN207" s="87">
        <f t="shared" si="193"/>
        <v>0</v>
      </c>
      <c r="AO207" s="99">
        <f t="shared" si="194"/>
        <v>0</v>
      </c>
      <c r="AP207" s="80">
        <f t="shared" si="195"/>
        <v>0</v>
      </c>
      <c r="AQ207" s="169">
        <f t="shared" ref="AQ207:AQ270" si="197">E207</f>
        <v>0</v>
      </c>
      <c r="AR207" s="188"/>
      <c r="AS207" s="170">
        <f t="shared" ref="AS207:AS270" si="198">SUM(AQ207:AR207)</f>
        <v>0</v>
      </c>
      <c r="AT207" s="169">
        <f t="shared" ref="AT207:AT270" si="199">H207</f>
        <v>0</v>
      </c>
      <c r="AU207" s="188"/>
      <c r="AV207" s="170">
        <f t="shared" ref="AV207:AV270" si="200">SUM(AT207:AU207)</f>
        <v>0</v>
      </c>
      <c r="AW207" s="169">
        <f t="shared" ref="AW207:AW270" si="201">K207</f>
        <v>0</v>
      </c>
      <c r="AX207" s="188"/>
      <c r="AY207" s="170">
        <f t="shared" ref="AY207:AY270" si="202">SUM(AW207:AX207)</f>
        <v>0</v>
      </c>
      <c r="AZ207" s="169">
        <f t="shared" ref="AZ207:AZ270" si="203">N207</f>
        <v>0</v>
      </c>
      <c r="BA207" s="188"/>
      <c r="BB207" s="170">
        <f t="shared" ref="BB207:BB270" si="204">SUM(AZ207:BA207)</f>
        <v>0</v>
      </c>
      <c r="BC207" s="169">
        <f t="shared" ref="BC207:BC270" si="205">Q207</f>
        <v>0</v>
      </c>
      <c r="BD207" s="188"/>
      <c r="BE207" s="170">
        <f t="shared" ref="BE207:BE270" si="206">SUM(BC207:BD207)</f>
        <v>0</v>
      </c>
      <c r="BF207" s="169">
        <f t="shared" ref="BF207:BF270" si="207">T207</f>
        <v>0</v>
      </c>
      <c r="BG207" s="188"/>
      <c r="BH207" s="170">
        <f t="shared" ref="BH207:BH270" si="208">SUM(BF207:BG207)</f>
        <v>0</v>
      </c>
      <c r="BI207" s="169">
        <f t="shared" ref="BI207:BI270" si="209">W207</f>
        <v>0</v>
      </c>
      <c r="BJ207" s="188"/>
      <c r="BK207" s="170">
        <f t="shared" ref="BK207:BK270" si="210">SUM(BI207:BJ207)</f>
        <v>0</v>
      </c>
      <c r="BL207" s="169">
        <f t="shared" ref="BL207:BL270" si="211">Z207</f>
        <v>0</v>
      </c>
      <c r="BM207" s="188"/>
      <c r="BN207" s="170">
        <f t="shared" ref="BN207:BN270" si="212">SUM(BL207:BM207)</f>
        <v>0</v>
      </c>
      <c r="BO207" s="169">
        <f t="shared" ref="BO207:BO270" si="213">AC207</f>
        <v>0</v>
      </c>
      <c r="BP207" s="188"/>
      <c r="BQ207" s="170">
        <f t="shared" ref="BQ207:BQ270" si="214">SUM(BO207:BP207)</f>
        <v>0</v>
      </c>
      <c r="BR207" s="169">
        <f t="shared" ref="BR207:BR270" si="215">AF207</f>
        <v>0</v>
      </c>
      <c r="BS207" s="188"/>
      <c r="BT207" s="170">
        <f t="shared" ref="BT207:BT270" si="216">SUM(BR207:BS207)</f>
        <v>0</v>
      </c>
      <c r="BU207" s="76">
        <f t="shared" ref="BU207:BU270" si="217">SUM(AS207,AV207,AY207,BB207,BE207,BH207,BK207,BN207,BQ207,BT207)</f>
        <v>0</v>
      </c>
      <c r="BV207" s="196" t="str">
        <f>LOOKUP(BU207,'الفترة الاولى'!$BX$2:$BY$6)</f>
        <v>ممتاز</v>
      </c>
      <c r="BW207" s="77" t="e">
        <f>BU207/'الفترة الاولى'!$BZ$2</f>
        <v>#DIV/0!</v>
      </c>
    </row>
    <row r="208" spans="1:75" ht="25.2" customHeight="1" thickBot="1" x14ac:dyDescent="0.3">
      <c r="A208" s="52">
        <v>198</v>
      </c>
      <c r="B208" s="55"/>
      <c r="C208" s="103"/>
      <c r="D208" s="81"/>
      <c r="E208" s="171"/>
      <c r="F208" s="94"/>
      <c r="G208" s="172">
        <f t="shared" ref="G208:G271" si="218">SUM(E208:F208)</f>
        <v>0</v>
      </c>
      <c r="H208" s="178"/>
      <c r="I208" s="94"/>
      <c r="J208" s="175">
        <f t="shared" ref="J208:J271" si="219">SUM(H208:I208)</f>
        <v>0</v>
      </c>
      <c r="K208" s="95"/>
      <c r="L208" s="94"/>
      <c r="M208" s="172">
        <f t="shared" ref="M208:M271" si="220">SUM(K208:L208)</f>
        <v>0</v>
      </c>
      <c r="N208" s="178"/>
      <c r="O208" s="94"/>
      <c r="P208" s="175">
        <f t="shared" ref="P208:P271" si="221">SUM(N208:O208)</f>
        <v>0</v>
      </c>
      <c r="Q208" s="95"/>
      <c r="R208" s="94"/>
      <c r="S208" s="172">
        <f t="shared" ref="S208:S271" si="222">SUM(Q208:R208)</f>
        <v>0</v>
      </c>
      <c r="T208" s="178"/>
      <c r="U208" s="94"/>
      <c r="V208" s="175">
        <f t="shared" ref="V208:V271" si="223">SUM(T208:U208)</f>
        <v>0</v>
      </c>
      <c r="W208" s="95"/>
      <c r="X208" s="94"/>
      <c r="Y208" s="172">
        <f t="shared" ref="Y208:Y271" si="224">SUM(W208:X208)</f>
        <v>0</v>
      </c>
      <c r="Z208" s="178"/>
      <c r="AA208" s="94"/>
      <c r="AB208" s="175">
        <f t="shared" ref="AB208:AB271" si="225">SUM(Z208:AA208)</f>
        <v>0</v>
      </c>
      <c r="AC208" s="95"/>
      <c r="AD208" s="94"/>
      <c r="AE208" s="89">
        <f t="shared" si="192"/>
        <v>0</v>
      </c>
      <c r="AF208" s="178"/>
      <c r="AG208" s="94"/>
      <c r="AH208" s="172">
        <f t="shared" ref="AH208:AH271" si="226">SUM(AF208:AG208)</f>
        <v>0</v>
      </c>
      <c r="AI208" s="162">
        <f t="shared" si="196"/>
        <v>0</v>
      </c>
      <c r="AJ208" s="201" t="str">
        <f t="shared" si="190"/>
        <v>ممتاز</v>
      </c>
      <c r="AK208" s="66" t="e">
        <f t="shared" si="191"/>
        <v>#DIV/0!</v>
      </c>
      <c r="AM208" s="51">
        <f t="shared" si="186"/>
        <v>198</v>
      </c>
      <c r="AN208" s="88">
        <f t="shared" si="193"/>
        <v>0</v>
      </c>
      <c r="AO208" s="100">
        <f t="shared" si="194"/>
        <v>0</v>
      </c>
      <c r="AP208" s="81">
        <f t="shared" si="195"/>
        <v>0</v>
      </c>
      <c r="AQ208" s="171">
        <f t="shared" si="197"/>
        <v>0</v>
      </c>
      <c r="AR208" s="189"/>
      <c r="AS208" s="172">
        <f t="shared" si="198"/>
        <v>0</v>
      </c>
      <c r="AT208" s="171">
        <f t="shared" si="199"/>
        <v>0</v>
      </c>
      <c r="AU208" s="189"/>
      <c r="AV208" s="172">
        <f t="shared" si="200"/>
        <v>0</v>
      </c>
      <c r="AW208" s="171">
        <f t="shared" si="201"/>
        <v>0</v>
      </c>
      <c r="AX208" s="189"/>
      <c r="AY208" s="172">
        <f t="shared" si="202"/>
        <v>0</v>
      </c>
      <c r="AZ208" s="171">
        <f t="shared" si="203"/>
        <v>0</v>
      </c>
      <c r="BA208" s="189"/>
      <c r="BB208" s="172">
        <f t="shared" si="204"/>
        <v>0</v>
      </c>
      <c r="BC208" s="171">
        <f t="shared" si="205"/>
        <v>0</v>
      </c>
      <c r="BD208" s="189"/>
      <c r="BE208" s="172">
        <f t="shared" si="206"/>
        <v>0</v>
      </c>
      <c r="BF208" s="171">
        <f t="shared" si="207"/>
        <v>0</v>
      </c>
      <c r="BG208" s="189"/>
      <c r="BH208" s="172">
        <f t="shared" si="208"/>
        <v>0</v>
      </c>
      <c r="BI208" s="171">
        <f t="shared" si="209"/>
        <v>0</v>
      </c>
      <c r="BJ208" s="189"/>
      <c r="BK208" s="172">
        <f t="shared" si="210"/>
        <v>0</v>
      </c>
      <c r="BL208" s="171">
        <f t="shared" si="211"/>
        <v>0</v>
      </c>
      <c r="BM208" s="189"/>
      <c r="BN208" s="172">
        <f t="shared" si="212"/>
        <v>0</v>
      </c>
      <c r="BO208" s="171">
        <f t="shared" si="213"/>
        <v>0</v>
      </c>
      <c r="BP208" s="189"/>
      <c r="BQ208" s="172">
        <f t="shared" si="214"/>
        <v>0</v>
      </c>
      <c r="BR208" s="171">
        <f t="shared" si="215"/>
        <v>0</v>
      </c>
      <c r="BS208" s="189"/>
      <c r="BT208" s="172">
        <f t="shared" si="216"/>
        <v>0</v>
      </c>
      <c r="BU208" s="72">
        <f t="shared" si="217"/>
        <v>0</v>
      </c>
      <c r="BV208" s="194" t="str">
        <f>LOOKUP(BU208,'الفترة الاولى'!$BX$2:$BY$6)</f>
        <v>ممتاز</v>
      </c>
      <c r="BW208" s="73" t="e">
        <f>BU208/'الفترة الاولى'!$BZ$2</f>
        <v>#DIV/0!</v>
      </c>
    </row>
    <row r="209" spans="1:79" ht="25.2" customHeight="1" thickBot="1" x14ac:dyDescent="0.3">
      <c r="A209" s="50">
        <v>199</v>
      </c>
      <c r="B209" s="53"/>
      <c r="C209" s="101"/>
      <c r="D209" s="79"/>
      <c r="E209" s="168"/>
      <c r="F209" s="163"/>
      <c r="G209" s="89">
        <f t="shared" si="218"/>
        <v>0</v>
      </c>
      <c r="H209" s="176"/>
      <c r="I209" s="91"/>
      <c r="J209" s="173">
        <f t="shared" si="219"/>
        <v>0</v>
      </c>
      <c r="K209" s="90"/>
      <c r="L209" s="91"/>
      <c r="M209" s="89">
        <f t="shared" si="220"/>
        <v>0</v>
      </c>
      <c r="N209" s="176"/>
      <c r="O209" s="91"/>
      <c r="P209" s="173">
        <f t="shared" si="221"/>
        <v>0</v>
      </c>
      <c r="Q209" s="90"/>
      <c r="R209" s="91"/>
      <c r="S209" s="89">
        <f t="shared" si="222"/>
        <v>0</v>
      </c>
      <c r="T209" s="176"/>
      <c r="U209" s="91"/>
      <c r="V209" s="173">
        <f t="shared" si="223"/>
        <v>0</v>
      </c>
      <c r="W209" s="90"/>
      <c r="X209" s="91"/>
      <c r="Y209" s="89">
        <f t="shared" si="224"/>
        <v>0</v>
      </c>
      <c r="Z209" s="176"/>
      <c r="AA209" s="91"/>
      <c r="AB209" s="173">
        <f t="shared" si="225"/>
        <v>0</v>
      </c>
      <c r="AC209" s="90"/>
      <c r="AD209" s="91"/>
      <c r="AE209" s="89">
        <f t="shared" si="192"/>
        <v>0</v>
      </c>
      <c r="AF209" s="176"/>
      <c r="AG209" s="91"/>
      <c r="AH209" s="89">
        <f t="shared" si="226"/>
        <v>0</v>
      </c>
      <c r="AI209" s="160">
        <f t="shared" si="196"/>
        <v>0</v>
      </c>
      <c r="AJ209" s="202" t="str">
        <f t="shared" si="190"/>
        <v>ممتاز</v>
      </c>
      <c r="AK209" s="67" t="e">
        <f t="shared" si="191"/>
        <v>#DIV/0!</v>
      </c>
      <c r="AM209" s="52">
        <f t="shared" si="186"/>
        <v>199</v>
      </c>
      <c r="AN209" s="86">
        <f t="shared" si="193"/>
        <v>0</v>
      </c>
      <c r="AO209" s="98">
        <f t="shared" si="194"/>
        <v>0</v>
      </c>
      <c r="AP209" s="79">
        <f t="shared" si="195"/>
        <v>0</v>
      </c>
      <c r="AQ209" s="168">
        <f t="shared" si="197"/>
        <v>0</v>
      </c>
      <c r="AR209" s="163"/>
      <c r="AS209" s="89">
        <f t="shared" si="198"/>
        <v>0</v>
      </c>
      <c r="AT209" s="168">
        <f t="shared" si="199"/>
        <v>0</v>
      </c>
      <c r="AU209" s="163"/>
      <c r="AV209" s="89">
        <f t="shared" si="200"/>
        <v>0</v>
      </c>
      <c r="AW209" s="168">
        <f t="shared" si="201"/>
        <v>0</v>
      </c>
      <c r="AX209" s="163"/>
      <c r="AY209" s="89">
        <f t="shared" si="202"/>
        <v>0</v>
      </c>
      <c r="AZ209" s="168">
        <f t="shared" si="203"/>
        <v>0</v>
      </c>
      <c r="BA209" s="163"/>
      <c r="BB209" s="89">
        <f t="shared" si="204"/>
        <v>0</v>
      </c>
      <c r="BC209" s="168">
        <f t="shared" si="205"/>
        <v>0</v>
      </c>
      <c r="BD209" s="163"/>
      <c r="BE209" s="89">
        <f t="shared" si="206"/>
        <v>0</v>
      </c>
      <c r="BF209" s="168">
        <f t="shared" si="207"/>
        <v>0</v>
      </c>
      <c r="BG209" s="163"/>
      <c r="BH209" s="89">
        <f t="shared" si="208"/>
        <v>0</v>
      </c>
      <c r="BI209" s="168">
        <f t="shared" si="209"/>
        <v>0</v>
      </c>
      <c r="BJ209" s="163"/>
      <c r="BK209" s="89">
        <f t="shared" si="210"/>
        <v>0</v>
      </c>
      <c r="BL209" s="168">
        <f t="shared" si="211"/>
        <v>0</v>
      </c>
      <c r="BM209" s="163"/>
      <c r="BN209" s="89">
        <f t="shared" si="212"/>
        <v>0</v>
      </c>
      <c r="BO209" s="168">
        <f t="shared" si="213"/>
        <v>0</v>
      </c>
      <c r="BP209" s="163"/>
      <c r="BQ209" s="89">
        <f t="shared" si="214"/>
        <v>0</v>
      </c>
      <c r="BR209" s="168">
        <f t="shared" si="215"/>
        <v>0</v>
      </c>
      <c r="BS209" s="163"/>
      <c r="BT209" s="89">
        <f t="shared" si="216"/>
        <v>0</v>
      </c>
      <c r="BU209" s="74">
        <f t="shared" si="217"/>
        <v>0</v>
      </c>
      <c r="BV209" s="195" t="str">
        <f>LOOKUP(BU209,'الفترة الاولى'!$BX$2:$BY$6)</f>
        <v>ممتاز</v>
      </c>
      <c r="BW209" s="75" t="e">
        <f>BU209/'الفترة الاولى'!$BZ$2</f>
        <v>#DIV/0!</v>
      </c>
    </row>
    <row r="210" spans="1:79" ht="25.2" customHeight="1" thickBot="1" x14ac:dyDescent="0.3">
      <c r="A210" s="51">
        <v>200</v>
      </c>
      <c r="B210" s="54"/>
      <c r="C210" s="102"/>
      <c r="D210" s="80"/>
      <c r="E210" s="169"/>
      <c r="F210" s="92"/>
      <c r="G210" s="170">
        <f t="shared" si="218"/>
        <v>0</v>
      </c>
      <c r="H210" s="177"/>
      <c r="I210" s="92"/>
      <c r="J210" s="174">
        <f t="shared" si="219"/>
        <v>0</v>
      </c>
      <c r="K210" s="93"/>
      <c r="L210" s="92"/>
      <c r="M210" s="170">
        <f t="shared" si="220"/>
        <v>0</v>
      </c>
      <c r="N210" s="177"/>
      <c r="O210" s="92"/>
      <c r="P210" s="174">
        <f t="shared" si="221"/>
        <v>0</v>
      </c>
      <c r="Q210" s="93"/>
      <c r="R210" s="92"/>
      <c r="S210" s="170">
        <f t="shared" si="222"/>
        <v>0</v>
      </c>
      <c r="T210" s="177"/>
      <c r="U210" s="92"/>
      <c r="V210" s="174">
        <f t="shared" si="223"/>
        <v>0</v>
      </c>
      <c r="W210" s="93"/>
      <c r="X210" s="92"/>
      <c r="Y210" s="170">
        <f t="shared" si="224"/>
        <v>0</v>
      </c>
      <c r="Z210" s="177"/>
      <c r="AA210" s="92"/>
      <c r="AB210" s="174">
        <f t="shared" si="225"/>
        <v>0</v>
      </c>
      <c r="AC210" s="93"/>
      <c r="AD210" s="92"/>
      <c r="AE210" s="89">
        <f t="shared" si="192"/>
        <v>0</v>
      </c>
      <c r="AF210" s="177"/>
      <c r="AG210" s="92"/>
      <c r="AH210" s="170">
        <f t="shared" si="226"/>
        <v>0</v>
      </c>
      <c r="AI210" s="161">
        <f t="shared" si="196"/>
        <v>0</v>
      </c>
      <c r="AJ210" s="200" t="str">
        <f t="shared" si="190"/>
        <v>ممتاز</v>
      </c>
      <c r="AK210" s="65" t="e">
        <f t="shared" si="191"/>
        <v>#DIV/0!</v>
      </c>
      <c r="AM210" s="50">
        <f t="shared" si="186"/>
        <v>200</v>
      </c>
      <c r="AN210" s="87">
        <f t="shared" si="193"/>
        <v>0</v>
      </c>
      <c r="AO210" s="99">
        <f t="shared" si="194"/>
        <v>0</v>
      </c>
      <c r="AP210" s="80">
        <f t="shared" si="195"/>
        <v>0</v>
      </c>
      <c r="AQ210" s="169">
        <f t="shared" si="197"/>
        <v>0</v>
      </c>
      <c r="AR210" s="188"/>
      <c r="AS210" s="170">
        <f t="shared" si="198"/>
        <v>0</v>
      </c>
      <c r="AT210" s="169">
        <f t="shared" si="199"/>
        <v>0</v>
      </c>
      <c r="AU210" s="188"/>
      <c r="AV210" s="170">
        <f t="shared" si="200"/>
        <v>0</v>
      </c>
      <c r="AW210" s="169">
        <f t="shared" si="201"/>
        <v>0</v>
      </c>
      <c r="AX210" s="188"/>
      <c r="AY210" s="170">
        <f t="shared" si="202"/>
        <v>0</v>
      </c>
      <c r="AZ210" s="169">
        <f t="shared" si="203"/>
        <v>0</v>
      </c>
      <c r="BA210" s="188"/>
      <c r="BB210" s="170">
        <f t="shared" si="204"/>
        <v>0</v>
      </c>
      <c r="BC210" s="169">
        <f t="shared" si="205"/>
        <v>0</v>
      </c>
      <c r="BD210" s="188"/>
      <c r="BE210" s="170">
        <f t="shared" si="206"/>
        <v>0</v>
      </c>
      <c r="BF210" s="169">
        <f t="shared" si="207"/>
        <v>0</v>
      </c>
      <c r="BG210" s="188"/>
      <c r="BH210" s="170">
        <f t="shared" si="208"/>
        <v>0</v>
      </c>
      <c r="BI210" s="169">
        <f t="shared" si="209"/>
        <v>0</v>
      </c>
      <c r="BJ210" s="188"/>
      <c r="BK210" s="170">
        <f t="shared" si="210"/>
        <v>0</v>
      </c>
      <c r="BL210" s="169">
        <f t="shared" si="211"/>
        <v>0</v>
      </c>
      <c r="BM210" s="188"/>
      <c r="BN210" s="170">
        <f t="shared" si="212"/>
        <v>0</v>
      </c>
      <c r="BO210" s="169">
        <f t="shared" si="213"/>
        <v>0</v>
      </c>
      <c r="BP210" s="188"/>
      <c r="BQ210" s="170">
        <f t="shared" si="214"/>
        <v>0</v>
      </c>
      <c r="BR210" s="169">
        <f t="shared" si="215"/>
        <v>0</v>
      </c>
      <c r="BS210" s="188"/>
      <c r="BT210" s="170">
        <f t="shared" si="216"/>
        <v>0</v>
      </c>
      <c r="BU210" s="76">
        <f t="shared" si="217"/>
        <v>0</v>
      </c>
      <c r="BV210" s="196" t="str">
        <f>LOOKUP(BU210,'الفترة الاولى'!$BX$2:$BY$6)</f>
        <v>ممتاز</v>
      </c>
      <c r="BW210" s="77" t="e">
        <f>BU210/'الفترة الاولى'!$BZ$2</f>
        <v>#DIV/0!</v>
      </c>
    </row>
    <row r="211" spans="1:79" ht="25.2" customHeight="1" thickBot="1" x14ac:dyDescent="0.3">
      <c r="A211" s="52">
        <v>201</v>
      </c>
      <c r="B211" s="55"/>
      <c r="C211" s="103"/>
      <c r="D211" s="81"/>
      <c r="E211" s="171"/>
      <c r="F211" s="94"/>
      <c r="G211" s="172">
        <f t="shared" si="218"/>
        <v>0</v>
      </c>
      <c r="H211" s="178"/>
      <c r="I211" s="94"/>
      <c r="J211" s="175">
        <f t="shared" si="219"/>
        <v>0</v>
      </c>
      <c r="K211" s="95"/>
      <c r="L211" s="94"/>
      <c r="M211" s="172">
        <f t="shared" si="220"/>
        <v>0</v>
      </c>
      <c r="N211" s="178"/>
      <c r="O211" s="94"/>
      <c r="P211" s="175">
        <f t="shared" si="221"/>
        <v>0</v>
      </c>
      <c r="Q211" s="95"/>
      <c r="R211" s="94"/>
      <c r="S211" s="172">
        <f t="shared" si="222"/>
        <v>0</v>
      </c>
      <c r="T211" s="178"/>
      <c r="U211" s="94"/>
      <c r="V211" s="175">
        <f t="shared" si="223"/>
        <v>0</v>
      </c>
      <c r="W211" s="95"/>
      <c r="X211" s="94"/>
      <c r="Y211" s="172">
        <f t="shared" si="224"/>
        <v>0</v>
      </c>
      <c r="Z211" s="178"/>
      <c r="AA211" s="94"/>
      <c r="AB211" s="175">
        <f t="shared" si="225"/>
        <v>0</v>
      </c>
      <c r="AC211" s="95"/>
      <c r="AD211" s="94"/>
      <c r="AE211" s="89">
        <f t="shared" si="192"/>
        <v>0</v>
      </c>
      <c r="AF211" s="178"/>
      <c r="AG211" s="94"/>
      <c r="AH211" s="172">
        <f t="shared" si="226"/>
        <v>0</v>
      </c>
      <c r="AI211" s="162">
        <f t="shared" si="196"/>
        <v>0</v>
      </c>
      <c r="AJ211" s="200" t="str">
        <f t="shared" si="190"/>
        <v>ممتاز</v>
      </c>
      <c r="AK211" s="65" t="e">
        <f t="shared" si="191"/>
        <v>#DIV/0!</v>
      </c>
      <c r="AM211" s="50">
        <f>A211</f>
        <v>201</v>
      </c>
      <c r="AN211" s="88">
        <f t="shared" si="193"/>
        <v>0</v>
      </c>
      <c r="AO211" s="100">
        <f t="shared" si="194"/>
        <v>0</v>
      </c>
      <c r="AP211" s="81">
        <f t="shared" si="195"/>
        <v>0</v>
      </c>
      <c r="AQ211" s="171">
        <f t="shared" si="197"/>
        <v>0</v>
      </c>
      <c r="AR211" s="189"/>
      <c r="AS211" s="172">
        <f t="shared" si="198"/>
        <v>0</v>
      </c>
      <c r="AT211" s="171">
        <f t="shared" si="199"/>
        <v>0</v>
      </c>
      <c r="AU211" s="189"/>
      <c r="AV211" s="172">
        <f t="shared" si="200"/>
        <v>0</v>
      </c>
      <c r="AW211" s="171">
        <f t="shared" si="201"/>
        <v>0</v>
      </c>
      <c r="AX211" s="189"/>
      <c r="AY211" s="172">
        <f t="shared" si="202"/>
        <v>0</v>
      </c>
      <c r="AZ211" s="171">
        <f t="shared" si="203"/>
        <v>0</v>
      </c>
      <c r="BA211" s="189"/>
      <c r="BB211" s="172">
        <f t="shared" si="204"/>
        <v>0</v>
      </c>
      <c r="BC211" s="171">
        <f t="shared" si="205"/>
        <v>0</v>
      </c>
      <c r="BD211" s="189"/>
      <c r="BE211" s="172">
        <f t="shared" si="206"/>
        <v>0</v>
      </c>
      <c r="BF211" s="171">
        <f t="shared" si="207"/>
        <v>0</v>
      </c>
      <c r="BG211" s="189"/>
      <c r="BH211" s="172">
        <f t="shared" si="208"/>
        <v>0</v>
      </c>
      <c r="BI211" s="171">
        <f t="shared" si="209"/>
        <v>0</v>
      </c>
      <c r="BJ211" s="189"/>
      <c r="BK211" s="172">
        <f t="shared" si="210"/>
        <v>0</v>
      </c>
      <c r="BL211" s="171">
        <f t="shared" si="211"/>
        <v>0</v>
      </c>
      <c r="BM211" s="189"/>
      <c r="BN211" s="172">
        <f t="shared" si="212"/>
        <v>0</v>
      </c>
      <c r="BO211" s="171">
        <f t="shared" si="213"/>
        <v>0</v>
      </c>
      <c r="BP211" s="189"/>
      <c r="BQ211" s="172">
        <f t="shared" si="214"/>
        <v>0</v>
      </c>
      <c r="BR211" s="171">
        <f t="shared" si="215"/>
        <v>0</v>
      </c>
      <c r="BS211" s="189"/>
      <c r="BT211" s="172">
        <f t="shared" si="216"/>
        <v>0</v>
      </c>
      <c r="BU211" s="72">
        <f t="shared" si="217"/>
        <v>0</v>
      </c>
      <c r="BV211" s="194" t="str">
        <f>LOOKUP(BU211,'الفترة الاولى'!$BX$2:$BY$6)</f>
        <v>ممتاز</v>
      </c>
      <c r="BW211" s="73" t="e">
        <f>BU211/'الفترة الاولى'!$BZ$2</f>
        <v>#DIV/0!</v>
      </c>
      <c r="BZ211" s="42" t="s">
        <v>57</v>
      </c>
      <c r="CA211" s="43"/>
    </row>
    <row r="212" spans="1:79" ht="25.2" customHeight="1" thickBot="1" x14ac:dyDescent="0.3">
      <c r="A212" s="50">
        <v>202</v>
      </c>
      <c r="B212" s="53"/>
      <c r="C212" s="101"/>
      <c r="D212" s="79"/>
      <c r="E212" s="168"/>
      <c r="F212" s="163"/>
      <c r="G212" s="89">
        <f t="shared" si="218"/>
        <v>0</v>
      </c>
      <c r="H212" s="176"/>
      <c r="I212" s="91"/>
      <c r="J212" s="173">
        <f t="shared" si="219"/>
        <v>0</v>
      </c>
      <c r="K212" s="90"/>
      <c r="L212" s="91"/>
      <c r="M212" s="89">
        <f t="shared" si="220"/>
        <v>0</v>
      </c>
      <c r="N212" s="176"/>
      <c r="O212" s="91"/>
      <c r="P212" s="173">
        <f t="shared" si="221"/>
        <v>0</v>
      </c>
      <c r="Q212" s="90"/>
      <c r="R212" s="91"/>
      <c r="S212" s="89">
        <f t="shared" si="222"/>
        <v>0</v>
      </c>
      <c r="T212" s="176"/>
      <c r="U212" s="91"/>
      <c r="V212" s="173">
        <f t="shared" si="223"/>
        <v>0</v>
      </c>
      <c r="W212" s="90"/>
      <c r="X212" s="91"/>
      <c r="Y212" s="89">
        <f t="shared" si="224"/>
        <v>0</v>
      </c>
      <c r="Z212" s="176"/>
      <c r="AA212" s="91"/>
      <c r="AB212" s="173">
        <f t="shared" si="225"/>
        <v>0</v>
      </c>
      <c r="AC212" s="90"/>
      <c r="AD212" s="91"/>
      <c r="AE212" s="89">
        <f t="shared" si="192"/>
        <v>0</v>
      </c>
      <c r="AF212" s="176"/>
      <c r="AG212" s="91"/>
      <c r="AH212" s="89">
        <f t="shared" si="226"/>
        <v>0</v>
      </c>
      <c r="AI212" s="160">
        <f t="shared" si="196"/>
        <v>0</v>
      </c>
      <c r="AJ212" s="201" t="str">
        <f t="shared" si="190"/>
        <v>ممتاز</v>
      </c>
      <c r="AK212" s="66" t="e">
        <f t="shared" si="191"/>
        <v>#DIV/0!</v>
      </c>
      <c r="AM212" s="51">
        <f>A212</f>
        <v>202</v>
      </c>
      <c r="AN212" s="86">
        <f t="shared" si="193"/>
        <v>0</v>
      </c>
      <c r="AO212" s="98">
        <f t="shared" si="194"/>
        <v>0</v>
      </c>
      <c r="AP212" s="79">
        <f t="shared" si="195"/>
        <v>0</v>
      </c>
      <c r="AQ212" s="168">
        <f t="shared" si="197"/>
        <v>0</v>
      </c>
      <c r="AR212" s="163"/>
      <c r="AS212" s="89">
        <f t="shared" si="198"/>
        <v>0</v>
      </c>
      <c r="AT212" s="168">
        <f t="shared" si="199"/>
        <v>0</v>
      </c>
      <c r="AU212" s="163"/>
      <c r="AV212" s="89">
        <f t="shared" si="200"/>
        <v>0</v>
      </c>
      <c r="AW212" s="168">
        <f t="shared" si="201"/>
        <v>0</v>
      </c>
      <c r="AX212" s="163"/>
      <c r="AY212" s="89">
        <f t="shared" si="202"/>
        <v>0</v>
      </c>
      <c r="AZ212" s="168">
        <f t="shared" si="203"/>
        <v>0</v>
      </c>
      <c r="BA212" s="163"/>
      <c r="BB212" s="89">
        <f t="shared" si="204"/>
        <v>0</v>
      </c>
      <c r="BC212" s="168">
        <f t="shared" si="205"/>
        <v>0</v>
      </c>
      <c r="BD212" s="163"/>
      <c r="BE212" s="89">
        <f t="shared" si="206"/>
        <v>0</v>
      </c>
      <c r="BF212" s="168">
        <f t="shared" si="207"/>
        <v>0</v>
      </c>
      <c r="BG212" s="163"/>
      <c r="BH212" s="89">
        <f t="shared" si="208"/>
        <v>0</v>
      </c>
      <c r="BI212" s="168">
        <f t="shared" si="209"/>
        <v>0</v>
      </c>
      <c r="BJ212" s="163"/>
      <c r="BK212" s="89">
        <f t="shared" si="210"/>
        <v>0</v>
      </c>
      <c r="BL212" s="168">
        <f t="shared" si="211"/>
        <v>0</v>
      </c>
      <c r="BM212" s="163"/>
      <c r="BN212" s="89">
        <f t="shared" si="212"/>
        <v>0</v>
      </c>
      <c r="BO212" s="168">
        <f t="shared" si="213"/>
        <v>0</v>
      </c>
      <c r="BP212" s="163"/>
      <c r="BQ212" s="89">
        <f t="shared" si="214"/>
        <v>0</v>
      </c>
      <c r="BR212" s="168">
        <f t="shared" si="215"/>
        <v>0</v>
      </c>
      <c r="BS212" s="163"/>
      <c r="BT212" s="89">
        <f t="shared" si="216"/>
        <v>0</v>
      </c>
      <c r="BU212" s="74">
        <f t="shared" si="217"/>
        <v>0</v>
      </c>
      <c r="BV212" s="195" t="str">
        <f>LOOKUP(BU212,'الفترة الاولى'!$BX$2:$BY$6)</f>
        <v>ممتاز</v>
      </c>
      <c r="BW212" s="75" t="e">
        <f>BU212/'الفترة الاولى'!$BZ$2</f>
        <v>#DIV/0!</v>
      </c>
      <c r="BZ212" s="44" t="s">
        <v>58</v>
      </c>
      <c r="CA212" s="43"/>
    </row>
    <row r="213" spans="1:79" ht="25.2" customHeight="1" thickBot="1" x14ac:dyDescent="0.3">
      <c r="A213" s="51">
        <v>203</v>
      </c>
      <c r="B213" s="54"/>
      <c r="C213" s="102"/>
      <c r="D213" s="80"/>
      <c r="E213" s="169"/>
      <c r="F213" s="92"/>
      <c r="G213" s="170">
        <f t="shared" si="218"/>
        <v>0</v>
      </c>
      <c r="H213" s="177"/>
      <c r="I213" s="92"/>
      <c r="J213" s="174">
        <f t="shared" si="219"/>
        <v>0</v>
      </c>
      <c r="K213" s="93"/>
      <c r="L213" s="92"/>
      <c r="M213" s="170">
        <f t="shared" si="220"/>
        <v>0</v>
      </c>
      <c r="N213" s="177"/>
      <c r="O213" s="92"/>
      <c r="P213" s="174">
        <f t="shared" si="221"/>
        <v>0</v>
      </c>
      <c r="Q213" s="93"/>
      <c r="R213" s="92"/>
      <c r="S213" s="170">
        <f t="shared" si="222"/>
        <v>0</v>
      </c>
      <c r="T213" s="177"/>
      <c r="U213" s="92"/>
      <c r="V213" s="174">
        <f t="shared" si="223"/>
        <v>0</v>
      </c>
      <c r="W213" s="93"/>
      <c r="X213" s="92"/>
      <c r="Y213" s="170">
        <f t="shared" si="224"/>
        <v>0</v>
      </c>
      <c r="Z213" s="177"/>
      <c r="AA213" s="92"/>
      <c r="AB213" s="174">
        <f t="shared" si="225"/>
        <v>0</v>
      </c>
      <c r="AC213" s="93"/>
      <c r="AD213" s="92"/>
      <c r="AE213" s="89">
        <f t="shared" si="192"/>
        <v>0</v>
      </c>
      <c r="AF213" s="177"/>
      <c r="AG213" s="92"/>
      <c r="AH213" s="170">
        <f t="shared" si="226"/>
        <v>0</v>
      </c>
      <c r="AI213" s="161">
        <f t="shared" si="196"/>
        <v>0</v>
      </c>
      <c r="AJ213" s="202" t="str">
        <f t="shared" si="190"/>
        <v>ممتاز</v>
      </c>
      <c r="AK213" s="67" t="e">
        <f t="shared" si="191"/>
        <v>#DIV/0!</v>
      </c>
      <c r="AM213" s="52">
        <f>A213</f>
        <v>203</v>
      </c>
      <c r="AN213" s="87">
        <f t="shared" si="193"/>
        <v>0</v>
      </c>
      <c r="AO213" s="99">
        <f t="shared" si="194"/>
        <v>0</v>
      </c>
      <c r="AP213" s="80">
        <f t="shared" si="195"/>
        <v>0</v>
      </c>
      <c r="AQ213" s="169">
        <f t="shared" si="197"/>
        <v>0</v>
      </c>
      <c r="AR213" s="188"/>
      <c r="AS213" s="170">
        <f t="shared" si="198"/>
        <v>0</v>
      </c>
      <c r="AT213" s="169">
        <f t="shared" si="199"/>
        <v>0</v>
      </c>
      <c r="AU213" s="188"/>
      <c r="AV213" s="170">
        <f t="shared" si="200"/>
        <v>0</v>
      </c>
      <c r="AW213" s="169">
        <f t="shared" si="201"/>
        <v>0</v>
      </c>
      <c r="AX213" s="188"/>
      <c r="AY213" s="170">
        <f t="shared" si="202"/>
        <v>0</v>
      </c>
      <c r="AZ213" s="169">
        <f t="shared" si="203"/>
        <v>0</v>
      </c>
      <c r="BA213" s="188"/>
      <c r="BB213" s="170">
        <f t="shared" si="204"/>
        <v>0</v>
      </c>
      <c r="BC213" s="169">
        <f t="shared" si="205"/>
        <v>0</v>
      </c>
      <c r="BD213" s="188"/>
      <c r="BE213" s="170">
        <f t="shared" si="206"/>
        <v>0</v>
      </c>
      <c r="BF213" s="169">
        <f t="shared" si="207"/>
        <v>0</v>
      </c>
      <c r="BG213" s="188"/>
      <c r="BH213" s="170">
        <f t="shared" si="208"/>
        <v>0</v>
      </c>
      <c r="BI213" s="169">
        <f t="shared" si="209"/>
        <v>0</v>
      </c>
      <c r="BJ213" s="188"/>
      <c r="BK213" s="170">
        <f t="shared" si="210"/>
        <v>0</v>
      </c>
      <c r="BL213" s="169">
        <f t="shared" si="211"/>
        <v>0</v>
      </c>
      <c r="BM213" s="188"/>
      <c r="BN213" s="170">
        <f t="shared" si="212"/>
        <v>0</v>
      </c>
      <c r="BO213" s="169">
        <f t="shared" si="213"/>
        <v>0</v>
      </c>
      <c r="BP213" s="188"/>
      <c r="BQ213" s="170">
        <f t="shared" si="214"/>
        <v>0</v>
      </c>
      <c r="BR213" s="169">
        <f t="shared" si="215"/>
        <v>0</v>
      </c>
      <c r="BS213" s="188"/>
      <c r="BT213" s="170">
        <f t="shared" si="216"/>
        <v>0</v>
      </c>
      <c r="BU213" s="72">
        <f t="shared" si="217"/>
        <v>0</v>
      </c>
      <c r="BV213" s="194" t="str">
        <f>LOOKUP(BU213,'الفترة الاولى'!$BX$2:$BY$6)</f>
        <v>ممتاز</v>
      </c>
      <c r="BW213" s="73" t="e">
        <f>BU213/'الفترة الاولى'!$BZ$2</f>
        <v>#DIV/0!</v>
      </c>
      <c r="BZ213" s="44" t="s">
        <v>59</v>
      </c>
      <c r="CA213" s="43"/>
    </row>
    <row r="214" spans="1:79" ht="25.2" customHeight="1" thickBot="1" x14ac:dyDescent="0.3">
      <c r="A214" s="52">
        <v>204</v>
      </c>
      <c r="B214" s="55"/>
      <c r="C214" s="103"/>
      <c r="D214" s="81"/>
      <c r="E214" s="171"/>
      <c r="F214" s="94"/>
      <c r="G214" s="172">
        <f t="shared" si="218"/>
        <v>0</v>
      </c>
      <c r="H214" s="178"/>
      <c r="I214" s="94"/>
      <c r="J214" s="175">
        <f t="shared" si="219"/>
        <v>0</v>
      </c>
      <c r="K214" s="95"/>
      <c r="L214" s="94"/>
      <c r="M214" s="172">
        <f t="shared" si="220"/>
        <v>0</v>
      </c>
      <c r="N214" s="178"/>
      <c r="O214" s="94"/>
      <c r="P214" s="175">
        <f t="shared" si="221"/>
        <v>0</v>
      </c>
      <c r="Q214" s="95"/>
      <c r="R214" s="94"/>
      <c r="S214" s="172">
        <f t="shared" si="222"/>
        <v>0</v>
      </c>
      <c r="T214" s="178"/>
      <c r="U214" s="94"/>
      <c r="V214" s="175">
        <f t="shared" si="223"/>
        <v>0</v>
      </c>
      <c r="W214" s="95"/>
      <c r="X214" s="94"/>
      <c r="Y214" s="172">
        <f t="shared" si="224"/>
        <v>0</v>
      </c>
      <c r="Z214" s="178"/>
      <c r="AA214" s="94"/>
      <c r="AB214" s="175">
        <f t="shared" si="225"/>
        <v>0</v>
      </c>
      <c r="AC214" s="95"/>
      <c r="AD214" s="94"/>
      <c r="AE214" s="89">
        <f t="shared" si="192"/>
        <v>0</v>
      </c>
      <c r="AF214" s="178"/>
      <c r="AG214" s="94"/>
      <c r="AH214" s="172">
        <f t="shared" si="226"/>
        <v>0</v>
      </c>
      <c r="AI214" s="162">
        <f t="shared" si="196"/>
        <v>0</v>
      </c>
      <c r="AJ214" s="200" t="str">
        <f t="shared" si="190"/>
        <v>ممتاز</v>
      </c>
      <c r="AK214" s="65" t="e">
        <f t="shared" si="191"/>
        <v>#DIV/0!</v>
      </c>
      <c r="AM214" s="50">
        <f t="shared" ref="AM214:AM277" si="227">A214</f>
        <v>204</v>
      </c>
      <c r="AN214" s="88">
        <f t="shared" si="193"/>
        <v>0</v>
      </c>
      <c r="AO214" s="100">
        <f t="shared" si="194"/>
        <v>0</v>
      </c>
      <c r="AP214" s="81">
        <f t="shared" si="195"/>
        <v>0</v>
      </c>
      <c r="AQ214" s="171">
        <f t="shared" si="197"/>
        <v>0</v>
      </c>
      <c r="AR214" s="189"/>
      <c r="AS214" s="172">
        <f t="shared" si="198"/>
        <v>0</v>
      </c>
      <c r="AT214" s="171">
        <f t="shared" si="199"/>
        <v>0</v>
      </c>
      <c r="AU214" s="189"/>
      <c r="AV214" s="172">
        <f t="shared" si="200"/>
        <v>0</v>
      </c>
      <c r="AW214" s="171">
        <f t="shared" si="201"/>
        <v>0</v>
      </c>
      <c r="AX214" s="189"/>
      <c r="AY214" s="172">
        <f t="shared" si="202"/>
        <v>0</v>
      </c>
      <c r="AZ214" s="171">
        <f t="shared" si="203"/>
        <v>0</v>
      </c>
      <c r="BA214" s="189"/>
      <c r="BB214" s="172">
        <f t="shared" si="204"/>
        <v>0</v>
      </c>
      <c r="BC214" s="171">
        <f t="shared" si="205"/>
        <v>0</v>
      </c>
      <c r="BD214" s="189"/>
      <c r="BE214" s="172">
        <f t="shared" si="206"/>
        <v>0</v>
      </c>
      <c r="BF214" s="171">
        <f t="shared" si="207"/>
        <v>0</v>
      </c>
      <c r="BG214" s="189"/>
      <c r="BH214" s="172">
        <f t="shared" si="208"/>
        <v>0</v>
      </c>
      <c r="BI214" s="171">
        <f t="shared" si="209"/>
        <v>0</v>
      </c>
      <c r="BJ214" s="189"/>
      <c r="BK214" s="172">
        <f t="shared" si="210"/>
        <v>0</v>
      </c>
      <c r="BL214" s="171">
        <f t="shared" si="211"/>
        <v>0</v>
      </c>
      <c r="BM214" s="189"/>
      <c r="BN214" s="172">
        <f t="shared" si="212"/>
        <v>0</v>
      </c>
      <c r="BO214" s="171">
        <f t="shared" si="213"/>
        <v>0</v>
      </c>
      <c r="BP214" s="189"/>
      <c r="BQ214" s="172">
        <f t="shared" si="214"/>
        <v>0</v>
      </c>
      <c r="BR214" s="171">
        <f t="shared" si="215"/>
        <v>0</v>
      </c>
      <c r="BS214" s="189"/>
      <c r="BT214" s="172">
        <f t="shared" si="216"/>
        <v>0</v>
      </c>
      <c r="BU214" s="74">
        <f t="shared" si="217"/>
        <v>0</v>
      </c>
      <c r="BV214" s="195" t="str">
        <f>LOOKUP(BU214,'الفترة الاولى'!$BX$2:$BY$6)</f>
        <v>ممتاز</v>
      </c>
      <c r="BW214" s="75" t="e">
        <f>BU214/'الفترة الاولى'!$BZ$2</f>
        <v>#DIV/0!</v>
      </c>
      <c r="BZ214" s="47" t="s">
        <v>60</v>
      </c>
      <c r="CA214" s="43"/>
    </row>
    <row r="215" spans="1:79" ht="25.2" customHeight="1" thickBot="1" x14ac:dyDescent="0.3">
      <c r="A215" s="50">
        <v>205</v>
      </c>
      <c r="B215" s="53"/>
      <c r="C215" s="101"/>
      <c r="D215" s="79"/>
      <c r="E215" s="168"/>
      <c r="F215" s="163"/>
      <c r="G215" s="89">
        <f t="shared" si="218"/>
        <v>0</v>
      </c>
      <c r="H215" s="176"/>
      <c r="I215" s="91"/>
      <c r="J215" s="173">
        <f t="shared" si="219"/>
        <v>0</v>
      </c>
      <c r="K215" s="90"/>
      <c r="L215" s="91"/>
      <c r="M215" s="89">
        <f t="shared" si="220"/>
        <v>0</v>
      </c>
      <c r="N215" s="176"/>
      <c r="O215" s="91"/>
      <c r="P215" s="173">
        <f t="shared" si="221"/>
        <v>0</v>
      </c>
      <c r="Q215" s="90"/>
      <c r="R215" s="91"/>
      <c r="S215" s="89">
        <f t="shared" si="222"/>
        <v>0</v>
      </c>
      <c r="T215" s="176"/>
      <c r="U215" s="91"/>
      <c r="V215" s="173">
        <f t="shared" si="223"/>
        <v>0</v>
      </c>
      <c r="W215" s="90"/>
      <c r="X215" s="91"/>
      <c r="Y215" s="89">
        <f t="shared" si="224"/>
        <v>0</v>
      </c>
      <c r="Z215" s="176"/>
      <c r="AA215" s="91"/>
      <c r="AB215" s="173">
        <f t="shared" si="225"/>
        <v>0</v>
      </c>
      <c r="AC215" s="90"/>
      <c r="AD215" s="91"/>
      <c r="AE215" s="89">
        <f t="shared" si="192"/>
        <v>0</v>
      </c>
      <c r="AF215" s="176"/>
      <c r="AG215" s="91"/>
      <c r="AH215" s="89">
        <f t="shared" si="226"/>
        <v>0</v>
      </c>
      <c r="AI215" s="160">
        <f t="shared" si="196"/>
        <v>0</v>
      </c>
      <c r="AJ215" s="201" t="str">
        <f t="shared" si="190"/>
        <v>ممتاز</v>
      </c>
      <c r="AK215" s="66" t="e">
        <f t="shared" si="191"/>
        <v>#DIV/0!</v>
      </c>
      <c r="AM215" s="51">
        <f t="shared" si="227"/>
        <v>205</v>
      </c>
      <c r="AN215" s="86">
        <f t="shared" si="193"/>
        <v>0</v>
      </c>
      <c r="AO215" s="98">
        <f t="shared" si="194"/>
        <v>0</v>
      </c>
      <c r="AP215" s="79">
        <f t="shared" si="195"/>
        <v>0</v>
      </c>
      <c r="AQ215" s="168">
        <f t="shared" si="197"/>
        <v>0</v>
      </c>
      <c r="AR215" s="163"/>
      <c r="AS215" s="89">
        <f t="shared" si="198"/>
        <v>0</v>
      </c>
      <c r="AT215" s="168">
        <f t="shared" si="199"/>
        <v>0</v>
      </c>
      <c r="AU215" s="163"/>
      <c r="AV215" s="89">
        <f t="shared" si="200"/>
        <v>0</v>
      </c>
      <c r="AW215" s="168">
        <f t="shared" si="201"/>
        <v>0</v>
      </c>
      <c r="AX215" s="163"/>
      <c r="AY215" s="89">
        <f t="shared" si="202"/>
        <v>0</v>
      </c>
      <c r="AZ215" s="168">
        <f t="shared" si="203"/>
        <v>0</v>
      </c>
      <c r="BA215" s="163"/>
      <c r="BB215" s="89">
        <f t="shared" si="204"/>
        <v>0</v>
      </c>
      <c r="BC215" s="168">
        <f t="shared" si="205"/>
        <v>0</v>
      </c>
      <c r="BD215" s="163"/>
      <c r="BE215" s="89">
        <f t="shared" si="206"/>
        <v>0</v>
      </c>
      <c r="BF215" s="168">
        <f t="shared" si="207"/>
        <v>0</v>
      </c>
      <c r="BG215" s="163"/>
      <c r="BH215" s="89">
        <f t="shared" si="208"/>
        <v>0</v>
      </c>
      <c r="BI215" s="168">
        <f t="shared" si="209"/>
        <v>0</v>
      </c>
      <c r="BJ215" s="163"/>
      <c r="BK215" s="89">
        <f t="shared" si="210"/>
        <v>0</v>
      </c>
      <c r="BL215" s="168">
        <f t="shared" si="211"/>
        <v>0</v>
      </c>
      <c r="BM215" s="163"/>
      <c r="BN215" s="89">
        <f t="shared" si="212"/>
        <v>0</v>
      </c>
      <c r="BO215" s="168">
        <f t="shared" si="213"/>
        <v>0</v>
      </c>
      <c r="BP215" s="163"/>
      <c r="BQ215" s="89">
        <f t="shared" si="214"/>
        <v>0</v>
      </c>
      <c r="BR215" s="168">
        <f t="shared" si="215"/>
        <v>0</v>
      </c>
      <c r="BS215" s="163"/>
      <c r="BT215" s="89">
        <f t="shared" si="216"/>
        <v>0</v>
      </c>
      <c r="BU215" s="76">
        <f t="shared" si="217"/>
        <v>0</v>
      </c>
      <c r="BV215" s="196" t="str">
        <f>LOOKUP(BU215,'الفترة الاولى'!$BX$2:$BY$6)</f>
        <v>ممتاز</v>
      </c>
      <c r="BW215" s="77" t="e">
        <f>BU215/'الفترة الاولى'!$BZ$2</f>
        <v>#DIV/0!</v>
      </c>
      <c r="BZ215" s="42" t="s">
        <v>61</v>
      </c>
      <c r="CA215" s="43"/>
    </row>
    <row r="216" spans="1:79" ht="25.2" customHeight="1" thickBot="1" x14ac:dyDescent="0.3">
      <c r="A216" s="51">
        <v>206</v>
      </c>
      <c r="B216" s="54"/>
      <c r="C216" s="102"/>
      <c r="D216" s="80"/>
      <c r="E216" s="169"/>
      <c r="F216" s="92"/>
      <c r="G216" s="170">
        <f t="shared" si="218"/>
        <v>0</v>
      </c>
      <c r="H216" s="177"/>
      <c r="I216" s="92"/>
      <c r="J216" s="174">
        <f t="shared" si="219"/>
        <v>0</v>
      </c>
      <c r="K216" s="93"/>
      <c r="L216" s="92"/>
      <c r="M216" s="170">
        <f t="shared" si="220"/>
        <v>0</v>
      </c>
      <c r="N216" s="177"/>
      <c r="O216" s="92"/>
      <c r="P216" s="174">
        <f t="shared" si="221"/>
        <v>0</v>
      </c>
      <c r="Q216" s="93"/>
      <c r="R216" s="92"/>
      <c r="S216" s="170">
        <f t="shared" si="222"/>
        <v>0</v>
      </c>
      <c r="T216" s="177"/>
      <c r="U216" s="92"/>
      <c r="V216" s="174">
        <f t="shared" si="223"/>
        <v>0</v>
      </c>
      <c r="W216" s="93"/>
      <c r="X216" s="92"/>
      <c r="Y216" s="170">
        <f t="shared" si="224"/>
        <v>0</v>
      </c>
      <c r="Z216" s="177"/>
      <c r="AA216" s="92"/>
      <c r="AB216" s="174">
        <f t="shared" si="225"/>
        <v>0</v>
      </c>
      <c r="AC216" s="93"/>
      <c r="AD216" s="92"/>
      <c r="AE216" s="89">
        <f t="shared" si="192"/>
        <v>0</v>
      </c>
      <c r="AF216" s="177"/>
      <c r="AG216" s="92"/>
      <c r="AH216" s="170">
        <f t="shared" si="226"/>
        <v>0</v>
      </c>
      <c r="AI216" s="161">
        <f t="shared" si="196"/>
        <v>0</v>
      </c>
      <c r="AJ216" s="202" t="str">
        <f t="shared" si="190"/>
        <v>ممتاز</v>
      </c>
      <c r="AK216" s="67" t="e">
        <f t="shared" si="191"/>
        <v>#DIV/0!</v>
      </c>
      <c r="AM216" s="52">
        <f t="shared" si="227"/>
        <v>206</v>
      </c>
      <c r="AN216" s="87">
        <f t="shared" si="193"/>
        <v>0</v>
      </c>
      <c r="AO216" s="99">
        <f t="shared" si="194"/>
        <v>0</v>
      </c>
      <c r="AP216" s="80">
        <f t="shared" si="195"/>
        <v>0</v>
      </c>
      <c r="AQ216" s="169">
        <f t="shared" si="197"/>
        <v>0</v>
      </c>
      <c r="AR216" s="188"/>
      <c r="AS216" s="170">
        <f t="shared" si="198"/>
        <v>0</v>
      </c>
      <c r="AT216" s="169">
        <f t="shared" si="199"/>
        <v>0</v>
      </c>
      <c r="AU216" s="188"/>
      <c r="AV216" s="170">
        <f t="shared" si="200"/>
        <v>0</v>
      </c>
      <c r="AW216" s="169">
        <f t="shared" si="201"/>
        <v>0</v>
      </c>
      <c r="AX216" s="188"/>
      <c r="AY216" s="170">
        <f t="shared" si="202"/>
        <v>0</v>
      </c>
      <c r="AZ216" s="169">
        <f t="shared" si="203"/>
        <v>0</v>
      </c>
      <c r="BA216" s="188"/>
      <c r="BB216" s="170">
        <f t="shared" si="204"/>
        <v>0</v>
      </c>
      <c r="BC216" s="169">
        <f t="shared" si="205"/>
        <v>0</v>
      </c>
      <c r="BD216" s="188"/>
      <c r="BE216" s="170">
        <f t="shared" si="206"/>
        <v>0</v>
      </c>
      <c r="BF216" s="169">
        <f t="shared" si="207"/>
        <v>0</v>
      </c>
      <c r="BG216" s="188"/>
      <c r="BH216" s="170">
        <f t="shared" si="208"/>
        <v>0</v>
      </c>
      <c r="BI216" s="169">
        <f t="shared" si="209"/>
        <v>0</v>
      </c>
      <c r="BJ216" s="188"/>
      <c r="BK216" s="170">
        <f t="shared" si="210"/>
        <v>0</v>
      </c>
      <c r="BL216" s="169">
        <f t="shared" si="211"/>
        <v>0</v>
      </c>
      <c r="BM216" s="188"/>
      <c r="BN216" s="170">
        <f t="shared" si="212"/>
        <v>0</v>
      </c>
      <c r="BO216" s="169">
        <f t="shared" si="213"/>
        <v>0</v>
      </c>
      <c r="BP216" s="188"/>
      <c r="BQ216" s="170">
        <f t="shared" si="214"/>
        <v>0</v>
      </c>
      <c r="BR216" s="169">
        <f t="shared" si="215"/>
        <v>0</v>
      </c>
      <c r="BS216" s="188"/>
      <c r="BT216" s="170">
        <f t="shared" si="216"/>
        <v>0</v>
      </c>
      <c r="BU216" s="72">
        <f t="shared" si="217"/>
        <v>0</v>
      </c>
      <c r="BV216" s="194" t="str">
        <f>LOOKUP(BU216,'الفترة الاولى'!$BX$2:$BY$6)</f>
        <v>ممتاز</v>
      </c>
      <c r="BW216" s="73" t="e">
        <f>BU216/'الفترة الاولى'!$BZ$2</f>
        <v>#DIV/0!</v>
      </c>
      <c r="BZ216" s="42" t="s">
        <v>33</v>
      </c>
      <c r="CA216" s="43"/>
    </row>
    <row r="217" spans="1:79" ht="25.2" customHeight="1" thickBot="1" x14ac:dyDescent="0.3">
      <c r="A217" s="52">
        <v>207</v>
      </c>
      <c r="B217" s="55"/>
      <c r="C217" s="103"/>
      <c r="D217" s="81"/>
      <c r="E217" s="171"/>
      <c r="F217" s="94"/>
      <c r="G217" s="172">
        <f t="shared" si="218"/>
        <v>0</v>
      </c>
      <c r="H217" s="178"/>
      <c r="I217" s="94"/>
      <c r="J217" s="175">
        <f t="shared" si="219"/>
        <v>0</v>
      </c>
      <c r="K217" s="95"/>
      <c r="L217" s="94"/>
      <c r="M217" s="172">
        <f t="shared" si="220"/>
        <v>0</v>
      </c>
      <c r="N217" s="178"/>
      <c r="O217" s="94"/>
      <c r="P217" s="175">
        <f t="shared" si="221"/>
        <v>0</v>
      </c>
      <c r="Q217" s="95"/>
      <c r="R217" s="94"/>
      <c r="S217" s="172">
        <f t="shared" si="222"/>
        <v>0</v>
      </c>
      <c r="T217" s="178"/>
      <c r="U217" s="94"/>
      <c r="V217" s="175">
        <f t="shared" si="223"/>
        <v>0</v>
      </c>
      <c r="W217" s="95"/>
      <c r="X217" s="94"/>
      <c r="Y217" s="172">
        <f t="shared" si="224"/>
        <v>0</v>
      </c>
      <c r="Z217" s="178"/>
      <c r="AA217" s="94"/>
      <c r="AB217" s="175">
        <f t="shared" si="225"/>
        <v>0</v>
      </c>
      <c r="AC217" s="95"/>
      <c r="AD217" s="94"/>
      <c r="AE217" s="89">
        <f t="shared" si="192"/>
        <v>0</v>
      </c>
      <c r="AF217" s="178"/>
      <c r="AG217" s="94"/>
      <c r="AH217" s="172">
        <f t="shared" si="226"/>
        <v>0</v>
      </c>
      <c r="AI217" s="162">
        <f t="shared" si="196"/>
        <v>0</v>
      </c>
      <c r="AJ217" s="200" t="str">
        <f t="shared" si="190"/>
        <v>ممتاز</v>
      </c>
      <c r="AK217" s="65" t="e">
        <f t="shared" si="191"/>
        <v>#DIV/0!</v>
      </c>
      <c r="AM217" s="50">
        <f t="shared" si="227"/>
        <v>207</v>
      </c>
      <c r="AN217" s="88">
        <f t="shared" si="193"/>
        <v>0</v>
      </c>
      <c r="AO217" s="100">
        <f t="shared" si="194"/>
        <v>0</v>
      </c>
      <c r="AP217" s="81">
        <f t="shared" si="195"/>
        <v>0</v>
      </c>
      <c r="AQ217" s="171">
        <f t="shared" si="197"/>
        <v>0</v>
      </c>
      <c r="AR217" s="189"/>
      <c r="AS217" s="172">
        <f t="shared" si="198"/>
        <v>0</v>
      </c>
      <c r="AT217" s="171">
        <f t="shared" si="199"/>
        <v>0</v>
      </c>
      <c r="AU217" s="189"/>
      <c r="AV217" s="172">
        <f t="shared" si="200"/>
        <v>0</v>
      </c>
      <c r="AW217" s="171">
        <f t="shared" si="201"/>
        <v>0</v>
      </c>
      <c r="AX217" s="189"/>
      <c r="AY217" s="172">
        <f t="shared" si="202"/>
        <v>0</v>
      </c>
      <c r="AZ217" s="171">
        <f t="shared" si="203"/>
        <v>0</v>
      </c>
      <c r="BA217" s="189"/>
      <c r="BB217" s="172">
        <f t="shared" si="204"/>
        <v>0</v>
      </c>
      <c r="BC217" s="171">
        <f t="shared" si="205"/>
        <v>0</v>
      </c>
      <c r="BD217" s="189"/>
      <c r="BE217" s="172">
        <f t="shared" si="206"/>
        <v>0</v>
      </c>
      <c r="BF217" s="171">
        <f t="shared" si="207"/>
        <v>0</v>
      </c>
      <c r="BG217" s="189"/>
      <c r="BH217" s="172">
        <f t="shared" si="208"/>
        <v>0</v>
      </c>
      <c r="BI217" s="171">
        <f t="shared" si="209"/>
        <v>0</v>
      </c>
      <c r="BJ217" s="189"/>
      <c r="BK217" s="172">
        <f t="shared" si="210"/>
        <v>0</v>
      </c>
      <c r="BL217" s="171">
        <f t="shared" si="211"/>
        <v>0</v>
      </c>
      <c r="BM217" s="189"/>
      <c r="BN217" s="172">
        <f t="shared" si="212"/>
        <v>0</v>
      </c>
      <c r="BO217" s="171">
        <f t="shared" si="213"/>
        <v>0</v>
      </c>
      <c r="BP217" s="189"/>
      <c r="BQ217" s="172">
        <f t="shared" si="214"/>
        <v>0</v>
      </c>
      <c r="BR217" s="171">
        <f t="shared" si="215"/>
        <v>0</v>
      </c>
      <c r="BS217" s="189"/>
      <c r="BT217" s="172">
        <f t="shared" si="216"/>
        <v>0</v>
      </c>
      <c r="BU217" s="74">
        <f t="shared" si="217"/>
        <v>0</v>
      </c>
      <c r="BV217" s="195" t="str">
        <f>LOOKUP(BU217,'الفترة الاولى'!$BX$2:$BY$6)</f>
        <v>ممتاز</v>
      </c>
      <c r="BW217" s="75" t="e">
        <f>BU217/'الفترة الاولى'!$BZ$2</f>
        <v>#DIV/0!</v>
      </c>
      <c r="BZ217" s="42" t="s">
        <v>62</v>
      </c>
      <c r="CA217" s="43" t="s">
        <v>63</v>
      </c>
    </row>
    <row r="218" spans="1:79" ht="25.2" customHeight="1" thickBot="1" x14ac:dyDescent="0.3">
      <c r="A218" s="50">
        <v>208</v>
      </c>
      <c r="B218" s="53"/>
      <c r="C218" s="101"/>
      <c r="D218" s="79"/>
      <c r="E218" s="168"/>
      <c r="F218" s="163"/>
      <c r="G218" s="89">
        <f t="shared" si="218"/>
        <v>0</v>
      </c>
      <c r="H218" s="176"/>
      <c r="I218" s="91"/>
      <c r="J218" s="173">
        <f t="shared" si="219"/>
        <v>0</v>
      </c>
      <c r="K218" s="90"/>
      <c r="L218" s="91"/>
      <c r="M218" s="89">
        <f t="shared" si="220"/>
        <v>0</v>
      </c>
      <c r="N218" s="176"/>
      <c r="O218" s="91"/>
      <c r="P218" s="173">
        <f t="shared" si="221"/>
        <v>0</v>
      </c>
      <c r="Q218" s="90"/>
      <c r="R218" s="91"/>
      <c r="S218" s="89">
        <f t="shared" si="222"/>
        <v>0</v>
      </c>
      <c r="T218" s="176"/>
      <c r="U218" s="91"/>
      <c r="V218" s="173">
        <f t="shared" si="223"/>
        <v>0</v>
      </c>
      <c r="W218" s="90"/>
      <c r="X218" s="91"/>
      <c r="Y218" s="89">
        <f t="shared" si="224"/>
        <v>0</v>
      </c>
      <c r="Z218" s="176"/>
      <c r="AA218" s="91"/>
      <c r="AB218" s="173">
        <f t="shared" si="225"/>
        <v>0</v>
      </c>
      <c r="AC218" s="90"/>
      <c r="AD218" s="91"/>
      <c r="AE218" s="89">
        <f t="shared" si="192"/>
        <v>0</v>
      </c>
      <c r="AF218" s="176"/>
      <c r="AG218" s="91"/>
      <c r="AH218" s="89">
        <f t="shared" si="226"/>
        <v>0</v>
      </c>
      <c r="AI218" s="160">
        <f t="shared" si="196"/>
        <v>0</v>
      </c>
      <c r="AJ218" s="201" t="str">
        <f t="shared" si="190"/>
        <v>ممتاز</v>
      </c>
      <c r="AK218" s="66" t="e">
        <f t="shared" si="191"/>
        <v>#DIV/0!</v>
      </c>
      <c r="AM218" s="51">
        <f t="shared" si="227"/>
        <v>208</v>
      </c>
      <c r="AN218" s="86">
        <f t="shared" si="193"/>
        <v>0</v>
      </c>
      <c r="AO218" s="98">
        <f t="shared" si="194"/>
        <v>0</v>
      </c>
      <c r="AP218" s="79">
        <f t="shared" si="195"/>
        <v>0</v>
      </c>
      <c r="AQ218" s="168">
        <f t="shared" si="197"/>
        <v>0</v>
      </c>
      <c r="AR218" s="163"/>
      <c r="AS218" s="89">
        <f t="shared" si="198"/>
        <v>0</v>
      </c>
      <c r="AT218" s="168">
        <f t="shared" si="199"/>
        <v>0</v>
      </c>
      <c r="AU218" s="163"/>
      <c r="AV218" s="89">
        <f t="shared" si="200"/>
        <v>0</v>
      </c>
      <c r="AW218" s="168">
        <f t="shared" si="201"/>
        <v>0</v>
      </c>
      <c r="AX218" s="163"/>
      <c r="AY218" s="89">
        <f t="shared" si="202"/>
        <v>0</v>
      </c>
      <c r="AZ218" s="168">
        <f t="shared" si="203"/>
        <v>0</v>
      </c>
      <c r="BA218" s="163"/>
      <c r="BB218" s="89">
        <f t="shared" si="204"/>
        <v>0</v>
      </c>
      <c r="BC218" s="168">
        <f t="shared" si="205"/>
        <v>0</v>
      </c>
      <c r="BD218" s="163"/>
      <c r="BE218" s="89">
        <f t="shared" si="206"/>
        <v>0</v>
      </c>
      <c r="BF218" s="168">
        <f t="shared" si="207"/>
        <v>0</v>
      </c>
      <c r="BG218" s="163"/>
      <c r="BH218" s="89">
        <f t="shared" si="208"/>
        <v>0</v>
      </c>
      <c r="BI218" s="168">
        <f t="shared" si="209"/>
        <v>0</v>
      </c>
      <c r="BJ218" s="163"/>
      <c r="BK218" s="89">
        <f t="shared" si="210"/>
        <v>0</v>
      </c>
      <c r="BL218" s="168">
        <f t="shared" si="211"/>
        <v>0</v>
      </c>
      <c r="BM218" s="163"/>
      <c r="BN218" s="89">
        <f t="shared" si="212"/>
        <v>0</v>
      </c>
      <c r="BO218" s="168">
        <f t="shared" si="213"/>
        <v>0</v>
      </c>
      <c r="BP218" s="163"/>
      <c r="BQ218" s="89">
        <f t="shared" si="214"/>
        <v>0</v>
      </c>
      <c r="BR218" s="168">
        <f t="shared" si="215"/>
        <v>0</v>
      </c>
      <c r="BS218" s="163"/>
      <c r="BT218" s="89">
        <f t="shared" si="216"/>
        <v>0</v>
      </c>
      <c r="BU218" s="76">
        <f t="shared" si="217"/>
        <v>0</v>
      </c>
      <c r="BV218" s="196" t="str">
        <f>LOOKUP(BU218,'الفترة الاولى'!$BX$2:$BY$6)</f>
        <v>ممتاز</v>
      </c>
      <c r="BW218" s="77" t="e">
        <f>BU218/'الفترة الاولى'!$BZ$2</f>
        <v>#DIV/0!</v>
      </c>
      <c r="BZ218" s="42"/>
      <c r="CA218" s="45"/>
    </row>
    <row r="219" spans="1:79" ht="25.2" customHeight="1" thickBot="1" x14ac:dyDescent="0.3">
      <c r="A219" s="51">
        <v>209</v>
      </c>
      <c r="B219" s="54"/>
      <c r="C219" s="102"/>
      <c r="D219" s="80"/>
      <c r="E219" s="169"/>
      <c r="F219" s="92"/>
      <c r="G219" s="170">
        <f t="shared" si="218"/>
        <v>0</v>
      </c>
      <c r="H219" s="177"/>
      <c r="I219" s="92"/>
      <c r="J219" s="174">
        <f t="shared" si="219"/>
        <v>0</v>
      </c>
      <c r="K219" s="93"/>
      <c r="L219" s="92"/>
      <c r="M219" s="170">
        <f t="shared" si="220"/>
        <v>0</v>
      </c>
      <c r="N219" s="177"/>
      <c r="O219" s="92"/>
      <c r="P219" s="174">
        <f t="shared" si="221"/>
        <v>0</v>
      </c>
      <c r="Q219" s="93"/>
      <c r="R219" s="92"/>
      <c r="S219" s="170">
        <f t="shared" si="222"/>
        <v>0</v>
      </c>
      <c r="T219" s="177"/>
      <c r="U219" s="92"/>
      <c r="V219" s="174">
        <f t="shared" si="223"/>
        <v>0</v>
      </c>
      <c r="W219" s="93"/>
      <c r="X219" s="92"/>
      <c r="Y219" s="170">
        <f t="shared" si="224"/>
        <v>0</v>
      </c>
      <c r="Z219" s="177"/>
      <c r="AA219" s="92"/>
      <c r="AB219" s="174">
        <f t="shared" si="225"/>
        <v>0</v>
      </c>
      <c r="AC219" s="93"/>
      <c r="AD219" s="92"/>
      <c r="AE219" s="89">
        <f t="shared" si="192"/>
        <v>0</v>
      </c>
      <c r="AF219" s="177"/>
      <c r="AG219" s="92"/>
      <c r="AH219" s="170">
        <f t="shared" si="226"/>
        <v>0</v>
      </c>
      <c r="AI219" s="161">
        <f t="shared" si="196"/>
        <v>0</v>
      </c>
      <c r="AJ219" s="202" t="str">
        <f t="shared" si="190"/>
        <v>ممتاز</v>
      </c>
      <c r="AK219" s="67" t="e">
        <f t="shared" si="191"/>
        <v>#DIV/0!</v>
      </c>
      <c r="AM219" s="52">
        <f t="shared" si="227"/>
        <v>209</v>
      </c>
      <c r="AN219" s="87">
        <f t="shared" si="193"/>
        <v>0</v>
      </c>
      <c r="AO219" s="99">
        <f t="shared" si="194"/>
        <v>0</v>
      </c>
      <c r="AP219" s="80">
        <f t="shared" si="195"/>
        <v>0</v>
      </c>
      <c r="AQ219" s="169">
        <f t="shared" si="197"/>
        <v>0</v>
      </c>
      <c r="AR219" s="188"/>
      <c r="AS219" s="170">
        <f t="shared" si="198"/>
        <v>0</v>
      </c>
      <c r="AT219" s="169">
        <f t="shared" si="199"/>
        <v>0</v>
      </c>
      <c r="AU219" s="188"/>
      <c r="AV219" s="170">
        <f t="shared" si="200"/>
        <v>0</v>
      </c>
      <c r="AW219" s="169">
        <f t="shared" si="201"/>
        <v>0</v>
      </c>
      <c r="AX219" s="188"/>
      <c r="AY219" s="170">
        <f t="shared" si="202"/>
        <v>0</v>
      </c>
      <c r="AZ219" s="169">
        <f t="shared" si="203"/>
        <v>0</v>
      </c>
      <c r="BA219" s="188"/>
      <c r="BB219" s="170">
        <f t="shared" si="204"/>
        <v>0</v>
      </c>
      <c r="BC219" s="169">
        <f t="shared" si="205"/>
        <v>0</v>
      </c>
      <c r="BD219" s="188"/>
      <c r="BE219" s="170">
        <f t="shared" si="206"/>
        <v>0</v>
      </c>
      <c r="BF219" s="169">
        <f t="shared" si="207"/>
        <v>0</v>
      </c>
      <c r="BG219" s="188"/>
      <c r="BH219" s="170">
        <f t="shared" si="208"/>
        <v>0</v>
      </c>
      <c r="BI219" s="169">
        <f t="shared" si="209"/>
        <v>0</v>
      </c>
      <c r="BJ219" s="188"/>
      <c r="BK219" s="170">
        <f t="shared" si="210"/>
        <v>0</v>
      </c>
      <c r="BL219" s="169">
        <f t="shared" si="211"/>
        <v>0</v>
      </c>
      <c r="BM219" s="188"/>
      <c r="BN219" s="170">
        <f t="shared" si="212"/>
        <v>0</v>
      </c>
      <c r="BO219" s="169">
        <f t="shared" si="213"/>
        <v>0</v>
      </c>
      <c r="BP219" s="188"/>
      <c r="BQ219" s="170">
        <f t="shared" si="214"/>
        <v>0</v>
      </c>
      <c r="BR219" s="169">
        <f t="shared" si="215"/>
        <v>0</v>
      </c>
      <c r="BS219" s="188"/>
      <c r="BT219" s="170">
        <f t="shared" si="216"/>
        <v>0</v>
      </c>
      <c r="BU219" s="72">
        <f t="shared" si="217"/>
        <v>0</v>
      </c>
      <c r="BV219" s="194" t="str">
        <f>LOOKUP(BU219,'الفترة الاولى'!$BX$2:$BY$6)</f>
        <v>ممتاز</v>
      </c>
      <c r="BW219" s="73" t="e">
        <f>BU219/'الفترة الاولى'!$BZ$2</f>
        <v>#DIV/0!</v>
      </c>
      <c r="BZ219" s="42"/>
      <c r="CA219" s="45"/>
    </row>
    <row r="220" spans="1:79" ht="25.2" customHeight="1" thickBot="1" x14ac:dyDescent="0.3">
      <c r="A220" s="52">
        <v>210</v>
      </c>
      <c r="B220" s="55"/>
      <c r="C220" s="103"/>
      <c r="D220" s="81"/>
      <c r="E220" s="171"/>
      <c r="F220" s="94"/>
      <c r="G220" s="172">
        <f t="shared" si="218"/>
        <v>0</v>
      </c>
      <c r="H220" s="178"/>
      <c r="I220" s="94"/>
      <c r="J220" s="175">
        <f t="shared" si="219"/>
        <v>0</v>
      </c>
      <c r="K220" s="95"/>
      <c r="L220" s="94"/>
      <c r="M220" s="172">
        <f t="shared" si="220"/>
        <v>0</v>
      </c>
      <c r="N220" s="178"/>
      <c r="O220" s="94"/>
      <c r="P220" s="175">
        <f t="shared" si="221"/>
        <v>0</v>
      </c>
      <c r="Q220" s="95"/>
      <c r="R220" s="94"/>
      <c r="S220" s="172">
        <f t="shared" si="222"/>
        <v>0</v>
      </c>
      <c r="T220" s="178"/>
      <c r="U220" s="94"/>
      <c r="V220" s="175">
        <f t="shared" si="223"/>
        <v>0</v>
      </c>
      <c r="W220" s="95"/>
      <c r="X220" s="94"/>
      <c r="Y220" s="172">
        <f t="shared" si="224"/>
        <v>0</v>
      </c>
      <c r="Z220" s="178"/>
      <c r="AA220" s="94"/>
      <c r="AB220" s="175">
        <f t="shared" si="225"/>
        <v>0</v>
      </c>
      <c r="AC220" s="95"/>
      <c r="AD220" s="94"/>
      <c r="AE220" s="89">
        <f t="shared" si="192"/>
        <v>0</v>
      </c>
      <c r="AF220" s="178"/>
      <c r="AG220" s="94"/>
      <c r="AH220" s="172">
        <f t="shared" si="226"/>
        <v>0</v>
      </c>
      <c r="AI220" s="162">
        <f t="shared" si="196"/>
        <v>0</v>
      </c>
      <c r="AJ220" s="200" t="str">
        <f t="shared" si="190"/>
        <v>ممتاز</v>
      </c>
      <c r="AK220" s="65" t="e">
        <f t="shared" si="191"/>
        <v>#DIV/0!</v>
      </c>
      <c r="AM220" s="50">
        <f t="shared" si="227"/>
        <v>210</v>
      </c>
      <c r="AN220" s="88">
        <f t="shared" si="193"/>
        <v>0</v>
      </c>
      <c r="AO220" s="100">
        <f t="shared" si="194"/>
        <v>0</v>
      </c>
      <c r="AP220" s="81">
        <f t="shared" si="195"/>
        <v>0</v>
      </c>
      <c r="AQ220" s="171">
        <f t="shared" si="197"/>
        <v>0</v>
      </c>
      <c r="AR220" s="189"/>
      <c r="AS220" s="172">
        <f t="shared" si="198"/>
        <v>0</v>
      </c>
      <c r="AT220" s="171">
        <f t="shared" si="199"/>
        <v>0</v>
      </c>
      <c r="AU220" s="189"/>
      <c r="AV220" s="172">
        <f t="shared" si="200"/>
        <v>0</v>
      </c>
      <c r="AW220" s="171">
        <f t="shared" si="201"/>
        <v>0</v>
      </c>
      <c r="AX220" s="189"/>
      <c r="AY220" s="172">
        <f t="shared" si="202"/>
        <v>0</v>
      </c>
      <c r="AZ220" s="171">
        <f t="shared" si="203"/>
        <v>0</v>
      </c>
      <c r="BA220" s="189"/>
      <c r="BB220" s="172">
        <f t="shared" si="204"/>
        <v>0</v>
      </c>
      <c r="BC220" s="171">
        <f t="shared" si="205"/>
        <v>0</v>
      </c>
      <c r="BD220" s="189"/>
      <c r="BE220" s="172">
        <f t="shared" si="206"/>
        <v>0</v>
      </c>
      <c r="BF220" s="171">
        <f t="shared" si="207"/>
        <v>0</v>
      </c>
      <c r="BG220" s="189"/>
      <c r="BH220" s="172">
        <f t="shared" si="208"/>
        <v>0</v>
      </c>
      <c r="BI220" s="171">
        <f t="shared" si="209"/>
        <v>0</v>
      </c>
      <c r="BJ220" s="189"/>
      <c r="BK220" s="172">
        <f t="shared" si="210"/>
        <v>0</v>
      </c>
      <c r="BL220" s="171">
        <f t="shared" si="211"/>
        <v>0</v>
      </c>
      <c r="BM220" s="189"/>
      <c r="BN220" s="172">
        <f t="shared" si="212"/>
        <v>0</v>
      </c>
      <c r="BO220" s="171">
        <f t="shared" si="213"/>
        <v>0</v>
      </c>
      <c r="BP220" s="189"/>
      <c r="BQ220" s="172">
        <f t="shared" si="214"/>
        <v>0</v>
      </c>
      <c r="BR220" s="171">
        <f t="shared" si="215"/>
        <v>0</v>
      </c>
      <c r="BS220" s="189"/>
      <c r="BT220" s="172">
        <f t="shared" si="216"/>
        <v>0</v>
      </c>
      <c r="BU220" s="74">
        <f t="shared" si="217"/>
        <v>0</v>
      </c>
      <c r="BV220" s="195" t="str">
        <f>LOOKUP(BU220,'الفترة الاولى'!$BX$2:$BY$6)</f>
        <v>ممتاز</v>
      </c>
      <c r="BW220" s="75" t="e">
        <f>BU220/'الفترة الاولى'!$BZ$2</f>
        <v>#DIV/0!</v>
      </c>
      <c r="BZ220" s="46"/>
      <c r="CA220" s="48"/>
    </row>
    <row r="221" spans="1:79" ht="25.2" customHeight="1" thickBot="1" x14ac:dyDescent="0.3">
      <c r="A221" s="50">
        <v>211</v>
      </c>
      <c r="B221" s="53"/>
      <c r="C221" s="101"/>
      <c r="D221" s="79"/>
      <c r="E221" s="168"/>
      <c r="F221" s="163"/>
      <c r="G221" s="89">
        <f t="shared" si="218"/>
        <v>0</v>
      </c>
      <c r="H221" s="176"/>
      <c r="I221" s="91"/>
      <c r="J221" s="173">
        <f t="shared" si="219"/>
        <v>0</v>
      </c>
      <c r="K221" s="90"/>
      <c r="L221" s="91"/>
      <c r="M221" s="89">
        <f t="shared" si="220"/>
        <v>0</v>
      </c>
      <c r="N221" s="176"/>
      <c r="O221" s="91"/>
      <c r="P221" s="173">
        <f t="shared" si="221"/>
        <v>0</v>
      </c>
      <c r="Q221" s="90"/>
      <c r="R221" s="91"/>
      <c r="S221" s="89">
        <f t="shared" si="222"/>
        <v>0</v>
      </c>
      <c r="T221" s="176"/>
      <c r="U221" s="91"/>
      <c r="V221" s="173">
        <f t="shared" si="223"/>
        <v>0</v>
      </c>
      <c r="W221" s="90"/>
      <c r="X221" s="91"/>
      <c r="Y221" s="89">
        <f t="shared" si="224"/>
        <v>0</v>
      </c>
      <c r="Z221" s="176"/>
      <c r="AA221" s="91"/>
      <c r="AB221" s="173">
        <f t="shared" si="225"/>
        <v>0</v>
      </c>
      <c r="AC221" s="90"/>
      <c r="AD221" s="91"/>
      <c r="AE221" s="89">
        <f t="shared" si="192"/>
        <v>0</v>
      </c>
      <c r="AF221" s="176"/>
      <c r="AG221" s="91"/>
      <c r="AH221" s="89">
        <f t="shared" si="226"/>
        <v>0</v>
      </c>
      <c r="AI221" s="160">
        <f t="shared" si="196"/>
        <v>0</v>
      </c>
      <c r="AJ221" s="201" t="str">
        <f t="shared" si="190"/>
        <v>ممتاز</v>
      </c>
      <c r="AK221" s="66" t="e">
        <f t="shared" si="191"/>
        <v>#DIV/0!</v>
      </c>
      <c r="AM221" s="51">
        <f t="shared" si="227"/>
        <v>211</v>
      </c>
      <c r="AN221" s="86">
        <f t="shared" si="193"/>
        <v>0</v>
      </c>
      <c r="AO221" s="98">
        <f t="shared" si="194"/>
        <v>0</v>
      </c>
      <c r="AP221" s="79">
        <f t="shared" si="195"/>
        <v>0</v>
      </c>
      <c r="AQ221" s="168">
        <f t="shared" si="197"/>
        <v>0</v>
      </c>
      <c r="AR221" s="163"/>
      <c r="AS221" s="89">
        <f t="shared" si="198"/>
        <v>0</v>
      </c>
      <c r="AT221" s="168">
        <f t="shared" si="199"/>
        <v>0</v>
      </c>
      <c r="AU221" s="163"/>
      <c r="AV221" s="89">
        <f t="shared" si="200"/>
        <v>0</v>
      </c>
      <c r="AW221" s="168">
        <f t="shared" si="201"/>
        <v>0</v>
      </c>
      <c r="AX221" s="163"/>
      <c r="AY221" s="89">
        <f t="shared" si="202"/>
        <v>0</v>
      </c>
      <c r="AZ221" s="168">
        <f t="shared" si="203"/>
        <v>0</v>
      </c>
      <c r="BA221" s="163"/>
      <c r="BB221" s="89">
        <f t="shared" si="204"/>
        <v>0</v>
      </c>
      <c r="BC221" s="168">
        <f t="shared" si="205"/>
        <v>0</v>
      </c>
      <c r="BD221" s="163"/>
      <c r="BE221" s="89">
        <f t="shared" si="206"/>
        <v>0</v>
      </c>
      <c r="BF221" s="168">
        <f t="shared" si="207"/>
        <v>0</v>
      </c>
      <c r="BG221" s="163"/>
      <c r="BH221" s="89">
        <f t="shared" si="208"/>
        <v>0</v>
      </c>
      <c r="BI221" s="168">
        <f t="shared" si="209"/>
        <v>0</v>
      </c>
      <c r="BJ221" s="163"/>
      <c r="BK221" s="89">
        <f t="shared" si="210"/>
        <v>0</v>
      </c>
      <c r="BL221" s="168">
        <f t="shared" si="211"/>
        <v>0</v>
      </c>
      <c r="BM221" s="163"/>
      <c r="BN221" s="89">
        <f t="shared" si="212"/>
        <v>0</v>
      </c>
      <c r="BO221" s="168">
        <f t="shared" si="213"/>
        <v>0</v>
      </c>
      <c r="BP221" s="163"/>
      <c r="BQ221" s="89">
        <f t="shared" si="214"/>
        <v>0</v>
      </c>
      <c r="BR221" s="168">
        <f t="shared" si="215"/>
        <v>0</v>
      </c>
      <c r="BS221" s="163"/>
      <c r="BT221" s="89">
        <f t="shared" si="216"/>
        <v>0</v>
      </c>
      <c r="BU221" s="76">
        <f t="shared" si="217"/>
        <v>0</v>
      </c>
      <c r="BV221" s="196" t="str">
        <f>LOOKUP(BU221,'الفترة الاولى'!$BX$2:$BY$6)</f>
        <v>ممتاز</v>
      </c>
      <c r="BW221" s="77" t="e">
        <f>BU221/'الفترة الاولى'!$BZ$2</f>
        <v>#DIV/0!</v>
      </c>
    </row>
    <row r="222" spans="1:79" ht="25.2" customHeight="1" thickBot="1" x14ac:dyDescent="0.3">
      <c r="A222" s="51">
        <v>212</v>
      </c>
      <c r="B222" s="54"/>
      <c r="C222" s="102"/>
      <c r="D222" s="80"/>
      <c r="E222" s="169"/>
      <c r="F222" s="92"/>
      <c r="G222" s="170">
        <f t="shared" si="218"/>
        <v>0</v>
      </c>
      <c r="H222" s="177"/>
      <c r="I222" s="92"/>
      <c r="J222" s="174">
        <f t="shared" si="219"/>
        <v>0</v>
      </c>
      <c r="K222" s="93"/>
      <c r="L222" s="92"/>
      <c r="M222" s="170">
        <f t="shared" si="220"/>
        <v>0</v>
      </c>
      <c r="N222" s="177"/>
      <c r="O222" s="92"/>
      <c r="P222" s="174">
        <f t="shared" si="221"/>
        <v>0</v>
      </c>
      <c r="Q222" s="93"/>
      <c r="R222" s="92"/>
      <c r="S222" s="170">
        <f t="shared" si="222"/>
        <v>0</v>
      </c>
      <c r="T222" s="177"/>
      <c r="U222" s="92"/>
      <c r="V222" s="174">
        <f t="shared" si="223"/>
        <v>0</v>
      </c>
      <c r="W222" s="93"/>
      <c r="X222" s="92"/>
      <c r="Y222" s="170">
        <f t="shared" si="224"/>
        <v>0</v>
      </c>
      <c r="Z222" s="177"/>
      <c r="AA222" s="92"/>
      <c r="AB222" s="174">
        <f t="shared" si="225"/>
        <v>0</v>
      </c>
      <c r="AC222" s="93"/>
      <c r="AD222" s="92"/>
      <c r="AE222" s="89">
        <f t="shared" si="192"/>
        <v>0</v>
      </c>
      <c r="AF222" s="177"/>
      <c r="AG222" s="92"/>
      <c r="AH222" s="170">
        <f t="shared" si="226"/>
        <v>0</v>
      </c>
      <c r="AI222" s="161">
        <f t="shared" si="196"/>
        <v>0</v>
      </c>
      <c r="AJ222" s="202" t="str">
        <f t="shared" si="190"/>
        <v>ممتاز</v>
      </c>
      <c r="AK222" s="67" t="e">
        <f t="shared" si="191"/>
        <v>#DIV/0!</v>
      </c>
      <c r="AM222" s="52">
        <f t="shared" si="227"/>
        <v>212</v>
      </c>
      <c r="AN222" s="87">
        <f t="shared" si="193"/>
        <v>0</v>
      </c>
      <c r="AO222" s="99">
        <f t="shared" si="194"/>
        <v>0</v>
      </c>
      <c r="AP222" s="80">
        <f t="shared" si="195"/>
        <v>0</v>
      </c>
      <c r="AQ222" s="169">
        <f t="shared" si="197"/>
        <v>0</v>
      </c>
      <c r="AR222" s="188"/>
      <c r="AS222" s="170">
        <f t="shared" si="198"/>
        <v>0</v>
      </c>
      <c r="AT222" s="169">
        <f t="shared" si="199"/>
        <v>0</v>
      </c>
      <c r="AU222" s="188"/>
      <c r="AV222" s="170">
        <f t="shared" si="200"/>
        <v>0</v>
      </c>
      <c r="AW222" s="169">
        <f t="shared" si="201"/>
        <v>0</v>
      </c>
      <c r="AX222" s="188"/>
      <c r="AY222" s="170">
        <f t="shared" si="202"/>
        <v>0</v>
      </c>
      <c r="AZ222" s="169">
        <f t="shared" si="203"/>
        <v>0</v>
      </c>
      <c r="BA222" s="188"/>
      <c r="BB222" s="170">
        <f t="shared" si="204"/>
        <v>0</v>
      </c>
      <c r="BC222" s="169">
        <f t="shared" si="205"/>
        <v>0</v>
      </c>
      <c r="BD222" s="188"/>
      <c r="BE222" s="170">
        <f t="shared" si="206"/>
        <v>0</v>
      </c>
      <c r="BF222" s="169">
        <f t="shared" si="207"/>
        <v>0</v>
      </c>
      <c r="BG222" s="188"/>
      <c r="BH222" s="170">
        <f t="shared" si="208"/>
        <v>0</v>
      </c>
      <c r="BI222" s="169">
        <f t="shared" si="209"/>
        <v>0</v>
      </c>
      <c r="BJ222" s="188"/>
      <c r="BK222" s="170">
        <f t="shared" si="210"/>
        <v>0</v>
      </c>
      <c r="BL222" s="169">
        <f t="shared" si="211"/>
        <v>0</v>
      </c>
      <c r="BM222" s="188"/>
      <c r="BN222" s="170">
        <f t="shared" si="212"/>
        <v>0</v>
      </c>
      <c r="BO222" s="169">
        <f t="shared" si="213"/>
        <v>0</v>
      </c>
      <c r="BP222" s="188"/>
      <c r="BQ222" s="170">
        <f t="shared" si="214"/>
        <v>0</v>
      </c>
      <c r="BR222" s="169">
        <f t="shared" si="215"/>
        <v>0</v>
      </c>
      <c r="BS222" s="188"/>
      <c r="BT222" s="170">
        <f t="shared" si="216"/>
        <v>0</v>
      </c>
      <c r="BU222" s="72">
        <f t="shared" si="217"/>
        <v>0</v>
      </c>
      <c r="BV222" s="194" t="str">
        <f>LOOKUP(BU222,'الفترة الاولى'!$BX$2:$BY$6)</f>
        <v>ممتاز</v>
      </c>
      <c r="BW222" s="73" t="e">
        <f>BU222/'الفترة الاولى'!$BZ$2</f>
        <v>#DIV/0!</v>
      </c>
    </row>
    <row r="223" spans="1:79" ht="25.2" customHeight="1" thickBot="1" x14ac:dyDescent="0.3">
      <c r="A223" s="52">
        <v>213</v>
      </c>
      <c r="B223" s="55"/>
      <c r="C223" s="103"/>
      <c r="D223" s="81"/>
      <c r="E223" s="171"/>
      <c r="F223" s="94"/>
      <c r="G223" s="172">
        <f t="shared" si="218"/>
        <v>0</v>
      </c>
      <c r="H223" s="178"/>
      <c r="I223" s="94"/>
      <c r="J223" s="175">
        <f t="shared" si="219"/>
        <v>0</v>
      </c>
      <c r="K223" s="95"/>
      <c r="L223" s="94"/>
      <c r="M223" s="172">
        <f t="shared" si="220"/>
        <v>0</v>
      </c>
      <c r="N223" s="178"/>
      <c r="O223" s="94"/>
      <c r="P223" s="175">
        <f t="shared" si="221"/>
        <v>0</v>
      </c>
      <c r="Q223" s="95"/>
      <c r="R223" s="94"/>
      <c r="S223" s="172">
        <f t="shared" si="222"/>
        <v>0</v>
      </c>
      <c r="T223" s="178"/>
      <c r="U223" s="94"/>
      <c r="V223" s="175">
        <f t="shared" si="223"/>
        <v>0</v>
      </c>
      <c r="W223" s="95"/>
      <c r="X223" s="94"/>
      <c r="Y223" s="172">
        <f t="shared" si="224"/>
        <v>0</v>
      </c>
      <c r="Z223" s="178"/>
      <c r="AA223" s="94"/>
      <c r="AB223" s="175">
        <f t="shared" si="225"/>
        <v>0</v>
      </c>
      <c r="AC223" s="95"/>
      <c r="AD223" s="94"/>
      <c r="AE223" s="89">
        <f t="shared" si="192"/>
        <v>0</v>
      </c>
      <c r="AF223" s="178"/>
      <c r="AG223" s="94"/>
      <c r="AH223" s="172">
        <f t="shared" si="226"/>
        <v>0</v>
      </c>
      <c r="AI223" s="162">
        <f t="shared" si="196"/>
        <v>0</v>
      </c>
      <c r="AJ223" s="200" t="str">
        <f t="shared" si="190"/>
        <v>ممتاز</v>
      </c>
      <c r="AK223" s="65" t="e">
        <f t="shared" si="191"/>
        <v>#DIV/0!</v>
      </c>
      <c r="AM223" s="50">
        <f t="shared" si="227"/>
        <v>213</v>
      </c>
      <c r="AN223" s="88">
        <f t="shared" si="193"/>
        <v>0</v>
      </c>
      <c r="AO223" s="100">
        <f t="shared" si="194"/>
        <v>0</v>
      </c>
      <c r="AP223" s="81">
        <f t="shared" si="195"/>
        <v>0</v>
      </c>
      <c r="AQ223" s="171">
        <f t="shared" si="197"/>
        <v>0</v>
      </c>
      <c r="AR223" s="189"/>
      <c r="AS223" s="172">
        <f t="shared" si="198"/>
        <v>0</v>
      </c>
      <c r="AT223" s="171">
        <f t="shared" si="199"/>
        <v>0</v>
      </c>
      <c r="AU223" s="189"/>
      <c r="AV223" s="172">
        <f t="shared" si="200"/>
        <v>0</v>
      </c>
      <c r="AW223" s="171">
        <f t="shared" si="201"/>
        <v>0</v>
      </c>
      <c r="AX223" s="189"/>
      <c r="AY223" s="172">
        <f t="shared" si="202"/>
        <v>0</v>
      </c>
      <c r="AZ223" s="171">
        <f t="shared" si="203"/>
        <v>0</v>
      </c>
      <c r="BA223" s="189"/>
      <c r="BB223" s="172">
        <f t="shared" si="204"/>
        <v>0</v>
      </c>
      <c r="BC223" s="171">
        <f t="shared" si="205"/>
        <v>0</v>
      </c>
      <c r="BD223" s="189"/>
      <c r="BE223" s="172">
        <f t="shared" si="206"/>
        <v>0</v>
      </c>
      <c r="BF223" s="171">
        <f t="shared" si="207"/>
        <v>0</v>
      </c>
      <c r="BG223" s="189"/>
      <c r="BH223" s="172">
        <f t="shared" si="208"/>
        <v>0</v>
      </c>
      <c r="BI223" s="171">
        <f t="shared" si="209"/>
        <v>0</v>
      </c>
      <c r="BJ223" s="189"/>
      <c r="BK223" s="172">
        <f t="shared" si="210"/>
        <v>0</v>
      </c>
      <c r="BL223" s="171">
        <f t="shared" si="211"/>
        <v>0</v>
      </c>
      <c r="BM223" s="189"/>
      <c r="BN223" s="172">
        <f t="shared" si="212"/>
        <v>0</v>
      </c>
      <c r="BO223" s="171">
        <f t="shared" si="213"/>
        <v>0</v>
      </c>
      <c r="BP223" s="189"/>
      <c r="BQ223" s="172">
        <f t="shared" si="214"/>
        <v>0</v>
      </c>
      <c r="BR223" s="171">
        <f t="shared" si="215"/>
        <v>0</v>
      </c>
      <c r="BS223" s="189"/>
      <c r="BT223" s="172">
        <f t="shared" si="216"/>
        <v>0</v>
      </c>
      <c r="BU223" s="74">
        <f t="shared" si="217"/>
        <v>0</v>
      </c>
      <c r="BV223" s="195" t="str">
        <f>LOOKUP(BU223,'الفترة الاولى'!$BX$2:$BY$6)</f>
        <v>ممتاز</v>
      </c>
      <c r="BW223" s="75" t="e">
        <f>BU223/'الفترة الاولى'!$BZ$2</f>
        <v>#DIV/0!</v>
      </c>
    </row>
    <row r="224" spans="1:79" ht="25.2" customHeight="1" thickBot="1" x14ac:dyDescent="0.3">
      <c r="A224" s="50">
        <v>214</v>
      </c>
      <c r="B224" s="53"/>
      <c r="C224" s="101"/>
      <c r="D224" s="79"/>
      <c r="E224" s="168"/>
      <c r="F224" s="163"/>
      <c r="G224" s="89">
        <f t="shared" si="218"/>
        <v>0</v>
      </c>
      <c r="H224" s="176"/>
      <c r="I224" s="91"/>
      <c r="J224" s="173">
        <f t="shared" si="219"/>
        <v>0</v>
      </c>
      <c r="K224" s="90"/>
      <c r="L224" s="91"/>
      <c r="M224" s="89">
        <f t="shared" si="220"/>
        <v>0</v>
      </c>
      <c r="N224" s="176"/>
      <c r="O224" s="91"/>
      <c r="P224" s="173">
        <f t="shared" si="221"/>
        <v>0</v>
      </c>
      <c r="Q224" s="90"/>
      <c r="R224" s="91"/>
      <c r="S224" s="89">
        <f t="shared" si="222"/>
        <v>0</v>
      </c>
      <c r="T224" s="176"/>
      <c r="U224" s="91"/>
      <c r="V224" s="173">
        <f t="shared" si="223"/>
        <v>0</v>
      </c>
      <c r="W224" s="90"/>
      <c r="X224" s="91"/>
      <c r="Y224" s="89">
        <f t="shared" si="224"/>
        <v>0</v>
      </c>
      <c r="Z224" s="176"/>
      <c r="AA224" s="91"/>
      <c r="AB224" s="173">
        <f t="shared" si="225"/>
        <v>0</v>
      </c>
      <c r="AC224" s="90"/>
      <c r="AD224" s="91"/>
      <c r="AE224" s="89">
        <f t="shared" si="192"/>
        <v>0</v>
      </c>
      <c r="AF224" s="176"/>
      <c r="AG224" s="91"/>
      <c r="AH224" s="89">
        <f t="shared" si="226"/>
        <v>0</v>
      </c>
      <c r="AI224" s="160">
        <f t="shared" si="196"/>
        <v>0</v>
      </c>
      <c r="AJ224" s="201" t="str">
        <f t="shared" si="190"/>
        <v>ممتاز</v>
      </c>
      <c r="AK224" s="66" t="e">
        <f t="shared" si="191"/>
        <v>#DIV/0!</v>
      </c>
      <c r="AM224" s="51">
        <f t="shared" si="227"/>
        <v>214</v>
      </c>
      <c r="AN224" s="86">
        <f t="shared" si="193"/>
        <v>0</v>
      </c>
      <c r="AO224" s="98">
        <f t="shared" si="194"/>
        <v>0</v>
      </c>
      <c r="AP224" s="79">
        <f t="shared" si="195"/>
        <v>0</v>
      </c>
      <c r="AQ224" s="168">
        <f t="shared" si="197"/>
        <v>0</v>
      </c>
      <c r="AR224" s="163"/>
      <c r="AS224" s="89">
        <f t="shared" si="198"/>
        <v>0</v>
      </c>
      <c r="AT224" s="168">
        <f t="shared" si="199"/>
        <v>0</v>
      </c>
      <c r="AU224" s="163"/>
      <c r="AV224" s="89">
        <f t="shared" si="200"/>
        <v>0</v>
      </c>
      <c r="AW224" s="168">
        <f t="shared" si="201"/>
        <v>0</v>
      </c>
      <c r="AX224" s="163"/>
      <c r="AY224" s="89">
        <f t="shared" si="202"/>
        <v>0</v>
      </c>
      <c r="AZ224" s="168">
        <f t="shared" si="203"/>
        <v>0</v>
      </c>
      <c r="BA224" s="163"/>
      <c r="BB224" s="89">
        <f t="shared" si="204"/>
        <v>0</v>
      </c>
      <c r="BC224" s="168">
        <f t="shared" si="205"/>
        <v>0</v>
      </c>
      <c r="BD224" s="163"/>
      <c r="BE224" s="89">
        <f t="shared" si="206"/>
        <v>0</v>
      </c>
      <c r="BF224" s="168">
        <f t="shared" si="207"/>
        <v>0</v>
      </c>
      <c r="BG224" s="163"/>
      <c r="BH224" s="89">
        <f t="shared" si="208"/>
        <v>0</v>
      </c>
      <c r="BI224" s="168">
        <f t="shared" si="209"/>
        <v>0</v>
      </c>
      <c r="BJ224" s="163"/>
      <c r="BK224" s="89">
        <f t="shared" si="210"/>
        <v>0</v>
      </c>
      <c r="BL224" s="168">
        <f t="shared" si="211"/>
        <v>0</v>
      </c>
      <c r="BM224" s="163"/>
      <c r="BN224" s="89">
        <f t="shared" si="212"/>
        <v>0</v>
      </c>
      <c r="BO224" s="168">
        <f t="shared" si="213"/>
        <v>0</v>
      </c>
      <c r="BP224" s="163"/>
      <c r="BQ224" s="89">
        <f t="shared" si="214"/>
        <v>0</v>
      </c>
      <c r="BR224" s="168">
        <f t="shared" si="215"/>
        <v>0</v>
      </c>
      <c r="BS224" s="163"/>
      <c r="BT224" s="89">
        <f t="shared" si="216"/>
        <v>0</v>
      </c>
      <c r="BU224" s="76">
        <f t="shared" si="217"/>
        <v>0</v>
      </c>
      <c r="BV224" s="196" t="str">
        <f>LOOKUP(BU224,'الفترة الاولى'!$BX$2:$BY$6)</f>
        <v>ممتاز</v>
      </c>
      <c r="BW224" s="77" t="e">
        <f>BU224/'الفترة الاولى'!$BZ$2</f>
        <v>#DIV/0!</v>
      </c>
    </row>
    <row r="225" spans="1:75" ht="25.2" customHeight="1" thickBot="1" x14ac:dyDescent="0.3">
      <c r="A225" s="51">
        <v>215</v>
      </c>
      <c r="B225" s="54"/>
      <c r="C225" s="102"/>
      <c r="D225" s="80"/>
      <c r="E225" s="169"/>
      <c r="F225" s="92"/>
      <c r="G225" s="170">
        <f t="shared" si="218"/>
        <v>0</v>
      </c>
      <c r="H225" s="177"/>
      <c r="I225" s="92"/>
      <c r="J225" s="174">
        <f t="shared" si="219"/>
        <v>0</v>
      </c>
      <c r="K225" s="93"/>
      <c r="L225" s="92"/>
      <c r="M225" s="170">
        <f t="shared" si="220"/>
        <v>0</v>
      </c>
      <c r="N225" s="177"/>
      <c r="O225" s="92"/>
      <c r="P225" s="174">
        <f t="shared" si="221"/>
        <v>0</v>
      </c>
      <c r="Q225" s="93"/>
      <c r="R225" s="92"/>
      <c r="S225" s="170">
        <f t="shared" si="222"/>
        <v>0</v>
      </c>
      <c r="T225" s="177"/>
      <c r="U225" s="92"/>
      <c r="V225" s="174">
        <f t="shared" si="223"/>
        <v>0</v>
      </c>
      <c r="W225" s="93"/>
      <c r="X225" s="92"/>
      <c r="Y225" s="170">
        <f t="shared" si="224"/>
        <v>0</v>
      </c>
      <c r="Z225" s="177"/>
      <c r="AA225" s="92"/>
      <c r="AB225" s="174">
        <f t="shared" si="225"/>
        <v>0</v>
      </c>
      <c r="AC225" s="93"/>
      <c r="AD225" s="92"/>
      <c r="AE225" s="89">
        <f t="shared" si="192"/>
        <v>0</v>
      </c>
      <c r="AF225" s="177"/>
      <c r="AG225" s="92"/>
      <c r="AH225" s="170">
        <f t="shared" si="226"/>
        <v>0</v>
      </c>
      <c r="AI225" s="161">
        <f t="shared" si="196"/>
        <v>0</v>
      </c>
      <c r="AJ225" s="202" t="str">
        <f t="shared" si="190"/>
        <v>ممتاز</v>
      </c>
      <c r="AK225" s="67" t="e">
        <f t="shared" si="191"/>
        <v>#DIV/0!</v>
      </c>
      <c r="AM225" s="52">
        <f t="shared" si="227"/>
        <v>215</v>
      </c>
      <c r="AN225" s="87">
        <f t="shared" si="193"/>
        <v>0</v>
      </c>
      <c r="AO225" s="99">
        <f t="shared" si="194"/>
        <v>0</v>
      </c>
      <c r="AP225" s="80">
        <f t="shared" si="195"/>
        <v>0</v>
      </c>
      <c r="AQ225" s="169">
        <f t="shared" si="197"/>
        <v>0</v>
      </c>
      <c r="AR225" s="188"/>
      <c r="AS225" s="170">
        <f t="shared" si="198"/>
        <v>0</v>
      </c>
      <c r="AT225" s="169">
        <f t="shared" si="199"/>
        <v>0</v>
      </c>
      <c r="AU225" s="188"/>
      <c r="AV225" s="170">
        <f t="shared" si="200"/>
        <v>0</v>
      </c>
      <c r="AW225" s="169">
        <f t="shared" si="201"/>
        <v>0</v>
      </c>
      <c r="AX225" s="188"/>
      <c r="AY225" s="170">
        <f t="shared" si="202"/>
        <v>0</v>
      </c>
      <c r="AZ225" s="169">
        <f t="shared" si="203"/>
        <v>0</v>
      </c>
      <c r="BA225" s="188"/>
      <c r="BB225" s="170">
        <f t="shared" si="204"/>
        <v>0</v>
      </c>
      <c r="BC225" s="169">
        <f t="shared" si="205"/>
        <v>0</v>
      </c>
      <c r="BD225" s="188"/>
      <c r="BE225" s="170">
        <f t="shared" si="206"/>
        <v>0</v>
      </c>
      <c r="BF225" s="169">
        <f t="shared" si="207"/>
        <v>0</v>
      </c>
      <c r="BG225" s="188"/>
      <c r="BH225" s="170">
        <f t="shared" si="208"/>
        <v>0</v>
      </c>
      <c r="BI225" s="169">
        <f t="shared" si="209"/>
        <v>0</v>
      </c>
      <c r="BJ225" s="188"/>
      <c r="BK225" s="170">
        <f t="shared" si="210"/>
        <v>0</v>
      </c>
      <c r="BL225" s="169">
        <f t="shared" si="211"/>
        <v>0</v>
      </c>
      <c r="BM225" s="188"/>
      <c r="BN225" s="170">
        <f t="shared" si="212"/>
        <v>0</v>
      </c>
      <c r="BO225" s="169">
        <f t="shared" si="213"/>
        <v>0</v>
      </c>
      <c r="BP225" s="188"/>
      <c r="BQ225" s="170">
        <f t="shared" si="214"/>
        <v>0</v>
      </c>
      <c r="BR225" s="169">
        <f t="shared" si="215"/>
        <v>0</v>
      </c>
      <c r="BS225" s="188"/>
      <c r="BT225" s="170">
        <f t="shared" si="216"/>
        <v>0</v>
      </c>
      <c r="BU225" s="72">
        <f t="shared" si="217"/>
        <v>0</v>
      </c>
      <c r="BV225" s="194" t="str">
        <f>LOOKUP(BU225,'الفترة الاولى'!$BX$2:$BY$6)</f>
        <v>ممتاز</v>
      </c>
      <c r="BW225" s="73" t="e">
        <f>BU225/'الفترة الاولى'!$BZ$2</f>
        <v>#DIV/0!</v>
      </c>
    </row>
    <row r="226" spans="1:75" ht="25.2" customHeight="1" thickBot="1" x14ac:dyDescent="0.3">
      <c r="A226" s="52">
        <v>216</v>
      </c>
      <c r="B226" s="55"/>
      <c r="C226" s="103"/>
      <c r="D226" s="81"/>
      <c r="E226" s="171"/>
      <c r="F226" s="94"/>
      <c r="G226" s="172">
        <f t="shared" si="218"/>
        <v>0</v>
      </c>
      <c r="H226" s="178"/>
      <c r="I226" s="94"/>
      <c r="J226" s="175">
        <f t="shared" si="219"/>
        <v>0</v>
      </c>
      <c r="K226" s="95"/>
      <c r="L226" s="94"/>
      <c r="M226" s="172">
        <f t="shared" si="220"/>
        <v>0</v>
      </c>
      <c r="N226" s="178"/>
      <c r="O226" s="94"/>
      <c r="P226" s="175">
        <f t="shared" si="221"/>
        <v>0</v>
      </c>
      <c r="Q226" s="95"/>
      <c r="R226" s="94"/>
      <c r="S226" s="172">
        <f t="shared" si="222"/>
        <v>0</v>
      </c>
      <c r="T226" s="178"/>
      <c r="U226" s="94"/>
      <c r="V226" s="175">
        <f t="shared" si="223"/>
        <v>0</v>
      </c>
      <c r="W226" s="95"/>
      <c r="X226" s="94"/>
      <c r="Y226" s="172">
        <f t="shared" si="224"/>
        <v>0</v>
      </c>
      <c r="Z226" s="178"/>
      <c r="AA226" s="94"/>
      <c r="AB226" s="175">
        <f t="shared" si="225"/>
        <v>0</v>
      </c>
      <c r="AC226" s="95"/>
      <c r="AD226" s="94"/>
      <c r="AE226" s="89">
        <f t="shared" si="192"/>
        <v>0</v>
      </c>
      <c r="AF226" s="178"/>
      <c r="AG226" s="94"/>
      <c r="AH226" s="172">
        <f t="shared" si="226"/>
        <v>0</v>
      </c>
      <c r="AI226" s="162">
        <f t="shared" si="196"/>
        <v>0</v>
      </c>
      <c r="AJ226" s="200" t="str">
        <f t="shared" si="190"/>
        <v>ممتاز</v>
      </c>
      <c r="AK226" s="65" t="e">
        <f t="shared" si="191"/>
        <v>#DIV/0!</v>
      </c>
      <c r="AM226" s="50">
        <f t="shared" si="227"/>
        <v>216</v>
      </c>
      <c r="AN226" s="88">
        <f t="shared" si="193"/>
        <v>0</v>
      </c>
      <c r="AO226" s="100">
        <f t="shared" si="194"/>
        <v>0</v>
      </c>
      <c r="AP226" s="81">
        <f t="shared" si="195"/>
        <v>0</v>
      </c>
      <c r="AQ226" s="171">
        <f t="shared" si="197"/>
        <v>0</v>
      </c>
      <c r="AR226" s="189"/>
      <c r="AS226" s="172">
        <f t="shared" si="198"/>
        <v>0</v>
      </c>
      <c r="AT226" s="171">
        <f t="shared" si="199"/>
        <v>0</v>
      </c>
      <c r="AU226" s="189"/>
      <c r="AV226" s="172">
        <f t="shared" si="200"/>
        <v>0</v>
      </c>
      <c r="AW226" s="171">
        <f t="shared" si="201"/>
        <v>0</v>
      </c>
      <c r="AX226" s="189"/>
      <c r="AY226" s="172">
        <f t="shared" si="202"/>
        <v>0</v>
      </c>
      <c r="AZ226" s="171">
        <f t="shared" si="203"/>
        <v>0</v>
      </c>
      <c r="BA226" s="189"/>
      <c r="BB226" s="172">
        <f t="shared" si="204"/>
        <v>0</v>
      </c>
      <c r="BC226" s="171">
        <f t="shared" si="205"/>
        <v>0</v>
      </c>
      <c r="BD226" s="189"/>
      <c r="BE226" s="172">
        <f t="shared" si="206"/>
        <v>0</v>
      </c>
      <c r="BF226" s="171">
        <f t="shared" si="207"/>
        <v>0</v>
      </c>
      <c r="BG226" s="189"/>
      <c r="BH226" s="172">
        <f t="shared" si="208"/>
        <v>0</v>
      </c>
      <c r="BI226" s="171">
        <f t="shared" si="209"/>
        <v>0</v>
      </c>
      <c r="BJ226" s="189"/>
      <c r="BK226" s="172">
        <f t="shared" si="210"/>
        <v>0</v>
      </c>
      <c r="BL226" s="171">
        <f t="shared" si="211"/>
        <v>0</v>
      </c>
      <c r="BM226" s="189"/>
      <c r="BN226" s="172">
        <f t="shared" si="212"/>
        <v>0</v>
      </c>
      <c r="BO226" s="171">
        <f t="shared" si="213"/>
        <v>0</v>
      </c>
      <c r="BP226" s="189"/>
      <c r="BQ226" s="172">
        <f t="shared" si="214"/>
        <v>0</v>
      </c>
      <c r="BR226" s="171">
        <f t="shared" si="215"/>
        <v>0</v>
      </c>
      <c r="BS226" s="189"/>
      <c r="BT226" s="172">
        <f t="shared" si="216"/>
        <v>0</v>
      </c>
      <c r="BU226" s="74">
        <f t="shared" si="217"/>
        <v>0</v>
      </c>
      <c r="BV226" s="195" t="str">
        <f>LOOKUP(BU226,'الفترة الاولى'!$BX$2:$BY$6)</f>
        <v>ممتاز</v>
      </c>
      <c r="BW226" s="75" t="e">
        <f>BU226/'الفترة الاولى'!$BZ$2</f>
        <v>#DIV/0!</v>
      </c>
    </row>
    <row r="227" spans="1:75" ht="25.2" customHeight="1" thickBot="1" x14ac:dyDescent="0.3">
      <c r="A227" s="50">
        <v>217</v>
      </c>
      <c r="B227" s="53"/>
      <c r="C227" s="101"/>
      <c r="D227" s="79"/>
      <c r="E227" s="168"/>
      <c r="F227" s="163"/>
      <c r="G227" s="89">
        <f t="shared" si="218"/>
        <v>0</v>
      </c>
      <c r="H227" s="176"/>
      <c r="I227" s="91"/>
      <c r="J227" s="173">
        <f t="shared" si="219"/>
        <v>0</v>
      </c>
      <c r="K227" s="90"/>
      <c r="L227" s="91"/>
      <c r="M227" s="89">
        <f t="shared" si="220"/>
        <v>0</v>
      </c>
      <c r="N227" s="176"/>
      <c r="O227" s="91"/>
      <c r="P227" s="173">
        <f t="shared" si="221"/>
        <v>0</v>
      </c>
      <c r="Q227" s="90"/>
      <c r="R227" s="91"/>
      <c r="S227" s="89">
        <f t="shared" si="222"/>
        <v>0</v>
      </c>
      <c r="T227" s="176"/>
      <c r="U227" s="91"/>
      <c r="V227" s="173">
        <f t="shared" si="223"/>
        <v>0</v>
      </c>
      <c r="W227" s="90"/>
      <c r="X227" s="91"/>
      <c r="Y227" s="89">
        <f t="shared" si="224"/>
        <v>0</v>
      </c>
      <c r="Z227" s="176"/>
      <c r="AA227" s="91"/>
      <c r="AB227" s="173">
        <f t="shared" si="225"/>
        <v>0</v>
      </c>
      <c r="AC227" s="90"/>
      <c r="AD227" s="91"/>
      <c r="AE227" s="89">
        <f t="shared" si="192"/>
        <v>0</v>
      </c>
      <c r="AF227" s="176"/>
      <c r="AG227" s="91"/>
      <c r="AH227" s="89">
        <f t="shared" si="226"/>
        <v>0</v>
      </c>
      <c r="AI227" s="160">
        <f t="shared" si="196"/>
        <v>0</v>
      </c>
      <c r="AJ227" s="201" t="str">
        <f t="shared" si="190"/>
        <v>ممتاز</v>
      </c>
      <c r="AK227" s="66" t="e">
        <f t="shared" si="191"/>
        <v>#DIV/0!</v>
      </c>
      <c r="AM227" s="51">
        <f t="shared" si="227"/>
        <v>217</v>
      </c>
      <c r="AN227" s="86">
        <f t="shared" si="193"/>
        <v>0</v>
      </c>
      <c r="AO227" s="98">
        <f t="shared" si="194"/>
        <v>0</v>
      </c>
      <c r="AP227" s="79">
        <f t="shared" si="195"/>
        <v>0</v>
      </c>
      <c r="AQ227" s="168">
        <f t="shared" si="197"/>
        <v>0</v>
      </c>
      <c r="AR227" s="163"/>
      <c r="AS227" s="89">
        <f t="shared" si="198"/>
        <v>0</v>
      </c>
      <c r="AT227" s="168">
        <f t="shared" si="199"/>
        <v>0</v>
      </c>
      <c r="AU227" s="163"/>
      <c r="AV227" s="89">
        <f t="shared" si="200"/>
        <v>0</v>
      </c>
      <c r="AW227" s="168">
        <f t="shared" si="201"/>
        <v>0</v>
      </c>
      <c r="AX227" s="163"/>
      <c r="AY227" s="89">
        <f t="shared" si="202"/>
        <v>0</v>
      </c>
      <c r="AZ227" s="168">
        <f t="shared" si="203"/>
        <v>0</v>
      </c>
      <c r="BA227" s="163"/>
      <c r="BB227" s="89">
        <f t="shared" si="204"/>
        <v>0</v>
      </c>
      <c r="BC227" s="168">
        <f t="shared" si="205"/>
        <v>0</v>
      </c>
      <c r="BD227" s="163"/>
      <c r="BE227" s="89">
        <f t="shared" si="206"/>
        <v>0</v>
      </c>
      <c r="BF227" s="168">
        <f t="shared" si="207"/>
        <v>0</v>
      </c>
      <c r="BG227" s="163"/>
      <c r="BH227" s="89">
        <f t="shared" si="208"/>
        <v>0</v>
      </c>
      <c r="BI227" s="168">
        <f t="shared" si="209"/>
        <v>0</v>
      </c>
      <c r="BJ227" s="163"/>
      <c r="BK227" s="89">
        <f t="shared" si="210"/>
        <v>0</v>
      </c>
      <c r="BL227" s="168">
        <f t="shared" si="211"/>
        <v>0</v>
      </c>
      <c r="BM227" s="163"/>
      <c r="BN227" s="89">
        <f t="shared" si="212"/>
        <v>0</v>
      </c>
      <c r="BO227" s="168">
        <f t="shared" si="213"/>
        <v>0</v>
      </c>
      <c r="BP227" s="163"/>
      <c r="BQ227" s="89">
        <f t="shared" si="214"/>
        <v>0</v>
      </c>
      <c r="BR227" s="168">
        <f t="shared" si="215"/>
        <v>0</v>
      </c>
      <c r="BS227" s="163"/>
      <c r="BT227" s="89">
        <f t="shared" si="216"/>
        <v>0</v>
      </c>
      <c r="BU227" s="76">
        <f t="shared" si="217"/>
        <v>0</v>
      </c>
      <c r="BV227" s="196" t="str">
        <f>LOOKUP(BU227,'الفترة الاولى'!$BX$2:$BY$6)</f>
        <v>ممتاز</v>
      </c>
      <c r="BW227" s="77" t="e">
        <f>BU227/'الفترة الاولى'!$BZ$2</f>
        <v>#DIV/0!</v>
      </c>
    </row>
    <row r="228" spans="1:75" ht="25.2" customHeight="1" thickBot="1" x14ac:dyDescent="0.3">
      <c r="A228" s="51">
        <v>218</v>
      </c>
      <c r="B228" s="54"/>
      <c r="C228" s="102"/>
      <c r="D228" s="80"/>
      <c r="E228" s="169"/>
      <c r="F228" s="92"/>
      <c r="G228" s="170">
        <f t="shared" si="218"/>
        <v>0</v>
      </c>
      <c r="H228" s="177"/>
      <c r="I228" s="92"/>
      <c r="J228" s="174">
        <f t="shared" si="219"/>
        <v>0</v>
      </c>
      <c r="K228" s="93"/>
      <c r="L228" s="92"/>
      <c r="M228" s="170">
        <f t="shared" si="220"/>
        <v>0</v>
      </c>
      <c r="N228" s="177"/>
      <c r="O228" s="92"/>
      <c r="P228" s="174">
        <f t="shared" si="221"/>
        <v>0</v>
      </c>
      <c r="Q228" s="93"/>
      <c r="R228" s="92"/>
      <c r="S228" s="170">
        <f t="shared" si="222"/>
        <v>0</v>
      </c>
      <c r="T228" s="177"/>
      <c r="U228" s="92"/>
      <c r="V228" s="174">
        <f t="shared" si="223"/>
        <v>0</v>
      </c>
      <c r="W228" s="93"/>
      <c r="X228" s="92"/>
      <c r="Y228" s="170">
        <f t="shared" si="224"/>
        <v>0</v>
      </c>
      <c r="Z228" s="177"/>
      <c r="AA228" s="92"/>
      <c r="AB228" s="174">
        <f t="shared" si="225"/>
        <v>0</v>
      </c>
      <c r="AC228" s="93"/>
      <c r="AD228" s="92"/>
      <c r="AE228" s="89">
        <f t="shared" si="192"/>
        <v>0</v>
      </c>
      <c r="AF228" s="177"/>
      <c r="AG228" s="92"/>
      <c r="AH228" s="170">
        <f t="shared" si="226"/>
        <v>0</v>
      </c>
      <c r="AI228" s="161">
        <f t="shared" si="196"/>
        <v>0</v>
      </c>
      <c r="AJ228" s="202" t="str">
        <f t="shared" si="190"/>
        <v>ممتاز</v>
      </c>
      <c r="AK228" s="67" t="e">
        <f t="shared" si="191"/>
        <v>#DIV/0!</v>
      </c>
      <c r="AM228" s="52">
        <f t="shared" si="227"/>
        <v>218</v>
      </c>
      <c r="AN228" s="87">
        <f t="shared" si="193"/>
        <v>0</v>
      </c>
      <c r="AO228" s="99">
        <f t="shared" si="194"/>
        <v>0</v>
      </c>
      <c r="AP228" s="80">
        <f t="shared" si="195"/>
        <v>0</v>
      </c>
      <c r="AQ228" s="169">
        <f t="shared" si="197"/>
        <v>0</v>
      </c>
      <c r="AR228" s="188"/>
      <c r="AS228" s="170">
        <f t="shared" si="198"/>
        <v>0</v>
      </c>
      <c r="AT228" s="169">
        <f t="shared" si="199"/>
        <v>0</v>
      </c>
      <c r="AU228" s="188"/>
      <c r="AV228" s="170">
        <f t="shared" si="200"/>
        <v>0</v>
      </c>
      <c r="AW228" s="169">
        <f t="shared" si="201"/>
        <v>0</v>
      </c>
      <c r="AX228" s="188"/>
      <c r="AY228" s="170">
        <f t="shared" si="202"/>
        <v>0</v>
      </c>
      <c r="AZ228" s="169">
        <f t="shared" si="203"/>
        <v>0</v>
      </c>
      <c r="BA228" s="188"/>
      <c r="BB228" s="170">
        <f t="shared" si="204"/>
        <v>0</v>
      </c>
      <c r="BC228" s="169">
        <f t="shared" si="205"/>
        <v>0</v>
      </c>
      <c r="BD228" s="188"/>
      <c r="BE228" s="170">
        <f t="shared" si="206"/>
        <v>0</v>
      </c>
      <c r="BF228" s="169">
        <f t="shared" si="207"/>
        <v>0</v>
      </c>
      <c r="BG228" s="188"/>
      <c r="BH228" s="170">
        <f t="shared" si="208"/>
        <v>0</v>
      </c>
      <c r="BI228" s="169">
        <f t="shared" si="209"/>
        <v>0</v>
      </c>
      <c r="BJ228" s="188"/>
      <c r="BK228" s="170">
        <f t="shared" si="210"/>
        <v>0</v>
      </c>
      <c r="BL228" s="169">
        <f t="shared" si="211"/>
        <v>0</v>
      </c>
      <c r="BM228" s="188"/>
      <c r="BN228" s="170">
        <f t="shared" si="212"/>
        <v>0</v>
      </c>
      <c r="BO228" s="169">
        <f t="shared" si="213"/>
        <v>0</v>
      </c>
      <c r="BP228" s="188"/>
      <c r="BQ228" s="170">
        <f t="shared" si="214"/>
        <v>0</v>
      </c>
      <c r="BR228" s="169">
        <f t="shared" si="215"/>
        <v>0</v>
      </c>
      <c r="BS228" s="188"/>
      <c r="BT228" s="170">
        <f t="shared" si="216"/>
        <v>0</v>
      </c>
      <c r="BU228" s="72">
        <f t="shared" si="217"/>
        <v>0</v>
      </c>
      <c r="BV228" s="194" t="str">
        <f>LOOKUP(BU228,'الفترة الاولى'!$BX$2:$BY$6)</f>
        <v>ممتاز</v>
      </c>
      <c r="BW228" s="73" t="e">
        <f>BU228/'الفترة الاولى'!$BZ$2</f>
        <v>#DIV/0!</v>
      </c>
    </row>
    <row r="229" spans="1:75" ht="25.2" customHeight="1" thickBot="1" x14ac:dyDescent="0.3">
      <c r="A229" s="52">
        <v>219</v>
      </c>
      <c r="B229" s="55"/>
      <c r="C229" s="103"/>
      <c r="D229" s="81"/>
      <c r="E229" s="171"/>
      <c r="F229" s="94"/>
      <c r="G229" s="172">
        <f t="shared" si="218"/>
        <v>0</v>
      </c>
      <c r="H229" s="178"/>
      <c r="I229" s="94"/>
      <c r="J229" s="175">
        <f t="shared" si="219"/>
        <v>0</v>
      </c>
      <c r="K229" s="95"/>
      <c r="L229" s="94"/>
      <c r="M229" s="172">
        <f t="shared" si="220"/>
        <v>0</v>
      </c>
      <c r="N229" s="178"/>
      <c r="O229" s="94"/>
      <c r="P229" s="175">
        <f t="shared" si="221"/>
        <v>0</v>
      </c>
      <c r="Q229" s="95"/>
      <c r="R229" s="94"/>
      <c r="S229" s="172">
        <f t="shared" si="222"/>
        <v>0</v>
      </c>
      <c r="T229" s="178"/>
      <c r="U229" s="94"/>
      <c r="V229" s="175">
        <f t="shared" si="223"/>
        <v>0</v>
      </c>
      <c r="W229" s="95"/>
      <c r="X229" s="94"/>
      <c r="Y229" s="172">
        <f t="shared" si="224"/>
        <v>0</v>
      </c>
      <c r="Z229" s="178"/>
      <c r="AA229" s="94"/>
      <c r="AB229" s="175">
        <f t="shared" si="225"/>
        <v>0</v>
      </c>
      <c r="AC229" s="95"/>
      <c r="AD229" s="94"/>
      <c r="AE229" s="89">
        <f t="shared" si="192"/>
        <v>0</v>
      </c>
      <c r="AF229" s="178"/>
      <c r="AG229" s="94"/>
      <c r="AH229" s="172">
        <f t="shared" si="226"/>
        <v>0</v>
      </c>
      <c r="AI229" s="162">
        <f t="shared" si="196"/>
        <v>0</v>
      </c>
      <c r="AJ229" s="200" t="str">
        <f t="shared" si="190"/>
        <v>ممتاز</v>
      </c>
      <c r="AK229" s="65" t="e">
        <f t="shared" si="191"/>
        <v>#DIV/0!</v>
      </c>
      <c r="AM229" s="50">
        <f t="shared" si="227"/>
        <v>219</v>
      </c>
      <c r="AN229" s="88">
        <f t="shared" si="193"/>
        <v>0</v>
      </c>
      <c r="AO229" s="100">
        <f t="shared" si="194"/>
        <v>0</v>
      </c>
      <c r="AP229" s="81">
        <f t="shared" si="195"/>
        <v>0</v>
      </c>
      <c r="AQ229" s="171">
        <f t="shared" si="197"/>
        <v>0</v>
      </c>
      <c r="AR229" s="189"/>
      <c r="AS229" s="172">
        <f t="shared" si="198"/>
        <v>0</v>
      </c>
      <c r="AT229" s="171">
        <f t="shared" si="199"/>
        <v>0</v>
      </c>
      <c r="AU229" s="189"/>
      <c r="AV229" s="172">
        <f t="shared" si="200"/>
        <v>0</v>
      </c>
      <c r="AW229" s="171">
        <f t="shared" si="201"/>
        <v>0</v>
      </c>
      <c r="AX229" s="189"/>
      <c r="AY229" s="172">
        <f t="shared" si="202"/>
        <v>0</v>
      </c>
      <c r="AZ229" s="171">
        <f t="shared" si="203"/>
        <v>0</v>
      </c>
      <c r="BA229" s="189"/>
      <c r="BB229" s="172">
        <f t="shared" si="204"/>
        <v>0</v>
      </c>
      <c r="BC229" s="171">
        <f t="shared" si="205"/>
        <v>0</v>
      </c>
      <c r="BD229" s="189"/>
      <c r="BE229" s="172">
        <f t="shared" si="206"/>
        <v>0</v>
      </c>
      <c r="BF229" s="171">
        <f t="shared" si="207"/>
        <v>0</v>
      </c>
      <c r="BG229" s="189"/>
      <c r="BH229" s="172">
        <f t="shared" si="208"/>
        <v>0</v>
      </c>
      <c r="BI229" s="171">
        <f t="shared" si="209"/>
        <v>0</v>
      </c>
      <c r="BJ229" s="189"/>
      <c r="BK229" s="172">
        <f t="shared" si="210"/>
        <v>0</v>
      </c>
      <c r="BL229" s="171">
        <f t="shared" si="211"/>
        <v>0</v>
      </c>
      <c r="BM229" s="189"/>
      <c r="BN229" s="172">
        <f t="shared" si="212"/>
        <v>0</v>
      </c>
      <c r="BO229" s="171">
        <f t="shared" si="213"/>
        <v>0</v>
      </c>
      <c r="BP229" s="189"/>
      <c r="BQ229" s="172">
        <f t="shared" si="214"/>
        <v>0</v>
      </c>
      <c r="BR229" s="171">
        <f t="shared" si="215"/>
        <v>0</v>
      </c>
      <c r="BS229" s="189"/>
      <c r="BT229" s="172">
        <f t="shared" si="216"/>
        <v>0</v>
      </c>
      <c r="BU229" s="74">
        <f t="shared" si="217"/>
        <v>0</v>
      </c>
      <c r="BV229" s="195" t="str">
        <f>LOOKUP(BU229,'الفترة الاولى'!$BX$2:$BY$6)</f>
        <v>ممتاز</v>
      </c>
      <c r="BW229" s="75" t="e">
        <f>BU229/'الفترة الاولى'!$BZ$2</f>
        <v>#DIV/0!</v>
      </c>
    </row>
    <row r="230" spans="1:75" ht="25.2" customHeight="1" thickBot="1" x14ac:dyDescent="0.3">
      <c r="A230" s="50">
        <v>220</v>
      </c>
      <c r="B230" s="53"/>
      <c r="C230" s="101"/>
      <c r="D230" s="79"/>
      <c r="E230" s="168"/>
      <c r="F230" s="163"/>
      <c r="G230" s="89">
        <f t="shared" si="218"/>
        <v>0</v>
      </c>
      <c r="H230" s="176"/>
      <c r="I230" s="91"/>
      <c r="J230" s="173">
        <f t="shared" si="219"/>
        <v>0</v>
      </c>
      <c r="K230" s="90"/>
      <c r="L230" s="91"/>
      <c r="M230" s="89">
        <f t="shared" si="220"/>
        <v>0</v>
      </c>
      <c r="N230" s="176"/>
      <c r="O230" s="91"/>
      <c r="P230" s="173">
        <f t="shared" si="221"/>
        <v>0</v>
      </c>
      <c r="Q230" s="90"/>
      <c r="R230" s="91"/>
      <c r="S230" s="89">
        <f t="shared" si="222"/>
        <v>0</v>
      </c>
      <c r="T230" s="176"/>
      <c r="U230" s="91"/>
      <c r="V230" s="173">
        <f t="shared" si="223"/>
        <v>0</v>
      </c>
      <c r="W230" s="90"/>
      <c r="X230" s="91"/>
      <c r="Y230" s="89">
        <f t="shared" si="224"/>
        <v>0</v>
      </c>
      <c r="Z230" s="176"/>
      <c r="AA230" s="91"/>
      <c r="AB230" s="173">
        <f t="shared" si="225"/>
        <v>0</v>
      </c>
      <c r="AC230" s="90"/>
      <c r="AD230" s="91"/>
      <c r="AE230" s="89">
        <f t="shared" si="192"/>
        <v>0</v>
      </c>
      <c r="AF230" s="176"/>
      <c r="AG230" s="91"/>
      <c r="AH230" s="89">
        <f t="shared" si="226"/>
        <v>0</v>
      </c>
      <c r="AI230" s="160">
        <f t="shared" si="196"/>
        <v>0</v>
      </c>
      <c r="AJ230" s="201" t="str">
        <f t="shared" si="190"/>
        <v>ممتاز</v>
      </c>
      <c r="AK230" s="66" t="e">
        <f t="shared" si="191"/>
        <v>#DIV/0!</v>
      </c>
      <c r="AM230" s="51">
        <f t="shared" si="227"/>
        <v>220</v>
      </c>
      <c r="AN230" s="86">
        <f t="shared" si="193"/>
        <v>0</v>
      </c>
      <c r="AO230" s="98">
        <f t="shared" si="194"/>
        <v>0</v>
      </c>
      <c r="AP230" s="79">
        <f t="shared" si="195"/>
        <v>0</v>
      </c>
      <c r="AQ230" s="168">
        <f t="shared" si="197"/>
        <v>0</v>
      </c>
      <c r="AR230" s="163"/>
      <c r="AS230" s="89">
        <f t="shared" si="198"/>
        <v>0</v>
      </c>
      <c r="AT230" s="168">
        <f t="shared" si="199"/>
        <v>0</v>
      </c>
      <c r="AU230" s="163"/>
      <c r="AV230" s="89">
        <f t="shared" si="200"/>
        <v>0</v>
      </c>
      <c r="AW230" s="168">
        <f t="shared" si="201"/>
        <v>0</v>
      </c>
      <c r="AX230" s="163"/>
      <c r="AY230" s="89">
        <f t="shared" si="202"/>
        <v>0</v>
      </c>
      <c r="AZ230" s="168">
        <f t="shared" si="203"/>
        <v>0</v>
      </c>
      <c r="BA230" s="163"/>
      <c r="BB230" s="89">
        <f t="shared" si="204"/>
        <v>0</v>
      </c>
      <c r="BC230" s="168">
        <f t="shared" si="205"/>
        <v>0</v>
      </c>
      <c r="BD230" s="163"/>
      <c r="BE230" s="89">
        <f t="shared" si="206"/>
        <v>0</v>
      </c>
      <c r="BF230" s="168">
        <f t="shared" si="207"/>
        <v>0</v>
      </c>
      <c r="BG230" s="163"/>
      <c r="BH230" s="89">
        <f t="shared" si="208"/>
        <v>0</v>
      </c>
      <c r="BI230" s="168">
        <f t="shared" si="209"/>
        <v>0</v>
      </c>
      <c r="BJ230" s="163"/>
      <c r="BK230" s="89">
        <f t="shared" si="210"/>
        <v>0</v>
      </c>
      <c r="BL230" s="168">
        <f t="shared" si="211"/>
        <v>0</v>
      </c>
      <c r="BM230" s="163"/>
      <c r="BN230" s="89">
        <f t="shared" si="212"/>
        <v>0</v>
      </c>
      <c r="BO230" s="168">
        <f t="shared" si="213"/>
        <v>0</v>
      </c>
      <c r="BP230" s="163"/>
      <c r="BQ230" s="89">
        <f t="shared" si="214"/>
        <v>0</v>
      </c>
      <c r="BR230" s="168">
        <f t="shared" si="215"/>
        <v>0</v>
      </c>
      <c r="BS230" s="163"/>
      <c r="BT230" s="89">
        <f t="shared" si="216"/>
        <v>0</v>
      </c>
      <c r="BU230" s="76">
        <f t="shared" si="217"/>
        <v>0</v>
      </c>
      <c r="BV230" s="196" t="str">
        <f>LOOKUP(BU230,'الفترة الاولى'!$BX$2:$BY$6)</f>
        <v>ممتاز</v>
      </c>
      <c r="BW230" s="77" t="e">
        <f>BU230/'الفترة الاولى'!$BZ$2</f>
        <v>#DIV/0!</v>
      </c>
    </row>
    <row r="231" spans="1:75" ht="25.2" customHeight="1" thickBot="1" x14ac:dyDescent="0.3">
      <c r="A231" s="51">
        <v>221</v>
      </c>
      <c r="B231" s="54"/>
      <c r="C231" s="102"/>
      <c r="D231" s="80"/>
      <c r="E231" s="169"/>
      <c r="F231" s="92"/>
      <c r="G231" s="170">
        <f t="shared" si="218"/>
        <v>0</v>
      </c>
      <c r="H231" s="177"/>
      <c r="I231" s="92"/>
      <c r="J231" s="174">
        <f t="shared" si="219"/>
        <v>0</v>
      </c>
      <c r="K231" s="93"/>
      <c r="L231" s="92"/>
      <c r="M231" s="170">
        <f t="shared" si="220"/>
        <v>0</v>
      </c>
      <c r="N231" s="177"/>
      <c r="O231" s="92"/>
      <c r="P231" s="174">
        <f t="shared" si="221"/>
        <v>0</v>
      </c>
      <c r="Q231" s="93"/>
      <c r="R231" s="92"/>
      <c r="S231" s="170">
        <f t="shared" si="222"/>
        <v>0</v>
      </c>
      <c r="T231" s="177"/>
      <c r="U231" s="92"/>
      <c r="V231" s="174">
        <f t="shared" si="223"/>
        <v>0</v>
      </c>
      <c r="W231" s="93"/>
      <c r="X231" s="92"/>
      <c r="Y231" s="170">
        <f t="shared" si="224"/>
        <v>0</v>
      </c>
      <c r="Z231" s="177"/>
      <c r="AA231" s="92"/>
      <c r="AB231" s="174">
        <f t="shared" si="225"/>
        <v>0</v>
      </c>
      <c r="AC231" s="93"/>
      <c r="AD231" s="92"/>
      <c r="AE231" s="89">
        <f t="shared" si="192"/>
        <v>0</v>
      </c>
      <c r="AF231" s="177"/>
      <c r="AG231" s="92"/>
      <c r="AH231" s="170">
        <f t="shared" si="226"/>
        <v>0</v>
      </c>
      <c r="AI231" s="161">
        <f t="shared" si="196"/>
        <v>0</v>
      </c>
      <c r="AJ231" s="202" t="str">
        <f t="shared" si="190"/>
        <v>ممتاز</v>
      </c>
      <c r="AK231" s="67" t="e">
        <f t="shared" si="191"/>
        <v>#DIV/0!</v>
      </c>
      <c r="AM231" s="52">
        <f t="shared" si="227"/>
        <v>221</v>
      </c>
      <c r="AN231" s="87">
        <f t="shared" si="193"/>
        <v>0</v>
      </c>
      <c r="AO231" s="99">
        <f t="shared" si="194"/>
        <v>0</v>
      </c>
      <c r="AP231" s="80">
        <f t="shared" si="195"/>
        <v>0</v>
      </c>
      <c r="AQ231" s="169">
        <f t="shared" si="197"/>
        <v>0</v>
      </c>
      <c r="AR231" s="188"/>
      <c r="AS231" s="170">
        <f t="shared" si="198"/>
        <v>0</v>
      </c>
      <c r="AT231" s="169">
        <f t="shared" si="199"/>
        <v>0</v>
      </c>
      <c r="AU231" s="188"/>
      <c r="AV231" s="170">
        <f t="shared" si="200"/>
        <v>0</v>
      </c>
      <c r="AW231" s="169">
        <f t="shared" si="201"/>
        <v>0</v>
      </c>
      <c r="AX231" s="188"/>
      <c r="AY231" s="170">
        <f t="shared" si="202"/>
        <v>0</v>
      </c>
      <c r="AZ231" s="169">
        <f t="shared" si="203"/>
        <v>0</v>
      </c>
      <c r="BA231" s="188"/>
      <c r="BB231" s="170">
        <f t="shared" si="204"/>
        <v>0</v>
      </c>
      <c r="BC231" s="169">
        <f t="shared" si="205"/>
        <v>0</v>
      </c>
      <c r="BD231" s="188"/>
      <c r="BE231" s="170">
        <f t="shared" si="206"/>
        <v>0</v>
      </c>
      <c r="BF231" s="169">
        <f t="shared" si="207"/>
        <v>0</v>
      </c>
      <c r="BG231" s="188"/>
      <c r="BH231" s="170">
        <f t="shared" si="208"/>
        <v>0</v>
      </c>
      <c r="BI231" s="169">
        <f t="shared" si="209"/>
        <v>0</v>
      </c>
      <c r="BJ231" s="188"/>
      <c r="BK231" s="170">
        <f t="shared" si="210"/>
        <v>0</v>
      </c>
      <c r="BL231" s="169">
        <f t="shared" si="211"/>
        <v>0</v>
      </c>
      <c r="BM231" s="188"/>
      <c r="BN231" s="170">
        <f t="shared" si="212"/>
        <v>0</v>
      </c>
      <c r="BO231" s="169">
        <f t="shared" si="213"/>
        <v>0</v>
      </c>
      <c r="BP231" s="188"/>
      <c r="BQ231" s="170">
        <f t="shared" si="214"/>
        <v>0</v>
      </c>
      <c r="BR231" s="169">
        <f t="shared" si="215"/>
        <v>0</v>
      </c>
      <c r="BS231" s="188"/>
      <c r="BT231" s="170">
        <f t="shared" si="216"/>
        <v>0</v>
      </c>
      <c r="BU231" s="72">
        <f t="shared" si="217"/>
        <v>0</v>
      </c>
      <c r="BV231" s="194" t="str">
        <f>LOOKUP(BU231,'الفترة الاولى'!$BX$2:$BY$6)</f>
        <v>ممتاز</v>
      </c>
      <c r="BW231" s="73" t="e">
        <f>BU231/'الفترة الاولى'!$BZ$2</f>
        <v>#DIV/0!</v>
      </c>
    </row>
    <row r="232" spans="1:75" ht="25.2" customHeight="1" thickBot="1" x14ac:dyDescent="0.3">
      <c r="A232" s="52">
        <v>222</v>
      </c>
      <c r="B232" s="55"/>
      <c r="C232" s="103"/>
      <c r="D232" s="81"/>
      <c r="E232" s="171"/>
      <c r="F232" s="94"/>
      <c r="G232" s="172">
        <f t="shared" si="218"/>
        <v>0</v>
      </c>
      <c r="H232" s="178"/>
      <c r="I232" s="94"/>
      <c r="J232" s="175">
        <f t="shared" si="219"/>
        <v>0</v>
      </c>
      <c r="K232" s="95"/>
      <c r="L232" s="94"/>
      <c r="M232" s="172">
        <f t="shared" si="220"/>
        <v>0</v>
      </c>
      <c r="N232" s="178"/>
      <c r="O232" s="94"/>
      <c r="P232" s="175">
        <f t="shared" si="221"/>
        <v>0</v>
      </c>
      <c r="Q232" s="95"/>
      <c r="R232" s="94"/>
      <c r="S232" s="172">
        <f t="shared" si="222"/>
        <v>0</v>
      </c>
      <c r="T232" s="178"/>
      <c r="U232" s="94"/>
      <c r="V232" s="175">
        <f t="shared" si="223"/>
        <v>0</v>
      </c>
      <c r="W232" s="95"/>
      <c r="X232" s="94"/>
      <c r="Y232" s="172">
        <f t="shared" si="224"/>
        <v>0</v>
      </c>
      <c r="Z232" s="178"/>
      <c r="AA232" s="94"/>
      <c r="AB232" s="175">
        <f t="shared" si="225"/>
        <v>0</v>
      </c>
      <c r="AC232" s="95"/>
      <c r="AD232" s="94"/>
      <c r="AE232" s="89">
        <f t="shared" si="192"/>
        <v>0</v>
      </c>
      <c r="AF232" s="178"/>
      <c r="AG232" s="94"/>
      <c r="AH232" s="172">
        <f t="shared" si="226"/>
        <v>0</v>
      </c>
      <c r="AI232" s="162">
        <f t="shared" si="196"/>
        <v>0</v>
      </c>
      <c r="AJ232" s="200" t="str">
        <f t="shared" si="190"/>
        <v>ممتاز</v>
      </c>
      <c r="AK232" s="65" t="e">
        <f t="shared" si="191"/>
        <v>#DIV/0!</v>
      </c>
      <c r="AM232" s="50">
        <f t="shared" si="227"/>
        <v>222</v>
      </c>
      <c r="AN232" s="88">
        <f t="shared" si="193"/>
        <v>0</v>
      </c>
      <c r="AO232" s="100">
        <f t="shared" si="194"/>
        <v>0</v>
      </c>
      <c r="AP232" s="81">
        <f t="shared" si="195"/>
        <v>0</v>
      </c>
      <c r="AQ232" s="171">
        <f t="shared" si="197"/>
        <v>0</v>
      </c>
      <c r="AR232" s="189"/>
      <c r="AS232" s="172">
        <f t="shared" si="198"/>
        <v>0</v>
      </c>
      <c r="AT232" s="171">
        <f t="shared" si="199"/>
        <v>0</v>
      </c>
      <c r="AU232" s="189"/>
      <c r="AV232" s="172">
        <f t="shared" si="200"/>
        <v>0</v>
      </c>
      <c r="AW232" s="171">
        <f t="shared" si="201"/>
        <v>0</v>
      </c>
      <c r="AX232" s="189"/>
      <c r="AY232" s="172">
        <f t="shared" si="202"/>
        <v>0</v>
      </c>
      <c r="AZ232" s="171">
        <f t="shared" si="203"/>
        <v>0</v>
      </c>
      <c r="BA232" s="189"/>
      <c r="BB232" s="172">
        <f t="shared" si="204"/>
        <v>0</v>
      </c>
      <c r="BC232" s="171">
        <f t="shared" si="205"/>
        <v>0</v>
      </c>
      <c r="BD232" s="189"/>
      <c r="BE232" s="172">
        <f t="shared" si="206"/>
        <v>0</v>
      </c>
      <c r="BF232" s="171">
        <f t="shared" si="207"/>
        <v>0</v>
      </c>
      <c r="BG232" s="189"/>
      <c r="BH232" s="172">
        <f t="shared" si="208"/>
        <v>0</v>
      </c>
      <c r="BI232" s="171">
        <f t="shared" si="209"/>
        <v>0</v>
      </c>
      <c r="BJ232" s="189"/>
      <c r="BK232" s="172">
        <f t="shared" si="210"/>
        <v>0</v>
      </c>
      <c r="BL232" s="171">
        <f t="shared" si="211"/>
        <v>0</v>
      </c>
      <c r="BM232" s="189"/>
      <c r="BN232" s="172">
        <f t="shared" si="212"/>
        <v>0</v>
      </c>
      <c r="BO232" s="171">
        <f t="shared" si="213"/>
        <v>0</v>
      </c>
      <c r="BP232" s="189"/>
      <c r="BQ232" s="172">
        <f t="shared" si="214"/>
        <v>0</v>
      </c>
      <c r="BR232" s="171">
        <f t="shared" si="215"/>
        <v>0</v>
      </c>
      <c r="BS232" s="189"/>
      <c r="BT232" s="172">
        <f t="shared" si="216"/>
        <v>0</v>
      </c>
      <c r="BU232" s="74">
        <f t="shared" si="217"/>
        <v>0</v>
      </c>
      <c r="BV232" s="195" t="str">
        <f>LOOKUP(BU232,'الفترة الاولى'!$BX$2:$BY$6)</f>
        <v>ممتاز</v>
      </c>
      <c r="BW232" s="75" t="e">
        <f>BU232/'الفترة الاولى'!$BZ$2</f>
        <v>#DIV/0!</v>
      </c>
    </row>
    <row r="233" spans="1:75" ht="25.2" customHeight="1" thickBot="1" x14ac:dyDescent="0.3">
      <c r="A233" s="50">
        <v>223</v>
      </c>
      <c r="B233" s="53"/>
      <c r="C233" s="101"/>
      <c r="D233" s="79"/>
      <c r="E233" s="168"/>
      <c r="F233" s="163"/>
      <c r="G233" s="89">
        <f t="shared" si="218"/>
        <v>0</v>
      </c>
      <c r="H233" s="176"/>
      <c r="I233" s="91"/>
      <c r="J233" s="173">
        <f t="shared" si="219"/>
        <v>0</v>
      </c>
      <c r="K233" s="90"/>
      <c r="L233" s="91"/>
      <c r="M233" s="89">
        <f t="shared" si="220"/>
        <v>0</v>
      </c>
      <c r="N233" s="176"/>
      <c r="O233" s="91"/>
      <c r="P233" s="173">
        <f t="shared" si="221"/>
        <v>0</v>
      </c>
      <c r="Q233" s="90"/>
      <c r="R233" s="91"/>
      <c r="S233" s="89">
        <f t="shared" si="222"/>
        <v>0</v>
      </c>
      <c r="T233" s="176"/>
      <c r="U233" s="91"/>
      <c r="V233" s="173">
        <f t="shared" si="223"/>
        <v>0</v>
      </c>
      <c r="W233" s="90"/>
      <c r="X233" s="91"/>
      <c r="Y233" s="89">
        <f t="shared" si="224"/>
        <v>0</v>
      </c>
      <c r="Z233" s="176"/>
      <c r="AA233" s="91"/>
      <c r="AB233" s="173">
        <f t="shared" si="225"/>
        <v>0</v>
      </c>
      <c r="AC233" s="90"/>
      <c r="AD233" s="91"/>
      <c r="AE233" s="89">
        <f t="shared" si="192"/>
        <v>0</v>
      </c>
      <c r="AF233" s="176"/>
      <c r="AG233" s="91"/>
      <c r="AH233" s="89">
        <f t="shared" si="226"/>
        <v>0</v>
      </c>
      <c r="AI233" s="160">
        <f t="shared" si="196"/>
        <v>0</v>
      </c>
      <c r="AJ233" s="201" t="str">
        <f t="shared" si="190"/>
        <v>ممتاز</v>
      </c>
      <c r="AK233" s="66" t="e">
        <f t="shared" si="191"/>
        <v>#DIV/0!</v>
      </c>
      <c r="AM233" s="51">
        <f t="shared" si="227"/>
        <v>223</v>
      </c>
      <c r="AN233" s="86">
        <f t="shared" si="193"/>
        <v>0</v>
      </c>
      <c r="AO233" s="98">
        <f t="shared" si="194"/>
        <v>0</v>
      </c>
      <c r="AP233" s="79">
        <f t="shared" si="195"/>
        <v>0</v>
      </c>
      <c r="AQ233" s="168">
        <f t="shared" si="197"/>
        <v>0</v>
      </c>
      <c r="AR233" s="163"/>
      <c r="AS233" s="89">
        <f t="shared" si="198"/>
        <v>0</v>
      </c>
      <c r="AT233" s="168">
        <f t="shared" si="199"/>
        <v>0</v>
      </c>
      <c r="AU233" s="163"/>
      <c r="AV233" s="89">
        <f t="shared" si="200"/>
        <v>0</v>
      </c>
      <c r="AW233" s="168">
        <f t="shared" si="201"/>
        <v>0</v>
      </c>
      <c r="AX233" s="163"/>
      <c r="AY233" s="89">
        <f t="shared" si="202"/>
        <v>0</v>
      </c>
      <c r="AZ233" s="168">
        <f t="shared" si="203"/>
        <v>0</v>
      </c>
      <c r="BA233" s="163"/>
      <c r="BB233" s="89">
        <f t="shared" si="204"/>
        <v>0</v>
      </c>
      <c r="BC233" s="168">
        <f t="shared" si="205"/>
        <v>0</v>
      </c>
      <c r="BD233" s="163"/>
      <c r="BE233" s="89">
        <f t="shared" si="206"/>
        <v>0</v>
      </c>
      <c r="BF233" s="168">
        <f t="shared" si="207"/>
        <v>0</v>
      </c>
      <c r="BG233" s="163"/>
      <c r="BH233" s="89">
        <f t="shared" si="208"/>
        <v>0</v>
      </c>
      <c r="BI233" s="168">
        <f t="shared" si="209"/>
        <v>0</v>
      </c>
      <c r="BJ233" s="163"/>
      <c r="BK233" s="89">
        <f t="shared" si="210"/>
        <v>0</v>
      </c>
      <c r="BL233" s="168">
        <f t="shared" si="211"/>
        <v>0</v>
      </c>
      <c r="BM233" s="163"/>
      <c r="BN233" s="89">
        <f t="shared" si="212"/>
        <v>0</v>
      </c>
      <c r="BO233" s="168">
        <f t="shared" si="213"/>
        <v>0</v>
      </c>
      <c r="BP233" s="163"/>
      <c r="BQ233" s="89">
        <f t="shared" si="214"/>
        <v>0</v>
      </c>
      <c r="BR233" s="168">
        <f t="shared" si="215"/>
        <v>0</v>
      </c>
      <c r="BS233" s="163"/>
      <c r="BT233" s="89">
        <f t="shared" si="216"/>
        <v>0</v>
      </c>
      <c r="BU233" s="76">
        <f t="shared" si="217"/>
        <v>0</v>
      </c>
      <c r="BV233" s="196" t="str">
        <f>LOOKUP(BU233,'الفترة الاولى'!$BX$2:$BY$6)</f>
        <v>ممتاز</v>
      </c>
      <c r="BW233" s="77" t="e">
        <f>BU233/'الفترة الاولى'!$BZ$2</f>
        <v>#DIV/0!</v>
      </c>
    </row>
    <row r="234" spans="1:75" ht="25.2" customHeight="1" thickBot="1" x14ac:dyDescent="0.3">
      <c r="A234" s="51">
        <v>224</v>
      </c>
      <c r="B234" s="54"/>
      <c r="C234" s="102"/>
      <c r="D234" s="80"/>
      <c r="E234" s="169"/>
      <c r="F234" s="92"/>
      <c r="G234" s="170">
        <f t="shared" si="218"/>
        <v>0</v>
      </c>
      <c r="H234" s="177"/>
      <c r="I234" s="92"/>
      <c r="J234" s="174">
        <f t="shared" si="219"/>
        <v>0</v>
      </c>
      <c r="K234" s="93"/>
      <c r="L234" s="92"/>
      <c r="M234" s="170">
        <f t="shared" si="220"/>
        <v>0</v>
      </c>
      <c r="N234" s="177"/>
      <c r="O234" s="92"/>
      <c r="P234" s="174">
        <f t="shared" si="221"/>
        <v>0</v>
      </c>
      <c r="Q234" s="93"/>
      <c r="R234" s="92"/>
      <c r="S234" s="170">
        <f t="shared" si="222"/>
        <v>0</v>
      </c>
      <c r="T234" s="177"/>
      <c r="U234" s="92"/>
      <c r="V234" s="174">
        <f t="shared" si="223"/>
        <v>0</v>
      </c>
      <c r="W234" s="93"/>
      <c r="X234" s="92"/>
      <c r="Y234" s="170">
        <f t="shared" si="224"/>
        <v>0</v>
      </c>
      <c r="Z234" s="177"/>
      <c r="AA234" s="92"/>
      <c r="AB234" s="174">
        <f t="shared" si="225"/>
        <v>0</v>
      </c>
      <c r="AC234" s="93"/>
      <c r="AD234" s="92"/>
      <c r="AE234" s="89">
        <f t="shared" si="192"/>
        <v>0</v>
      </c>
      <c r="AF234" s="177"/>
      <c r="AG234" s="92"/>
      <c r="AH234" s="170">
        <f t="shared" si="226"/>
        <v>0</v>
      </c>
      <c r="AI234" s="161">
        <f t="shared" si="196"/>
        <v>0</v>
      </c>
      <c r="AJ234" s="202" t="str">
        <f t="shared" si="190"/>
        <v>ممتاز</v>
      </c>
      <c r="AK234" s="67" t="e">
        <f t="shared" si="191"/>
        <v>#DIV/0!</v>
      </c>
      <c r="AM234" s="52">
        <f t="shared" si="227"/>
        <v>224</v>
      </c>
      <c r="AN234" s="87">
        <f t="shared" si="193"/>
        <v>0</v>
      </c>
      <c r="AO234" s="99">
        <f t="shared" si="194"/>
        <v>0</v>
      </c>
      <c r="AP234" s="80">
        <f t="shared" si="195"/>
        <v>0</v>
      </c>
      <c r="AQ234" s="169">
        <f t="shared" si="197"/>
        <v>0</v>
      </c>
      <c r="AR234" s="188"/>
      <c r="AS234" s="170">
        <f t="shared" si="198"/>
        <v>0</v>
      </c>
      <c r="AT234" s="169">
        <f t="shared" si="199"/>
        <v>0</v>
      </c>
      <c r="AU234" s="188"/>
      <c r="AV234" s="170">
        <f t="shared" si="200"/>
        <v>0</v>
      </c>
      <c r="AW234" s="169">
        <f t="shared" si="201"/>
        <v>0</v>
      </c>
      <c r="AX234" s="188"/>
      <c r="AY234" s="170">
        <f t="shared" si="202"/>
        <v>0</v>
      </c>
      <c r="AZ234" s="169">
        <f t="shared" si="203"/>
        <v>0</v>
      </c>
      <c r="BA234" s="188"/>
      <c r="BB234" s="170">
        <f t="shared" si="204"/>
        <v>0</v>
      </c>
      <c r="BC234" s="169">
        <f t="shared" si="205"/>
        <v>0</v>
      </c>
      <c r="BD234" s="188"/>
      <c r="BE234" s="170">
        <f t="shared" si="206"/>
        <v>0</v>
      </c>
      <c r="BF234" s="169">
        <f t="shared" si="207"/>
        <v>0</v>
      </c>
      <c r="BG234" s="188"/>
      <c r="BH234" s="170">
        <f t="shared" si="208"/>
        <v>0</v>
      </c>
      <c r="BI234" s="169">
        <f t="shared" si="209"/>
        <v>0</v>
      </c>
      <c r="BJ234" s="188"/>
      <c r="BK234" s="170">
        <f t="shared" si="210"/>
        <v>0</v>
      </c>
      <c r="BL234" s="169">
        <f t="shared" si="211"/>
        <v>0</v>
      </c>
      <c r="BM234" s="188"/>
      <c r="BN234" s="170">
        <f t="shared" si="212"/>
        <v>0</v>
      </c>
      <c r="BO234" s="169">
        <f t="shared" si="213"/>
        <v>0</v>
      </c>
      <c r="BP234" s="188"/>
      <c r="BQ234" s="170">
        <f t="shared" si="214"/>
        <v>0</v>
      </c>
      <c r="BR234" s="169">
        <f t="shared" si="215"/>
        <v>0</v>
      </c>
      <c r="BS234" s="188"/>
      <c r="BT234" s="170">
        <f t="shared" si="216"/>
        <v>0</v>
      </c>
      <c r="BU234" s="72">
        <f t="shared" si="217"/>
        <v>0</v>
      </c>
      <c r="BV234" s="194" t="str">
        <f>LOOKUP(BU234,'الفترة الاولى'!$BX$2:$BY$6)</f>
        <v>ممتاز</v>
      </c>
      <c r="BW234" s="73" t="e">
        <f>BU234/'الفترة الاولى'!$BZ$2</f>
        <v>#DIV/0!</v>
      </c>
    </row>
    <row r="235" spans="1:75" ht="25.2" customHeight="1" thickBot="1" x14ac:dyDescent="0.3">
      <c r="A235" s="52">
        <v>225</v>
      </c>
      <c r="B235" s="55"/>
      <c r="C235" s="103"/>
      <c r="D235" s="81"/>
      <c r="E235" s="171"/>
      <c r="F235" s="94"/>
      <c r="G235" s="172">
        <f t="shared" si="218"/>
        <v>0</v>
      </c>
      <c r="H235" s="178"/>
      <c r="I235" s="94"/>
      <c r="J235" s="175">
        <f t="shared" si="219"/>
        <v>0</v>
      </c>
      <c r="K235" s="95"/>
      <c r="L235" s="94"/>
      <c r="M235" s="172">
        <f t="shared" si="220"/>
        <v>0</v>
      </c>
      <c r="N235" s="178"/>
      <c r="O235" s="94"/>
      <c r="P235" s="175">
        <f t="shared" si="221"/>
        <v>0</v>
      </c>
      <c r="Q235" s="95"/>
      <c r="R235" s="94"/>
      <c r="S235" s="172">
        <f t="shared" si="222"/>
        <v>0</v>
      </c>
      <c r="T235" s="178"/>
      <c r="U235" s="94"/>
      <c r="V235" s="175">
        <f t="shared" si="223"/>
        <v>0</v>
      </c>
      <c r="W235" s="95"/>
      <c r="X235" s="94"/>
      <c r="Y235" s="172">
        <f t="shared" si="224"/>
        <v>0</v>
      </c>
      <c r="Z235" s="178"/>
      <c r="AA235" s="94"/>
      <c r="AB235" s="175">
        <f t="shared" si="225"/>
        <v>0</v>
      </c>
      <c r="AC235" s="95"/>
      <c r="AD235" s="94"/>
      <c r="AE235" s="89">
        <f t="shared" si="192"/>
        <v>0</v>
      </c>
      <c r="AF235" s="178"/>
      <c r="AG235" s="94"/>
      <c r="AH235" s="172">
        <f t="shared" si="226"/>
        <v>0</v>
      </c>
      <c r="AI235" s="162">
        <f t="shared" si="196"/>
        <v>0</v>
      </c>
      <c r="AJ235" s="200" t="str">
        <f t="shared" si="190"/>
        <v>ممتاز</v>
      </c>
      <c r="AK235" s="65" t="e">
        <f t="shared" si="191"/>
        <v>#DIV/0!</v>
      </c>
      <c r="AM235" s="50">
        <f t="shared" si="227"/>
        <v>225</v>
      </c>
      <c r="AN235" s="88">
        <f t="shared" si="193"/>
        <v>0</v>
      </c>
      <c r="AO235" s="100">
        <f t="shared" si="194"/>
        <v>0</v>
      </c>
      <c r="AP235" s="81">
        <f t="shared" si="195"/>
        <v>0</v>
      </c>
      <c r="AQ235" s="171">
        <f t="shared" si="197"/>
        <v>0</v>
      </c>
      <c r="AR235" s="189"/>
      <c r="AS235" s="172">
        <f t="shared" si="198"/>
        <v>0</v>
      </c>
      <c r="AT235" s="171">
        <f t="shared" si="199"/>
        <v>0</v>
      </c>
      <c r="AU235" s="189"/>
      <c r="AV235" s="172">
        <f t="shared" si="200"/>
        <v>0</v>
      </c>
      <c r="AW235" s="171">
        <f t="shared" si="201"/>
        <v>0</v>
      </c>
      <c r="AX235" s="189"/>
      <c r="AY235" s="172">
        <f t="shared" si="202"/>
        <v>0</v>
      </c>
      <c r="AZ235" s="171">
        <f t="shared" si="203"/>
        <v>0</v>
      </c>
      <c r="BA235" s="189"/>
      <c r="BB235" s="172">
        <f t="shared" si="204"/>
        <v>0</v>
      </c>
      <c r="BC235" s="171">
        <f t="shared" si="205"/>
        <v>0</v>
      </c>
      <c r="BD235" s="189"/>
      <c r="BE235" s="172">
        <f t="shared" si="206"/>
        <v>0</v>
      </c>
      <c r="BF235" s="171">
        <f t="shared" si="207"/>
        <v>0</v>
      </c>
      <c r="BG235" s="189"/>
      <c r="BH235" s="172">
        <f t="shared" si="208"/>
        <v>0</v>
      </c>
      <c r="BI235" s="171">
        <f t="shared" si="209"/>
        <v>0</v>
      </c>
      <c r="BJ235" s="189"/>
      <c r="BK235" s="172">
        <f t="shared" si="210"/>
        <v>0</v>
      </c>
      <c r="BL235" s="171">
        <f t="shared" si="211"/>
        <v>0</v>
      </c>
      <c r="BM235" s="189"/>
      <c r="BN235" s="172">
        <f t="shared" si="212"/>
        <v>0</v>
      </c>
      <c r="BO235" s="171">
        <f t="shared" si="213"/>
        <v>0</v>
      </c>
      <c r="BP235" s="189"/>
      <c r="BQ235" s="172">
        <f t="shared" si="214"/>
        <v>0</v>
      </c>
      <c r="BR235" s="171">
        <f t="shared" si="215"/>
        <v>0</v>
      </c>
      <c r="BS235" s="189"/>
      <c r="BT235" s="172">
        <f t="shared" si="216"/>
        <v>0</v>
      </c>
      <c r="BU235" s="74">
        <f t="shared" si="217"/>
        <v>0</v>
      </c>
      <c r="BV235" s="195" t="str">
        <f>LOOKUP(BU235,'الفترة الاولى'!$BX$2:$BY$6)</f>
        <v>ممتاز</v>
      </c>
      <c r="BW235" s="75" t="e">
        <f>BU235/'الفترة الاولى'!$BZ$2</f>
        <v>#DIV/0!</v>
      </c>
    </row>
    <row r="236" spans="1:75" ht="25.2" customHeight="1" thickBot="1" x14ac:dyDescent="0.3">
      <c r="A236" s="50">
        <v>226</v>
      </c>
      <c r="B236" s="53"/>
      <c r="C236" s="101"/>
      <c r="D236" s="79"/>
      <c r="E236" s="168"/>
      <c r="F236" s="163"/>
      <c r="G236" s="89">
        <f t="shared" si="218"/>
        <v>0</v>
      </c>
      <c r="H236" s="176"/>
      <c r="I236" s="91"/>
      <c r="J236" s="173">
        <f t="shared" si="219"/>
        <v>0</v>
      </c>
      <c r="K236" s="90"/>
      <c r="L236" s="91"/>
      <c r="M236" s="89">
        <f t="shared" si="220"/>
        <v>0</v>
      </c>
      <c r="N236" s="176"/>
      <c r="O236" s="91"/>
      <c r="P236" s="173">
        <f t="shared" si="221"/>
        <v>0</v>
      </c>
      <c r="Q236" s="90"/>
      <c r="R236" s="91"/>
      <c r="S236" s="89">
        <f t="shared" si="222"/>
        <v>0</v>
      </c>
      <c r="T236" s="176"/>
      <c r="U236" s="91"/>
      <c r="V236" s="173">
        <f t="shared" si="223"/>
        <v>0</v>
      </c>
      <c r="W236" s="90"/>
      <c r="X236" s="91"/>
      <c r="Y236" s="89">
        <f t="shared" si="224"/>
        <v>0</v>
      </c>
      <c r="Z236" s="176"/>
      <c r="AA236" s="91"/>
      <c r="AB236" s="173">
        <f t="shared" si="225"/>
        <v>0</v>
      </c>
      <c r="AC236" s="90"/>
      <c r="AD236" s="91"/>
      <c r="AE236" s="89">
        <f t="shared" si="192"/>
        <v>0</v>
      </c>
      <c r="AF236" s="176"/>
      <c r="AG236" s="91"/>
      <c r="AH236" s="89">
        <f t="shared" si="226"/>
        <v>0</v>
      </c>
      <c r="AI236" s="160">
        <f t="shared" si="196"/>
        <v>0</v>
      </c>
      <c r="AJ236" s="201" t="str">
        <f t="shared" si="190"/>
        <v>ممتاز</v>
      </c>
      <c r="AK236" s="66" t="e">
        <f t="shared" si="191"/>
        <v>#DIV/0!</v>
      </c>
      <c r="AM236" s="51">
        <f t="shared" si="227"/>
        <v>226</v>
      </c>
      <c r="AN236" s="86">
        <f t="shared" si="193"/>
        <v>0</v>
      </c>
      <c r="AO236" s="98">
        <f t="shared" si="194"/>
        <v>0</v>
      </c>
      <c r="AP236" s="79">
        <f t="shared" si="195"/>
        <v>0</v>
      </c>
      <c r="AQ236" s="168">
        <f t="shared" si="197"/>
        <v>0</v>
      </c>
      <c r="AR236" s="163"/>
      <c r="AS236" s="89">
        <f t="shared" si="198"/>
        <v>0</v>
      </c>
      <c r="AT236" s="168">
        <f t="shared" si="199"/>
        <v>0</v>
      </c>
      <c r="AU236" s="163"/>
      <c r="AV236" s="89">
        <f t="shared" si="200"/>
        <v>0</v>
      </c>
      <c r="AW236" s="168">
        <f t="shared" si="201"/>
        <v>0</v>
      </c>
      <c r="AX236" s="163"/>
      <c r="AY236" s="89">
        <f t="shared" si="202"/>
        <v>0</v>
      </c>
      <c r="AZ236" s="168">
        <f t="shared" si="203"/>
        <v>0</v>
      </c>
      <c r="BA236" s="163"/>
      <c r="BB236" s="89">
        <f t="shared" si="204"/>
        <v>0</v>
      </c>
      <c r="BC236" s="168">
        <f t="shared" si="205"/>
        <v>0</v>
      </c>
      <c r="BD236" s="163"/>
      <c r="BE236" s="89">
        <f t="shared" si="206"/>
        <v>0</v>
      </c>
      <c r="BF236" s="168">
        <f t="shared" si="207"/>
        <v>0</v>
      </c>
      <c r="BG236" s="163"/>
      <c r="BH236" s="89">
        <f t="shared" si="208"/>
        <v>0</v>
      </c>
      <c r="BI236" s="168">
        <f t="shared" si="209"/>
        <v>0</v>
      </c>
      <c r="BJ236" s="163"/>
      <c r="BK236" s="89">
        <f t="shared" si="210"/>
        <v>0</v>
      </c>
      <c r="BL236" s="168">
        <f t="shared" si="211"/>
        <v>0</v>
      </c>
      <c r="BM236" s="163"/>
      <c r="BN236" s="89">
        <f t="shared" si="212"/>
        <v>0</v>
      </c>
      <c r="BO236" s="168">
        <f t="shared" si="213"/>
        <v>0</v>
      </c>
      <c r="BP236" s="163"/>
      <c r="BQ236" s="89">
        <f t="shared" si="214"/>
        <v>0</v>
      </c>
      <c r="BR236" s="168">
        <f t="shared" si="215"/>
        <v>0</v>
      </c>
      <c r="BS236" s="163"/>
      <c r="BT236" s="89">
        <f t="shared" si="216"/>
        <v>0</v>
      </c>
      <c r="BU236" s="76">
        <f t="shared" si="217"/>
        <v>0</v>
      </c>
      <c r="BV236" s="196" t="str">
        <f>LOOKUP(BU236,'الفترة الاولى'!$BX$2:$BY$6)</f>
        <v>ممتاز</v>
      </c>
      <c r="BW236" s="77" t="e">
        <f>BU236/'الفترة الاولى'!$BZ$2</f>
        <v>#DIV/0!</v>
      </c>
    </row>
    <row r="237" spans="1:75" ht="25.2" customHeight="1" thickBot="1" x14ac:dyDescent="0.3">
      <c r="A237" s="51">
        <v>227</v>
      </c>
      <c r="B237" s="54"/>
      <c r="C237" s="102"/>
      <c r="D237" s="80"/>
      <c r="E237" s="169"/>
      <c r="F237" s="92"/>
      <c r="G237" s="170">
        <f t="shared" si="218"/>
        <v>0</v>
      </c>
      <c r="H237" s="177"/>
      <c r="I237" s="92"/>
      <c r="J237" s="174">
        <f t="shared" si="219"/>
        <v>0</v>
      </c>
      <c r="K237" s="93"/>
      <c r="L237" s="92"/>
      <c r="M237" s="170">
        <f t="shared" si="220"/>
        <v>0</v>
      </c>
      <c r="N237" s="177"/>
      <c r="O237" s="92"/>
      <c r="P237" s="174">
        <f t="shared" si="221"/>
        <v>0</v>
      </c>
      <c r="Q237" s="93"/>
      <c r="R237" s="92"/>
      <c r="S237" s="170">
        <f t="shared" si="222"/>
        <v>0</v>
      </c>
      <c r="T237" s="177"/>
      <c r="U237" s="92"/>
      <c r="V237" s="174">
        <f t="shared" si="223"/>
        <v>0</v>
      </c>
      <c r="W237" s="93"/>
      <c r="X237" s="92"/>
      <c r="Y237" s="170">
        <f t="shared" si="224"/>
        <v>0</v>
      </c>
      <c r="Z237" s="177"/>
      <c r="AA237" s="92"/>
      <c r="AB237" s="174">
        <f t="shared" si="225"/>
        <v>0</v>
      </c>
      <c r="AC237" s="93"/>
      <c r="AD237" s="92"/>
      <c r="AE237" s="89">
        <f t="shared" si="192"/>
        <v>0</v>
      </c>
      <c r="AF237" s="177"/>
      <c r="AG237" s="92"/>
      <c r="AH237" s="170">
        <f t="shared" si="226"/>
        <v>0</v>
      </c>
      <c r="AI237" s="161">
        <f t="shared" si="196"/>
        <v>0</v>
      </c>
      <c r="AJ237" s="202" t="str">
        <f t="shared" si="190"/>
        <v>ممتاز</v>
      </c>
      <c r="AK237" s="67" t="e">
        <f t="shared" si="191"/>
        <v>#DIV/0!</v>
      </c>
      <c r="AM237" s="52">
        <f t="shared" si="227"/>
        <v>227</v>
      </c>
      <c r="AN237" s="87">
        <f t="shared" si="193"/>
        <v>0</v>
      </c>
      <c r="AO237" s="99">
        <f t="shared" si="194"/>
        <v>0</v>
      </c>
      <c r="AP237" s="80">
        <f t="shared" si="195"/>
        <v>0</v>
      </c>
      <c r="AQ237" s="169">
        <f t="shared" si="197"/>
        <v>0</v>
      </c>
      <c r="AR237" s="188"/>
      <c r="AS237" s="170">
        <f t="shared" si="198"/>
        <v>0</v>
      </c>
      <c r="AT237" s="169">
        <f t="shared" si="199"/>
        <v>0</v>
      </c>
      <c r="AU237" s="188"/>
      <c r="AV237" s="170">
        <f t="shared" si="200"/>
        <v>0</v>
      </c>
      <c r="AW237" s="169">
        <f t="shared" si="201"/>
        <v>0</v>
      </c>
      <c r="AX237" s="188"/>
      <c r="AY237" s="170">
        <f t="shared" si="202"/>
        <v>0</v>
      </c>
      <c r="AZ237" s="169">
        <f t="shared" si="203"/>
        <v>0</v>
      </c>
      <c r="BA237" s="188"/>
      <c r="BB237" s="170">
        <f t="shared" si="204"/>
        <v>0</v>
      </c>
      <c r="BC237" s="169">
        <f t="shared" si="205"/>
        <v>0</v>
      </c>
      <c r="BD237" s="188"/>
      <c r="BE237" s="170">
        <f t="shared" si="206"/>
        <v>0</v>
      </c>
      <c r="BF237" s="169">
        <f t="shared" si="207"/>
        <v>0</v>
      </c>
      <c r="BG237" s="188"/>
      <c r="BH237" s="170">
        <f t="shared" si="208"/>
        <v>0</v>
      </c>
      <c r="BI237" s="169">
        <f t="shared" si="209"/>
        <v>0</v>
      </c>
      <c r="BJ237" s="188"/>
      <c r="BK237" s="170">
        <f t="shared" si="210"/>
        <v>0</v>
      </c>
      <c r="BL237" s="169">
        <f t="shared" si="211"/>
        <v>0</v>
      </c>
      <c r="BM237" s="188"/>
      <c r="BN237" s="170">
        <f t="shared" si="212"/>
        <v>0</v>
      </c>
      <c r="BO237" s="169">
        <f t="shared" si="213"/>
        <v>0</v>
      </c>
      <c r="BP237" s="188"/>
      <c r="BQ237" s="170">
        <f t="shared" si="214"/>
        <v>0</v>
      </c>
      <c r="BR237" s="169">
        <f t="shared" si="215"/>
        <v>0</v>
      </c>
      <c r="BS237" s="188"/>
      <c r="BT237" s="170">
        <f t="shared" si="216"/>
        <v>0</v>
      </c>
      <c r="BU237" s="72">
        <f t="shared" si="217"/>
        <v>0</v>
      </c>
      <c r="BV237" s="194" t="str">
        <f>LOOKUP(BU237,'الفترة الاولى'!$BX$2:$BY$6)</f>
        <v>ممتاز</v>
      </c>
      <c r="BW237" s="73" t="e">
        <f>BU237/'الفترة الاولى'!$BZ$2</f>
        <v>#DIV/0!</v>
      </c>
    </row>
    <row r="238" spans="1:75" ht="25.2" customHeight="1" thickBot="1" x14ac:dyDescent="0.3">
      <c r="A238" s="52">
        <v>228</v>
      </c>
      <c r="B238" s="55"/>
      <c r="C238" s="103"/>
      <c r="D238" s="81"/>
      <c r="E238" s="171"/>
      <c r="F238" s="94"/>
      <c r="G238" s="172">
        <f t="shared" si="218"/>
        <v>0</v>
      </c>
      <c r="H238" s="178"/>
      <c r="I238" s="94"/>
      <c r="J238" s="175">
        <f t="shared" si="219"/>
        <v>0</v>
      </c>
      <c r="K238" s="95"/>
      <c r="L238" s="94"/>
      <c r="M238" s="172">
        <f t="shared" si="220"/>
        <v>0</v>
      </c>
      <c r="N238" s="178"/>
      <c r="O238" s="94"/>
      <c r="P238" s="175">
        <f t="shared" si="221"/>
        <v>0</v>
      </c>
      <c r="Q238" s="95"/>
      <c r="R238" s="94"/>
      <c r="S238" s="172">
        <f t="shared" si="222"/>
        <v>0</v>
      </c>
      <c r="T238" s="178"/>
      <c r="U238" s="94"/>
      <c r="V238" s="175">
        <f t="shared" si="223"/>
        <v>0</v>
      </c>
      <c r="W238" s="95"/>
      <c r="X238" s="94"/>
      <c r="Y238" s="172">
        <f t="shared" si="224"/>
        <v>0</v>
      </c>
      <c r="Z238" s="178"/>
      <c r="AA238" s="94"/>
      <c r="AB238" s="175">
        <f t="shared" si="225"/>
        <v>0</v>
      </c>
      <c r="AC238" s="95"/>
      <c r="AD238" s="94"/>
      <c r="AE238" s="89">
        <f t="shared" si="192"/>
        <v>0</v>
      </c>
      <c r="AF238" s="178"/>
      <c r="AG238" s="94"/>
      <c r="AH238" s="172">
        <f t="shared" si="226"/>
        <v>0</v>
      </c>
      <c r="AI238" s="162">
        <f t="shared" si="196"/>
        <v>0</v>
      </c>
      <c r="AJ238" s="200" t="str">
        <f t="shared" si="190"/>
        <v>ممتاز</v>
      </c>
      <c r="AK238" s="65" t="e">
        <f t="shared" si="191"/>
        <v>#DIV/0!</v>
      </c>
      <c r="AM238" s="50">
        <f t="shared" si="227"/>
        <v>228</v>
      </c>
      <c r="AN238" s="88">
        <f t="shared" si="193"/>
        <v>0</v>
      </c>
      <c r="AO238" s="100">
        <f t="shared" si="194"/>
        <v>0</v>
      </c>
      <c r="AP238" s="81">
        <f t="shared" si="195"/>
        <v>0</v>
      </c>
      <c r="AQ238" s="171">
        <f t="shared" si="197"/>
        <v>0</v>
      </c>
      <c r="AR238" s="189"/>
      <c r="AS238" s="172">
        <f t="shared" si="198"/>
        <v>0</v>
      </c>
      <c r="AT238" s="171">
        <f t="shared" si="199"/>
        <v>0</v>
      </c>
      <c r="AU238" s="189"/>
      <c r="AV238" s="172">
        <f t="shared" si="200"/>
        <v>0</v>
      </c>
      <c r="AW238" s="171">
        <f t="shared" si="201"/>
        <v>0</v>
      </c>
      <c r="AX238" s="189"/>
      <c r="AY238" s="172">
        <f t="shared" si="202"/>
        <v>0</v>
      </c>
      <c r="AZ238" s="171">
        <f t="shared" si="203"/>
        <v>0</v>
      </c>
      <c r="BA238" s="189"/>
      <c r="BB238" s="172">
        <f t="shared" si="204"/>
        <v>0</v>
      </c>
      <c r="BC238" s="171">
        <f t="shared" si="205"/>
        <v>0</v>
      </c>
      <c r="BD238" s="189"/>
      <c r="BE238" s="172">
        <f t="shared" si="206"/>
        <v>0</v>
      </c>
      <c r="BF238" s="171">
        <f t="shared" si="207"/>
        <v>0</v>
      </c>
      <c r="BG238" s="189"/>
      <c r="BH238" s="172">
        <f t="shared" si="208"/>
        <v>0</v>
      </c>
      <c r="BI238" s="171">
        <f t="shared" si="209"/>
        <v>0</v>
      </c>
      <c r="BJ238" s="189"/>
      <c r="BK238" s="172">
        <f t="shared" si="210"/>
        <v>0</v>
      </c>
      <c r="BL238" s="171">
        <f t="shared" si="211"/>
        <v>0</v>
      </c>
      <c r="BM238" s="189"/>
      <c r="BN238" s="172">
        <f t="shared" si="212"/>
        <v>0</v>
      </c>
      <c r="BO238" s="171">
        <f t="shared" si="213"/>
        <v>0</v>
      </c>
      <c r="BP238" s="189"/>
      <c r="BQ238" s="172">
        <f t="shared" si="214"/>
        <v>0</v>
      </c>
      <c r="BR238" s="171">
        <f t="shared" si="215"/>
        <v>0</v>
      </c>
      <c r="BS238" s="189"/>
      <c r="BT238" s="172">
        <f t="shared" si="216"/>
        <v>0</v>
      </c>
      <c r="BU238" s="74">
        <f t="shared" si="217"/>
        <v>0</v>
      </c>
      <c r="BV238" s="195" t="str">
        <f>LOOKUP(BU238,'الفترة الاولى'!$BX$2:$BY$6)</f>
        <v>ممتاز</v>
      </c>
      <c r="BW238" s="75" t="e">
        <f>BU238/'الفترة الاولى'!$BZ$2</f>
        <v>#DIV/0!</v>
      </c>
    </row>
    <row r="239" spans="1:75" ht="25.2" customHeight="1" thickBot="1" x14ac:dyDescent="0.3">
      <c r="A239" s="50">
        <v>229</v>
      </c>
      <c r="B239" s="53"/>
      <c r="C239" s="101"/>
      <c r="D239" s="79"/>
      <c r="E239" s="168"/>
      <c r="F239" s="163"/>
      <c r="G239" s="89">
        <f t="shared" si="218"/>
        <v>0</v>
      </c>
      <c r="H239" s="176"/>
      <c r="I239" s="91"/>
      <c r="J239" s="173">
        <f t="shared" si="219"/>
        <v>0</v>
      </c>
      <c r="K239" s="90"/>
      <c r="L239" s="91"/>
      <c r="M239" s="89">
        <f t="shared" si="220"/>
        <v>0</v>
      </c>
      <c r="N239" s="176"/>
      <c r="O239" s="91"/>
      <c r="P239" s="173">
        <f t="shared" si="221"/>
        <v>0</v>
      </c>
      <c r="Q239" s="90"/>
      <c r="R239" s="91"/>
      <c r="S239" s="89">
        <f t="shared" si="222"/>
        <v>0</v>
      </c>
      <c r="T239" s="176"/>
      <c r="U239" s="91"/>
      <c r="V239" s="173">
        <f t="shared" si="223"/>
        <v>0</v>
      </c>
      <c r="W239" s="90"/>
      <c r="X239" s="91"/>
      <c r="Y239" s="89">
        <f t="shared" si="224"/>
        <v>0</v>
      </c>
      <c r="Z239" s="176"/>
      <c r="AA239" s="91"/>
      <c r="AB239" s="173">
        <f t="shared" si="225"/>
        <v>0</v>
      </c>
      <c r="AC239" s="90"/>
      <c r="AD239" s="91"/>
      <c r="AE239" s="89">
        <f t="shared" si="192"/>
        <v>0</v>
      </c>
      <c r="AF239" s="176"/>
      <c r="AG239" s="91"/>
      <c r="AH239" s="89">
        <f t="shared" si="226"/>
        <v>0</v>
      </c>
      <c r="AI239" s="160">
        <f t="shared" si="196"/>
        <v>0</v>
      </c>
      <c r="AJ239" s="201" t="str">
        <f t="shared" si="190"/>
        <v>ممتاز</v>
      </c>
      <c r="AK239" s="66" t="e">
        <f t="shared" si="191"/>
        <v>#DIV/0!</v>
      </c>
      <c r="AM239" s="51">
        <f t="shared" si="227"/>
        <v>229</v>
      </c>
      <c r="AN239" s="86">
        <f t="shared" si="193"/>
        <v>0</v>
      </c>
      <c r="AO239" s="98">
        <f t="shared" si="194"/>
        <v>0</v>
      </c>
      <c r="AP239" s="79">
        <f t="shared" si="195"/>
        <v>0</v>
      </c>
      <c r="AQ239" s="168">
        <f t="shared" si="197"/>
        <v>0</v>
      </c>
      <c r="AR239" s="163"/>
      <c r="AS239" s="89">
        <f t="shared" si="198"/>
        <v>0</v>
      </c>
      <c r="AT239" s="168">
        <f t="shared" si="199"/>
        <v>0</v>
      </c>
      <c r="AU239" s="163"/>
      <c r="AV239" s="89">
        <f t="shared" si="200"/>
        <v>0</v>
      </c>
      <c r="AW239" s="168">
        <f t="shared" si="201"/>
        <v>0</v>
      </c>
      <c r="AX239" s="163"/>
      <c r="AY239" s="89">
        <f t="shared" si="202"/>
        <v>0</v>
      </c>
      <c r="AZ239" s="168">
        <f t="shared" si="203"/>
        <v>0</v>
      </c>
      <c r="BA239" s="163"/>
      <c r="BB239" s="89">
        <f t="shared" si="204"/>
        <v>0</v>
      </c>
      <c r="BC239" s="168">
        <f t="shared" si="205"/>
        <v>0</v>
      </c>
      <c r="BD239" s="163"/>
      <c r="BE239" s="89">
        <f t="shared" si="206"/>
        <v>0</v>
      </c>
      <c r="BF239" s="168">
        <f t="shared" si="207"/>
        <v>0</v>
      </c>
      <c r="BG239" s="163"/>
      <c r="BH239" s="89">
        <f t="shared" si="208"/>
        <v>0</v>
      </c>
      <c r="BI239" s="168">
        <f t="shared" si="209"/>
        <v>0</v>
      </c>
      <c r="BJ239" s="163"/>
      <c r="BK239" s="89">
        <f t="shared" si="210"/>
        <v>0</v>
      </c>
      <c r="BL239" s="168">
        <f t="shared" si="211"/>
        <v>0</v>
      </c>
      <c r="BM239" s="163"/>
      <c r="BN239" s="89">
        <f t="shared" si="212"/>
        <v>0</v>
      </c>
      <c r="BO239" s="168">
        <f t="shared" si="213"/>
        <v>0</v>
      </c>
      <c r="BP239" s="163"/>
      <c r="BQ239" s="89">
        <f t="shared" si="214"/>
        <v>0</v>
      </c>
      <c r="BR239" s="168">
        <f t="shared" si="215"/>
        <v>0</v>
      </c>
      <c r="BS239" s="163"/>
      <c r="BT239" s="89">
        <f t="shared" si="216"/>
        <v>0</v>
      </c>
      <c r="BU239" s="76">
        <f t="shared" si="217"/>
        <v>0</v>
      </c>
      <c r="BV239" s="196" t="str">
        <f>LOOKUP(BU239,'الفترة الاولى'!$BX$2:$BY$6)</f>
        <v>ممتاز</v>
      </c>
      <c r="BW239" s="77" t="e">
        <f>BU239/'الفترة الاولى'!$BZ$2</f>
        <v>#DIV/0!</v>
      </c>
    </row>
    <row r="240" spans="1:75" ht="25.2" customHeight="1" thickBot="1" x14ac:dyDescent="0.3">
      <c r="A240" s="51">
        <v>230</v>
      </c>
      <c r="B240" s="54"/>
      <c r="C240" s="102"/>
      <c r="D240" s="80"/>
      <c r="E240" s="169"/>
      <c r="F240" s="92"/>
      <c r="G240" s="170">
        <f t="shared" si="218"/>
        <v>0</v>
      </c>
      <c r="H240" s="177"/>
      <c r="I240" s="92"/>
      <c r="J240" s="174">
        <f t="shared" si="219"/>
        <v>0</v>
      </c>
      <c r="K240" s="93"/>
      <c r="L240" s="92"/>
      <c r="M240" s="170">
        <f t="shared" si="220"/>
        <v>0</v>
      </c>
      <c r="N240" s="177"/>
      <c r="O240" s="92"/>
      <c r="P240" s="174">
        <f t="shared" si="221"/>
        <v>0</v>
      </c>
      <c r="Q240" s="93"/>
      <c r="R240" s="92"/>
      <c r="S240" s="170">
        <f t="shared" si="222"/>
        <v>0</v>
      </c>
      <c r="T240" s="177"/>
      <c r="U240" s="92"/>
      <c r="V240" s="174">
        <f t="shared" si="223"/>
        <v>0</v>
      </c>
      <c r="W240" s="93"/>
      <c r="X240" s="92"/>
      <c r="Y240" s="170">
        <f t="shared" si="224"/>
        <v>0</v>
      </c>
      <c r="Z240" s="177"/>
      <c r="AA240" s="92"/>
      <c r="AB240" s="174">
        <f t="shared" si="225"/>
        <v>0</v>
      </c>
      <c r="AC240" s="93"/>
      <c r="AD240" s="92"/>
      <c r="AE240" s="89">
        <f t="shared" si="192"/>
        <v>0</v>
      </c>
      <c r="AF240" s="177"/>
      <c r="AG240" s="92"/>
      <c r="AH240" s="170">
        <f t="shared" si="226"/>
        <v>0</v>
      </c>
      <c r="AI240" s="161">
        <f t="shared" si="196"/>
        <v>0</v>
      </c>
      <c r="AJ240" s="202" t="str">
        <f t="shared" si="190"/>
        <v>ممتاز</v>
      </c>
      <c r="AK240" s="67" t="e">
        <f t="shared" si="191"/>
        <v>#DIV/0!</v>
      </c>
      <c r="AM240" s="52">
        <f t="shared" si="227"/>
        <v>230</v>
      </c>
      <c r="AN240" s="87">
        <f t="shared" si="193"/>
        <v>0</v>
      </c>
      <c r="AO240" s="99">
        <f t="shared" si="194"/>
        <v>0</v>
      </c>
      <c r="AP240" s="80">
        <f t="shared" si="195"/>
        <v>0</v>
      </c>
      <c r="AQ240" s="169">
        <f t="shared" si="197"/>
        <v>0</v>
      </c>
      <c r="AR240" s="188"/>
      <c r="AS240" s="170">
        <f t="shared" si="198"/>
        <v>0</v>
      </c>
      <c r="AT240" s="169">
        <f t="shared" si="199"/>
        <v>0</v>
      </c>
      <c r="AU240" s="188"/>
      <c r="AV240" s="170">
        <f t="shared" si="200"/>
        <v>0</v>
      </c>
      <c r="AW240" s="169">
        <f t="shared" si="201"/>
        <v>0</v>
      </c>
      <c r="AX240" s="188"/>
      <c r="AY240" s="170">
        <f t="shared" si="202"/>
        <v>0</v>
      </c>
      <c r="AZ240" s="169">
        <f t="shared" si="203"/>
        <v>0</v>
      </c>
      <c r="BA240" s="188"/>
      <c r="BB240" s="170">
        <f t="shared" si="204"/>
        <v>0</v>
      </c>
      <c r="BC240" s="169">
        <f t="shared" si="205"/>
        <v>0</v>
      </c>
      <c r="BD240" s="188"/>
      <c r="BE240" s="170">
        <f t="shared" si="206"/>
        <v>0</v>
      </c>
      <c r="BF240" s="169">
        <f t="shared" si="207"/>
        <v>0</v>
      </c>
      <c r="BG240" s="188"/>
      <c r="BH240" s="170">
        <f t="shared" si="208"/>
        <v>0</v>
      </c>
      <c r="BI240" s="169">
        <f t="shared" si="209"/>
        <v>0</v>
      </c>
      <c r="BJ240" s="188"/>
      <c r="BK240" s="170">
        <f t="shared" si="210"/>
        <v>0</v>
      </c>
      <c r="BL240" s="169">
        <f t="shared" si="211"/>
        <v>0</v>
      </c>
      <c r="BM240" s="188"/>
      <c r="BN240" s="170">
        <f t="shared" si="212"/>
        <v>0</v>
      </c>
      <c r="BO240" s="169">
        <f t="shared" si="213"/>
        <v>0</v>
      </c>
      <c r="BP240" s="188"/>
      <c r="BQ240" s="170">
        <f t="shared" si="214"/>
        <v>0</v>
      </c>
      <c r="BR240" s="169">
        <f t="shared" si="215"/>
        <v>0</v>
      </c>
      <c r="BS240" s="188"/>
      <c r="BT240" s="170">
        <f t="shared" si="216"/>
        <v>0</v>
      </c>
      <c r="BU240" s="72">
        <f t="shared" si="217"/>
        <v>0</v>
      </c>
      <c r="BV240" s="194" t="str">
        <f>LOOKUP(BU240,'الفترة الاولى'!$BX$2:$BY$6)</f>
        <v>ممتاز</v>
      </c>
      <c r="BW240" s="73" t="e">
        <f>BU240/'الفترة الاولى'!$BZ$2</f>
        <v>#DIV/0!</v>
      </c>
    </row>
    <row r="241" spans="1:75" ht="25.2" customHeight="1" thickBot="1" x14ac:dyDescent="0.3">
      <c r="A241" s="52">
        <v>231</v>
      </c>
      <c r="B241" s="55"/>
      <c r="C241" s="103"/>
      <c r="D241" s="81"/>
      <c r="E241" s="171"/>
      <c r="F241" s="94"/>
      <c r="G241" s="172">
        <f t="shared" si="218"/>
        <v>0</v>
      </c>
      <c r="H241" s="178"/>
      <c r="I241" s="94"/>
      <c r="J241" s="175">
        <f t="shared" si="219"/>
        <v>0</v>
      </c>
      <c r="K241" s="95"/>
      <c r="L241" s="94"/>
      <c r="M241" s="172">
        <f t="shared" si="220"/>
        <v>0</v>
      </c>
      <c r="N241" s="178"/>
      <c r="O241" s="94"/>
      <c r="P241" s="175">
        <f t="shared" si="221"/>
        <v>0</v>
      </c>
      <c r="Q241" s="95"/>
      <c r="R241" s="94"/>
      <c r="S241" s="172">
        <f t="shared" si="222"/>
        <v>0</v>
      </c>
      <c r="T241" s="178"/>
      <c r="U241" s="94"/>
      <c r="V241" s="175">
        <f t="shared" si="223"/>
        <v>0</v>
      </c>
      <c r="W241" s="95"/>
      <c r="X241" s="94"/>
      <c r="Y241" s="172">
        <f t="shared" si="224"/>
        <v>0</v>
      </c>
      <c r="Z241" s="178"/>
      <c r="AA241" s="94"/>
      <c r="AB241" s="175">
        <f t="shared" si="225"/>
        <v>0</v>
      </c>
      <c r="AC241" s="95"/>
      <c r="AD241" s="94"/>
      <c r="AE241" s="89">
        <f t="shared" si="192"/>
        <v>0</v>
      </c>
      <c r="AF241" s="178"/>
      <c r="AG241" s="94"/>
      <c r="AH241" s="172">
        <f t="shared" si="226"/>
        <v>0</v>
      </c>
      <c r="AI241" s="162">
        <f t="shared" si="196"/>
        <v>0</v>
      </c>
      <c r="AJ241" s="200" t="str">
        <f t="shared" si="190"/>
        <v>ممتاز</v>
      </c>
      <c r="AK241" s="65" t="e">
        <f t="shared" si="191"/>
        <v>#DIV/0!</v>
      </c>
      <c r="AM241" s="50">
        <f t="shared" si="227"/>
        <v>231</v>
      </c>
      <c r="AN241" s="88">
        <f t="shared" si="193"/>
        <v>0</v>
      </c>
      <c r="AO241" s="100">
        <f t="shared" si="194"/>
        <v>0</v>
      </c>
      <c r="AP241" s="81">
        <f t="shared" si="195"/>
        <v>0</v>
      </c>
      <c r="AQ241" s="171">
        <f t="shared" si="197"/>
        <v>0</v>
      </c>
      <c r="AR241" s="189"/>
      <c r="AS241" s="172">
        <f t="shared" si="198"/>
        <v>0</v>
      </c>
      <c r="AT241" s="171">
        <f t="shared" si="199"/>
        <v>0</v>
      </c>
      <c r="AU241" s="189"/>
      <c r="AV241" s="172">
        <f t="shared" si="200"/>
        <v>0</v>
      </c>
      <c r="AW241" s="171">
        <f t="shared" si="201"/>
        <v>0</v>
      </c>
      <c r="AX241" s="189"/>
      <c r="AY241" s="172">
        <f t="shared" si="202"/>
        <v>0</v>
      </c>
      <c r="AZ241" s="171">
        <f t="shared" si="203"/>
        <v>0</v>
      </c>
      <c r="BA241" s="189"/>
      <c r="BB241" s="172">
        <f t="shared" si="204"/>
        <v>0</v>
      </c>
      <c r="BC241" s="171">
        <f t="shared" si="205"/>
        <v>0</v>
      </c>
      <c r="BD241" s="189"/>
      <c r="BE241" s="172">
        <f t="shared" si="206"/>
        <v>0</v>
      </c>
      <c r="BF241" s="171">
        <f t="shared" si="207"/>
        <v>0</v>
      </c>
      <c r="BG241" s="189"/>
      <c r="BH241" s="172">
        <f t="shared" si="208"/>
        <v>0</v>
      </c>
      <c r="BI241" s="171">
        <f t="shared" si="209"/>
        <v>0</v>
      </c>
      <c r="BJ241" s="189"/>
      <c r="BK241" s="172">
        <f t="shared" si="210"/>
        <v>0</v>
      </c>
      <c r="BL241" s="171">
        <f t="shared" si="211"/>
        <v>0</v>
      </c>
      <c r="BM241" s="189"/>
      <c r="BN241" s="172">
        <f t="shared" si="212"/>
        <v>0</v>
      </c>
      <c r="BO241" s="171">
        <f t="shared" si="213"/>
        <v>0</v>
      </c>
      <c r="BP241" s="189"/>
      <c r="BQ241" s="172">
        <f t="shared" si="214"/>
        <v>0</v>
      </c>
      <c r="BR241" s="171">
        <f t="shared" si="215"/>
        <v>0</v>
      </c>
      <c r="BS241" s="189"/>
      <c r="BT241" s="172">
        <f t="shared" si="216"/>
        <v>0</v>
      </c>
      <c r="BU241" s="74">
        <f t="shared" si="217"/>
        <v>0</v>
      </c>
      <c r="BV241" s="195" t="str">
        <f>LOOKUP(BU241,'الفترة الاولى'!$BX$2:$BY$6)</f>
        <v>ممتاز</v>
      </c>
      <c r="BW241" s="75" t="e">
        <f>BU241/'الفترة الاولى'!$BZ$2</f>
        <v>#DIV/0!</v>
      </c>
    </row>
    <row r="242" spans="1:75" ht="25.2" customHeight="1" thickBot="1" x14ac:dyDescent="0.3">
      <c r="A242" s="50">
        <v>232</v>
      </c>
      <c r="B242" s="53"/>
      <c r="C242" s="101"/>
      <c r="D242" s="79"/>
      <c r="E242" s="168"/>
      <c r="F242" s="163"/>
      <c r="G242" s="89">
        <f t="shared" si="218"/>
        <v>0</v>
      </c>
      <c r="H242" s="176"/>
      <c r="I242" s="91"/>
      <c r="J242" s="173">
        <f t="shared" si="219"/>
        <v>0</v>
      </c>
      <c r="K242" s="90"/>
      <c r="L242" s="91"/>
      <c r="M242" s="89">
        <f t="shared" si="220"/>
        <v>0</v>
      </c>
      <c r="N242" s="176"/>
      <c r="O242" s="91"/>
      <c r="P242" s="173">
        <f t="shared" si="221"/>
        <v>0</v>
      </c>
      <c r="Q242" s="90"/>
      <c r="R242" s="91"/>
      <c r="S242" s="89">
        <f t="shared" si="222"/>
        <v>0</v>
      </c>
      <c r="T242" s="176"/>
      <c r="U242" s="91"/>
      <c r="V242" s="173">
        <f t="shared" si="223"/>
        <v>0</v>
      </c>
      <c r="W242" s="90"/>
      <c r="X242" s="91"/>
      <c r="Y242" s="89">
        <f t="shared" si="224"/>
        <v>0</v>
      </c>
      <c r="Z242" s="176"/>
      <c r="AA242" s="91"/>
      <c r="AB242" s="173">
        <f t="shared" si="225"/>
        <v>0</v>
      </c>
      <c r="AC242" s="90"/>
      <c r="AD242" s="91"/>
      <c r="AE242" s="89">
        <f t="shared" si="192"/>
        <v>0</v>
      </c>
      <c r="AF242" s="176"/>
      <c r="AG242" s="91"/>
      <c r="AH242" s="89">
        <f t="shared" si="226"/>
        <v>0</v>
      </c>
      <c r="AI242" s="160">
        <f t="shared" si="196"/>
        <v>0</v>
      </c>
      <c r="AJ242" s="201" t="str">
        <f t="shared" si="190"/>
        <v>ممتاز</v>
      </c>
      <c r="AK242" s="66" t="e">
        <f t="shared" si="191"/>
        <v>#DIV/0!</v>
      </c>
      <c r="AM242" s="51">
        <f t="shared" si="227"/>
        <v>232</v>
      </c>
      <c r="AN242" s="86">
        <f t="shared" si="193"/>
        <v>0</v>
      </c>
      <c r="AO242" s="98">
        <f t="shared" si="194"/>
        <v>0</v>
      </c>
      <c r="AP242" s="79">
        <f t="shared" si="195"/>
        <v>0</v>
      </c>
      <c r="AQ242" s="168">
        <f t="shared" si="197"/>
        <v>0</v>
      </c>
      <c r="AR242" s="163"/>
      <c r="AS242" s="89">
        <f t="shared" si="198"/>
        <v>0</v>
      </c>
      <c r="AT242" s="168">
        <f t="shared" si="199"/>
        <v>0</v>
      </c>
      <c r="AU242" s="163"/>
      <c r="AV242" s="89">
        <f t="shared" si="200"/>
        <v>0</v>
      </c>
      <c r="AW242" s="168">
        <f t="shared" si="201"/>
        <v>0</v>
      </c>
      <c r="AX242" s="163"/>
      <c r="AY242" s="89">
        <f t="shared" si="202"/>
        <v>0</v>
      </c>
      <c r="AZ242" s="168">
        <f t="shared" si="203"/>
        <v>0</v>
      </c>
      <c r="BA242" s="163"/>
      <c r="BB242" s="89">
        <f t="shared" si="204"/>
        <v>0</v>
      </c>
      <c r="BC242" s="168">
        <f t="shared" si="205"/>
        <v>0</v>
      </c>
      <c r="BD242" s="163"/>
      <c r="BE242" s="89">
        <f t="shared" si="206"/>
        <v>0</v>
      </c>
      <c r="BF242" s="168">
        <f t="shared" si="207"/>
        <v>0</v>
      </c>
      <c r="BG242" s="163"/>
      <c r="BH242" s="89">
        <f t="shared" si="208"/>
        <v>0</v>
      </c>
      <c r="BI242" s="168">
        <f t="shared" si="209"/>
        <v>0</v>
      </c>
      <c r="BJ242" s="163"/>
      <c r="BK242" s="89">
        <f t="shared" si="210"/>
        <v>0</v>
      </c>
      <c r="BL242" s="168">
        <f t="shared" si="211"/>
        <v>0</v>
      </c>
      <c r="BM242" s="163"/>
      <c r="BN242" s="89">
        <f t="shared" si="212"/>
        <v>0</v>
      </c>
      <c r="BO242" s="168">
        <f t="shared" si="213"/>
        <v>0</v>
      </c>
      <c r="BP242" s="163"/>
      <c r="BQ242" s="89">
        <f t="shared" si="214"/>
        <v>0</v>
      </c>
      <c r="BR242" s="168">
        <f t="shared" si="215"/>
        <v>0</v>
      </c>
      <c r="BS242" s="163"/>
      <c r="BT242" s="89">
        <f t="shared" si="216"/>
        <v>0</v>
      </c>
      <c r="BU242" s="76">
        <f t="shared" si="217"/>
        <v>0</v>
      </c>
      <c r="BV242" s="196" t="str">
        <f>LOOKUP(BU242,'الفترة الاولى'!$BX$2:$BY$6)</f>
        <v>ممتاز</v>
      </c>
      <c r="BW242" s="77" t="e">
        <f>BU242/'الفترة الاولى'!$BZ$2</f>
        <v>#DIV/0!</v>
      </c>
    </row>
    <row r="243" spans="1:75" ht="25.2" customHeight="1" thickBot="1" x14ac:dyDescent="0.3">
      <c r="A243" s="51">
        <v>233</v>
      </c>
      <c r="B243" s="54"/>
      <c r="C243" s="102"/>
      <c r="D243" s="80"/>
      <c r="E243" s="169"/>
      <c r="F243" s="92"/>
      <c r="G243" s="170">
        <f t="shared" si="218"/>
        <v>0</v>
      </c>
      <c r="H243" s="177"/>
      <c r="I243" s="92"/>
      <c r="J243" s="174">
        <f t="shared" si="219"/>
        <v>0</v>
      </c>
      <c r="K243" s="93"/>
      <c r="L243" s="92"/>
      <c r="M243" s="170">
        <f t="shared" si="220"/>
        <v>0</v>
      </c>
      <c r="N243" s="177"/>
      <c r="O243" s="92"/>
      <c r="P243" s="174">
        <f t="shared" si="221"/>
        <v>0</v>
      </c>
      <c r="Q243" s="93"/>
      <c r="R243" s="92"/>
      <c r="S243" s="170">
        <f t="shared" si="222"/>
        <v>0</v>
      </c>
      <c r="T243" s="177"/>
      <c r="U243" s="92"/>
      <c r="V243" s="174">
        <f t="shared" si="223"/>
        <v>0</v>
      </c>
      <c r="W243" s="93"/>
      <c r="X243" s="92"/>
      <c r="Y243" s="170">
        <f t="shared" si="224"/>
        <v>0</v>
      </c>
      <c r="Z243" s="177"/>
      <c r="AA243" s="92"/>
      <c r="AB243" s="174">
        <f t="shared" si="225"/>
        <v>0</v>
      </c>
      <c r="AC243" s="93"/>
      <c r="AD243" s="92"/>
      <c r="AE243" s="89">
        <f t="shared" si="192"/>
        <v>0</v>
      </c>
      <c r="AF243" s="177"/>
      <c r="AG243" s="92"/>
      <c r="AH243" s="170">
        <f t="shared" si="226"/>
        <v>0</v>
      </c>
      <c r="AI243" s="161">
        <f t="shared" si="196"/>
        <v>0</v>
      </c>
      <c r="AJ243" s="202" t="str">
        <f t="shared" si="190"/>
        <v>ممتاز</v>
      </c>
      <c r="AK243" s="67" t="e">
        <f t="shared" si="191"/>
        <v>#DIV/0!</v>
      </c>
      <c r="AM243" s="52">
        <f t="shared" si="227"/>
        <v>233</v>
      </c>
      <c r="AN243" s="87">
        <f t="shared" si="193"/>
        <v>0</v>
      </c>
      <c r="AO243" s="99">
        <f t="shared" si="194"/>
        <v>0</v>
      </c>
      <c r="AP243" s="80">
        <f t="shared" si="195"/>
        <v>0</v>
      </c>
      <c r="AQ243" s="169">
        <f t="shared" si="197"/>
        <v>0</v>
      </c>
      <c r="AR243" s="188"/>
      <c r="AS243" s="170">
        <f t="shared" si="198"/>
        <v>0</v>
      </c>
      <c r="AT243" s="169">
        <f t="shared" si="199"/>
        <v>0</v>
      </c>
      <c r="AU243" s="188"/>
      <c r="AV243" s="170">
        <f t="shared" si="200"/>
        <v>0</v>
      </c>
      <c r="AW243" s="169">
        <f t="shared" si="201"/>
        <v>0</v>
      </c>
      <c r="AX243" s="188"/>
      <c r="AY243" s="170">
        <f t="shared" si="202"/>
        <v>0</v>
      </c>
      <c r="AZ243" s="169">
        <f t="shared" si="203"/>
        <v>0</v>
      </c>
      <c r="BA243" s="188"/>
      <c r="BB243" s="170">
        <f t="shared" si="204"/>
        <v>0</v>
      </c>
      <c r="BC243" s="169">
        <f t="shared" si="205"/>
        <v>0</v>
      </c>
      <c r="BD243" s="188"/>
      <c r="BE243" s="170">
        <f t="shared" si="206"/>
        <v>0</v>
      </c>
      <c r="BF243" s="169">
        <f t="shared" si="207"/>
        <v>0</v>
      </c>
      <c r="BG243" s="188"/>
      <c r="BH243" s="170">
        <f t="shared" si="208"/>
        <v>0</v>
      </c>
      <c r="BI243" s="169">
        <f t="shared" si="209"/>
        <v>0</v>
      </c>
      <c r="BJ243" s="188"/>
      <c r="BK243" s="170">
        <f t="shared" si="210"/>
        <v>0</v>
      </c>
      <c r="BL243" s="169">
        <f t="shared" si="211"/>
        <v>0</v>
      </c>
      <c r="BM243" s="188"/>
      <c r="BN243" s="170">
        <f t="shared" si="212"/>
        <v>0</v>
      </c>
      <c r="BO243" s="169">
        <f t="shared" si="213"/>
        <v>0</v>
      </c>
      <c r="BP243" s="188"/>
      <c r="BQ243" s="170">
        <f t="shared" si="214"/>
        <v>0</v>
      </c>
      <c r="BR243" s="169">
        <f t="shared" si="215"/>
        <v>0</v>
      </c>
      <c r="BS243" s="188"/>
      <c r="BT243" s="170">
        <f t="shared" si="216"/>
        <v>0</v>
      </c>
      <c r="BU243" s="72">
        <f t="shared" si="217"/>
        <v>0</v>
      </c>
      <c r="BV243" s="194" t="str">
        <f>LOOKUP(BU243,'الفترة الاولى'!$BX$2:$BY$6)</f>
        <v>ممتاز</v>
      </c>
      <c r="BW243" s="73" t="e">
        <f>BU243/'الفترة الاولى'!$BZ$2</f>
        <v>#DIV/0!</v>
      </c>
    </row>
    <row r="244" spans="1:75" ht="25.2" customHeight="1" thickBot="1" x14ac:dyDescent="0.3">
      <c r="A244" s="52">
        <v>234</v>
      </c>
      <c r="B244" s="55"/>
      <c r="C244" s="103"/>
      <c r="D244" s="81"/>
      <c r="E244" s="171"/>
      <c r="F244" s="94"/>
      <c r="G244" s="172">
        <f t="shared" si="218"/>
        <v>0</v>
      </c>
      <c r="H244" s="178"/>
      <c r="I244" s="94"/>
      <c r="J244" s="175">
        <f t="shared" si="219"/>
        <v>0</v>
      </c>
      <c r="K244" s="95"/>
      <c r="L244" s="94"/>
      <c r="M244" s="172">
        <f t="shared" si="220"/>
        <v>0</v>
      </c>
      <c r="N244" s="178"/>
      <c r="O244" s="94"/>
      <c r="P244" s="175">
        <f t="shared" si="221"/>
        <v>0</v>
      </c>
      <c r="Q244" s="95"/>
      <c r="R244" s="94"/>
      <c r="S244" s="172">
        <f t="shared" si="222"/>
        <v>0</v>
      </c>
      <c r="T244" s="178"/>
      <c r="U244" s="94"/>
      <c r="V244" s="175">
        <f t="shared" si="223"/>
        <v>0</v>
      </c>
      <c r="W244" s="95"/>
      <c r="X244" s="94"/>
      <c r="Y244" s="172">
        <f t="shared" si="224"/>
        <v>0</v>
      </c>
      <c r="Z244" s="178"/>
      <c r="AA244" s="94"/>
      <c r="AB244" s="175">
        <f t="shared" si="225"/>
        <v>0</v>
      </c>
      <c r="AC244" s="95"/>
      <c r="AD244" s="94"/>
      <c r="AE244" s="89">
        <f t="shared" si="192"/>
        <v>0</v>
      </c>
      <c r="AF244" s="178"/>
      <c r="AG244" s="94"/>
      <c r="AH244" s="172">
        <f t="shared" si="226"/>
        <v>0</v>
      </c>
      <c r="AI244" s="162">
        <f t="shared" si="196"/>
        <v>0</v>
      </c>
      <c r="AJ244" s="200" t="str">
        <f t="shared" si="190"/>
        <v>ممتاز</v>
      </c>
      <c r="AK244" s="65" t="e">
        <f t="shared" si="191"/>
        <v>#DIV/0!</v>
      </c>
      <c r="AM244" s="50">
        <f t="shared" si="227"/>
        <v>234</v>
      </c>
      <c r="AN244" s="88">
        <f t="shared" si="193"/>
        <v>0</v>
      </c>
      <c r="AO244" s="100">
        <f t="shared" si="194"/>
        <v>0</v>
      </c>
      <c r="AP244" s="81">
        <f t="shared" si="195"/>
        <v>0</v>
      </c>
      <c r="AQ244" s="171">
        <f t="shared" si="197"/>
        <v>0</v>
      </c>
      <c r="AR244" s="189"/>
      <c r="AS244" s="172">
        <f t="shared" si="198"/>
        <v>0</v>
      </c>
      <c r="AT244" s="171">
        <f t="shared" si="199"/>
        <v>0</v>
      </c>
      <c r="AU244" s="189"/>
      <c r="AV244" s="172">
        <f t="shared" si="200"/>
        <v>0</v>
      </c>
      <c r="AW244" s="171">
        <f t="shared" si="201"/>
        <v>0</v>
      </c>
      <c r="AX244" s="189"/>
      <c r="AY244" s="172">
        <f t="shared" si="202"/>
        <v>0</v>
      </c>
      <c r="AZ244" s="171">
        <f t="shared" si="203"/>
        <v>0</v>
      </c>
      <c r="BA244" s="189"/>
      <c r="BB244" s="172">
        <f t="shared" si="204"/>
        <v>0</v>
      </c>
      <c r="BC244" s="171">
        <f t="shared" si="205"/>
        <v>0</v>
      </c>
      <c r="BD244" s="189"/>
      <c r="BE244" s="172">
        <f t="shared" si="206"/>
        <v>0</v>
      </c>
      <c r="BF244" s="171">
        <f t="shared" si="207"/>
        <v>0</v>
      </c>
      <c r="BG244" s="189"/>
      <c r="BH244" s="172">
        <f t="shared" si="208"/>
        <v>0</v>
      </c>
      <c r="BI244" s="171">
        <f t="shared" si="209"/>
        <v>0</v>
      </c>
      <c r="BJ244" s="189"/>
      <c r="BK244" s="172">
        <f t="shared" si="210"/>
        <v>0</v>
      </c>
      <c r="BL244" s="171">
        <f t="shared" si="211"/>
        <v>0</v>
      </c>
      <c r="BM244" s="189"/>
      <c r="BN244" s="172">
        <f t="shared" si="212"/>
        <v>0</v>
      </c>
      <c r="BO244" s="171">
        <f t="shared" si="213"/>
        <v>0</v>
      </c>
      <c r="BP244" s="189"/>
      <c r="BQ244" s="172">
        <f t="shared" si="214"/>
        <v>0</v>
      </c>
      <c r="BR244" s="171">
        <f t="shared" si="215"/>
        <v>0</v>
      </c>
      <c r="BS244" s="189"/>
      <c r="BT244" s="172">
        <f t="shared" si="216"/>
        <v>0</v>
      </c>
      <c r="BU244" s="74">
        <f t="shared" si="217"/>
        <v>0</v>
      </c>
      <c r="BV244" s="195" t="str">
        <f>LOOKUP(BU244,'الفترة الاولى'!$BX$2:$BY$6)</f>
        <v>ممتاز</v>
      </c>
      <c r="BW244" s="75" t="e">
        <f>BU244/'الفترة الاولى'!$BZ$2</f>
        <v>#DIV/0!</v>
      </c>
    </row>
    <row r="245" spans="1:75" ht="25.2" customHeight="1" thickBot="1" x14ac:dyDescent="0.3">
      <c r="A245" s="50">
        <v>235</v>
      </c>
      <c r="B245" s="53"/>
      <c r="C245" s="101"/>
      <c r="D245" s="79"/>
      <c r="E245" s="168"/>
      <c r="F245" s="163"/>
      <c r="G245" s="89">
        <f t="shared" si="218"/>
        <v>0</v>
      </c>
      <c r="H245" s="176"/>
      <c r="I245" s="91"/>
      <c r="J245" s="173">
        <f t="shared" si="219"/>
        <v>0</v>
      </c>
      <c r="K245" s="90"/>
      <c r="L245" s="91"/>
      <c r="M245" s="89">
        <f t="shared" si="220"/>
        <v>0</v>
      </c>
      <c r="N245" s="176"/>
      <c r="O245" s="91"/>
      <c r="P245" s="173">
        <f t="shared" si="221"/>
        <v>0</v>
      </c>
      <c r="Q245" s="90"/>
      <c r="R245" s="91"/>
      <c r="S245" s="89">
        <f t="shared" si="222"/>
        <v>0</v>
      </c>
      <c r="T245" s="176"/>
      <c r="U245" s="91"/>
      <c r="V245" s="173">
        <f t="shared" si="223"/>
        <v>0</v>
      </c>
      <c r="W245" s="90"/>
      <c r="X245" s="91"/>
      <c r="Y245" s="89">
        <f t="shared" si="224"/>
        <v>0</v>
      </c>
      <c r="Z245" s="176"/>
      <c r="AA245" s="91"/>
      <c r="AB245" s="173">
        <f t="shared" si="225"/>
        <v>0</v>
      </c>
      <c r="AC245" s="90"/>
      <c r="AD245" s="91"/>
      <c r="AE245" s="89">
        <f t="shared" si="192"/>
        <v>0</v>
      </c>
      <c r="AF245" s="176"/>
      <c r="AG245" s="91"/>
      <c r="AH245" s="89">
        <f t="shared" si="226"/>
        <v>0</v>
      </c>
      <c r="AI245" s="160">
        <f t="shared" si="196"/>
        <v>0</v>
      </c>
      <c r="AJ245" s="201" t="str">
        <f t="shared" si="190"/>
        <v>ممتاز</v>
      </c>
      <c r="AK245" s="66" t="e">
        <f t="shared" si="191"/>
        <v>#DIV/0!</v>
      </c>
      <c r="AM245" s="51">
        <f t="shared" si="227"/>
        <v>235</v>
      </c>
      <c r="AN245" s="86">
        <f t="shared" si="193"/>
        <v>0</v>
      </c>
      <c r="AO245" s="98">
        <f t="shared" si="194"/>
        <v>0</v>
      </c>
      <c r="AP245" s="79">
        <f t="shared" si="195"/>
        <v>0</v>
      </c>
      <c r="AQ245" s="168">
        <f t="shared" si="197"/>
        <v>0</v>
      </c>
      <c r="AR245" s="163"/>
      <c r="AS245" s="89">
        <f t="shared" si="198"/>
        <v>0</v>
      </c>
      <c r="AT245" s="168">
        <f t="shared" si="199"/>
        <v>0</v>
      </c>
      <c r="AU245" s="163"/>
      <c r="AV245" s="89">
        <f t="shared" si="200"/>
        <v>0</v>
      </c>
      <c r="AW245" s="168">
        <f t="shared" si="201"/>
        <v>0</v>
      </c>
      <c r="AX245" s="163"/>
      <c r="AY245" s="89">
        <f t="shared" si="202"/>
        <v>0</v>
      </c>
      <c r="AZ245" s="168">
        <f t="shared" si="203"/>
        <v>0</v>
      </c>
      <c r="BA245" s="163"/>
      <c r="BB245" s="89">
        <f t="shared" si="204"/>
        <v>0</v>
      </c>
      <c r="BC245" s="168">
        <f t="shared" si="205"/>
        <v>0</v>
      </c>
      <c r="BD245" s="163"/>
      <c r="BE245" s="89">
        <f t="shared" si="206"/>
        <v>0</v>
      </c>
      <c r="BF245" s="168">
        <f t="shared" si="207"/>
        <v>0</v>
      </c>
      <c r="BG245" s="163"/>
      <c r="BH245" s="89">
        <f t="shared" si="208"/>
        <v>0</v>
      </c>
      <c r="BI245" s="168">
        <f t="shared" si="209"/>
        <v>0</v>
      </c>
      <c r="BJ245" s="163"/>
      <c r="BK245" s="89">
        <f t="shared" si="210"/>
        <v>0</v>
      </c>
      <c r="BL245" s="168">
        <f t="shared" si="211"/>
        <v>0</v>
      </c>
      <c r="BM245" s="163"/>
      <c r="BN245" s="89">
        <f t="shared" si="212"/>
        <v>0</v>
      </c>
      <c r="BO245" s="168">
        <f t="shared" si="213"/>
        <v>0</v>
      </c>
      <c r="BP245" s="163"/>
      <c r="BQ245" s="89">
        <f t="shared" si="214"/>
        <v>0</v>
      </c>
      <c r="BR245" s="168">
        <f t="shared" si="215"/>
        <v>0</v>
      </c>
      <c r="BS245" s="163"/>
      <c r="BT245" s="89">
        <f t="shared" si="216"/>
        <v>0</v>
      </c>
      <c r="BU245" s="76">
        <f t="shared" si="217"/>
        <v>0</v>
      </c>
      <c r="BV245" s="196" t="str">
        <f>LOOKUP(BU245,'الفترة الاولى'!$BX$2:$BY$6)</f>
        <v>ممتاز</v>
      </c>
      <c r="BW245" s="77" t="e">
        <f>BU245/'الفترة الاولى'!$BZ$2</f>
        <v>#DIV/0!</v>
      </c>
    </row>
    <row r="246" spans="1:75" ht="25.2" customHeight="1" thickBot="1" x14ac:dyDescent="0.3">
      <c r="A246" s="51">
        <v>236</v>
      </c>
      <c r="B246" s="54"/>
      <c r="C246" s="102"/>
      <c r="D246" s="80"/>
      <c r="E246" s="169"/>
      <c r="F246" s="92"/>
      <c r="G246" s="170">
        <f t="shared" si="218"/>
        <v>0</v>
      </c>
      <c r="H246" s="177"/>
      <c r="I246" s="92"/>
      <c r="J246" s="174">
        <f t="shared" si="219"/>
        <v>0</v>
      </c>
      <c r="K246" s="93"/>
      <c r="L246" s="92"/>
      <c r="M246" s="170">
        <f t="shared" si="220"/>
        <v>0</v>
      </c>
      <c r="N246" s="177"/>
      <c r="O246" s="92"/>
      <c r="P246" s="174">
        <f t="shared" si="221"/>
        <v>0</v>
      </c>
      <c r="Q246" s="93"/>
      <c r="R246" s="92"/>
      <c r="S246" s="170">
        <f t="shared" si="222"/>
        <v>0</v>
      </c>
      <c r="T246" s="177"/>
      <c r="U246" s="92"/>
      <c r="V246" s="174">
        <f t="shared" si="223"/>
        <v>0</v>
      </c>
      <c r="W246" s="93"/>
      <c r="X246" s="92"/>
      <c r="Y246" s="170">
        <f t="shared" si="224"/>
        <v>0</v>
      </c>
      <c r="Z246" s="177"/>
      <c r="AA246" s="92"/>
      <c r="AB246" s="174">
        <f t="shared" si="225"/>
        <v>0</v>
      </c>
      <c r="AC246" s="93"/>
      <c r="AD246" s="92"/>
      <c r="AE246" s="89">
        <f t="shared" si="192"/>
        <v>0</v>
      </c>
      <c r="AF246" s="177"/>
      <c r="AG246" s="92"/>
      <c r="AH246" s="170">
        <f t="shared" si="226"/>
        <v>0</v>
      </c>
      <c r="AI246" s="161">
        <f t="shared" si="196"/>
        <v>0</v>
      </c>
      <c r="AJ246" s="202" t="str">
        <f t="shared" si="190"/>
        <v>ممتاز</v>
      </c>
      <c r="AK246" s="67" t="e">
        <f t="shared" si="191"/>
        <v>#DIV/0!</v>
      </c>
      <c r="AM246" s="52">
        <f t="shared" si="227"/>
        <v>236</v>
      </c>
      <c r="AN246" s="87">
        <f t="shared" si="193"/>
        <v>0</v>
      </c>
      <c r="AO246" s="99">
        <f t="shared" si="194"/>
        <v>0</v>
      </c>
      <c r="AP246" s="80">
        <f t="shared" si="195"/>
        <v>0</v>
      </c>
      <c r="AQ246" s="169">
        <f t="shared" si="197"/>
        <v>0</v>
      </c>
      <c r="AR246" s="188"/>
      <c r="AS246" s="170">
        <f t="shared" si="198"/>
        <v>0</v>
      </c>
      <c r="AT246" s="169">
        <f t="shared" si="199"/>
        <v>0</v>
      </c>
      <c r="AU246" s="188"/>
      <c r="AV246" s="170">
        <f t="shared" si="200"/>
        <v>0</v>
      </c>
      <c r="AW246" s="169">
        <f t="shared" si="201"/>
        <v>0</v>
      </c>
      <c r="AX246" s="188"/>
      <c r="AY246" s="170">
        <f t="shared" si="202"/>
        <v>0</v>
      </c>
      <c r="AZ246" s="169">
        <f t="shared" si="203"/>
        <v>0</v>
      </c>
      <c r="BA246" s="188"/>
      <c r="BB246" s="170">
        <f t="shared" si="204"/>
        <v>0</v>
      </c>
      <c r="BC246" s="169">
        <f t="shared" si="205"/>
        <v>0</v>
      </c>
      <c r="BD246" s="188"/>
      <c r="BE246" s="170">
        <f t="shared" si="206"/>
        <v>0</v>
      </c>
      <c r="BF246" s="169">
        <f t="shared" si="207"/>
        <v>0</v>
      </c>
      <c r="BG246" s="188"/>
      <c r="BH246" s="170">
        <f t="shared" si="208"/>
        <v>0</v>
      </c>
      <c r="BI246" s="169">
        <f t="shared" si="209"/>
        <v>0</v>
      </c>
      <c r="BJ246" s="188"/>
      <c r="BK246" s="170">
        <f t="shared" si="210"/>
        <v>0</v>
      </c>
      <c r="BL246" s="169">
        <f t="shared" si="211"/>
        <v>0</v>
      </c>
      <c r="BM246" s="188"/>
      <c r="BN246" s="170">
        <f t="shared" si="212"/>
        <v>0</v>
      </c>
      <c r="BO246" s="169">
        <f t="shared" si="213"/>
        <v>0</v>
      </c>
      <c r="BP246" s="188"/>
      <c r="BQ246" s="170">
        <f t="shared" si="214"/>
        <v>0</v>
      </c>
      <c r="BR246" s="169">
        <f t="shared" si="215"/>
        <v>0</v>
      </c>
      <c r="BS246" s="188"/>
      <c r="BT246" s="170">
        <f t="shared" si="216"/>
        <v>0</v>
      </c>
      <c r="BU246" s="72">
        <f t="shared" si="217"/>
        <v>0</v>
      </c>
      <c r="BV246" s="194" t="str">
        <f>LOOKUP(BU246,'الفترة الاولى'!$BX$2:$BY$6)</f>
        <v>ممتاز</v>
      </c>
      <c r="BW246" s="73" t="e">
        <f>BU246/'الفترة الاولى'!$BZ$2</f>
        <v>#DIV/0!</v>
      </c>
    </row>
    <row r="247" spans="1:75" ht="25.2" customHeight="1" thickBot="1" x14ac:dyDescent="0.3">
      <c r="A247" s="52">
        <v>237</v>
      </c>
      <c r="B247" s="55"/>
      <c r="C247" s="103"/>
      <c r="D247" s="81"/>
      <c r="E247" s="171"/>
      <c r="F247" s="94"/>
      <c r="G247" s="172">
        <f t="shared" si="218"/>
        <v>0</v>
      </c>
      <c r="H247" s="178"/>
      <c r="I247" s="94"/>
      <c r="J247" s="175">
        <f t="shared" si="219"/>
        <v>0</v>
      </c>
      <c r="K247" s="95"/>
      <c r="L247" s="94"/>
      <c r="M247" s="172">
        <f t="shared" si="220"/>
        <v>0</v>
      </c>
      <c r="N247" s="178"/>
      <c r="O247" s="94"/>
      <c r="P247" s="175">
        <f t="shared" si="221"/>
        <v>0</v>
      </c>
      <c r="Q247" s="95"/>
      <c r="R247" s="94"/>
      <c r="S247" s="172">
        <f t="shared" si="222"/>
        <v>0</v>
      </c>
      <c r="T247" s="178"/>
      <c r="U247" s="94"/>
      <c r="V247" s="175">
        <f t="shared" si="223"/>
        <v>0</v>
      </c>
      <c r="W247" s="95"/>
      <c r="X247" s="94"/>
      <c r="Y247" s="172">
        <f t="shared" si="224"/>
        <v>0</v>
      </c>
      <c r="Z247" s="178"/>
      <c r="AA247" s="94"/>
      <c r="AB247" s="175">
        <f t="shared" si="225"/>
        <v>0</v>
      </c>
      <c r="AC247" s="95"/>
      <c r="AD247" s="94"/>
      <c r="AE247" s="89">
        <f t="shared" si="192"/>
        <v>0</v>
      </c>
      <c r="AF247" s="178"/>
      <c r="AG247" s="94"/>
      <c r="AH247" s="172">
        <f t="shared" si="226"/>
        <v>0</v>
      </c>
      <c r="AI247" s="162">
        <f t="shared" si="196"/>
        <v>0</v>
      </c>
      <c r="AJ247" s="200" t="str">
        <f t="shared" si="190"/>
        <v>ممتاز</v>
      </c>
      <c r="AK247" s="65" t="e">
        <f t="shared" si="191"/>
        <v>#DIV/0!</v>
      </c>
      <c r="AM247" s="50">
        <f t="shared" si="227"/>
        <v>237</v>
      </c>
      <c r="AN247" s="88">
        <f t="shared" si="193"/>
        <v>0</v>
      </c>
      <c r="AO247" s="100">
        <f t="shared" si="194"/>
        <v>0</v>
      </c>
      <c r="AP247" s="81">
        <f t="shared" si="195"/>
        <v>0</v>
      </c>
      <c r="AQ247" s="171">
        <f t="shared" si="197"/>
        <v>0</v>
      </c>
      <c r="AR247" s="189"/>
      <c r="AS247" s="172">
        <f t="shared" si="198"/>
        <v>0</v>
      </c>
      <c r="AT247" s="171">
        <f t="shared" si="199"/>
        <v>0</v>
      </c>
      <c r="AU247" s="189"/>
      <c r="AV247" s="172">
        <f t="shared" si="200"/>
        <v>0</v>
      </c>
      <c r="AW247" s="171">
        <f t="shared" si="201"/>
        <v>0</v>
      </c>
      <c r="AX247" s="189"/>
      <c r="AY247" s="172">
        <f t="shared" si="202"/>
        <v>0</v>
      </c>
      <c r="AZ247" s="171">
        <f t="shared" si="203"/>
        <v>0</v>
      </c>
      <c r="BA247" s="189"/>
      <c r="BB247" s="172">
        <f t="shared" si="204"/>
        <v>0</v>
      </c>
      <c r="BC247" s="171">
        <f t="shared" si="205"/>
        <v>0</v>
      </c>
      <c r="BD247" s="189"/>
      <c r="BE247" s="172">
        <f t="shared" si="206"/>
        <v>0</v>
      </c>
      <c r="BF247" s="171">
        <f t="shared" si="207"/>
        <v>0</v>
      </c>
      <c r="BG247" s="189"/>
      <c r="BH247" s="172">
        <f t="shared" si="208"/>
        <v>0</v>
      </c>
      <c r="BI247" s="171">
        <f t="shared" si="209"/>
        <v>0</v>
      </c>
      <c r="BJ247" s="189"/>
      <c r="BK247" s="172">
        <f t="shared" si="210"/>
        <v>0</v>
      </c>
      <c r="BL247" s="171">
        <f t="shared" si="211"/>
        <v>0</v>
      </c>
      <c r="BM247" s="189"/>
      <c r="BN247" s="172">
        <f t="shared" si="212"/>
        <v>0</v>
      </c>
      <c r="BO247" s="171">
        <f t="shared" si="213"/>
        <v>0</v>
      </c>
      <c r="BP247" s="189"/>
      <c r="BQ247" s="172">
        <f t="shared" si="214"/>
        <v>0</v>
      </c>
      <c r="BR247" s="171">
        <f t="shared" si="215"/>
        <v>0</v>
      </c>
      <c r="BS247" s="189"/>
      <c r="BT247" s="172">
        <f t="shared" si="216"/>
        <v>0</v>
      </c>
      <c r="BU247" s="74">
        <f t="shared" si="217"/>
        <v>0</v>
      </c>
      <c r="BV247" s="195" t="str">
        <f>LOOKUP(BU247,'الفترة الاولى'!$BX$2:$BY$6)</f>
        <v>ممتاز</v>
      </c>
      <c r="BW247" s="75" t="e">
        <f>BU247/'الفترة الاولى'!$BZ$2</f>
        <v>#DIV/0!</v>
      </c>
    </row>
    <row r="248" spans="1:75" ht="25.2" customHeight="1" thickBot="1" x14ac:dyDescent="0.3">
      <c r="A248" s="50">
        <v>238</v>
      </c>
      <c r="B248" s="53"/>
      <c r="C248" s="101"/>
      <c r="D248" s="79"/>
      <c r="E248" s="168"/>
      <c r="F248" s="163"/>
      <c r="G248" s="89">
        <f t="shared" si="218"/>
        <v>0</v>
      </c>
      <c r="H248" s="176"/>
      <c r="I248" s="91"/>
      <c r="J248" s="173">
        <f t="shared" si="219"/>
        <v>0</v>
      </c>
      <c r="K248" s="90"/>
      <c r="L248" s="91"/>
      <c r="M248" s="89">
        <f t="shared" si="220"/>
        <v>0</v>
      </c>
      <c r="N248" s="176"/>
      <c r="O248" s="91"/>
      <c r="P248" s="173">
        <f t="shared" si="221"/>
        <v>0</v>
      </c>
      <c r="Q248" s="90"/>
      <c r="R248" s="91"/>
      <c r="S248" s="89">
        <f t="shared" si="222"/>
        <v>0</v>
      </c>
      <c r="T248" s="176"/>
      <c r="U248" s="91"/>
      <c r="V248" s="173">
        <f t="shared" si="223"/>
        <v>0</v>
      </c>
      <c r="W248" s="90"/>
      <c r="X248" s="91"/>
      <c r="Y248" s="89">
        <f t="shared" si="224"/>
        <v>0</v>
      </c>
      <c r="Z248" s="176"/>
      <c r="AA248" s="91"/>
      <c r="AB248" s="173">
        <f t="shared" si="225"/>
        <v>0</v>
      </c>
      <c r="AC248" s="90"/>
      <c r="AD248" s="91"/>
      <c r="AE248" s="89">
        <f t="shared" si="192"/>
        <v>0</v>
      </c>
      <c r="AF248" s="176"/>
      <c r="AG248" s="91"/>
      <c r="AH248" s="89">
        <f t="shared" si="226"/>
        <v>0</v>
      </c>
      <c r="AI248" s="160">
        <f t="shared" si="196"/>
        <v>0</v>
      </c>
      <c r="AJ248" s="201" t="str">
        <f t="shared" si="190"/>
        <v>ممتاز</v>
      </c>
      <c r="AK248" s="66" t="e">
        <f t="shared" si="191"/>
        <v>#DIV/0!</v>
      </c>
      <c r="AM248" s="51">
        <f t="shared" si="227"/>
        <v>238</v>
      </c>
      <c r="AN248" s="86">
        <f t="shared" si="193"/>
        <v>0</v>
      </c>
      <c r="AO248" s="98">
        <f t="shared" si="194"/>
        <v>0</v>
      </c>
      <c r="AP248" s="79">
        <f t="shared" si="195"/>
        <v>0</v>
      </c>
      <c r="AQ248" s="168">
        <f t="shared" si="197"/>
        <v>0</v>
      </c>
      <c r="AR248" s="163"/>
      <c r="AS248" s="89">
        <f t="shared" si="198"/>
        <v>0</v>
      </c>
      <c r="AT248" s="168">
        <f t="shared" si="199"/>
        <v>0</v>
      </c>
      <c r="AU248" s="163"/>
      <c r="AV248" s="89">
        <f t="shared" si="200"/>
        <v>0</v>
      </c>
      <c r="AW248" s="168">
        <f t="shared" si="201"/>
        <v>0</v>
      </c>
      <c r="AX248" s="163"/>
      <c r="AY248" s="89">
        <f t="shared" si="202"/>
        <v>0</v>
      </c>
      <c r="AZ248" s="168">
        <f t="shared" si="203"/>
        <v>0</v>
      </c>
      <c r="BA248" s="163"/>
      <c r="BB248" s="89">
        <f t="shared" si="204"/>
        <v>0</v>
      </c>
      <c r="BC248" s="168">
        <f t="shared" si="205"/>
        <v>0</v>
      </c>
      <c r="BD248" s="163"/>
      <c r="BE248" s="89">
        <f t="shared" si="206"/>
        <v>0</v>
      </c>
      <c r="BF248" s="168">
        <f t="shared" si="207"/>
        <v>0</v>
      </c>
      <c r="BG248" s="163"/>
      <c r="BH248" s="89">
        <f t="shared" si="208"/>
        <v>0</v>
      </c>
      <c r="BI248" s="168">
        <f t="shared" si="209"/>
        <v>0</v>
      </c>
      <c r="BJ248" s="163"/>
      <c r="BK248" s="89">
        <f t="shared" si="210"/>
        <v>0</v>
      </c>
      <c r="BL248" s="168">
        <f t="shared" si="211"/>
        <v>0</v>
      </c>
      <c r="BM248" s="163"/>
      <c r="BN248" s="89">
        <f t="shared" si="212"/>
        <v>0</v>
      </c>
      <c r="BO248" s="168">
        <f t="shared" si="213"/>
        <v>0</v>
      </c>
      <c r="BP248" s="163"/>
      <c r="BQ248" s="89">
        <f t="shared" si="214"/>
        <v>0</v>
      </c>
      <c r="BR248" s="168">
        <f t="shared" si="215"/>
        <v>0</v>
      </c>
      <c r="BS248" s="163"/>
      <c r="BT248" s="89">
        <f t="shared" si="216"/>
        <v>0</v>
      </c>
      <c r="BU248" s="76">
        <f t="shared" si="217"/>
        <v>0</v>
      </c>
      <c r="BV248" s="196" t="str">
        <f>LOOKUP(BU248,'الفترة الاولى'!$BX$2:$BY$6)</f>
        <v>ممتاز</v>
      </c>
      <c r="BW248" s="77" t="e">
        <f>BU248/'الفترة الاولى'!$BZ$2</f>
        <v>#DIV/0!</v>
      </c>
    </row>
    <row r="249" spans="1:75" ht="25.2" customHeight="1" thickBot="1" x14ac:dyDescent="0.3">
      <c r="A249" s="51">
        <v>239</v>
      </c>
      <c r="B249" s="54"/>
      <c r="C249" s="102"/>
      <c r="D249" s="80"/>
      <c r="E249" s="169"/>
      <c r="F249" s="92"/>
      <c r="G249" s="170">
        <f t="shared" si="218"/>
        <v>0</v>
      </c>
      <c r="H249" s="177"/>
      <c r="I249" s="92"/>
      <c r="J249" s="174">
        <f t="shared" si="219"/>
        <v>0</v>
      </c>
      <c r="K249" s="93"/>
      <c r="L249" s="92"/>
      <c r="M249" s="170">
        <f t="shared" si="220"/>
        <v>0</v>
      </c>
      <c r="N249" s="177"/>
      <c r="O249" s="92"/>
      <c r="P249" s="174">
        <f t="shared" si="221"/>
        <v>0</v>
      </c>
      <c r="Q249" s="93"/>
      <c r="R249" s="92"/>
      <c r="S249" s="170">
        <f t="shared" si="222"/>
        <v>0</v>
      </c>
      <c r="T249" s="177"/>
      <c r="U249" s="92"/>
      <c r="V249" s="174">
        <f t="shared" si="223"/>
        <v>0</v>
      </c>
      <c r="W249" s="93"/>
      <c r="X249" s="92"/>
      <c r="Y249" s="170">
        <f t="shared" si="224"/>
        <v>0</v>
      </c>
      <c r="Z249" s="177"/>
      <c r="AA249" s="92"/>
      <c r="AB249" s="174">
        <f t="shared" si="225"/>
        <v>0</v>
      </c>
      <c r="AC249" s="93"/>
      <c r="AD249" s="92"/>
      <c r="AE249" s="89">
        <f t="shared" si="192"/>
        <v>0</v>
      </c>
      <c r="AF249" s="177"/>
      <c r="AG249" s="92"/>
      <c r="AH249" s="170">
        <f t="shared" si="226"/>
        <v>0</v>
      </c>
      <c r="AI249" s="161">
        <f t="shared" si="196"/>
        <v>0</v>
      </c>
      <c r="AJ249" s="202" t="str">
        <f t="shared" si="190"/>
        <v>ممتاز</v>
      </c>
      <c r="AK249" s="67" t="e">
        <f t="shared" si="191"/>
        <v>#DIV/0!</v>
      </c>
      <c r="AM249" s="52">
        <f t="shared" si="227"/>
        <v>239</v>
      </c>
      <c r="AN249" s="87">
        <f t="shared" si="193"/>
        <v>0</v>
      </c>
      <c r="AO249" s="99">
        <f t="shared" si="194"/>
        <v>0</v>
      </c>
      <c r="AP249" s="80">
        <f t="shared" si="195"/>
        <v>0</v>
      </c>
      <c r="AQ249" s="169">
        <f t="shared" si="197"/>
        <v>0</v>
      </c>
      <c r="AR249" s="188"/>
      <c r="AS249" s="170">
        <f t="shared" si="198"/>
        <v>0</v>
      </c>
      <c r="AT249" s="169">
        <f t="shared" si="199"/>
        <v>0</v>
      </c>
      <c r="AU249" s="188"/>
      <c r="AV249" s="170">
        <f t="shared" si="200"/>
        <v>0</v>
      </c>
      <c r="AW249" s="169">
        <f t="shared" si="201"/>
        <v>0</v>
      </c>
      <c r="AX249" s="188"/>
      <c r="AY249" s="170">
        <f t="shared" si="202"/>
        <v>0</v>
      </c>
      <c r="AZ249" s="169">
        <f t="shared" si="203"/>
        <v>0</v>
      </c>
      <c r="BA249" s="188"/>
      <c r="BB249" s="170">
        <f t="shared" si="204"/>
        <v>0</v>
      </c>
      <c r="BC249" s="169">
        <f t="shared" si="205"/>
        <v>0</v>
      </c>
      <c r="BD249" s="188"/>
      <c r="BE249" s="170">
        <f t="shared" si="206"/>
        <v>0</v>
      </c>
      <c r="BF249" s="169">
        <f t="shared" si="207"/>
        <v>0</v>
      </c>
      <c r="BG249" s="188"/>
      <c r="BH249" s="170">
        <f t="shared" si="208"/>
        <v>0</v>
      </c>
      <c r="BI249" s="169">
        <f t="shared" si="209"/>
        <v>0</v>
      </c>
      <c r="BJ249" s="188"/>
      <c r="BK249" s="170">
        <f t="shared" si="210"/>
        <v>0</v>
      </c>
      <c r="BL249" s="169">
        <f t="shared" si="211"/>
        <v>0</v>
      </c>
      <c r="BM249" s="188"/>
      <c r="BN249" s="170">
        <f t="shared" si="212"/>
        <v>0</v>
      </c>
      <c r="BO249" s="169">
        <f t="shared" si="213"/>
        <v>0</v>
      </c>
      <c r="BP249" s="188"/>
      <c r="BQ249" s="170">
        <f t="shared" si="214"/>
        <v>0</v>
      </c>
      <c r="BR249" s="169">
        <f t="shared" si="215"/>
        <v>0</v>
      </c>
      <c r="BS249" s="188"/>
      <c r="BT249" s="170">
        <f t="shared" si="216"/>
        <v>0</v>
      </c>
      <c r="BU249" s="72">
        <f t="shared" si="217"/>
        <v>0</v>
      </c>
      <c r="BV249" s="194" t="str">
        <f>LOOKUP(BU249,'الفترة الاولى'!$BX$2:$BY$6)</f>
        <v>ممتاز</v>
      </c>
      <c r="BW249" s="73" t="e">
        <f>BU249/'الفترة الاولى'!$BZ$2</f>
        <v>#DIV/0!</v>
      </c>
    </row>
    <row r="250" spans="1:75" ht="25.2" customHeight="1" thickBot="1" x14ac:dyDescent="0.3">
      <c r="A250" s="52">
        <v>240</v>
      </c>
      <c r="B250" s="55"/>
      <c r="C250" s="103"/>
      <c r="D250" s="81"/>
      <c r="E250" s="171"/>
      <c r="F250" s="94"/>
      <c r="G250" s="172">
        <f t="shared" si="218"/>
        <v>0</v>
      </c>
      <c r="H250" s="178"/>
      <c r="I250" s="94"/>
      <c r="J250" s="175">
        <f t="shared" si="219"/>
        <v>0</v>
      </c>
      <c r="K250" s="95"/>
      <c r="L250" s="94"/>
      <c r="M250" s="172">
        <f t="shared" si="220"/>
        <v>0</v>
      </c>
      <c r="N250" s="178"/>
      <c r="O250" s="94"/>
      <c r="P250" s="175">
        <f t="shared" si="221"/>
        <v>0</v>
      </c>
      <c r="Q250" s="95"/>
      <c r="R250" s="94"/>
      <c r="S250" s="172">
        <f t="shared" si="222"/>
        <v>0</v>
      </c>
      <c r="T250" s="178"/>
      <c r="U250" s="94"/>
      <c r="V250" s="175">
        <f t="shared" si="223"/>
        <v>0</v>
      </c>
      <c r="W250" s="95"/>
      <c r="X250" s="94"/>
      <c r="Y250" s="172">
        <f t="shared" si="224"/>
        <v>0</v>
      </c>
      <c r="Z250" s="178"/>
      <c r="AA250" s="94"/>
      <c r="AB250" s="175">
        <f t="shared" si="225"/>
        <v>0</v>
      </c>
      <c r="AC250" s="95"/>
      <c r="AD250" s="94"/>
      <c r="AE250" s="89">
        <f t="shared" si="192"/>
        <v>0</v>
      </c>
      <c r="AF250" s="178"/>
      <c r="AG250" s="94"/>
      <c r="AH250" s="172">
        <f t="shared" si="226"/>
        <v>0</v>
      </c>
      <c r="AI250" s="162">
        <f t="shared" si="196"/>
        <v>0</v>
      </c>
      <c r="AJ250" s="200" t="str">
        <f t="shared" si="190"/>
        <v>ممتاز</v>
      </c>
      <c r="AK250" s="65" t="e">
        <f t="shared" si="191"/>
        <v>#DIV/0!</v>
      </c>
      <c r="AM250" s="50">
        <f t="shared" si="227"/>
        <v>240</v>
      </c>
      <c r="AN250" s="88">
        <f t="shared" si="193"/>
        <v>0</v>
      </c>
      <c r="AO250" s="100">
        <f t="shared" si="194"/>
        <v>0</v>
      </c>
      <c r="AP250" s="81">
        <f t="shared" si="195"/>
        <v>0</v>
      </c>
      <c r="AQ250" s="171">
        <f t="shared" si="197"/>
        <v>0</v>
      </c>
      <c r="AR250" s="189"/>
      <c r="AS250" s="172">
        <f t="shared" si="198"/>
        <v>0</v>
      </c>
      <c r="AT250" s="171">
        <f t="shared" si="199"/>
        <v>0</v>
      </c>
      <c r="AU250" s="189"/>
      <c r="AV250" s="172">
        <f t="shared" si="200"/>
        <v>0</v>
      </c>
      <c r="AW250" s="171">
        <f t="shared" si="201"/>
        <v>0</v>
      </c>
      <c r="AX250" s="189"/>
      <c r="AY250" s="172">
        <f t="shared" si="202"/>
        <v>0</v>
      </c>
      <c r="AZ250" s="171">
        <f t="shared" si="203"/>
        <v>0</v>
      </c>
      <c r="BA250" s="189"/>
      <c r="BB250" s="172">
        <f t="shared" si="204"/>
        <v>0</v>
      </c>
      <c r="BC250" s="171">
        <f t="shared" si="205"/>
        <v>0</v>
      </c>
      <c r="BD250" s="189"/>
      <c r="BE250" s="172">
        <f t="shared" si="206"/>
        <v>0</v>
      </c>
      <c r="BF250" s="171">
        <f t="shared" si="207"/>
        <v>0</v>
      </c>
      <c r="BG250" s="189"/>
      <c r="BH250" s="172">
        <f t="shared" si="208"/>
        <v>0</v>
      </c>
      <c r="BI250" s="171">
        <f t="shared" si="209"/>
        <v>0</v>
      </c>
      <c r="BJ250" s="189"/>
      <c r="BK250" s="172">
        <f t="shared" si="210"/>
        <v>0</v>
      </c>
      <c r="BL250" s="171">
        <f t="shared" si="211"/>
        <v>0</v>
      </c>
      <c r="BM250" s="189"/>
      <c r="BN250" s="172">
        <f t="shared" si="212"/>
        <v>0</v>
      </c>
      <c r="BO250" s="171">
        <f t="shared" si="213"/>
        <v>0</v>
      </c>
      <c r="BP250" s="189"/>
      <c r="BQ250" s="172">
        <f t="shared" si="214"/>
        <v>0</v>
      </c>
      <c r="BR250" s="171">
        <f t="shared" si="215"/>
        <v>0</v>
      </c>
      <c r="BS250" s="189"/>
      <c r="BT250" s="172">
        <f t="shared" si="216"/>
        <v>0</v>
      </c>
      <c r="BU250" s="74">
        <f t="shared" si="217"/>
        <v>0</v>
      </c>
      <c r="BV250" s="195" t="str">
        <f>LOOKUP(BU250,'الفترة الاولى'!$BX$2:$BY$6)</f>
        <v>ممتاز</v>
      </c>
      <c r="BW250" s="75" t="e">
        <f>BU250/'الفترة الاولى'!$BZ$2</f>
        <v>#DIV/0!</v>
      </c>
    </row>
    <row r="251" spans="1:75" ht="25.2" customHeight="1" thickBot="1" x14ac:dyDescent="0.3">
      <c r="A251" s="50">
        <v>241</v>
      </c>
      <c r="B251" s="53"/>
      <c r="C251" s="101"/>
      <c r="D251" s="79"/>
      <c r="E251" s="168"/>
      <c r="F251" s="163"/>
      <c r="G251" s="89">
        <f t="shared" si="218"/>
        <v>0</v>
      </c>
      <c r="H251" s="176"/>
      <c r="I251" s="91"/>
      <c r="J251" s="173">
        <f t="shared" si="219"/>
        <v>0</v>
      </c>
      <c r="K251" s="90"/>
      <c r="L251" s="91"/>
      <c r="M251" s="89">
        <f t="shared" si="220"/>
        <v>0</v>
      </c>
      <c r="N251" s="176"/>
      <c r="O251" s="91"/>
      <c r="P251" s="173">
        <f t="shared" si="221"/>
        <v>0</v>
      </c>
      <c r="Q251" s="90"/>
      <c r="R251" s="91"/>
      <c r="S251" s="89">
        <f t="shared" si="222"/>
        <v>0</v>
      </c>
      <c r="T251" s="176"/>
      <c r="U251" s="91"/>
      <c r="V251" s="173">
        <f t="shared" si="223"/>
        <v>0</v>
      </c>
      <c r="W251" s="90"/>
      <c r="X251" s="91"/>
      <c r="Y251" s="89">
        <f t="shared" si="224"/>
        <v>0</v>
      </c>
      <c r="Z251" s="176"/>
      <c r="AA251" s="91"/>
      <c r="AB251" s="173">
        <f t="shared" si="225"/>
        <v>0</v>
      </c>
      <c r="AC251" s="90"/>
      <c r="AD251" s="91"/>
      <c r="AE251" s="89">
        <f t="shared" si="192"/>
        <v>0</v>
      </c>
      <c r="AF251" s="176"/>
      <c r="AG251" s="91"/>
      <c r="AH251" s="89">
        <f t="shared" si="226"/>
        <v>0</v>
      </c>
      <c r="AI251" s="160">
        <f t="shared" si="196"/>
        <v>0</v>
      </c>
      <c r="AJ251" s="201" t="str">
        <f t="shared" si="190"/>
        <v>ممتاز</v>
      </c>
      <c r="AK251" s="66" t="e">
        <f t="shared" si="191"/>
        <v>#DIV/0!</v>
      </c>
      <c r="AM251" s="51">
        <f t="shared" si="227"/>
        <v>241</v>
      </c>
      <c r="AN251" s="86">
        <f t="shared" si="193"/>
        <v>0</v>
      </c>
      <c r="AO251" s="98">
        <f t="shared" si="194"/>
        <v>0</v>
      </c>
      <c r="AP251" s="79">
        <f t="shared" si="195"/>
        <v>0</v>
      </c>
      <c r="AQ251" s="168">
        <f t="shared" si="197"/>
        <v>0</v>
      </c>
      <c r="AR251" s="163"/>
      <c r="AS251" s="89">
        <f t="shared" si="198"/>
        <v>0</v>
      </c>
      <c r="AT251" s="168">
        <f t="shared" si="199"/>
        <v>0</v>
      </c>
      <c r="AU251" s="163"/>
      <c r="AV251" s="89">
        <f t="shared" si="200"/>
        <v>0</v>
      </c>
      <c r="AW251" s="168">
        <f t="shared" si="201"/>
        <v>0</v>
      </c>
      <c r="AX251" s="163"/>
      <c r="AY251" s="89">
        <f t="shared" si="202"/>
        <v>0</v>
      </c>
      <c r="AZ251" s="168">
        <f t="shared" si="203"/>
        <v>0</v>
      </c>
      <c r="BA251" s="163"/>
      <c r="BB251" s="89">
        <f t="shared" si="204"/>
        <v>0</v>
      </c>
      <c r="BC251" s="168">
        <f t="shared" si="205"/>
        <v>0</v>
      </c>
      <c r="BD251" s="163"/>
      <c r="BE251" s="89">
        <f t="shared" si="206"/>
        <v>0</v>
      </c>
      <c r="BF251" s="168">
        <f t="shared" si="207"/>
        <v>0</v>
      </c>
      <c r="BG251" s="163"/>
      <c r="BH251" s="89">
        <f t="shared" si="208"/>
        <v>0</v>
      </c>
      <c r="BI251" s="168">
        <f t="shared" si="209"/>
        <v>0</v>
      </c>
      <c r="BJ251" s="163"/>
      <c r="BK251" s="89">
        <f t="shared" si="210"/>
        <v>0</v>
      </c>
      <c r="BL251" s="168">
        <f t="shared" si="211"/>
        <v>0</v>
      </c>
      <c r="BM251" s="163"/>
      <c r="BN251" s="89">
        <f t="shared" si="212"/>
        <v>0</v>
      </c>
      <c r="BO251" s="168">
        <f t="shared" si="213"/>
        <v>0</v>
      </c>
      <c r="BP251" s="163"/>
      <c r="BQ251" s="89">
        <f t="shared" si="214"/>
        <v>0</v>
      </c>
      <c r="BR251" s="168">
        <f t="shared" si="215"/>
        <v>0</v>
      </c>
      <c r="BS251" s="163"/>
      <c r="BT251" s="89">
        <f t="shared" si="216"/>
        <v>0</v>
      </c>
      <c r="BU251" s="76">
        <f t="shared" si="217"/>
        <v>0</v>
      </c>
      <c r="BV251" s="196" t="str">
        <f>LOOKUP(BU251,'الفترة الاولى'!$BX$2:$BY$6)</f>
        <v>ممتاز</v>
      </c>
      <c r="BW251" s="77" t="e">
        <f>BU251/'الفترة الاولى'!$BZ$2</f>
        <v>#DIV/0!</v>
      </c>
    </row>
    <row r="252" spans="1:75" ht="25.2" customHeight="1" thickBot="1" x14ac:dyDescent="0.3">
      <c r="A252" s="51">
        <v>242</v>
      </c>
      <c r="B252" s="54"/>
      <c r="C252" s="102"/>
      <c r="D252" s="80"/>
      <c r="E252" s="169"/>
      <c r="F252" s="92"/>
      <c r="G252" s="170">
        <f t="shared" si="218"/>
        <v>0</v>
      </c>
      <c r="H252" s="177"/>
      <c r="I252" s="92"/>
      <c r="J252" s="174">
        <f t="shared" si="219"/>
        <v>0</v>
      </c>
      <c r="K252" s="93"/>
      <c r="L252" s="92"/>
      <c r="M252" s="170">
        <f t="shared" si="220"/>
        <v>0</v>
      </c>
      <c r="N252" s="177"/>
      <c r="O252" s="92"/>
      <c r="P252" s="174">
        <f t="shared" si="221"/>
        <v>0</v>
      </c>
      <c r="Q252" s="93"/>
      <c r="R252" s="92"/>
      <c r="S252" s="170">
        <f t="shared" si="222"/>
        <v>0</v>
      </c>
      <c r="T252" s="177"/>
      <c r="U252" s="92"/>
      <c r="V252" s="174">
        <f t="shared" si="223"/>
        <v>0</v>
      </c>
      <c r="W252" s="93"/>
      <c r="X252" s="92"/>
      <c r="Y252" s="170">
        <f t="shared" si="224"/>
        <v>0</v>
      </c>
      <c r="Z252" s="177"/>
      <c r="AA252" s="92"/>
      <c r="AB252" s="174">
        <f t="shared" si="225"/>
        <v>0</v>
      </c>
      <c r="AC252" s="93"/>
      <c r="AD252" s="92"/>
      <c r="AE252" s="89">
        <f t="shared" si="192"/>
        <v>0</v>
      </c>
      <c r="AF252" s="177"/>
      <c r="AG252" s="92"/>
      <c r="AH252" s="170">
        <f t="shared" si="226"/>
        <v>0</v>
      </c>
      <c r="AI252" s="161">
        <f t="shared" si="196"/>
        <v>0</v>
      </c>
      <c r="AJ252" s="202" t="str">
        <f t="shared" si="190"/>
        <v>ممتاز</v>
      </c>
      <c r="AK252" s="67" t="e">
        <f t="shared" si="191"/>
        <v>#DIV/0!</v>
      </c>
      <c r="AM252" s="52">
        <f t="shared" si="227"/>
        <v>242</v>
      </c>
      <c r="AN252" s="87">
        <f t="shared" si="193"/>
        <v>0</v>
      </c>
      <c r="AO252" s="99">
        <f t="shared" si="194"/>
        <v>0</v>
      </c>
      <c r="AP252" s="80">
        <f t="shared" si="195"/>
        <v>0</v>
      </c>
      <c r="AQ252" s="169">
        <f t="shared" si="197"/>
        <v>0</v>
      </c>
      <c r="AR252" s="188"/>
      <c r="AS252" s="170">
        <f t="shared" si="198"/>
        <v>0</v>
      </c>
      <c r="AT252" s="169">
        <f t="shared" si="199"/>
        <v>0</v>
      </c>
      <c r="AU252" s="188"/>
      <c r="AV252" s="170">
        <f t="shared" si="200"/>
        <v>0</v>
      </c>
      <c r="AW252" s="169">
        <f t="shared" si="201"/>
        <v>0</v>
      </c>
      <c r="AX252" s="188"/>
      <c r="AY252" s="170">
        <f t="shared" si="202"/>
        <v>0</v>
      </c>
      <c r="AZ252" s="169">
        <f t="shared" si="203"/>
        <v>0</v>
      </c>
      <c r="BA252" s="188"/>
      <c r="BB252" s="170">
        <f t="shared" si="204"/>
        <v>0</v>
      </c>
      <c r="BC252" s="169">
        <f t="shared" si="205"/>
        <v>0</v>
      </c>
      <c r="BD252" s="188"/>
      <c r="BE252" s="170">
        <f t="shared" si="206"/>
        <v>0</v>
      </c>
      <c r="BF252" s="169">
        <f t="shared" si="207"/>
        <v>0</v>
      </c>
      <c r="BG252" s="188"/>
      <c r="BH252" s="170">
        <f t="shared" si="208"/>
        <v>0</v>
      </c>
      <c r="BI252" s="169">
        <f t="shared" si="209"/>
        <v>0</v>
      </c>
      <c r="BJ252" s="188"/>
      <c r="BK252" s="170">
        <f t="shared" si="210"/>
        <v>0</v>
      </c>
      <c r="BL252" s="169">
        <f t="shared" si="211"/>
        <v>0</v>
      </c>
      <c r="BM252" s="188"/>
      <c r="BN252" s="170">
        <f t="shared" si="212"/>
        <v>0</v>
      </c>
      <c r="BO252" s="169">
        <f t="shared" si="213"/>
        <v>0</v>
      </c>
      <c r="BP252" s="188"/>
      <c r="BQ252" s="170">
        <f t="shared" si="214"/>
        <v>0</v>
      </c>
      <c r="BR252" s="169">
        <f t="shared" si="215"/>
        <v>0</v>
      </c>
      <c r="BS252" s="188"/>
      <c r="BT252" s="170">
        <f t="shared" si="216"/>
        <v>0</v>
      </c>
      <c r="BU252" s="72">
        <f t="shared" si="217"/>
        <v>0</v>
      </c>
      <c r="BV252" s="194" t="str">
        <f>LOOKUP(BU252,'الفترة الاولى'!$BX$2:$BY$6)</f>
        <v>ممتاز</v>
      </c>
      <c r="BW252" s="73" t="e">
        <f>BU252/'الفترة الاولى'!$BZ$2</f>
        <v>#DIV/0!</v>
      </c>
    </row>
    <row r="253" spans="1:75" ht="25.2" customHeight="1" thickBot="1" x14ac:dyDescent="0.3">
      <c r="A253" s="52">
        <v>243</v>
      </c>
      <c r="B253" s="55"/>
      <c r="C253" s="103"/>
      <c r="D253" s="81"/>
      <c r="E253" s="171"/>
      <c r="F253" s="94"/>
      <c r="G253" s="172">
        <f t="shared" si="218"/>
        <v>0</v>
      </c>
      <c r="H253" s="178"/>
      <c r="I253" s="94"/>
      <c r="J253" s="175">
        <f t="shared" si="219"/>
        <v>0</v>
      </c>
      <c r="K253" s="95"/>
      <c r="L253" s="94"/>
      <c r="M253" s="172">
        <f t="shared" si="220"/>
        <v>0</v>
      </c>
      <c r="N253" s="178"/>
      <c r="O253" s="94"/>
      <c r="P253" s="175">
        <f t="shared" si="221"/>
        <v>0</v>
      </c>
      <c r="Q253" s="95"/>
      <c r="R253" s="94"/>
      <c r="S253" s="172">
        <f t="shared" si="222"/>
        <v>0</v>
      </c>
      <c r="T253" s="178"/>
      <c r="U253" s="94"/>
      <c r="V253" s="175">
        <f t="shared" si="223"/>
        <v>0</v>
      </c>
      <c r="W253" s="95"/>
      <c r="X253" s="94"/>
      <c r="Y253" s="172">
        <f t="shared" si="224"/>
        <v>0</v>
      </c>
      <c r="Z253" s="178"/>
      <c r="AA253" s="94"/>
      <c r="AB253" s="175">
        <f t="shared" si="225"/>
        <v>0</v>
      </c>
      <c r="AC253" s="95"/>
      <c r="AD253" s="94"/>
      <c r="AE253" s="89">
        <f t="shared" si="192"/>
        <v>0</v>
      </c>
      <c r="AF253" s="178"/>
      <c r="AG253" s="94"/>
      <c r="AH253" s="172">
        <f t="shared" si="226"/>
        <v>0</v>
      </c>
      <c r="AI253" s="162">
        <f t="shared" si="196"/>
        <v>0</v>
      </c>
      <c r="AJ253" s="200" t="str">
        <f t="shared" si="190"/>
        <v>ممتاز</v>
      </c>
      <c r="AK253" s="65" t="e">
        <f t="shared" si="191"/>
        <v>#DIV/0!</v>
      </c>
      <c r="AM253" s="50">
        <f t="shared" si="227"/>
        <v>243</v>
      </c>
      <c r="AN253" s="88">
        <f t="shared" si="193"/>
        <v>0</v>
      </c>
      <c r="AO253" s="100">
        <f t="shared" si="194"/>
        <v>0</v>
      </c>
      <c r="AP253" s="81">
        <f t="shared" si="195"/>
        <v>0</v>
      </c>
      <c r="AQ253" s="171">
        <f t="shared" si="197"/>
        <v>0</v>
      </c>
      <c r="AR253" s="189"/>
      <c r="AS253" s="172">
        <f t="shared" si="198"/>
        <v>0</v>
      </c>
      <c r="AT253" s="171">
        <f t="shared" si="199"/>
        <v>0</v>
      </c>
      <c r="AU253" s="189"/>
      <c r="AV253" s="172">
        <f t="shared" si="200"/>
        <v>0</v>
      </c>
      <c r="AW253" s="171">
        <f t="shared" si="201"/>
        <v>0</v>
      </c>
      <c r="AX253" s="189"/>
      <c r="AY253" s="172">
        <f t="shared" si="202"/>
        <v>0</v>
      </c>
      <c r="AZ253" s="171">
        <f t="shared" si="203"/>
        <v>0</v>
      </c>
      <c r="BA253" s="189"/>
      <c r="BB253" s="172">
        <f t="shared" si="204"/>
        <v>0</v>
      </c>
      <c r="BC253" s="171">
        <f t="shared" si="205"/>
        <v>0</v>
      </c>
      <c r="BD253" s="189"/>
      <c r="BE253" s="172">
        <f t="shared" si="206"/>
        <v>0</v>
      </c>
      <c r="BF253" s="171">
        <f t="shared" si="207"/>
        <v>0</v>
      </c>
      <c r="BG253" s="189"/>
      <c r="BH253" s="172">
        <f t="shared" si="208"/>
        <v>0</v>
      </c>
      <c r="BI253" s="171">
        <f t="shared" si="209"/>
        <v>0</v>
      </c>
      <c r="BJ253" s="189"/>
      <c r="BK253" s="172">
        <f t="shared" si="210"/>
        <v>0</v>
      </c>
      <c r="BL253" s="171">
        <f t="shared" si="211"/>
        <v>0</v>
      </c>
      <c r="BM253" s="189"/>
      <c r="BN253" s="172">
        <f t="shared" si="212"/>
        <v>0</v>
      </c>
      <c r="BO253" s="171">
        <f t="shared" si="213"/>
        <v>0</v>
      </c>
      <c r="BP253" s="189"/>
      <c r="BQ253" s="172">
        <f t="shared" si="214"/>
        <v>0</v>
      </c>
      <c r="BR253" s="171">
        <f t="shared" si="215"/>
        <v>0</v>
      </c>
      <c r="BS253" s="189"/>
      <c r="BT253" s="172">
        <f t="shared" si="216"/>
        <v>0</v>
      </c>
      <c r="BU253" s="74">
        <f t="shared" si="217"/>
        <v>0</v>
      </c>
      <c r="BV253" s="195" t="str">
        <f>LOOKUP(BU253,'الفترة الاولى'!$BX$2:$BY$6)</f>
        <v>ممتاز</v>
      </c>
      <c r="BW253" s="75" t="e">
        <f>BU253/'الفترة الاولى'!$BZ$2</f>
        <v>#DIV/0!</v>
      </c>
    </row>
    <row r="254" spans="1:75" ht="25.2" customHeight="1" thickBot="1" x14ac:dyDescent="0.3">
      <c r="A254" s="50">
        <v>244</v>
      </c>
      <c r="B254" s="53"/>
      <c r="C254" s="101"/>
      <c r="D254" s="79"/>
      <c r="E254" s="168"/>
      <c r="F254" s="163"/>
      <c r="G254" s="89">
        <f t="shared" si="218"/>
        <v>0</v>
      </c>
      <c r="H254" s="176"/>
      <c r="I254" s="91"/>
      <c r="J254" s="173">
        <f t="shared" si="219"/>
        <v>0</v>
      </c>
      <c r="K254" s="90"/>
      <c r="L254" s="91"/>
      <c r="M254" s="89">
        <f t="shared" si="220"/>
        <v>0</v>
      </c>
      <c r="N254" s="176"/>
      <c r="O254" s="91"/>
      <c r="P254" s="173">
        <f t="shared" si="221"/>
        <v>0</v>
      </c>
      <c r="Q254" s="90"/>
      <c r="R254" s="91"/>
      <c r="S254" s="89">
        <f t="shared" si="222"/>
        <v>0</v>
      </c>
      <c r="T254" s="176"/>
      <c r="U254" s="91"/>
      <c r="V254" s="173">
        <f t="shared" si="223"/>
        <v>0</v>
      </c>
      <c r="W254" s="90"/>
      <c r="X254" s="91"/>
      <c r="Y254" s="89">
        <f t="shared" si="224"/>
        <v>0</v>
      </c>
      <c r="Z254" s="176"/>
      <c r="AA254" s="91"/>
      <c r="AB254" s="173">
        <f t="shared" si="225"/>
        <v>0</v>
      </c>
      <c r="AC254" s="90"/>
      <c r="AD254" s="91"/>
      <c r="AE254" s="89">
        <f t="shared" si="192"/>
        <v>0</v>
      </c>
      <c r="AF254" s="176"/>
      <c r="AG254" s="91"/>
      <c r="AH254" s="89">
        <f t="shared" si="226"/>
        <v>0</v>
      </c>
      <c r="AI254" s="160">
        <f t="shared" si="196"/>
        <v>0</v>
      </c>
      <c r="AJ254" s="201" t="str">
        <f t="shared" si="190"/>
        <v>ممتاز</v>
      </c>
      <c r="AK254" s="66" t="e">
        <f t="shared" si="191"/>
        <v>#DIV/0!</v>
      </c>
      <c r="AM254" s="51">
        <f t="shared" si="227"/>
        <v>244</v>
      </c>
      <c r="AN254" s="86">
        <f t="shared" si="193"/>
        <v>0</v>
      </c>
      <c r="AO254" s="98">
        <f t="shared" si="194"/>
        <v>0</v>
      </c>
      <c r="AP254" s="79">
        <f t="shared" si="195"/>
        <v>0</v>
      </c>
      <c r="AQ254" s="168">
        <f t="shared" si="197"/>
        <v>0</v>
      </c>
      <c r="AR254" s="163"/>
      <c r="AS254" s="89">
        <f t="shared" si="198"/>
        <v>0</v>
      </c>
      <c r="AT254" s="168">
        <f t="shared" si="199"/>
        <v>0</v>
      </c>
      <c r="AU254" s="163"/>
      <c r="AV254" s="89">
        <f t="shared" si="200"/>
        <v>0</v>
      </c>
      <c r="AW254" s="168">
        <f t="shared" si="201"/>
        <v>0</v>
      </c>
      <c r="AX254" s="163"/>
      <c r="AY254" s="89">
        <f t="shared" si="202"/>
        <v>0</v>
      </c>
      <c r="AZ254" s="168">
        <f t="shared" si="203"/>
        <v>0</v>
      </c>
      <c r="BA254" s="163"/>
      <c r="BB254" s="89">
        <f t="shared" si="204"/>
        <v>0</v>
      </c>
      <c r="BC254" s="168">
        <f t="shared" si="205"/>
        <v>0</v>
      </c>
      <c r="BD254" s="163"/>
      <c r="BE254" s="89">
        <f t="shared" si="206"/>
        <v>0</v>
      </c>
      <c r="BF254" s="168">
        <f t="shared" si="207"/>
        <v>0</v>
      </c>
      <c r="BG254" s="163"/>
      <c r="BH254" s="89">
        <f t="shared" si="208"/>
        <v>0</v>
      </c>
      <c r="BI254" s="168">
        <f t="shared" si="209"/>
        <v>0</v>
      </c>
      <c r="BJ254" s="163"/>
      <c r="BK254" s="89">
        <f t="shared" si="210"/>
        <v>0</v>
      </c>
      <c r="BL254" s="168">
        <f t="shared" si="211"/>
        <v>0</v>
      </c>
      <c r="BM254" s="163"/>
      <c r="BN254" s="89">
        <f t="shared" si="212"/>
        <v>0</v>
      </c>
      <c r="BO254" s="168">
        <f t="shared" si="213"/>
        <v>0</v>
      </c>
      <c r="BP254" s="163"/>
      <c r="BQ254" s="89">
        <f t="shared" si="214"/>
        <v>0</v>
      </c>
      <c r="BR254" s="168">
        <f t="shared" si="215"/>
        <v>0</v>
      </c>
      <c r="BS254" s="163"/>
      <c r="BT254" s="89">
        <f t="shared" si="216"/>
        <v>0</v>
      </c>
      <c r="BU254" s="76">
        <f t="shared" si="217"/>
        <v>0</v>
      </c>
      <c r="BV254" s="196" t="str">
        <f>LOOKUP(BU254,'الفترة الاولى'!$BX$2:$BY$6)</f>
        <v>ممتاز</v>
      </c>
      <c r="BW254" s="77" t="e">
        <f>BU254/'الفترة الاولى'!$BZ$2</f>
        <v>#DIV/0!</v>
      </c>
    </row>
    <row r="255" spans="1:75" ht="25.2" customHeight="1" thickBot="1" x14ac:dyDescent="0.3">
      <c r="A255" s="51">
        <v>245</v>
      </c>
      <c r="B255" s="54"/>
      <c r="C255" s="102"/>
      <c r="D255" s="80"/>
      <c r="E255" s="169"/>
      <c r="F255" s="92"/>
      <c r="G255" s="170">
        <f t="shared" si="218"/>
        <v>0</v>
      </c>
      <c r="H255" s="177"/>
      <c r="I255" s="92"/>
      <c r="J255" s="174">
        <f t="shared" si="219"/>
        <v>0</v>
      </c>
      <c r="K255" s="93"/>
      <c r="L255" s="92"/>
      <c r="M255" s="170">
        <f t="shared" si="220"/>
        <v>0</v>
      </c>
      <c r="N255" s="177"/>
      <c r="O255" s="92"/>
      <c r="P255" s="174">
        <f t="shared" si="221"/>
        <v>0</v>
      </c>
      <c r="Q255" s="93"/>
      <c r="R255" s="92"/>
      <c r="S255" s="170">
        <f t="shared" si="222"/>
        <v>0</v>
      </c>
      <c r="T255" s="177"/>
      <c r="U255" s="92"/>
      <c r="V255" s="174">
        <f t="shared" si="223"/>
        <v>0</v>
      </c>
      <c r="W255" s="93"/>
      <c r="X255" s="92"/>
      <c r="Y255" s="170">
        <f t="shared" si="224"/>
        <v>0</v>
      </c>
      <c r="Z255" s="177"/>
      <c r="AA255" s="92"/>
      <c r="AB255" s="174">
        <f t="shared" si="225"/>
        <v>0</v>
      </c>
      <c r="AC255" s="93"/>
      <c r="AD255" s="92"/>
      <c r="AE255" s="89">
        <f t="shared" si="192"/>
        <v>0</v>
      </c>
      <c r="AF255" s="177"/>
      <c r="AG255" s="92"/>
      <c r="AH255" s="170">
        <f t="shared" si="226"/>
        <v>0</v>
      </c>
      <c r="AI255" s="161">
        <f t="shared" si="196"/>
        <v>0</v>
      </c>
      <c r="AJ255" s="202" t="str">
        <f t="shared" si="190"/>
        <v>ممتاز</v>
      </c>
      <c r="AK255" s="67" t="e">
        <f t="shared" si="191"/>
        <v>#DIV/0!</v>
      </c>
      <c r="AM255" s="52">
        <f t="shared" si="227"/>
        <v>245</v>
      </c>
      <c r="AN255" s="87">
        <f t="shared" si="193"/>
        <v>0</v>
      </c>
      <c r="AO255" s="99">
        <f t="shared" si="194"/>
        <v>0</v>
      </c>
      <c r="AP255" s="80">
        <f t="shared" si="195"/>
        <v>0</v>
      </c>
      <c r="AQ255" s="169">
        <f t="shared" si="197"/>
        <v>0</v>
      </c>
      <c r="AR255" s="188"/>
      <c r="AS255" s="170">
        <f t="shared" si="198"/>
        <v>0</v>
      </c>
      <c r="AT255" s="169">
        <f t="shared" si="199"/>
        <v>0</v>
      </c>
      <c r="AU255" s="188"/>
      <c r="AV255" s="170">
        <f t="shared" si="200"/>
        <v>0</v>
      </c>
      <c r="AW255" s="169">
        <f t="shared" si="201"/>
        <v>0</v>
      </c>
      <c r="AX255" s="188"/>
      <c r="AY255" s="170">
        <f t="shared" si="202"/>
        <v>0</v>
      </c>
      <c r="AZ255" s="169">
        <f t="shared" si="203"/>
        <v>0</v>
      </c>
      <c r="BA255" s="188"/>
      <c r="BB255" s="170">
        <f t="shared" si="204"/>
        <v>0</v>
      </c>
      <c r="BC255" s="169">
        <f t="shared" si="205"/>
        <v>0</v>
      </c>
      <c r="BD255" s="188"/>
      <c r="BE255" s="170">
        <f t="shared" si="206"/>
        <v>0</v>
      </c>
      <c r="BF255" s="169">
        <f t="shared" si="207"/>
        <v>0</v>
      </c>
      <c r="BG255" s="188"/>
      <c r="BH255" s="170">
        <f t="shared" si="208"/>
        <v>0</v>
      </c>
      <c r="BI255" s="169">
        <f t="shared" si="209"/>
        <v>0</v>
      </c>
      <c r="BJ255" s="188"/>
      <c r="BK255" s="170">
        <f t="shared" si="210"/>
        <v>0</v>
      </c>
      <c r="BL255" s="169">
        <f t="shared" si="211"/>
        <v>0</v>
      </c>
      <c r="BM255" s="188"/>
      <c r="BN255" s="170">
        <f t="shared" si="212"/>
        <v>0</v>
      </c>
      <c r="BO255" s="169">
        <f t="shared" si="213"/>
        <v>0</v>
      </c>
      <c r="BP255" s="188"/>
      <c r="BQ255" s="170">
        <f t="shared" si="214"/>
        <v>0</v>
      </c>
      <c r="BR255" s="169">
        <f t="shared" si="215"/>
        <v>0</v>
      </c>
      <c r="BS255" s="188"/>
      <c r="BT255" s="170">
        <f t="shared" si="216"/>
        <v>0</v>
      </c>
      <c r="BU255" s="72">
        <f t="shared" si="217"/>
        <v>0</v>
      </c>
      <c r="BV255" s="194" t="str">
        <f>LOOKUP(BU255,'الفترة الاولى'!$BX$2:$BY$6)</f>
        <v>ممتاز</v>
      </c>
      <c r="BW255" s="73" t="e">
        <f>BU255/'الفترة الاولى'!$BZ$2</f>
        <v>#DIV/0!</v>
      </c>
    </row>
    <row r="256" spans="1:75" ht="25.2" customHeight="1" thickBot="1" x14ac:dyDescent="0.3">
      <c r="A256" s="52">
        <v>246</v>
      </c>
      <c r="B256" s="55"/>
      <c r="C256" s="103"/>
      <c r="D256" s="81"/>
      <c r="E256" s="171"/>
      <c r="F256" s="94"/>
      <c r="G256" s="172">
        <f t="shared" si="218"/>
        <v>0</v>
      </c>
      <c r="H256" s="178"/>
      <c r="I256" s="94"/>
      <c r="J256" s="175">
        <f t="shared" si="219"/>
        <v>0</v>
      </c>
      <c r="K256" s="95"/>
      <c r="L256" s="94"/>
      <c r="M256" s="172">
        <f t="shared" si="220"/>
        <v>0</v>
      </c>
      <c r="N256" s="178"/>
      <c r="O256" s="94"/>
      <c r="P256" s="175">
        <f t="shared" si="221"/>
        <v>0</v>
      </c>
      <c r="Q256" s="95"/>
      <c r="R256" s="94"/>
      <c r="S256" s="172">
        <f t="shared" si="222"/>
        <v>0</v>
      </c>
      <c r="T256" s="178"/>
      <c r="U256" s="94"/>
      <c r="V256" s="175">
        <f t="shared" si="223"/>
        <v>0</v>
      </c>
      <c r="W256" s="95"/>
      <c r="X256" s="94"/>
      <c r="Y256" s="172">
        <f t="shared" si="224"/>
        <v>0</v>
      </c>
      <c r="Z256" s="178"/>
      <c r="AA256" s="94"/>
      <c r="AB256" s="175">
        <f t="shared" si="225"/>
        <v>0</v>
      </c>
      <c r="AC256" s="95"/>
      <c r="AD256" s="94"/>
      <c r="AE256" s="89">
        <f t="shared" si="192"/>
        <v>0</v>
      </c>
      <c r="AF256" s="178"/>
      <c r="AG256" s="94"/>
      <c r="AH256" s="172">
        <f t="shared" si="226"/>
        <v>0</v>
      </c>
      <c r="AI256" s="162">
        <f t="shared" si="196"/>
        <v>0</v>
      </c>
      <c r="AJ256" s="200" t="str">
        <f t="shared" si="190"/>
        <v>ممتاز</v>
      </c>
      <c r="AK256" s="65" t="e">
        <f t="shared" si="191"/>
        <v>#DIV/0!</v>
      </c>
      <c r="AM256" s="50">
        <f t="shared" si="227"/>
        <v>246</v>
      </c>
      <c r="AN256" s="88">
        <f t="shared" si="193"/>
        <v>0</v>
      </c>
      <c r="AO256" s="100">
        <f t="shared" si="194"/>
        <v>0</v>
      </c>
      <c r="AP256" s="81">
        <f t="shared" si="195"/>
        <v>0</v>
      </c>
      <c r="AQ256" s="171">
        <f t="shared" si="197"/>
        <v>0</v>
      </c>
      <c r="AR256" s="189"/>
      <c r="AS256" s="172">
        <f t="shared" si="198"/>
        <v>0</v>
      </c>
      <c r="AT256" s="171">
        <f t="shared" si="199"/>
        <v>0</v>
      </c>
      <c r="AU256" s="189"/>
      <c r="AV256" s="172">
        <f t="shared" si="200"/>
        <v>0</v>
      </c>
      <c r="AW256" s="171">
        <f t="shared" si="201"/>
        <v>0</v>
      </c>
      <c r="AX256" s="189"/>
      <c r="AY256" s="172">
        <f t="shared" si="202"/>
        <v>0</v>
      </c>
      <c r="AZ256" s="171">
        <f t="shared" si="203"/>
        <v>0</v>
      </c>
      <c r="BA256" s="189"/>
      <c r="BB256" s="172">
        <f t="shared" si="204"/>
        <v>0</v>
      </c>
      <c r="BC256" s="171">
        <f t="shared" si="205"/>
        <v>0</v>
      </c>
      <c r="BD256" s="189"/>
      <c r="BE256" s="172">
        <f t="shared" si="206"/>
        <v>0</v>
      </c>
      <c r="BF256" s="171">
        <f t="shared" si="207"/>
        <v>0</v>
      </c>
      <c r="BG256" s="189"/>
      <c r="BH256" s="172">
        <f t="shared" si="208"/>
        <v>0</v>
      </c>
      <c r="BI256" s="171">
        <f t="shared" si="209"/>
        <v>0</v>
      </c>
      <c r="BJ256" s="189"/>
      <c r="BK256" s="172">
        <f t="shared" si="210"/>
        <v>0</v>
      </c>
      <c r="BL256" s="171">
        <f t="shared" si="211"/>
        <v>0</v>
      </c>
      <c r="BM256" s="189"/>
      <c r="BN256" s="172">
        <f t="shared" si="212"/>
        <v>0</v>
      </c>
      <c r="BO256" s="171">
        <f t="shared" si="213"/>
        <v>0</v>
      </c>
      <c r="BP256" s="189"/>
      <c r="BQ256" s="172">
        <f t="shared" si="214"/>
        <v>0</v>
      </c>
      <c r="BR256" s="171">
        <f t="shared" si="215"/>
        <v>0</v>
      </c>
      <c r="BS256" s="189"/>
      <c r="BT256" s="172">
        <f t="shared" si="216"/>
        <v>0</v>
      </c>
      <c r="BU256" s="74">
        <f t="shared" si="217"/>
        <v>0</v>
      </c>
      <c r="BV256" s="195" t="str">
        <f>LOOKUP(BU256,'الفترة الاولى'!$BX$2:$BY$6)</f>
        <v>ممتاز</v>
      </c>
      <c r="BW256" s="75" t="e">
        <f>BU256/'الفترة الاولى'!$BZ$2</f>
        <v>#DIV/0!</v>
      </c>
    </row>
    <row r="257" spans="1:75" ht="25.2" customHeight="1" thickBot="1" x14ac:dyDescent="0.3">
      <c r="A257" s="50">
        <v>247</v>
      </c>
      <c r="B257" s="53"/>
      <c r="C257" s="101"/>
      <c r="D257" s="79"/>
      <c r="E257" s="168"/>
      <c r="F257" s="163"/>
      <c r="G257" s="89">
        <f t="shared" si="218"/>
        <v>0</v>
      </c>
      <c r="H257" s="176"/>
      <c r="I257" s="91"/>
      <c r="J257" s="173">
        <f t="shared" si="219"/>
        <v>0</v>
      </c>
      <c r="K257" s="90"/>
      <c r="L257" s="91"/>
      <c r="M257" s="89">
        <f t="shared" si="220"/>
        <v>0</v>
      </c>
      <c r="N257" s="176"/>
      <c r="O257" s="91"/>
      <c r="P257" s="173">
        <f t="shared" si="221"/>
        <v>0</v>
      </c>
      <c r="Q257" s="90"/>
      <c r="R257" s="91"/>
      <c r="S257" s="89">
        <f t="shared" si="222"/>
        <v>0</v>
      </c>
      <c r="T257" s="176"/>
      <c r="U257" s="91"/>
      <c r="V257" s="173">
        <f t="shared" si="223"/>
        <v>0</v>
      </c>
      <c r="W257" s="90"/>
      <c r="X257" s="91"/>
      <c r="Y257" s="89">
        <f t="shared" si="224"/>
        <v>0</v>
      </c>
      <c r="Z257" s="176"/>
      <c r="AA257" s="91"/>
      <c r="AB257" s="173">
        <f t="shared" si="225"/>
        <v>0</v>
      </c>
      <c r="AC257" s="90"/>
      <c r="AD257" s="91"/>
      <c r="AE257" s="89">
        <f t="shared" si="192"/>
        <v>0</v>
      </c>
      <c r="AF257" s="176"/>
      <c r="AG257" s="91"/>
      <c r="AH257" s="89">
        <f t="shared" si="226"/>
        <v>0</v>
      </c>
      <c r="AI257" s="160">
        <f t="shared" si="196"/>
        <v>0</v>
      </c>
      <c r="AJ257" s="201" t="str">
        <f t="shared" si="190"/>
        <v>ممتاز</v>
      </c>
      <c r="AK257" s="66" t="e">
        <f t="shared" si="191"/>
        <v>#DIV/0!</v>
      </c>
      <c r="AM257" s="51">
        <f t="shared" si="227"/>
        <v>247</v>
      </c>
      <c r="AN257" s="86">
        <f t="shared" si="193"/>
        <v>0</v>
      </c>
      <c r="AO257" s="98">
        <f t="shared" si="194"/>
        <v>0</v>
      </c>
      <c r="AP257" s="79">
        <f t="shared" si="195"/>
        <v>0</v>
      </c>
      <c r="AQ257" s="168">
        <f t="shared" si="197"/>
        <v>0</v>
      </c>
      <c r="AR257" s="163"/>
      <c r="AS257" s="89">
        <f t="shared" si="198"/>
        <v>0</v>
      </c>
      <c r="AT257" s="168">
        <f t="shared" si="199"/>
        <v>0</v>
      </c>
      <c r="AU257" s="163"/>
      <c r="AV257" s="89">
        <f t="shared" si="200"/>
        <v>0</v>
      </c>
      <c r="AW257" s="168">
        <f t="shared" si="201"/>
        <v>0</v>
      </c>
      <c r="AX257" s="163"/>
      <c r="AY257" s="89">
        <f t="shared" si="202"/>
        <v>0</v>
      </c>
      <c r="AZ257" s="168">
        <f t="shared" si="203"/>
        <v>0</v>
      </c>
      <c r="BA257" s="163"/>
      <c r="BB257" s="89">
        <f t="shared" si="204"/>
        <v>0</v>
      </c>
      <c r="BC257" s="168">
        <f t="shared" si="205"/>
        <v>0</v>
      </c>
      <c r="BD257" s="163"/>
      <c r="BE257" s="89">
        <f t="shared" si="206"/>
        <v>0</v>
      </c>
      <c r="BF257" s="168">
        <f t="shared" si="207"/>
        <v>0</v>
      </c>
      <c r="BG257" s="163"/>
      <c r="BH257" s="89">
        <f t="shared" si="208"/>
        <v>0</v>
      </c>
      <c r="BI257" s="168">
        <f t="shared" si="209"/>
        <v>0</v>
      </c>
      <c r="BJ257" s="163"/>
      <c r="BK257" s="89">
        <f t="shared" si="210"/>
        <v>0</v>
      </c>
      <c r="BL257" s="168">
        <f t="shared" si="211"/>
        <v>0</v>
      </c>
      <c r="BM257" s="163"/>
      <c r="BN257" s="89">
        <f t="shared" si="212"/>
        <v>0</v>
      </c>
      <c r="BO257" s="168">
        <f t="shared" si="213"/>
        <v>0</v>
      </c>
      <c r="BP257" s="163"/>
      <c r="BQ257" s="89">
        <f t="shared" si="214"/>
        <v>0</v>
      </c>
      <c r="BR257" s="168">
        <f t="shared" si="215"/>
        <v>0</v>
      </c>
      <c r="BS257" s="163"/>
      <c r="BT257" s="89">
        <f t="shared" si="216"/>
        <v>0</v>
      </c>
      <c r="BU257" s="76">
        <f t="shared" si="217"/>
        <v>0</v>
      </c>
      <c r="BV257" s="196" t="str">
        <f>LOOKUP(BU257,'الفترة الاولى'!$BX$2:$BY$6)</f>
        <v>ممتاز</v>
      </c>
      <c r="BW257" s="77" t="e">
        <f>BU257/'الفترة الاولى'!$BZ$2</f>
        <v>#DIV/0!</v>
      </c>
    </row>
    <row r="258" spans="1:75" ht="25.2" customHeight="1" thickBot="1" x14ac:dyDescent="0.3">
      <c r="A258" s="51">
        <v>248</v>
      </c>
      <c r="B258" s="54"/>
      <c r="C258" s="102"/>
      <c r="D258" s="80"/>
      <c r="E258" s="169"/>
      <c r="F258" s="92"/>
      <c r="G258" s="170">
        <f t="shared" si="218"/>
        <v>0</v>
      </c>
      <c r="H258" s="177"/>
      <c r="I258" s="92"/>
      <c r="J258" s="174">
        <f t="shared" si="219"/>
        <v>0</v>
      </c>
      <c r="K258" s="93"/>
      <c r="L258" s="92"/>
      <c r="M258" s="170">
        <f t="shared" si="220"/>
        <v>0</v>
      </c>
      <c r="N258" s="177"/>
      <c r="O258" s="92"/>
      <c r="P258" s="174">
        <f t="shared" si="221"/>
        <v>0</v>
      </c>
      <c r="Q258" s="93"/>
      <c r="R258" s="92"/>
      <c r="S258" s="170">
        <f t="shared" si="222"/>
        <v>0</v>
      </c>
      <c r="T258" s="177"/>
      <c r="U258" s="92"/>
      <c r="V258" s="174">
        <f t="shared" si="223"/>
        <v>0</v>
      </c>
      <c r="W258" s="93"/>
      <c r="X258" s="92"/>
      <c r="Y258" s="170">
        <f t="shared" si="224"/>
        <v>0</v>
      </c>
      <c r="Z258" s="177"/>
      <c r="AA258" s="92"/>
      <c r="AB258" s="174">
        <f t="shared" si="225"/>
        <v>0</v>
      </c>
      <c r="AC258" s="93"/>
      <c r="AD258" s="92"/>
      <c r="AE258" s="89">
        <f t="shared" si="192"/>
        <v>0</v>
      </c>
      <c r="AF258" s="177"/>
      <c r="AG258" s="92"/>
      <c r="AH258" s="170">
        <f t="shared" si="226"/>
        <v>0</v>
      </c>
      <c r="AI258" s="161">
        <f t="shared" si="196"/>
        <v>0</v>
      </c>
      <c r="AJ258" s="202" t="str">
        <f t="shared" si="190"/>
        <v>ممتاز</v>
      </c>
      <c r="AK258" s="67" t="e">
        <f t="shared" si="191"/>
        <v>#DIV/0!</v>
      </c>
      <c r="AM258" s="52">
        <f t="shared" si="227"/>
        <v>248</v>
      </c>
      <c r="AN258" s="87">
        <f t="shared" si="193"/>
        <v>0</v>
      </c>
      <c r="AO258" s="99">
        <f t="shared" si="194"/>
        <v>0</v>
      </c>
      <c r="AP258" s="80">
        <f t="shared" si="195"/>
        <v>0</v>
      </c>
      <c r="AQ258" s="169">
        <f t="shared" si="197"/>
        <v>0</v>
      </c>
      <c r="AR258" s="188"/>
      <c r="AS258" s="170">
        <f t="shared" si="198"/>
        <v>0</v>
      </c>
      <c r="AT258" s="169">
        <f t="shared" si="199"/>
        <v>0</v>
      </c>
      <c r="AU258" s="188"/>
      <c r="AV258" s="170">
        <f t="shared" si="200"/>
        <v>0</v>
      </c>
      <c r="AW258" s="169">
        <f t="shared" si="201"/>
        <v>0</v>
      </c>
      <c r="AX258" s="188"/>
      <c r="AY258" s="170">
        <f t="shared" si="202"/>
        <v>0</v>
      </c>
      <c r="AZ258" s="169">
        <f t="shared" si="203"/>
        <v>0</v>
      </c>
      <c r="BA258" s="188"/>
      <c r="BB258" s="170">
        <f t="shared" si="204"/>
        <v>0</v>
      </c>
      <c r="BC258" s="169">
        <f t="shared" si="205"/>
        <v>0</v>
      </c>
      <c r="BD258" s="188"/>
      <c r="BE258" s="170">
        <f t="shared" si="206"/>
        <v>0</v>
      </c>
      <c r="BF258" s="169">
        <f t="shared" si="207"/>
        <v>0</v>
      </c>
      <c r="BG258" s="188"/>
      <c r="BH258" s="170">
        <f t="shared" si="208"/>
        <v>0</v>
      </c>
      <c r="BI258" s="169">
        <f t="shared" si="209"/>
        <v>0</v>
      </c>
      <c r="BJ258" s="188"/>
      <c r="BK258" s="170">
        <f t="shared" si="210"/>
        <v>0</v>
      </c>
      <c r="BL258" s="169">
        <f t="shared" si="211"/>
        <v>0</v>
      </c>
      <c r="BM258" s="188"/>
      <c r="BN258" s="170">
        <f t="shared" si="212"/>
        <v>0</v>
      </c>
      <c r="BO258" s="169">
        <f t="shared" si="213"/>
        <v>0</v>
      </c>
      <c r="BP258" s="188"/>
      <c r="BQ258" s="170">
        <f t="shared" si="214"/>
        <v>0</v>
      </c>
      <c r="BR258" s="169">
        <f t="shared" si="215"/>
        <v>0</v>
      </c>
      <c r="BS258" s="188"/>
      <c r="BT258" s="170">
        <f t="shared" si="216"/>
        <v>0</v>
      </c>
      <c r="BU258" s="72">
        <f t="shared" si="217"/>
        <v>0</v>
      </c>
      <c r="BV258" s="194" t="str">
        <f>LOOKUP(BU258,'الفترة الاولى'!$BX$2:$BY$6)</f>
        <v>ممتاز</v>
      </c>
      <c r="BW258" s="73" t="e">
        <f>BU258/'الفترة الاولى'!$BZ$2</f>
        <v>#DIV/0!</v>
      </c>
    </row>
    <row r="259" spans="1:75" ht="25.2" customHeight="1" thickBot="1" x14ac:dyDescent="0.3">
      <c r="A259" s="52">
        <v>249</v>
      </c>
      <c r="B259" s="55"/>
      <c r="C259" s="103"/>
      <c r="D259" s="81"/>
      <c r="E259" s="171"/>
      <c r="F259" s="94"/>
      <c r="G259" s="172">
        <f t="shared" si="218"/>
        <v>0</v>
      </c>
      <c r="H259" s="178"/>
      <c r="I259" s="94"/>
      <c r="J259" s="175">
        <f t="shared" si="219"/>
        <v>0</v>
      </c>
      <c r="K259" s="95"/>
      <c r="L259" s="94"/>
      <c r="M259" s="172">
        <f t="shared" si="220"/>
        <v>0</v>
      </c>
      <c r="N259" s="178"/>
      <c r="O259" s="94"/>
      <c r="P259" s="175">
        <f t="shared" si="221"/>
        <v>0</v>
      </c>
      <c r="Q259" s="95"/>
      <c r="R259" s="94"/>
      <c r="S259" s="172">
        <f t="shared" si="222"/>
        <v>0</v>
      </c>
      <c r="T259" s="178"/>
      <c r="U259" s="94"/>
      <c r="V259" s="175">
        <f t="shared" si="223"/>
        <v>0</v>
      </c>
      <c r="W259" s="95"/>
      <c r="X259" s="94"/>
      <c r="Y259" s="172">
        <f t="shared" si="224"/>
        <v>0</v>
      </c>
      <c r="Z259" s="178"/>
      <c r="AA259" s="94"/>
      <c r="AB259" s="175">
        <f t="shared" si="225"/>
        <v>0</v>
      </c>
      <c r="AC259" s="95"/>
      <c r="AD259" s="94"/>
      <c r="AE259" s="89">
        <f t="shared" si="192"/>
        <v>0</v>
      </c>
      <c r="AF259" s="178"/>
      <c r="AG259" s="94"/>
      <c r="AH259" s="172">
        <f t="shared" si="226"/>
        <v>0</v>
      </c>
      <c r="AI259" s="162">
        <f t="shared" si="196"/>
        <v>0</v>
      </c>
      <c r="AJ259" s="200" t="str">
        <f t="shared" si="190"/>
        <v>ممتاز</v>
      </c>
      <c r="AK259" s="65" t="e">
        <f t="shared" si="191"/>
        <v>#DIV/0!</v>
      </c>
      <c r="AM259" s="50">
        <f t="shared" si="227"/>
        <v>249</v>
      </c>
      <c r="AN259" s="88">
        <f t="shared" si="193"/>
        <v>0</v>
      </c>
      <c r="AO259" s="100">
        <f t="shared" si="194"/>
        <v>0</v>
      </c>
      <c r="AP259" s="81">
        <f t="shared" si="195"/>
        <v>0</v>
      </c>
      <c r="AQ259" s="171">
        <f t="shared" si="197"/>
        <v>0</v>
      </c>
      <c r="AR259" s="189"/>
      <c r="AS259" s="172">
        <f t="shared" si="198"/>
        <v>0</v>
      </c>
      <c r="AT259" s="171">
        <f t="shared" si="199"/>
        <v>0</v>
      </c>
      <c r="AU259" s="189"/>
      <c r="AV259" s="172">
        <f t="shared" si="200"/>
        <v>0</v>
      </c>
      <c r="AW259" s="171">
        <f t="shared" si="201"/>
        <v>0</v>
      </c>
      <c r="AX259" s="189"/>
      <c r="AY259" s="172">
        <f t="shared" si="202"/>
        <v>0</v>
      </c>
      <c r="AZ259" s="171">
        <f t="shared" si="203"/>
        <v>0</v>
      </c>
      <c r="BA259" s="189"/>
      <c r="BB259" s="172">
        <f t="shared" si="204"/>
        <v>0</v>
      </c>
      <c r="BC259" s="171">
        <f t="shared" si="205"/>
        <v>0</v>
      </c>
      <c r="BD259" s="189"/>
      <c r="BE259" s="172">
        <f t="shared" si="206"/>
        <v>0</v>
      </c>
      <c r="BF259" s="171">
        <f t="shared" si="207"/>
        <v>0</v>
      </c>
      <c r="BG259" s="189"/>
      <c r="BH259" s="172">
        <f t="shared" si="208"/>
        <v>0</v>
      </c>
      <c r="BI259" s="171">
        <f t="shared" si="209"/>
        <v>0</v>
      </c>
      <c r="BJ259" s="189"/>
      <c r="BK259" s="172">
        <f t="shared" si="210"/>
        <v>0</v>
      </c>
      <c r="BL259" s="171">
        <f t="shared" si="211"/>
        <v>0</v>
      </c>
      <c r="BM259" s="189"/>
      <c r="BN259" s="172">
        <f t="shared" si="212"/>
        <v>0</v>
      </c>
      <c r="BO259" s="171">
        <f t="shared" si="213"/>
        <v>0</v>
      </c>
      <c r="BP259" s="189"/>
      <c r="BQ259" s="172">
        <f t="shared" si="214"/>
        <v>0</v>
      </c>
      <c r="BR259" s="171">
        <f t="shared" si="215"/>
        <v>0</v>
      </c>
      <c r="BS259" s="189"/>
      <c r="BT259" s="172">
        <f t="shared" si="216"/>
        <v>0</v>
      </c>
      <c r="BU259" s="74">
        <f t="shared" si="217"/>
        <v>0</v>
      </c>
      <c r="BV259" s="195" t="str">
        <f>LOOKUP(BU259,'الفترة الاولى'!$BX$2:$BY$6)</f>
        <v>ممتاز</v>
      </c>
      <c r="BW259" s="75" t="e">
        <f>BU259/'الفترة الاولى'!$BZ$2</f>
        <v>#DIV/0!</v>
      </c>
    </row>
    <row r="260" spans="1:75" ht="25.2" customHeight="1" thickBot="1" x14ac:dyDescent="0.3">
      <c r="A260" s="50">
        <v>250</v>
      </c>
      <c r="B260" s="53"/>
      <c r="C260" s="101"/>
      <c r="D260" s="79"/>
      <c r="E260" s="168"/>
      <c r="F260" s="163"/>
      <c r="G260" s="89">
        <f t="shared" si="218"/>
        <v>0</v>
      </c>
      <c r="H260" s="176"/>
      <c r="I260" s="91"/>
      <c r="J260" s="173">
        <f t="shared" si="219"/>
        <v>0</v>
      </c>
      <c r="K260" s="90"/>
      <c r="L260" s="91"/>
      <c r="M260" s="89">
        <f t="shared" si="220"/>
        <v>0</v>
      </c>
      <c r="N260" s="176"/>
      <c r="O260" s="91"/>
      <c r="P260" s="173">
        <f t="shared" si="221"/>
        <v>0</v>
      </c>
      <c r="Q260" s="90"/>
      <c r="R260" s="91"/>
      <c r="S260" s="89">
        <f t="shared" si="222"/>
        <v>0</v>
      </c>
      <c r="T260" s="176"/>
      <c r="U260" s="91"/>
      <c r="V260" s="173">
        <f t="shared" si="223"/>
        <v>0</v>
      </c>
      <c r="W260" s="90"/>
      <c r="X260" s="91"/>
      <c r="Y260" s="89">
        <f t="shared" si="224"/>
        <v>0</v>
      </c>
      <c r="Z260" s="176"/>
      <c r="AA260" s="91"/>
      <c r="AB260" s="173">
        <f t="shared" si="225"/>
        <v>0</v>
      </c>
      <c r="AC260" s="90"/>
      <c r="AD260" s="91"/>
      <c r="AE260" s="89">
        <f t="shared" si="192"/>
        <v>0</v>
      </c>
      <c r="AF260" s="176"/>
      <c r="AG260" s="91"/>
      <c r="AH260" s="89">
        <f t="shared" si="226"/>
        <v>0</v>
      </c>
      <c r="AI260" s="160">
        <f t="shared" si="196"/>
        <v>0</v>
      </c>
      <c r="AJ260" s="201" t="str">
        <f t="shared" si="190"/>
        <v>ممتاز</v>
      </c>
      <c r="AK260" s="66" t="e">
        <f t="shared" si="191"/>
        <v>#DIV/0!</v>
      </c>
      <c r="AM260" s="51">
        <f t="shared" si="227"/>
        <v>250</v>
      </c>
      <c r="AN260" s="86">
        <f t="shared" si="193"/>
        <v>0</v>
      </c>
      <c r="AO260" s="98">
        <f t="shared" si="194"/>
        <v>0</v>
      </c>
      <c r="AP260" s="79">
        <f t="shared" si="195"/>
        <v>0</v>
      </c>
      <c r="AQ260" s="168">
        <f t="shared" si="197"/>
        <v>0</v>
      </c>
      <c r="AR260" s="163"/>
      <c r="AS260" s="89">
        <f t="shared" si="198"/>
        <v>0</v>
      </c>
      <c r="AT260" s="168">
        <f t="shared" si="199"/>
        <v>0</v>
      </c>
      <c r="AU260" s="163"/>
      <c r="AV260" s="89">
        <f t="shared" si="200"/>
        <v>0</v>
      </c>
      <c r="AW260" s="168">
        <f t="shared" si="201"/>
        <v>0</v>
      </c>
      <c r="AX260" s="163"/>
      <c r="AY260" s="89">
        <f t="shared" si="202"/>
        <v>0</v>
      </c>
      <c r="AZ260" s="168">
        <f t="shared" si="203"/>
        <v>0</v>
      </c>
      <c r="BA260" s="163"/>
      <c r="BB260" s="89">
        <f t="shared" si="204"/>
        <v>0</v>
      </c>
      <c r="BC260" s="168">
        <f t="shared" si="205"/>
        <v>0</v>
      </c>
      <c r="BD260" s="163"/>
      <c r="BE260" s="89">
        <f t="shared" si="206"/>
        <v>0</v>
      </c>
      <c r="BF260" s="168">
        <f t="shared" si="207"/>
        <v>0</v>
      </c>
      <c r="BG260" s="163"/>
      <c r="BH260" s="89">
        <f t="shared" si="208"/>
        <v>0</v>
      </c>
      <c r="BI260" s="168">
        <f t="shared" si="209"/>
        <v>0</v>
      </c>
      <c r="BJ260" s="163"/>
      <c r="BK260" s="89">
        <f t="shared" si="210"/>
        <v>0</v>
      </c>
      <c r="BL260" s="168">
        <f t="shared" si="211"/>
        <v>0</v>
      </c>
      <c r="BM260" s="163"/>
      <c r="BN260" s="89">
        <f t="shared" si="212"/>
        <v>0</v>
      </c>
      <c r="BO260" s="168">
        <f t="shared" si="213"/>
        <v>0</v>
      </c>
      <c r="BP260" s="163"/>
      <c r="BQ260" s="89">
        <f t="shared" si="214"/>
        <v>0</v>
      </c>
      <c r="BR260" s="168">
        <f t="shared" si="215"/>
        <v>0</v>
      </c>
      <c r="BS260" s="163"/>
      <c r="BT260" s="89">
        <f t="shared" si="216"/>
        <v>0</v>
      </c>
      <c r="BU260" s="76">
        <f t="shared" si="217"/>
        <v>0</v>
      </c>
      <c r="BV260" s="196" t="str">
        <f>LOOKUP(BU260,'الفترة الاولى'!$BX$2:$BY$6)</f>
        <v>ممتاز</v>
      </c>
      <c r="BW260" s="77" t="e">
        <f>BU260/'الفترة الاولى'!$BZ$2</f>
        <v>#DIV/0!</v>
      </c>
    </row>
    <row r="261" spans="1:75" ht="25.2" customHeight="1" thickBot="1" x14ac:dyDescent="0.3">
      <c r="A261" s="51">
        <v>251</v>
      </c>
      <c r="B261" s="54"/>
      <c r="C261" s="102"/>
      <c r="D261" s="80"/>
      <c r="E261" s="169"/>
      <c r="F261" s="92"/>
      <c r="G261" s="170">
        <f t="shared" si="218"/>
        <v>0</v>
      </c>
      <c r="H261" s="177"/>
      <c r="I261" s="92"/>
      <c r="J261" s="174">
        <f t="shared" si="219"/>
        <v>0</v>
      </c>
      <c r="K261" s="93"/>
      <c r="L261" s="92"/>
      <c r="M261" s="170">
        <f t="shared" si="220"/>
        <v>0</v>
      </c>
      <c r="N261" s="177"/>
      <c r="O261" s="92"/>
      <c r="P261" s="174">
        <f t="shared" si="221"/>
        <v>0</v>
      </c>
      <c r="Q261" s="93"/>
      <c r="R261" s="92"/>
      <c r="S261" s="170">
        <f t="shared" si="222"/>
        <v>0</v>
      </c>
      <c r="T261" s="177"/>
      <c r="U261" s="92"/>
      <c r="V261" s="174">
        <f t="shared" si="223"/>
        <v>0</v>
      </c>
      <c r="W261" s="93"/>
      <c r="X261" s="92"/>
      <c r="Y261" s="170">
        <f t="shared" si="224"/>
        <v>0</v>
      </c>
      <c r="Z261" s="177"/>
      <c r="AA261" s="92"/>
      <c r="AB261" s="174">
        <f t="shared" si="225"/>
        <v>0</v>
      </c>
      <c r="AC261" s="93"/>
      <c r="AD261" s="92"/>
      <c r="AE261" s="89">
        <f t="shared" si="192"/>
        <v>0</v>
      </c>
      <c r="AF261" s="177"/>
      <c r="AG261" s="92"/>
      <c r="AH261" s="170">
        <f t="shared" si="226"/>
        <v>0</v>
      </c>
      <c r="AI261" s="161">
        <f t="shared" si="196"/>
        <v>0</v>
      </c>
      <c r="AJ261" s="202" t="str">
        <f t="shared" si="190"/>
        <v>ممتاز</v>
      </c>
      <c r="AK261" s="67" t="e">
        <f t="shared" si="191"/>
        <v>#DIV/0!</v>
      </c>
      <c r="AM261" s="52">
        <f t="shared" si="227"/>
        <v>251</v>
      </c>
      <c r="AN261" s="87">
        <f t="shared" si="193"/>
        <v>0</v>
      </c>
      <c r="AO261" s="99">
        <f t="shared" si="194"/>
        <v>0</v>
      </c>
      <c r="AP261" s="80">
        <f t="shared" si="195"/>
        <v>0</v>
      </c>
      <c r="AQ261" s="169">
        <f t="shared" si="197"/>
        <v>0</v>
      </c>
      <c r="AR261" s="188"/>
      <c r="AS261" s="170">
        <f t="shared" si="198"/>
        <v>0</v>
      </c>
      <c r="AT261" s="169">
        <f t="shared" si="199"/>
        <v>0</v>
      </c>
      <c r="AU261" s="188"/>
      <c r="AV261" s="170">
        <f t="shared" si="200"/>
        <v>0</v>
      </c>
      <c r="AW261" s="169">
        <f t="shared" si="201"/>
        <v>0</v>
      </c>
      <c r="AX261" s="188"/>
      <c r="AY261" s="170">
        <f t="shared" si="202"/>
        <v>0</v>
      </c>
      <c r="AZ261" s="169">
        <f t="shared" si="203"/>
        <v>0</v>
      </c>
      <c r="BA261" s="188"/>
      <c r="BB261" s="170">
        <f t="shared" si="204"/>
        <v>0</v>
      </c>
      <c r="BC261" s="169">
        <f t="shared" si="205"/>
        <v>0</v>
      </c>
      <c r="BD261" s="188"/>
      <c r="BE261" s="170">
        <f t="shared" si="206"/>
        <v>0</v>
      </c>
      <c r="BF261" s="169">
        <f t="shared" si="207"/>
        <v>0</v>
      </c>
      <c r="BG261" s="188"/>
      <c r="BH261" s="170">
        <f t="shared" si="208"/>
        <v>0</v>
      </c>
      <c r="BI261" s="169">
        <f t="shared" si="209"/>
        <v>0</v>
      </c>
      <c r="BJ261" s="188"/>
      <c r="BK261" s="170">
        <f t="shared" si="210"/>
        <v>0</v>
      </c>
      <c r="BL261" s="169">
        <f t="shared" si="211"/>
        <v>0</v>
      </c>
      <c r="BM261" s="188"/>
      <c r="BN261" s="170">
        <f t="shared" si="212"/>
        <v>0</v>
      </c>
      <c r="BO261" s="169">
        <f t="shared" si="213"/>
        <v>0</v>
      </c>
      <c r="BP261" s="188"/>
      <c r="BQ261" s="170">
        <f t="shared" si="214"/>
        <v>0</v>
      </c>
      <c r="BR261" s="169">
        <f t="shared" si="215"/>
        <v>0</v>
      </c>
      <c r="BS261" s="188"/>
      <c r="BT261" s="170">
        <f t="shared" si="216"/>
        <v>0</v>
      </c>
      <c r="BU261" s="72">
        <f t="shared" si="217"/>
        <v>0</v>
      </c>
      <c r="BV261" s="194" t="str">
        <f>LOOKUP(BU261,'الفترة الاولى'!$BX$2:$BY$6)</f>
        <v>ممتاز</v>
      </c>
      <c r="BW261" s="73" t="e">
        <f>BU261/'الفترة الاولى'!$BZ$2</f>
        <v>#DIV/0!</v>
      </c>
    </row>
    <row r="262" spans="1:75" ht="25.2" customHeight="1" thickBot="1" x14ac:dyDescent="0.3">
      <c r="A262" s="52">
        <v>252</v>
      </c>
      <c r="B262" s="55"/>
      <c r="C262" s="103"/>
      <c r="D262" s="81"/>
      <c r="E262" s="171"/>
      <c r="F262" s="94"/>
      <c r="G262" s="172">
        <f t="shared" si="218"/>
        <v>0</v>
      </c>
      <c r="H262" s="178"/>
      <c r="I262" s="94"/>
      <c r="J262" s="175">
        <f t="shared" si="219"/>
        <v>0</v>
      </c>
      <c r="K262" s="95"/>
      <c r="L262" s="94"/>
      <c r="M262" s="172">
        <f t="shared" si="220"/>
        <v>0</v>
      </c>
      <c r="N262" s="178"/>
      <c r="O262" s="94"/>
      <c r="P262" s="175">
        <f t="shared" si="221"/>
        <v>0</v>
      </c>
      <c r="Q262" s="95"/>
      <c r="R262" s="94"/>
      <c r="S262" s="172">
        <f t="shared" si="222"/>
        <v>0</v>
      </c>
      <c r="T262" s="178"/>
      <c r="U262" s="94"/>
      <c r="V262" s="175">
        <f t="shared" si="223"/>
        <v>0</v>
      </c>
      <c r="W262" s="95"/>
      <c r="X262" s="94"/>
      <c r="Y262" s="172">
        <f t="shared" si="224"/>
        <v>0</v>
      </c>
      <c r="Z262" s="178"/>
      <c r="AA262" s="94"/>
      <c r="AB262" s="175">
        <f t="shared" si="225"/>
        <v>0</v>
      </c>
      <c r="AC262" s="95"/>
      <c r="AD262" s="94"/>
      <c r="AE262" s="89">
        <f t="shared" si="192"/>
        <v>0</v>
      </c>
      <c r="AF262" s="178"/>
      <c r="AG262" s="94"/>
      <c r="AH262" s="172">
        <f t="shared" si="226"/>
        <v>0</v>
      </c>
      <c r="AI262" s="162">
        <f t="shared" si="196"/>
        <v>0</v>
      </c>
      <c r="AJ262" s="200" t="str">
        <f t="shared" si="190"/>
        <v>ممتاز</v>
      </c>
      <c r="AK262" s="65" t="e">
        <f t="shared" si="191"/>
        <v>#DIV/0!</v>
      </c>
      <c r="AM262" s="50">
        <f t="shared" si="227"/>
        <v>252</v>
      </c>
      <c r="AN262" s="88">
        <f t="shared" si="193"/>
        <v>0</v>
      </c>
      <c r="AO262" s="100">
        <f t="shared" si="194"/>
        <v>0</v>
      </c>
      <c r="AP262" s="81">
        <f t="shared" si="195"/>
        <v>0</v>
      </c>
      <c r="AQ262" s="171">
        <f t="shared" si="197"/>
        <v>0</v>
      </c>
      <c r="AR262" s="189"/>
      <c r="AS262" s="172">
        <f t="shared" si="198"/>
        <v>0</v>
      </c>
      <c r="AT262" s="171">
        <f t="shared" si="199"/>
        <v>0</v>
      </c>
      <c r="AU262" s="189"/>
      <c r="AV262" s="172">
        <f t="shared" si="200"/>
        <v>0</v>
      </c>
      <c r="AW262" s="171">
        <f t="shared" si="201"/>
        <v>0</v>
      </c>
      <c r="AX262" s="189"/>
      <c r="AY262" s="172">
        <f t="shared" si="202"/>
        <v>0</v>
      </c>
      <c r="AZ262" s="171">
        <f t="shared" si="203"/>
        <v>0</v>
      </c>
      <c r="BA262" s="189"/>
      <c r="BB262" s="172">
        <f t="shared" si="204"/>
        <v>0</v>
      </c>
      <c r="BC262" s="171">
        <f t="shared" si="205"/>
        <v>0</v>
      </c>
      <c r="BD262" s="189"/>
      <c r="BE262" s="172">
        <f t="shared" si="206"/>
        <v>0</v>
      </c>
      <c r="BF262" s="171">
        <f t="shared" si="207"/>
        <v>0</v>
      </c>
      <c r="BG262" s="189"/>
      <c r="BH262" s="172">
        <f t="shared" si="208"/>
        <v>0</v>
      </c>
      <c r="BI262" s="171">
        <f t="shared" si="209"/>
        <v>0</v>
      </c>
      <c r="BJ262" s="189"/>
      <c r="BK262" s="172">
        <f t="shared" si="210"/>
        <v>0</v>
      </c>
      <c r="BL262" s="171">
        <f t="shared" si="211"/>
        <v>0</v>
      </c>
      <c r="BM262" s="189"/>
      <c r="BN262" s="172">
        <f t="shared" si="212"/>
        <v>0</v>
      </c>
      <c r="BO262" s="171">
        <f t="shared" si="213"/>
        <v>0</v>
      </c>
      <c r="BP262" s="189"/>
      <c r="BQ262" s="172">
        <f t="shared" si="214"/>
        <v>0</v>
      </c>
      <c r="BR262" s="171">
        <f t="shared" si="215"/>
        <v>0</v>
      </c>
      <c r="BS262" s="189"/>
      <c r="BT262" s="172">
        <f t="shared" si="216"/>
        <v>0</v>
      </c>
      <c r="BU262" s="74">
        <f t="shared" si="217"/>
        <v>0</v>
      </c>
      <c r="BV262" s="195" t="str">
        <f>LOOKUP(BU262,'الفترة الاولى'!$BX$2:$BY$6)</f>
        <v>ممتاز</v>
      </c>
      <c r="BW262" s="75" t="e">
        <f>BU262/'الفترة الاولى'!$BZ$2</f>
        <v>#DIV/0!</v>
      </c>
    </row>
    <row r="263" spans="1:75" ht="25.2" customHeight="1" thickBot="1" x14ac:dyDescent="0.3">
      <c r="A263" s="50">
        <v>253</v>
      </c>
      <c r="B263" s="53"/>
      <c r="C263" s="101"/>
      <c r="D263" s="79"/>
      <c r="E263" s="168"/>
      <c r="F263" s="163"/>
      <c r="G263" s="89">
        <f t="shared" si="218"/>
        <v>0</v>
      </c>
      <c r="H263" s="176"/>
      <c r="I263" s="91"/>
      <c r="J263" s="173">
        <f t="shared" si="219"/>
        <v>0</v>
      </c>
      <c r="K263" s="90"/>
      <c r="L263" s="91"/>
      <c r="M263" s="89">
        <f t="shared" si="220"/>
        <v>0</v>
      </c>
      <c r="N263" s="176"/>
      <c r="O263" s="91"/>
      <c r="P263" s="173">
        <f t="shared" si="221"/>
        <v>0</v>
      </c>
      <c r="Q263" s="90"/>
      <c r="R263" s="91"/>
      <c r="S263" s="89">
        <f t="shared" si="222"/>
        <v>0</v>
      </c>
      <c r="T263" s="176"/>
      <c r="U263" s="91"/>
      <c r="V263" s="173">
        <f t="shared" si="223"/>
        <v>0</v>
      </c>
      <c r="W263" s="90"/>
      <c r="X263" s="91"/>
      <c r="Y263" s="89">
        <f t="shared" si="224"/>
        <v>0</v>
      </c>
      <c r="Z263" s="176"/>
      <c r="AA263" s="91"/>
      <c r="AB263" s="173">
        <f t="shared" si="225"/>
        <v>0</v>
      </c>
      <c r="AC263" s="90"/>
      <c r="AD263" s="91"/>
      <c r="AE263" s="89">
        <f t="shared" si="192"/>
        <v>0</v>
      </c>
      <c r="AF263" s="176"/>
      <c r="AG263" s="91"/>
      <c r="AH263" s="89">
        <f t="shared" si="226"/>
        <v>0</v>
      </c>
      <c r="AI263" s="160">
        <f t="shared" si="196"/>
        <v>0</v>
      </c>
      <c r="AJ263" s="201" t="str">
        <f t="shared" si="190"/>
        <v>ممتاز</v>
      </c>
      <c r="AK263" s="66" t="e">
        <f t="shared" si="191"/>
        <v>#DIV/0!</v>
      </c>
      <c r="AM263" s="51">
        <f t="shared" si="227"/>
        <v>253</v>
      </c>
      <c r="AN263" s="86">
        <f t="shared" si="193"/>
        <v>0</v>
      </c>
      <c r="AO263" s="98">
        <f t="shared" si="194"/>
        <v>0</v>
      </c>
      <c r="AP263" s="79">
        <f t="shared" si="195"/>
        <v>0</v>
      </c>
      <c r="AQ263" s="168">
        <f t="shared" si="197"/>
        <v>0</v>
      </c>
      <c r="AR263" s="163"/>
      <c r="AS263" s="89">
        <f t="shared" si="198"/>
        <v>0</v>
      </c>
      <c r="AT263" s="168">
        <f t="shared" si="199"/>
        <v>0</v>
      </c>
      <c r="AU263" s="163"/>
      <c r="AV263" s="89">
        <f t="shared" si="200"/>
        <v>0</v>
      </c>
      <c r="AW263" s="168">
        <f t="shared" si="201"/>
        <v>0</v>
      </c>
      <c r="AX263" s="163"/>
      <c r="AY263" s="89">
        <f t="shared" si="202"/>
        <v>0</v>
      </c>
      <c r="AZ263" s="168">
        <f t="shared" si="203"/>
        <v>0</v>
      </c>
      <c r="BA263" s="163"/>
      <c r="BB263" s="89">
        <f t="shared" si="204"/>
        <v>0</v>
      </c>
      <c r="BC263" s="168">
        <f t="shared" si="205"/>
        <v>0</v>
      </c>
      <c r="BD263" s="163"/>
      <c r="BE263" s="89">
        <f t="shared" si="206"/>
        <v>0</v>
      </c>
      <c r="BF263" s="168">
        <f t="shared" si="207"/>
        <v>0</v>
      </c>
      <c r="BG263" s="163"/>
      <c r="BH263" s="89">
        <f t="shared" si="208"/>
        <v>0</v>
      </c>
      <c r="BI263" s="168">
        <f t="shared" si="209"/>
        <v>0</v>
      </c>
      <c r="BJ263" s="163"/>
      <c r="BK263" s="89">
        <f t="shared" si="210"/>
        <v>0</v>
      </c>
      <c r="BL263" s="168">
        <f t="shared" si="211"/>
        <v>0</v>
      </c>
      <c r="BM263" s="163"/>
      <c r="BN263" s="89">
        <f t="shared" si="212"/>
        <v>0</v>
      </c>
      <c r="BO263" s="168">
        <f t="shared" si="213"/>
        <v>0</v>
      </c>
      <c r="BP263" s="163"/>
      <c r="BQ263" s="89">
        <f t="shared" si="214"/>
        <v>0</v>
      </c>
      <c r="BR263" s="168">
        <f t="shared" si="215"/>
        <v>0</v>
      </c>
      <c r="BS263" s="163"/>
      <c r="BT263" s="89">
        <f t="shared" si="216"/>
        <v>0</v>
      </c>
      <c r="BU263" s="76">
        <f t="shared" si="217"/>
        <v>0</v>
      </c>
      <c r="BV263" s="196" t="str">
        <f>LOOKUP(BU263,'الفترة الاولى'!$BX$2:$BY$6)</f>
        <v>ممتاز</v>
      </c>
      <c r="BW263" s="77" t="e">
        <f>BU263/'الفترة الاولى'!$BZ$2</f>
        <v>#DIV/0!</v>
      </c>
    </row>
    <row r="264" spans="1:75" ht="25.2" customHeight="1" thickBot="1" x14ac:dyDescent="0.3">
      <c r="A264" s="51">
        <v>254</v>
      </c>
      <c r="B264" s="54"/>
      <c r="C264" s="102"/>
      <c r="D264" s="80"/>
      <c r="E264" s="169"/>
      <c r="F264" s="92"/>
      <c r="G264" s="170">
        <f t="shared" si="218"/>
        <v>0</v>
      </c>
      <c r="H264" s="177"/>
      <c r="I264" s="92"/>
      <c r="J264" s="174">
        <f t="shared" si="219"/>
        <v>0</v>
      </c>
      <c r="K264" s="93"/>
      <c r="L264" s="92"/>
      <c r="M264" s="170">
        <f t="shared" si="220"/>
        <v>0</v>
      </c>
      <c r="N264" s="177"/>
      <c r="O264" s="92"/>
      <c r="P264" s="174">
        <f t="shared" si="221"/>
        <v>0</v>
      </c>
      <c r="Q264" s="93"/>
      <c r="R264" s="92"/>
      <c r="S264" s="170">
        <f t="shared" si="222"/>
        <v>0</v>
      </c>
      <c r="T264" s="177"/>
      <c r="U264" s="92"/>
      <c r="V264" s="174">
        <f t="shared" si="223"/>
        <v>0</v>
      </c>
      <c r="W264" s="93"/>
      <c r="X264" s="92"/>
      <c r="Y264" s="170">
        <f t="shared" si="224"/>
        <v>0</v>
      </c>
      <c r="Z264" s="177"/>
      <c r="AA264" s="92"/>
      <c r="AB264" s="174">
        <f t="shared" si="225"/>
        <v>0</v>
      </c>
      <c r="AC264" s="93"/>
      <c r="AD264" s="92"/>
      <c r="AE264" s="89">
        <f t="shared" si="192"/>
        <v>0</v>
      </c>
      <c r="AF264" s="177"/>
      <c r="AG264" s="92"/>
      <c r="AH264" s="170">
        <f t="shared" si="226"/>
        <v>0</v>
      </c>
      <c r="AI264" s="161">
        <f t="shared" si="196"/>
        <v>0</v>
      </c>
      <c r="AJ264" s="202" t="str">
        <f t="shared" si="190"/>
        <v>ممتاز</v>
      </c>
      <c r="AK264" s="67" t="e">
        <f t="shared" si="191"/>
        <v>#DIV/0!</v>
      </c>
      <c r="AM264" s="52">
        <f t="shared" si="227"/>
        <v>254</v>
      </c>
      <c r="AN264" s="87">
        <f t="shared" si="193"/>
        <v>0</v>
      </c>
      <c r="AO264" s="99">
        <f t="shared" si="194"/>
        <v>0</v>
      </c>
      <c r="AP264" s="80">
        <f t="shared" si="195"/>
        <v>0</v>
      </c>
      <c r="AQ264" s="169">
        <f t="shared" si="197"/>
        <v>0</v>
      </c>
      <c r="AR264" s="188"/>
      <c r="AS264" s="170">
        <f t="shared" si="198"/>
        <v>0</v>
      </c>
      <c r="AT264" s="169">
        <f t="shared" si="199"/>
        <v>0</v>
      </c>
      <c r="AU264" s="188"/>
      <c r="AV264" s="170">
        <f t="shared" si="200"/>
        <v>0</v>
      </c>
      <c r="AW264" s="169">
        <f t="shared" si="201"/>
        <v>0</v>
      </c>
      <c r="AX264" s="188"/>
      <c r="AY264" s="170">
        <f t="shared" si="202"/>
        <v>0</v>
      </c>
      <c r="AZ264" s="169">
        <f t="shared" si="203"/>
        <v>0</v>
      </c>
      <c r="BA264" s="188"/>
      <c r="BB264" s="170">
        <f t="shared" si="204"/>
        <v>0</v>
      </c>
      <c r="BC264" s="169">
        <f t="shared" si="205"/>
        <v>0</v>
      </c>
      <c r="BD264" s="188"/>
      <c r="BE264" s="170">
        <f t="shared" si="206"/>
        <v>0</v>
      </c>
      <c r="BF264" s="169">
        <f t="shared" si="207"/>
        <v>0</v>
      </c>
      <c r="BG264" s="188"/>
      <c r="BH264" s="170">
        <f t="shared" si="208"/>
        <v>0</v>
      </c>
      <c r="BI264" s="169">
        <f t="shared" si="209"/>
        <v>0</v>
      </c>
      <c r="BJ264" s="188"/>
      <c r="BK264" s="170">
        <f t="shared" si="210"/>
        <v>0</v>
      </c>
      <c r="BL264" s="169">
        <f t="shared" si="211"/>
        <v>0</v>
      </c>
      <c r="BM264" s="188"/>
      <c r="BN264" s="170">
        <f t="shared" si="212"/>
        <v>0</v>
      </c>
      <c r="BO264" s="169">
        <f t="shared" si="213"/>
        <v>0</v>
      </c>
      <c r="BP264" s="188"/>
      <c r="BQ264" s="170">
        <f t="shared" si="214"/>
        <v>0</v>
      </c>
      <c r="BR264" s="169">
        <f t="shared" si="215"/>
        <v>0</v>
      </c>
      <c r="BS264" s="188"/>
      <c r="BT264" s="170">
        <f t="shared" si="216"/>
        <v>0</v>
      </c>
      <c r="BU264" s="72">
        <f t="shared" si="217"/>
        <v>0</v>
      </c>
      <c r="BV264" s="194" t="str">
        <f>LOOKUP(BU264,'الفترة الاولى'!$BX$2:$BY$6)</f>
        <v>ممتاز</v>
      </c>
      <c r="BW264" s="73" t="e">
        <f>BU264/'الفترة الاولى'!$BZ$2</f>
        <v>#DIV/0!</v>
      </c>
    </row>
    <row r="265" spans="1:75" ht="25.2" customHeight="1" thickBot="1" x14ac:dyDescent="0.3">
      <c r="A265" s="52">
        <v>255</v>
      </c>
      <c r="B265" s="55"/>
      <c r="C265" s="103"/>
      <c r="D265" s="81"/>
      <c r="E265" s="171"/>
      <c r="F265" s="94"/>
      <c r="G265" s="172">
        <f t="shared" si="218"/>
        <v>0</v>
      </c>
      <c r="H265" s="178"/>
      <c r="I265" s="94"/>
      <c r="J265" s="175">
        <f t="shared" si="219"/>
        <v>0</v>
      </c>
      <c r="K265" s="95"/>
      <c r="L265" s="94"/>
      <c r="M265" s="172">
        <f t="shared" si="220"/>
        <v>0</v>
      </c>
      <c r="N265" s="178"/>
      <c r="O265" s="94"/>
      <c r="P265" s="175">
        <f t="shared" si="221"/>
        <v>0</v>
      </c>
      <c r="Q265" s="95"/>
      <c r="R265" s="94"/>
      <c r="S265" s="172">
        <f t="shared" si="222"/>
        <v>0</v>
      </c>
      <c r="T265" s="178"/>
      <c r="U265" s="94"/>
      <c r="V265" s="175">
        <f t="shared" si="223"/>
        <v>0</v>
      </c>
      <c r="W265" s="95"/>
      <c r="X265" s="94"/>
      <c r="Y265" s="172">
        <f t="shared" si="224"/>
        <v>0</v>
      </c>
      <c r="Z265" s="178"/>
      <c r="AA265" s="94"/>
      <c r="AB265" s="175">
        <f t="shared" si="225"/>
        <v>0</v>
      </c>
      <c r="AC265" s="95"/>
      <c r="AD265" s="94"/>
      <c r="AE265" s="89">
        <f t="shared" si="192"/>
        <v>0</v>
      </c>
      <c r="AF265" s="178"/>
      <c r="AG265" s="94"/>
      <c r="AH265" s="172">
        <f t="shared" si="226"/>
        <v>0</v>
      </c>
      <c r="AI265" s="162">
        <f t="shared" si="196"/>
        <v>0</v>
      </c>
      <c r="AJ265" s="200" t="str">
        <f t="shared" si="190"/>
        <v>ممتاز</v>
      </c>
      <c r="AK265" s="65" t="e">
        <f t="shared" si="191"/>
        <v>#DIV/0!</v>
      </c>
      <c r="AM265" s="50">
        <f t="shared" si="227"/>
        <v>255</v>
      </c>
      <c r="AN265" s="88">
        <f t="shared" si="193"/>
        <v>0</v>
      </c>
      <c r="AO265" s="100">
        <f t="shared" si="194"/>
        <v>0</v>
      </c>
      <c r="AP265" s="81">
        <f t="shared" si="195"/>
        <v>0</v>
      </c>
      <c r="AQ265" s="171">
        <f t="shared" si="197"/>
        <v>0</v>
      </c>
      <c r="AR265" s="189"/>
      <c r="AS265" s="172">
        <f t="shared" si="198"/>
        <v>0</v>
      </c>
      <c r="AT265" s="171">
        <f t="shared" si="199"/>
        <v>0</v>
      </c>
      <c r="AU265" s="189"/>
      <c r="AV265" s="172">
        <f t="shared" si="200"/>
        <v>0</v>
      </c>
      <c r="AW265" s="171">
        <f t="shared" si="201"/>
        <v>0</v>
      </c>
      <c r="AX265" s="189"/>
      <c r="AY265" s="172">
        <f t="shared" si="202"/>
        <v>0</v>
      </c>
      <c r="AZ265" s="171">
        <f t="shared" si="203"/>
        <v>0</v>
      </c>
      <c r="BA265" s="189"/>
      <c r="BB265" s="172">
        <f t="shared" si="204"/>
        <v>0</v>
      </c>
      <c r="BC265" s="171">
        <f t="shared" si="205"/>
        <v>0</v>
      </c>
      <c r="BD265" s="189"/>
      <c r="BE265" s="172">
        <f t="shared" si="206"/>
        <v>0</v>
      </c>
      <c r="BF265" s="171">
        <f t="shared" si="207"/>
        <v>0</v>
      </c>
      <c r="BG265" s="189"/>
      <c r="BH265" s="172">
        <f t="shared" si="208"/>
        <v>0</v>
      </c>
      <c r="BI265" s="171">
        <f t="shared" si="209"/>
        <v>0</v>
      </c>
      <c r="BJ265" s="189"/>
      <c r="BK265" s="172">
        <f t="shared" si="210"/>
        <v>0</v>
      </c>
      <c r="BL265" s="171">
        <f t="shared" si="211"/>
        <v>0</v>
      </c>
      <c r="BM265" s="189"/>
      <c r="BN265" s="172">
        <f t="shared" si="212"/>
        <v>0</v>
      </c>
      <c r="BO265" s="171">
        <f t="shared" si="213"/>
        <v>0</v>
      </c>
      <c r="BP265" s="189"/>
      <c r="BQ265" s="172">
        <f t="shared" si="214"/>
        <v>0</v>
      </c>
      <c r="BR265" s="171">
        <f t="shared" si="215"/>
        <v>0</v>
      </c>
      <c r="BS265" s="189"/>
      <c r="BT265" s="172">
        <f t="shared" si="216"/>
        <v>0</v>
      </c>
      <c r="BU265" s="74">
        <f t="shared" si="217"/>
        <v>0</v>
      </c>
      <c r="BV265" s="195" t="str">
        <f>LOOKUP(BU265,'الفترة الاولى'!$BX$2:$BY$6)</f>
        <v>ممتاز</v>
      </c>
      <c r="BW265" s="75" t="e">
        <f>BU265/'الفترة الاولى'!$BZ$2</f>
        <v>#DIV/0!</v>
      </c>
    </row>
    <row r="266" spans="1:75" ht="25.2" customHeight="1" thickBot="1" x14ac:dyDescent="0.3">
      <c r="A266" s="50">
        <v>256</v>
      </c>
      <c r="B266" s="53"/>
      <c r="C266" s="101"/>
      <c r="D266" s="79"/>
      <c r="E266" s="168"/>
      <c r="F266" s="163"/>
      <c r="G266" s="89">
        <f t="shared" si="218"/>
        <v>0</v>
      </c>
      <c r="H266" s="176"/>
      <c r="I266" s="91"/>
      <c r="J266" s="173">
        <f t="shared" si="219"/>
        <v>0</v>
      </c>
      <c r="K266" s="90"/>
      <c r="L266" s="91"/>
      <c r="M266" s="89">
        <f t="shared" si="220"/>
        <v>0</v>
      </c>
      <c r="N266" s="176"/>
      <c r="O266" s="91"/>
      <c r="P266" s="173">
        <f t="shared" si="221"/>
        <v>0</v>
      </c>
      <c r="Q266" s="90"/>
      <c r="R266" s="91"/>
      <c r="S266" s="89">
        <f t="shared" si="222"/>
        <v>0</v>
      </c>
      <c r="T266" s="176"/>
      <c r="U266" s="91"/>
      <c r="V266" s="173">
        <f t="shared" si="223"/>
        <v>0</v>
      </c>
      <c r="W266" s="90"/>
      <c r="X266" s="91"/>
      <c r="Y266" s="89">
        <f t="shared" si="224"/>
        <v>0</v>
      </c>
      <c r="Z266" s="176"/>
      <c r="AA266" s="91"/>
      <c r="AB266" s="173">
        <f t="shared" si="225"/>
        <v>0</v>
      </c>
      <c r="AC266" s="90"/>
      <c r="AD266" s="91"/>
      <c r="AE266" s="89">
        <f t="shared" si="192"/>
        <v>0</v>
      </c>
      <c r="AF266" s="176"/>
      <c r="AG266" s="91"/>
      <c r="AH266" s="89">
        <f t="shared" si="226"/>
        <v>0</v>
      </c>
      <c r="AI266" s="160">
        <f t="shared" si="196"/>
        <v>0</v>
      </c>
      <c r="AJ266" s="201" t="str">
        <f t="shared" si="190"/>
        <v>ممتاز</v>
      </c>
      <c r="AK266" s="66" t="e">
        <f t="shared" si="191"/>
        <v>#DIV/0!</v>
      </c>
      <c r="AM266" s="51">
        <f t="shared" si="227"/>
        <v>256</v>
      </c>
      <c r="AN266" s="86">
        <f t="shared" si="193"/>
        <v>0</v>
      </c>
      <c r="AO266" s="98">
        <f t="shared" si="194"/>
        <v>0</v>
      </c>
      <c r="AP266" s="79">
        <f t="shared" si="195"/>
        <v>0</v>
      </c>
      <c r="AQ266" s="168">
        <f t="shared" si="197"/>
        <v>0</v>
      </c>
      <c r="AR266" s="163"/>
      <c r="AS266" s="89">
        <f t="shared" si="198"/>
        <v>0</v>
      </c>
      <c r="AT266" s="168">
        <f t="shared" si="199"/>
        <v>0</v>
      </c>
      <c r="AU266" s="163"/>
      <c r="AV266" s="89">
        <f t="shared" si="200"/>
        <v>0</v>
      </c>
      <c r="AW266" s="168">
        <f t="shared" si="201"/>
        <v>0</v>
      </c>
      <c r="AX266" s="163"/>
      <c r="AY266" s="89">
        <f t="shared" si="202"/>
        <v>0</v>
      </c>
      <c r="AZ266" s="168">
        <f t="shared" si="203"/>
        <v>0</v>
      </c>
      <c r="BA266" s="163"/>
      <c r="BB266" s="89">
        <f t="shared" si="204"/>
        <v>0</v>
      </c>
      <c r="BC266" s="168">
        <f t="shared" si="205"/>
        <v>0</v>
      </c>
      <c r="BD266" s="163"/>
      <c r="BE266" s="89">
        <f t="shared" si="206"/>
        <v>0</v>
      </c>
      <c r="BF266" s="168">
        <f t="shared" si="207"/>
        <v>0</v>
      </c>
      <c r="BG266" s="163"/>
      <c r="BH266" s="89">
        <f t="shared" si="208"/>
        <v>0</v>
      </c>
      <c r="BI266" s="168">
        <f t="shared" si="209"/>
        <v>0</v>
      </c>
      <c r="BJ266" s="163"/>
      <c r="BK266" s="89">
        <f t="shared" si="210"/>
        <v>0</v>
      </c>
      <c r="BL266" s="168">
        <f t="shared" si="211"/>
        <v>0</v>
      </c>
      <c r="BM266" s="163"/>
      <c r="BN266" s="89">
        <f t="shared" si="212"/>
        <v>0</v>
      </c>
      <c r="BO266" s="168">
        <f t="shared" si="213"/>
        <v>0</v>
      </c>
      <c r="BP266" s="163"/>
      <c r="BQ266" s="89">
        <f t="shared" si="214"/>
        <v>0</v>
      </c>
      <c r="BR266" s="168">
        <f t="shared" si="215"/>
        <v>0</v>
      </c>
      <c r="BS266" s="163"/>
      <c r="BT266" s="89">
        <f t="shared" si="216"/>
        <v>0</v>
      </c>
      <c r="BU266" s="76">
        <f t="shared" si="217"/>
        <v>0</v>
      </c>
      <c r="BV266" s="196" t="str">
        <f>LOOKUP(BU266,'الفترة الاولى'!$BX$2:$BY$6)</f>
        <v>ممتاز</v>
      </c>
      <c r="BW266" s="77" t="e">
        <f>BU266/'الفترة الاولى'!$BZ$2</f>
        <v>#DIV/0!</v>
      </c>
    </row>
    <row r="267" spans="1:75" ht="25.2" customHeight="1" thickBot="1" x14ac:dyDescent="0.3">
      <c r="A267" s="51">
        <v>257</v>
      </c>
      <c r="B267" s="54"/>
      <c r="C267" s="102"/>
      <c r="D267" s="80"/>
      <c r="E267" s="169"/>
      <c r="F267" s="92"/>
      <c r="G267" s="170">
        <f t="shared" si="218"/>
        <v>0</v>
      </c>
      <c r="H267" s="177"/>
      <c r="I267" s="92"/>
      <c r="J267" s="174">
        <f t="shared" si="219"/>
        <v>0</v>
      </c>
      <c r="K267" s="93"/>
      <c r="L267" s="92"/>
      <c r="M267" s="170">
        <f t="shared" si="220"/>
        <v>0</v>
      </c>
      <c r="N267" s="177"/>
      <c r="O267" s="92"/>
      <c r="P267" s="174">
        <f t="shared" si="221"/>
        <v>0</v>
      </c>
      <c r="Q267" s="93"/>
      <c r="R267" s="92"/>
      <c r="S267" s="170">
        <f t="shared" si="222"/>
        <v>0</v>
      </c>
      <c r="T267" s="177"/>
      <c r="U267" s="92"/>
      <c r="V267" s="174">
        <f t="shared" si="223"/>
        <v>0</v>
      </c>
      <c r="W267" s="93"/>
      <c r="X267" s="92"/>
      <c r="Y267" s="170">
        <f t="shared" si="224"/>
        <v>0</v>
      </c>
      <c r="Z267" s="177"/>
      <c r="AA267" s="92"/>
      <c r="AB267" s="174">
        <f t="shared" si="225"/>
        <v>0</v>
      </c>
      <c r="AC267" s="93"/>
      <c r="AD267" s="92"/>
      <c r="AE267" s="89">
        <f t="shared" si="192"/>
        <v>0</v>
      </c>
      <c r="AF267" s="177"/>
      <c r="AG267" s="92"/>
      <c r="AH267" s="170">
        <f t="shared" si="226"/>
        <v>0</v>
      </c>
      <c r="AI267" s="161">
        <f t="shared" si="196"/>
        <v>0</v>
      </c>
      <c r="AJ267" s="202" t="str">
        <f t="shared" ref="AJ267:AJ310" si="228">LOOKUP(AI267,$BX$2:$BY$6)</f>
        <v>ممتاز</v>
      </c>
      <c r="AK267" s="67" t="e">
        <f t="shared" ref="AK267:AK310" si="229">AI267/$BZ$2</f>
        <v>#DIV/0!</v>
      </c>
      <c r="AM267" s="52">
        <f t="shared" si="227"/>
        <v>257</v>
      </c>
      <c r="AN267" s="87">
        <f t="shared" si="193"/>
        <v>0</v>
      </c>
      <c r="AO267" s="99">
        <f t="shared" si="194"/>
        <v>0</v>
      </c>
      <c r="AP267" s="80">
        <f t="shared" si="195"/>
        <v>0</v>
      </c>
      <c r="AQ267" s="169">
        <f t="shared" si="197"/>
        <v>0</v>
      </c>
      <c r="AR267" s="188"/>
      <c r="AS267" s="170">
        <f t="shared" si="198"/>
        <v>0</v>
      </c>
      <c r="AT267" s="169">
        <f t="shared" si="199"/>
        <v>0</v>
      </c>
      <c r="AU267" s="188"/>
      <c r="AV267" s="170">
        <f t="shared" si="200"/>
        <v>0</v>
      </c>
      <c r="AW267" s="169">
        <f t="shared" si="201"/>
        <v>0</v>
      </c>
      <c r="AX267" s="188"/>
      <c r="AY267" s="170">
        <f t="shared" si="202"/>
        <v>0</v>
      </c>
      <c r="AZ267" s="169">
        <f t="shared" si="203"/>
        <v>0</v>
      </c>
      <c r="BA267" s="188"/>
      <c r="BB267" s="170">
        <f t="shared" si="204"/>
        <v>0</v>
      </c>
      <c r="BC267" s="169">
        <f t="shared" si="205"/>
        <v>0</v>
      </c>
      <c r="BD267" s="188"/>
      <c r="BE267" s="170">
        <f t="shared" si="206"/>
        <v>0</v>
      </c>
      <c r="BF267" s="169">
        <f t="shared" si="207"/>
        <v>0</v>
      </c>
      <c r="BG267" s="188"/>
      <c r="BH267" s="170">
        <f t="shared" si="208"/>
        <v>0</v>
      </c>
      <c r="BI267" s="169">
        <f t="shared" si="209"/>
        <v>0</v>
      </c>
      <c r="BJ267" s="188"/>
      <c r="BK267" s="170">
        <f t="shared" si="210"/>
        <v>0</v>
      </c>
      <c r="BL267" s="169">
        <f t="shared" si="211"/>
        <v>0</v>
      </c>
      <c r="BM267" s="188"/>
      <c r="BN267" s="170">
        <f t="shared" si="212"/>
        <v>0</v>
      </c>
      <c r="BO267" s="169">
        <f t="shared" si="213"/>
        <v>0</v>
      </c>
      <c r="BP267" s="188"/>
      <c r="BQ267" s="170">
        <f t="shared" si="214"/>
        <v>0</v>
      </c>
      <c r="BR267" s="169">
        <f t="shared" si="215"/>
        <v>0</v>
      </c>
      <c r="BS267" s="188"/>
      <c r="BT267" s="170">
        <f t="shared" si="216"/>
        <v>0</v>
      </c>
      <c r="BU267" s="72">
        <f t="shared" si="217"/>
        <v>0</v>
      </c>
      <c r="BV267" s="194" t="str">
        <f>LOOKUP(BU267,'الفترة الاولى'!$BX$2:$BY$6)</f>
        <v>ممتاز</v>
      </c>
      <c r="BW267" s="73" t="e">
        <f>BU267/'الفترة الاولى'!$BZ$2</f>
        <v>#DIV/0!</v>
      </c>
    </row>
    <row r="268" spans="1:75" ht="25.2" customHeight="1" thickBot="1" x14ac:dyDescent="0.3">
      <c r="A268" s="52">
        <v>258</v>
      </c>
      <c r="B268" s="55"/>
      <c r="C268" s="103"/>
      <c r="D268" s="81"/>
      <c r="E268" s="171"/>
      <c r="F268" s="94"/>
      <c r="G268" s="172">
        <f t="shared" si="218"/>
        <v>0</v>
      </c>
      <c r="H268" s="178"/>
      <c r="I268" s="94"/>
      <c r="J268" s="175">
        <f t="shared" si="219"/>
        <v>0</v>
      </c>
      <c r="K268" s="95"/>
      <c r="L268" s="94"/>
      <c r="M268" s="172">
        <f t="shared" si="220"/>
        <v>0</v>
      </c>
      <c r="N268" s="178"/>
      <c r="O268" s="94"/>
      <c r="P268" s="175">
        <f t="shared" si="221"/>
        <v>0</v>
      </c>
      <c r="Q268" s="95"/>
      <c r="R268" s="94"/>
      <c r="S268" s="172">
        <f t="shared" si="222"/>
        <v>0</v>
      </c>
      <c r="T268" s="178"/>
      <c r="U268" s="94"/>
      <c r="V268" s="175">
        <f t="shared" si="223"/>
        <v>0</v>
      </c>
      <c r="W268" s="95"/>
      <c r="X268" s="94"/>
      <c r="Y268" s="172">
        <f t="shared" si="224"/>
        <v>0</v>
      </c>
      <c r="Z268" s="178"/>
      <c r="AA268" s="94"/>
      <c r="AB268" s="175">
        <f t="shared" si="225"/>
        <v>0</v>
      </c>
      <c r="AC268" s="95"/>
      <c r="AD268" s="94"/>
      <c r="AE268" s="89">
        <f t="shared" ref="AE268:AE280" si="230">SUM(AC268:AD268)</f>
        <v>0</v>
      </c>
      <c r="AF268" s="178"/>
      <c r="AG268" s="94"/>
      <c r="AH268" s="172">
        <f t="shared" si="226"/>
        <v>0</v>
      </c>
      <c r="AI268" s="162">
        <f t="shared" si="196"/>
        <v>0</v>
      </c>
      <c r="AJ268" s="200" t="str">
        <f t="shared" si="228"/>
        <v>ممتاز</v>
      </c>
      <c r="AK268" s="65" t="e">
        <f t="shared" si="229"/>
        <v>#DIV/0!</v>
      </c>
      <c r="AM268" s="50">
        <f t="shared" si="227"/>
        <v>258</v>
      </c>
      <c r="AN268" s="88">
        <f t="shared" si="193"/>
        <v>0</v>
      </c>
      <c r="AO268" s="100">
        <f t="shared" si="194"/>
        <v>0</v>
      </c>
      <c r="AP268" s="81">
        <f t="shared" si="195"/>
        <v>0</v>
      </c>
      <c r="AQ268" s="171">
        <f t="shared" si="197"/>
        <v>0</v>
      </c>
      <c r="AR268" s="189"/>
      <c r="AS268" s="172">
        <f t="shared" si="198"/>
        <v>0</v>
      </c>
      <c r="AT268" s="171">
        <f t="shared" si="199"/>
        <v>0</v>
      </c>
      <c r="AU268" s="189"/>
      <c r="AV268" s="172">
        <f t="shared" si="200"/>
        <v>0</v>
      </c>
      <c r="AW268" s="171">
        <f t="shared" si="201"/>
        <v>0</v>
      </c>
      <c r="AX268" s="189"/>
      <c r="AY268" s="172">
        <f t="shared" si="202"/>
        <v>0</v>
      </c>
      <c r="AZ268" s="171">
        <f t="shared" si="203"/>
        <v>0</v>
      </c>
      <c r="BA268" s="189"/>
      <c r="BB268" s="172">
        <f t="shared" si="204"/>
        <v>0</v>
      </c>
      <c r="BC268" s="171">
        <f t="shared" si="205"/>
        <v>0</v>
      </c>
      <c r="BD268" s="189"/>
      <c r="BE268" s="172">
        <f t="shared" si="206"/>
        <v>0</v>
      </c>
      <c r="BF268" s="171">
        <f t="shared" si="207"/>
        <v>0</v>
      </c>
      <c r="BG268" s="189"/>
      <c r="BH268" s="172">
        <f t="shared" si="208"/>
        <v>0</v>
      </c>
      <c r="BI268" s="171">
        <f t="shared" si="209"/>
        <v>0</v>
      </c>
      <c r="BJ268" s="189"/>
      <c r="BK268" s="172">
        <f t="shared" si="210"/>
        <v>0</v>
      </c>
      <c r="BL268" s="171">
        <f t="shared" si="211"/>
        <v>0</v>
      </c>
      <c r="BM268" s="189"/>
      <c r="BN268" s="172">
        <f t="shared" si="212"/>
        <v>0</v>
      </c>
      <c r="BO268" s="171">
        <f t="shared" si="213"/>
        <v>0</v>
      </c>
      <c r="BP268" s="189"/>
      <c r="BQ268" s="172">
        <f t="shared" si="214"/>
        <v>0</v>
      </c>
      <c r="BR268" s="171">
        <f t="shared" si="215"/>
        <v>0</v>
      </c>
      <c r="BS268" s="189"/>
      <c r="BT268" s="172">
        <f t="shared" si="216"/>
        <v>0</v>
      </c>
      <c r="BU268" s="74">
        <f t="shared" si="217"/>
        <v>0</v>
      </c>
      <c r="BV268" s="195" t="str">
        <f>LOOKUP(BU268,'الفترة الاولى'!$BX$2:$BY$6)</f>
        <v>ممتاز</v>
      </c>
      <c r="BW268" s="75" t="e">
        <f>BU268/'الفترة الاولى'!$BZ$2</f>
        <v>#DIV/0!</v>
      </c>
    </row>
    <row r="269" spans="1:75" ht="25.2" customHeight="1" thickBot="1" x14ac:dyDescent="0.3">
      <c r="A269" s="50">
        <v>259</v>
      </c>
      <c r="B269" s="53"/>
      <c r="C269" s="101"/>
      <c r="D269" s="79"/>
      <c r="E269" s="168"/>
      <c r="F269" s="163"/>
      <c r="G269" s="89">
        <f t="shared" si="218"/>
        <v>0</v>
      </c>
      <c r="H269" s="176"/>
      <c r="I269" s="91"/>
      <c r="J269" s="173">
        <f t="shared" si="219"/>
        <v>0</v>
      </c>
      <c r="K269" s="90"/>
      <c r="L269" s="91"/>
      <c r="M269" s="89">
        <f t="shared" si="220"/>
        <v>0</v>
      </c>
      <c r="N269" s="176"/>
      <c r="O269" s="91"/>
      <c r="P269" s="173">
        <f t="shared" si="221"/>
        <v>0</v>
      </c>
      <c r="Q269" s="90"/>
      <c r="R269" s="91"/>
      <c r="S269" s="89">
        <f t="shared" si="222"/>
        <v>0</v>
      </c>
      <c r="T269" s="176"/>
      <c r="U269" s="91"/>
      <c r="V269" s="173">
        <f t="shared" si="223"/>
        <v>0</v>
      </c>
      <c r="W269" s="90"/>
      <c r="X269" s="91"/>
      <c r="Y269" s="89">
        <f t="shared" si="224"/>
        <v>0</v>
      </c>
      <c r="Z269" s="176"/>
      <c r="AA269" s="91"/>
      <c r="AB269" s="173">
        <f t="shared" si="225"/>
        <v>0</v>
      </c>
      <c r="AC269" s="90"/>
      <c r="AD269" s="91"/>
      <c r="AE269" s="89">
        <f t="shared" si="230"/>
        <v>0</v>
      </c>
      <c r="AF269" s="176"/>
      <c r="AG269" s="91"/>
      <c r="AH269" s="89">
        <f t="shared" si="226"/>
        <v>0</v>
      </c>
      <c r="AI269" s="160">
        <f t="shared" si="196"/>
        <v>0</v>
      </c>
      <c r="AJ269" s="201" t="str">
        <f t="shared" si="228"/>
        <v>ممتاز</v>
      </c>
      <c r="AK269" s="66" t="e">
        <f t="shared" si="229"/>
        <v>#DIV/0!</v>
      </c>
      <c r="AM269" s="51">
        <f t="shared" si="227"/>
        <v>259</v>
      </c>
      <c r="AN269" s="86">
        <f t="shared" si="193"/>
        <v>0</v>
      </c>
      <c r="AO269" s="98">
        <f t="shared" si="194"/>
        <v>0</v>
      </c>
      <c r="AP269" s="79">
        <f t="shared" si="195"/>
        <v>0</v>
      </c>
      <c r="AQ269" s="168">
        <f t="shared" si="197"/>
        <v>0</v>
      </c>
      <c r="AR269" s="163"/>
      <c r="AS269" s="89">
        <f t="shared" si="198"/>
        <v>0</v>
      </c>
      <c r="AT269" s="168">
        <f t="shared" si="199"/>
        <v>0</v>
      </c>
      <c r="AU269" s="163"/>
      <c r="AV269" s="89">
        <f t="shared" si="200"/>
        <v>0</v>
      </c>
      <c r="AW269" s="168">
        <f t="shared" si="201"/>
        <v>0</v>
      </c>
      <c r="AX269" s="163"/>
      <c r="AY269" s="89">
        <f t="shared" si="202"/>
        <v>0</v>
      </c>
      <c r="AZ269" s="168">
        <f t="shared" si="203"/>
        <v>0</v>
      </c>
      <c r="BA269" s="163"/>
      <c r="BB269" s="89">
        <f t="shared" si="204"/>
        <v>0</v>
      </c>
      <c r="BC269" s="168">
        <f t="shared" si="205"/>
        <v>0</v>
      </c>
      <c r="BD269" s="163"/>
      <c r="BE269" s="89">
        <f t="shared" si="206"/>
        <v>0</v>
      </c>
      <c r="BF269" s="168">
        <f t="shared" si="207"/>
        <v>0</v>
      </c>
      <c r="BG269" s="163"/>
      <c r="BH269" s="89">
        <f t="shared" si="208"/>
        <v>0</v>
      </c>
      <c r="BI269" s="168">
        <f t="shared" si="209"/>
        <v>0</v>
      </c>
      <c r="BJ269" s="163"/>
      <c r="BK269" s="89">
        <f t="shared" si="210"/>
        <v>0</v>
      </c>
      <c r="BL269" s="168">
        <f t="shared" si="211"/>
        <v>0</v>
      </c>
      <c r="BM269" s="163"/>
      <c r="BN269" s="89">
        <f t="shared" si="212"/>
        <v>0</v>
      </c>
      <c r="BO269" s="168">
        <f t="shared" si="213"/>
        <v>0</v>
      </c>
      <c r="BP269" s="163"/>
      <c r="BQ269" s="89">
        <f t="shared" si="214"/>
        <v>0</v>
      </c>
      <c r="BR269" s="168">
        <f t="shared" si="215"/>
        <v>0</v>
      </c>
      <c r="BS269" s="163"/>
      <c r="BT269" s="89">
        <f t="shared" si="216"/>
        <v>0</v>
      </c>
      <c r="BU269" s="76">
        <f t="shared" si="217"/>
        <v>0</v>
      </c>
      <c r="BV269" s="196" t="str">
        <f>LOOKUP(BU269,'الفترة الاولى'!$BX$2:$BY$6)</f>
        <v>ممتاز</v>
      </c>
      <c r="BW269" s="77" t="e">
        <f>BU269/'الفترة الاولى'!$BZ$2</f>
        <v>#DIV/0!</v>
      </c>
    </row>
    <row r="270" spans="1:75" ht="25.2" customHeight="1" thickBot="1" x14ac:dyDescent="0.3">
      <c r="A270" s="51">
        <v>260</v>
      </c>
      <c r="B270" s="54"/>
      <c r="C270" s="102"/>
      <c r="D270" s="80"/>
      <c r="E270" s="169"/>
      <c r="F270" s="92"/>
      <c r="G270" s="170">
        <f t="shared" si="218"/>
        <v>0</v>
      </c>
      <c r="H270" s="177"/>
      <c r="I270" s="92"/>
      <c r="J270" s="174">
        <f t="shared" si="219"/>
        <v>0</v>
      </c>
      <c r="K270" s="93"/>
      <c r="L270" s="92"/>
      <c r="M270" s="170">
        <f t="shared" si="220"/>
        <v>0</v>
      </c>
      <c r="N270" s="177"/>
      <c r="O270" s="92"/>
      <c r="P270" s="174">
        <f t="shared" si="221"/>
        <v>0</v>
      </c>
      <c r="Q270" s="93"/>
      <c r="R270" s="92"/>
      <c r="S270" s="170">
        <f t="shared" si="222"/>
        <v>0</v>
      </c>
      <c r="T270" s="177"/>
      <c r="U270" s="92"/>
      <c r="V270" s="174">
        <f t="shared" si="223"/>
        <v>0</v>
      </c>
      <c r="W270" s="93"/>
      <c r="X270" s="92"/>
      <c r="Y270" s="170">
        <f t="shared" si="224"/>
        <v>0</v>
      </c>
      <c r="Z270" s="177"/>
      <c r="AA270" s="92"/>
      <c r="AB270" s="174">
        <f t="shared" si="225"/>
        <v>0</v>
      </c>
      <c r="AC270" s="93"/>
      <c r="AD270" s="92"/>
      <c r="AE270" s="89">
        <f t="shared" si="230"/>
        <v>0</v>
      </c>
      <c r="AF270" s="177"/>
      <c r="AG270" s="92"/>
      <c r="AH270" s="170">
        <f t="shared" si="226"/>
        <v>0</v>
      </c>
      <c r="AI270" s="161">
        <f t="shared" si="196"/>
        <v>0</v>
      </c>
      <c r="AJ270" s="202" t="str">
        <f t="shared" si="228"/>
        <v>ممتاز</v>
      </c>
      <c r="AK270" s="67" t="e">
        <f t="shared" si="229"/>
        <v>#DIV/0!</v>
      </c>
      <c r="AM270" s="52">
        <f t="shared" si="227"/>
        <v>260</v>
      </c>
      <c r="AN270" s="87">
        <f t="shared" ref="AN270:AN310" si="231">B270</f>
        <v>0</v>
      </c>
      <c r="AO270" s="99">
        <f t="shared" ref="AO270:AO310" si="232">C270</f>
        <v>0</v>
      </c>
      <c r="AP270" s="80">
        <f t="shared" ref="AP270:AP310" si="233">D270</f>
        <v>0</v>
      </c>
      <c r="AQ270" s="169">
        <f t="shared" si="197"/>
        <v>0</v>
      </c>
      <c r="AR270" s="188"/>
      <c r="AS270" s="170">
        <f t="shared" si="198"/>
        <v>0</v>
      </c>
      <c r="AT270" s="169">
        <f t="shared" si="199"/>
        <v>0</v>
      </c>
      <c r="AU270" s="188"/>
      <c r="AV270" s="170">
        <f t="shared" si="200"/>
        <v>0</v>
      </c>
      <c r="AW270" s="169">
        <f t="shared" si="201"/>
        <v>0</v>
      </c>
      <c r="AX270" s="188"/>
      <c r="AY270" s="170">
        <f t="shared" si="202"/>
        <v>0</v>
      </c>
      <c r="AZ270" s="169">
        <f t="shared" si="203"/>
        <v>0</v>
      </c>
      <c r="BA270" s="188"/>
      <c r="BB270" s="170">
        <f t="shared" si="204"/>
        <v>0</v>
      </c>
      <c r="BC270" s="169">
        <f t="shared" si="205"/>
        <v>0</v>
      </c>
      <c r="BD270" s="188"/>
      <c r="BE270" s="170">
        <f t="shared" si="206"/>
        <v>0</v>
      </c>
      <c r="BF270" s="169">
        <f t="shared" si="207"/>
        <v>0</v>
      </c>
      <c r="BG270" s="188"/>
      <c r="BH270" s="170">
        <f t="shared" si="208"/>
        <v>0</v>
      </c>
      <c r="BI270" s="169">
        <f t="shared" si="209"/>
        <v>0</v>
      </c>
      <c r="BJ270" s="188"/>
      <c r="BK270" s="170">
        <f t="shared" si="210"/>
        <v>0</v>
      </c>
      <c r="BL270" s="169">
        <f t="shared" si="211"/>
        <v>0</v>
      </c>
      <c r="BM270" s="188"/>
      <c r="BN270" s="170">
        <f t="shared" si="212"/>
        <v>0</v>
      </c>
      <c r="BO270" s="169">
        <f t="shared" si="213"/>
        <v>0</v>
      </c>
      <c r="BP270" s="188"/>
      <c r="BQ270" s="170">
        <f t="shared" si="214"/>
        <v>0</v>
      </c>
      <c r="BR270" s="169">
        <f t="shared" si="215"/>
        <v>0</v>
      </c>
      <c r="BS270" s="188"/>
      <c r="BT270" s="170">
        <f t="shared" si="216"/>
        <v>0</v>
      </c>
      <c r="BU270" s="72">
        <f t="shared" si="217"/>
        <v>0</v>
      </c>
      <c r="BV270" s="194" t="str">
        <f>LOOKUP(BU270,'الفترة الاولى'!$BX$2:$BY$6)</f>
        <v>ممتاز</v>
      </c>
      <c r="BW270" s="73" t="e">
        <f>BU270/'الفترة الاولى'!$BZ$2</f>
        <v>#DIV/0!</v>
      </c>
    </row>
    <row r="271" spans="1:75" ht="25.2" customHeight="1" thickBot="1" x14ac:dyDescent="0.3">
      <c r="A271" s="52">
        <v>261</v>
      </c>
      <c r="B271" s="55"/>
      <c r="C271" s="103"/>
      <c r="D271" s="81"/>
      <c r="E271" s="171"/>
      <c r="F271" s="94"/>
      <c r="G271" s="172">
        <f t="shared" si="218"/>
        <v>0</v>
      </c>
      <c r="H271" s="178"/>
      <c r="I271" s="94"/>
      <c r="J271" s="175">
        <f t="shared" si="219"/>
        <v>0</v>
      </c>
      <c r="K271" s="95"/>
      <c r="L271" s="94"/>
      <c r="M271" s="172">
        <f t="shared" si="220"/>
        <v>0</v>
      </c>
      <c r="N271" s="178"/>
      <c r="O271" s="94"/>
      <c r="P271" s="175">
        <f t="shared" si="221"/>
        <v>0</v>
      </c>
      <c r="Q271" s="95"/>
      <c r="R271" s="94"/>
      <c r="S271" s="172">
        <f t="shared" si="222"/>
        <v>0</v>
      </c>
      <c r="T271" s="178"/>
      <c r="U271" s="94"/>
      <c r="V271" s="175">
        <f t="shared" si="223"/>
        <v>0</v>
      </c>
      <c r="W271" s="95"/>
      <c r="X271" s="94"/>
      <c r="Y271" s="172">
        <f t="shared" si="224"/>
        <v>0</v>
      </c>
      <c r="Z271" s="178"/>
      <c r="AA271" s="94"/>
      <c r="AB271" s="175">
        <f t="shared" si="225"/>
        <v>0</v>
      </c>
      <c r="AC271" s="95"/>
      <c r="AD271" s="94"/>
      <c r="AE271" s="89">
        <f t="shared" si="230"/>
        <v>0</v>
      </c>
      <c r="AF271" s="178"/>
      <c r="AG271" s="94"/>
      <c r="AH271" s="172">
        <f t="shared" si="226"/>
        <v>0</v>
      </c>
      <c r="AI271" s="162">
        <f t="shared" ref="AI271:AI310" si="234">SUM(AH271,AE271,AB271,Y271,V271,S271,P271,M271,J271,G271)</f>
        <v>0</v>
      </c>
      <c r="AJ271" s="200" t="str">
        <f t="shared" si="228"/>
        <v>ممتاز</v>
      </c>
      <c r="AK271" s="65" t="e">
        <f t="shared" si="229"/>
        <v>#DIV/0!</v>
      </c>
      <c r="AM271" s="50">
        <f t="shared" si="227"/>
        <v>261</v>
      </c>
      <c r="AN271" s="88">
        <f t="shared" si="231"/>
        <v>0</v>
      </c>
      <c r="AO271" s="100">
        <f t="shared" si="232"/>
        <v>0</v>
      </c>
      <c r="AP271" s="81">
        <f t="shared" si="233"/>
        <v>0</v>
      </c>
      <c r="AQ271" s="171">
        <f t="shared" ref="AQ271:AQ310" si="235">E271</f>
        <v>0</v>
      </c>
      <c r="AR271" s="189"/>
      <c r="AS271" s="172">
        <f t="shared" ref="AS271:AS310" si="236">SUM(AQ271:AR271)</f>
        <v>0</v>
      </c>
      <c r="AT271" s="171">
        <f t="shared" ref="AT271:AT310" si="237">H271</f>
        <v>0</v>
      </c>
      <c r="AU271" s="189"/>
      <c r="AV271" s="172">
        <f t="shared" ref="AV271:AV310" si="238">SUM(AT271:AU271)</f>
        <v>0</v>
      </c>
      <c r="AW271" s="171">
        <f t="shared" ref="AW271:AW310" si="239">K271</f>
        <v>0</v>
      </c>
      <c r="AX271" s="189"/>
      <c r="AY271" s="172">
        <f t="shared" ref="AY271:AY310" si="240">SUM(AW271:AX271)</f>
        <v>0</v>
      </c>
      <c r="AZ271" s="171">
        <f t="shared" ref="AZ271:AZ310" si="241">N271</f>
        <v>0</v>
      </c>
      <c r="BA271" s="189"/>
      <c r="BB271" s="172">
        <f t="shared" ref="BB271:BB310" si="242">SUM(AZ271:BA271)</f>
        <v>0</v>
      </c>
      <c r="BC271" s="171">
        <f t="shared" ref="BC271:BC310" si="243">Q271</f>
        <v>0</v>
      </c>
      <c r="BD271" s="189"/>
      <c r="BE271" s="172">
        <f t="shared" ref="BE271:BE310" si="244">SUM(BC271:BD271)</f>
        <v>0</v>
      </c>
      <c r="BF271" s="171">
        <f t="shared" ref="BF271:BF310" si="245">T271</f>
        <v>0</v>
      </c>
      <c r="BG271" s="189"/>
      <c r="BH271" s="172">
        <f t="shared" ref="BH271:BH310" si="246">SUM(BF271:BG271)</f>
        <v>0</v>
      </c>
      <c r="BI271" s="171">
        <f t="shared" ref="BI271:BI310" si="247">W271</f>
        <v>0</v>
      </c>
      <c r="BJ271" s="189"/>
      <c r="BK271" s="172">
        <f t="shared" ref="BK271:BK310" si="248">SUM(BI271:BJ271)</f>
        <v>0</v>
      </c>
      <c r="BL271" s="171">
        <f t="shared" ref="BL271:BL310" si="249">Z271</f>
        <v>0</v>
      </c>
      <c r="BM271" s="189"/>
      <c r="BN271" s="172">
        <f t="shared" ref="BN271:BN310" si="250">SUM(BL271:BM271)</f>
        <v>0</v>
      </c>
      <c r="BO271" s="171">
        <f t="shared" ref="BO271:BO310" si="251">AC271</f>
        <v>0</v>
      </c>
      <c r="BP271" s="189"/>
      <c r="BQ271" s="172">
        <f t="shared" ref="BQ271:BQ310" si="252">SUM(BO271:BP271)</f>
        <v>0</v>
      </c>
      <c r="BR271" s="171">
        <f t="shared" ref="BR271:BR310" si="253">AF271</f>
        <v>0</v>
      </c>
      <c r="BS271" s="189"/>
      <c r="BT271" s="172">
        <f t="shared" ref="BT271:BT310" si="254">SUM(BR271:BS271)</f>
        <v>0</v>
      </c>
      <c r="BU271" s="74">
        <f t="shared" ref="BU271:BU310" si="255">SUM(AS271,AV271,AY271,BB271,BE271,BH271,BK271,BN271,BQ271,BT271)</f>
        <v>0</v>
      </c>
      <c r="BV271" s="195" t="str">
        <f>LOOKUP(BU271,'الفترة الاولى'!$BX$2:$BY$6)</f>
        <v>ممتاز</v>
      </c>
      <c r="BW271" s="75" t="e">
        <f>BU271/'الفترة الاولى'!$BZ$2</f>
        <v>#DIV/0!</v>
      </c>
    </row>
    <row r="272" spans="1:75" ht="25.2" customHeight="1" thickBot="1" x14ac:dyDescent="0.3">
      <c r="A272" s="50">
        <v>262</v>
      </c>
      <c r="B272" s="53"/>
      <c r="C272" s="101"/>
      <c r="D272" s="79"/>
      <c r="E272" s="168"/>
      <c r="F272" s="163"/>
      <c r="G272" s="89">
        <f t="shared" ref="G272" si="256">SUM(E272:F272)</f>
        <v>0</v>
      </c>
      <c r="H272" s="176"/>
      <c r="I272" s="91"/>
      <c r="J272" s="173">
        <f t="shared" ref="J272" si="257">SUM(H272:I272)</f>
        <v>0</v>
      </c>
      <c r="K272" s="90"/>
      <c r="L272" s="91"/>
      <c r="M272" s="89">
        <f t="shared" ref="M272" si="258">SUM(K272:L272)</f>
        <v>0</v>
      </c>
      <c r="N272" s="176"/>
      <c r="O272" s="91"/>
      <c r="P272" s="173">
        <f t="shared" ref="P272" si="259">SUM(N272:O272)</f>
        <v>0</v>
      </c>
      <c r="Q272" s="90"/>
      <c r="R272" s="91"/>
      <c r="S272" s="89">
        <f t="shared" ref="S272" si="260">SUM(Q272:R272)</f>
        <v>0</v>
      </c>
      <c r="T272" s="176"/>
      <c r="U272" s="91"/>
      <c r="V272" s="173">
        <f t="shared" ref="V272" si="261">SUM(T272:U272)</f>
        <v>0</v>
      </c>
      <c r="W272" s="90"/>
      <c r="X272" s="91"/>
      <c r="Y272" s="89">
        <f t="shared" ref="Y272" si="262">SUM(W272:X272)</f>
        <v>0</v>
      </c>
      <c r="Z272" s="176"/>
      <c r="AA272" s="91"/>
      <c r="AB272" s="173">
        <f t="shared" ref="AB272" si="263">SUM(Z272:AA272)</f>
        <v>0</v>
      </c>
      <c r="AC272" s="90"/>
      <c r="AD272" s="91"/>
      <c r="AE272" s="89">
        <f t="shared" si="230"/>
        <v>0</v>
      </c>
      <c r="AF272" s="176"/>
      <c r="AG272" s="91"/>
      <c r="AH272" s="89">
        <f t="shared" ref="AH272" si="264">SUM(AF272:AG272)</f>
        <v>0</v>
      </c>
      <c r="AI272" s="160">
        <f t="shared" si="234"/>
        <v>0</v>
      </c>
      <c r="AJ272" s="201" t="str">
        <f t="shared" si="228"/>
        <v>ممتاز</v>
      </c>
      <c r="AK272" s="66" t="e">
        <f t="shared" si="229"/>
        <v>#DIV/0!</v>
      </c>
      <c r="AM272" s="51">
        <f t="shared" si="227"/>
        <v>262</v>
      </c>
      <c r="AN272" s="86">
        <f t="shared" si="231"/>
        <v>0</v>
      </c>
      <c r="AO272" s="98">
        <f t="shared" si="232"/>
        <v>0</v>
      </c>
      <c r="AP272" s="79">
        <f t="shared" si="233"/>
        <v>0</v>
      </c>
      <c r="AQ272" s="168">
        <f t="shared" si="235"/>
        <v>0</v>
      </c>
      <c r="AR272" s="163"/>
      <c r="AS272" s="89">
        <f t="shared" si="236"/>
        <v>0</v>
      </c>
      <c r="AT272" s="168">
        <f t="shared" si="237"/>
        <v>0</v>
      </c>
      <c r="AU272" s="163"/>
      <c r="AV272" s="89">
        <f t="shared" si="238"/>
        <v>0</v>
      </c>
      <c r="AW272" s="168">
        <f t="shared" si="239"/>
        <v>0</v>
      </c>
      <c r="AX272" s="163"/>
      <c r="AY272" s="89">
        <f t="shared" si="240"/>
        <v>0</v>
      </c>
      <c r="AZ272" s="168">
        <f t="shared" si="241"/>
        <v>0</v>
      </c>
      <c r="BA272" s="163"/>
      <c r="BB272" s="89">
        <f t="shared" si="242"/>
        <v>0</v>
      </c>
      <c r="BC272" s="168">
        <f t="shared" si="243"/>
        <v>0</v>
      </c>
      <c r="BD272" s="163"/>
      <c r="BE272" s="89">
        <f t="shared" si="244"/>
        <v>0</v>
      </c>
      <c r="BF272" s="168">
        <f t="shared" si="245"/>
        <v>0</v>
      </c>
      <c r="BG272" s="163"/>
      <c r="BH272" s="89">
        <f t="shared" si="246"/>
        <v>0</v>
      </c>
      <c r="BI272" s="168">
        <f t="shared" si="247"/>
        <v>0</v>
      </c>
      <c r="BJ272" s="163"/>
      <c r="BK272" s="89">
        <f t="shared" si="248"/>
        <v>0</v>
      </c>
      <c r="BL272" s="168">
        <f t="shared" si="249"/>
        <v>0</v>
      </c>
      <c r="BM272" s="163"/>
      <c r="BN272" s="89">
        <f t="shared" si="250"/>
        <v>0</v>
      </c>
      <c r="BO272" s="168">
        <f t="shared" si="251"/>
        <v>0</v>
      </c>
      <c r="BP272" s="163"/>
      <c r="BQ272" s="89">
        <f t="shared" si="252"/>
        <v>0</v>
      </c>
      <c r="BR272" s="168">
        <f t="shared" si="253"/>
        <v>0</v>
      </c>
      <c r="BS272" s="163"/>
      <c r="BT272" s="89">
        <f t="shared" si="254"/>
        <v>0</v>
      </c>
      <c r="BU272" s="76">
        <f t="shared" si="255"/>
        <v>0</v>
      </c>
      <c r="BV272" s="196" t="str">
        <f>LOOKUP(BU272,'الفترة الاولى'!$BX$2:$BY$6)</f>
        <v>ممتاز</v>
      </c>
      <c r="BW272" s="77" t="e">
        <f>BU272/'الفترة الاولى'!$BZ$2</f>
        <v>#DIV/0!</v>
      </c>
    </row>
    <row r="273" spans="1:75" ht="25.2" customHeight="1" thickBot="1" x14ac:dyDescent="0.3">
      <c r="A273" s="51">
        <v>263</v>
      </c>
      <c r="B273" s="54"/>
      <c r="C273" s="102"/>
      <c r="D273" s="80"/>
      <c r="E273" s="169"/>
      <c r="F273" s="92"/>
      <c r="G273" s="170">
        <f t="shared" ref="G273:G310" si="265">SUM(E273:F273)</f>
        <v>0</v>
      </c>
      <c r="H273" s="177"/>
      <c r="I273" s="92"/>
      <c r="J273" s="174">
        <f t="shared" ref="J273:J310" si="266">SUM(H273:I273)</f>
        <v>0</v>
      </c>
      <c r="K273" s="93"/>
      <c r="L273" s="92"/>
      <c r="M273" s="170">
        <f t="shared" ref="M273:M310" si="267">SUM(K273:L273)</f>
        <v>0</v>
      </c>
      <c r="N273" s="177"/>
      <c r="O273" s="92"/>
      <c r="P273" s="174">
        <f t="shared" ref="P273:P310" si="268">SUM(N273:O273)</f>
        <v>0</v>
      </c>
      <c r="Q273" s="93"/>
      <c r="R273" s="92"/>
      <c r="S273" s="170">
        <f t="shared" ref="S273:S310" si="269">SUM(Q273:R273)</f>
        <v>0</v>
      </c>
      <c r="T273" s="177"/>
      <c r="U273" s="92"/>
      <c r="V273" s="174">
        <f t="shared" ref="V273:V310" si="270">SUM(T273:U273)</f>
        <v>0</v>
      </c>
      <c r="W273" s="93"/>
      <c r="X273" s="92"/>
      <c r="Y273" s="170">
        <f t="shared" ref="Y273:Y310" si="271">SUM(W273:X273)</f>
        <v>0</v>
      </c>
      <c r="Z273" s="177"/>
      <c r="AA273" s="92"/>
      <c r="AB273" s="174">
        <f t="shared" ref="AB273:AB310" si="272">SUM(Z273:AA273)</f>
        <v>0</v>
      </c>
      <c r="AC273" s="93"/>
      <c r="AD273" s="92"/>
      <c r="AE273" s="89">
        <f t="shared" si="230"/>
        <v>0</v>
      </c>
      <c r="AF273" s="177"/>
      <c r="AG273" s="92"/>
      <c r="AH273" s="170">
        <f t="shared" ref="AH273:AH310" si="273">SUM(AF273:AG273)</f>
        <v>0</v>
      </c>
      <c r="AI273" s="161">
        <f t="shared" si="234"/>
        <v>0</v>
      </c>
      <c r="AJ273" s="202" t="str">
        <f t="shared" si="228"/>
        <v>ممتاز</v>
      </c>
      <c r="AK273" s="67" t="e">
        <f t="shared" si="229"/>
        <v>#DIV/0!</v>
      </c>
      <c r="AM273" s="52">
        <f t="shared" si="227"/>
        <v>263</v>
      </c>
      <c r="AN273" s="87">
        <f t="shared" si="231"/>
        <v>0</v>
      </c>
      <c r="AO273" s="99">
        <f t="shared" si="232"/>
        <v>0</v>
      </c>
      <c r="AP273" s="80">
        <f t="shared" si="233"/>
        <v>0</v>
      </c>
      <c r="AQ273" s="169">
        <f t="shared" si="235"/>
        <v>0</v>
      </c>
      <c r="AR273" s="188"/>
      <c r="AS273" s="170">
        <f t="shared" si="236"/>
        <v>0</v>
      </c>
      <c r="AT273" s="169">
        <f t="shared" si="237"/>
        <v>0</v>
      </c>
      <c r="AU273" s="188"/>
      <c r="AV273" s="170">
        <f t="shared" si="238"/>
        <v>0</v>
      </c>
      <c r="AW273" s="169">
        <f t="shared" si="239"/>
        <v>0</v>
      </c>
      <c r="AX273" s="188"/>
      <c r="AY273" s="170">
        <f t="shared" si="240"/>
        <v>0</v>
      </c>
      <c r="AZ273" s="169">
        <f t="shared" si="241"/>
        <v>0</v>
      </c>
      <c r="BA273" s="188"/>
      <c r="BB273" s="170">
        <f t="shared" si="242"/>
        <v>0</v>
      </c>
      <c r="BC273" s="169">
        <f t="shared" si="243"/>
        <v>0</v>
      </c>
      <c r="BD273" s="188"/>
      <c r="BE273" s="170">
        <f t="shared" si="244"/>
        <v>0</v>
      </c>
      <c r="BF273" s="169">
        <f t="shared" si="245"/>
        <v>0</v>
      </c>
      <c r="BG273" s="188"/>
      <c r="BH273" s="170">
        <f t="shared" si="246"/>
        <v>0</v>
      </c>
      <c r="BI273" s="169">
        <f t="shared" si="247"/>
        <v>0</v>
      </c>
      <c r="BJ273" s="188"/>
      <c r="BK273" s="170">
        <f t="shared" si="248"/>
        <v>0</v>
      </c>
      <c r="BL273" s="169">
        <f t="shared" si="249"/>
        <v>0</v>
      </c>
      <c r="BM273" s="188"/>
      <c r="BN273" s="170">
        <f t="shared" si="250"/>
        <v>0</v>
      </c>
      <c r="BO273" s="169">
        <f t="shared" si="251"/>
        <v>0</v>
      </c>
      <c r="BP273" s="188"/>
      <c r="BQ273" s="170">
        <f t="shared" si="252"/>
        <v>0</v>
      </c>
      <c r="BR273" s="169">
        <f t="shared" si="253"/>
        <v>0</v>
      </c>
      <c r="BS273" s="188"/>
      <c r="BT273" s="170">
        <f t="shared" si="254"/>
        <v>0</v>
      </c>
      <c r="BU273" s="72">
        <f t="shared" si="255"/>
        <v>0</v>
      </c>
      <c r="BV273" s="194" t="str">
        <f>LOOKUP(BU273,'الفترة الاولى'!$BX$2:$BY$6)</f>
        <v>ممتاز</v>
      </c>
      <c r="BW273" s="73" t="e">
        <f>BU273/'الفترة الاولى'!$BZ$2</f>
        <v>#DIV/0!</v>
      </c>
    </row>
    <row r="274" spans="1:75" ht="25.2" customHeight="1" thickBot="1" x14ac:dyDescent="0.3">
      <c r="A274" s="52">
        <v>264</v>
      </c>
      <c r="B274" s="55"/>
      <c r="C274" s="103"/>
      <c r="D274" s="81"/>
      <c r="E274" s="171"/>
      <c r="F274" s="94"/>
      <c r="G274" s="172">
        <f t="shared" si="265"/>
        <v>0</v>
      </c>
      <c r="H274" s="178"/>
      <c r="I274" s="94"/>
      <c r="J274" s="175">
        <f t="shared" si="266"/>
        <v>0</v>
      </c>
      <c r="K274" s="95"/>
      <c r="L274" s="94"/>
      <c r="M274" s="172">
        <f t="shared" si="267"/>
        <v>0</v>
      </c>
      <c r="N274" s="178"/>
      <c r="O274" s="94"/>
      <c r="P274" s="175">
        <f t="shared" si="268"/>
        <v>0</v>
      </c>
      <c r="Q274" s="95"/>
      <c r="R274" s="94"/>
      <c r="S274" s="172">
        <f t="shared" si="269"/>
        <v>0</v>
      </c>
      <c r="T274" s="178"/>
      <c r="U274" s="94"/>
      <c r="V274" s="175">
        <f t="shared" si="270"/>
        <v>0</v>
      </c>
      <c r="W274" s="95"/>
      <c r="X274" s="94"/>
      <c r="Y274" s="172">
        <f t="shared" si="271"/>
        <v>0</v>
      </c>
      <c r="Z274" s="178"/>
      <c r="AA274" s="94"/>
      <c r="AB274" s="175">
        <f t="shared" si="272"/>
        <v>0</v>
      </c>
      <c r="AC274" s="95"/>
      <c r="AD274" s="94"/>
      <c r="AE274" s="89">
        <f t="shared" si="230"/>
        <v>0</v>
      </c>
      <c r="AF274" s="178"/>
      <c r="AG274" s="94"/>
      <c r="AH274" s="172">
        <f t="shared" si="273"/>
        <v>0</v>
      </c>
      <c r="AI274" s="162">
        <f t="shared" si="234"/>
        <v>0</v>
      </c>
      <c r="AJ274" s="200" t="str">
        <f t="shared" si="228"/>
        <v>ممتاز</v>
      </c>
      <c r="AK274" s="65" t="e">
        <f t="shared" si="229"/>
        <v>#DIV/0!</v>
      </c>
      <c r="AM274" s="50">
        <f t="shared" si="227"/>
        <v>264</v>
      </c>
      <c r="AN274" s="88">
        <f t="shared" si="231"/>
        <v>0</v>
      </c>
      <c r="AO274" s="100">
        <f t="shared" si="232"/>
        <v>0</v>
      </c>
      <c r="AP274" s="81">
        <f t="shared" si="233"/>
        <v>0</v>
      </c>
      <c r="AQ274" s="171">
        <f t="shared" si="235"/>
        <v>0</v>
      </c>
      <c r="AR274" s="189"/>
      <c r="AS274" s="172">
        <f t="shared" si="236"/>
        <v>0</v>
      </c>
      <c r="AT274" s="171">
        <f t="shared" si="237"/>
        <v>0</v>
      </c>
      <c r="AU274" s="189"/>
      <c r="AV274" s="172">
        <f t="shared" si="238"/>
        <v>0</v>
      </c>
      <c r="AW274" s="171">
        <f t="shared" si="239"/>
        <v>0</v>
      </c>
      <c r="AX274" s="189"/>
      <c r="AY274" s="172">
        <f t="shared" si="240"/>
        <v>0</v>
      </c>
      <c r="AZ274" s="171">
        <f t="shared" si="241"/>
        <v>0</v>
      </c>
      <c r="BA274" s="189"/>
      <c r="BB274" s="172">
        <f t="shared" si="242"/>
        <v>0</v>
      </c>
      <c r="BC274" s="171">
        <f t="shared" si="243"/>
        <v>0</v>
      </c>
      <c r="BD274" s="189"/>
      <c r="BE274" s="172">
        <f t="shared" si="244"/>
        <v>0</v>
      </c>
      <c r="BF274" s="171">
        <f t="shared" si="245"/>
        <v>0</v>
      </c>
      <c r="BG274" s="189"/>
      <c r="BH274" s="172">
        <f t="shared" si="246"/>
        <v>0</v>
      </c>
      <c r="BI274" s="171">
        <f t="shared" si="247"/>
        <v>0</v>
      </c>
      <c r="BJ274" s="189"/>
      <c r="BK274" s="172">
        <f t="shared" si="248"/>
        <v>0</v>
      </c>
      <c r="BL274" s="171">
        <f t="shared" si="249"/>
        <v>0</v>
      </c>
      <c r="BM274" s="189"/>
      <c r="BN274" s="172">
        <f t="shared" si="250"/>
        <v>0</v>
      </c>
      <c r="BO274" s="171">
        <f t="shared" si="251"/>
        <v>0</v>
      </c>
      <c r="BP274" s="189"/>
      <c r="BQ274" s="172">
        <f t="shared" si="252"/>
        <v>0</v>
      </c>
      <c r="BR274" s="171">
        <f t="shared" si="253"/>
        <v>0</v>
      </c>
      <c r="BS274" s="189"/>
      <c r="BT274" s="172">
        <f t="shared" si="254"/>
        <v>0</v>
      </c>
      <c r="BU274" s="74">
        <f t="shared" si="255"/>
        <v>0</v>
      </c>
      <c r="BV274" s="195" t="str">
        <f>LOOKUP(BU274,'الفترة الاولى'!$BX$2:$BY$6)</f>
        <v>ممتاز</v>
      </c>
      <c r="BW274" s="75" t="e">
        <f>BU274/'الفترة الاولى'!$BZ$2</f>
        <v>#DIV/0!</v>
      </c>
    </row>
    <row r="275" spans="1:75" ht="25.2" customHeight="1" thickBot="1" x14ac:dyDescent="0.3">
      <c r="A275" s="50">
        <v>265</v>
      </c>
      <c r="B275" s="53"/>
      <c r="C275" s="101"/>
      <c r="D275" s="79"/>
      <c r="E275" s="168"/>
      <c r="F275" s="163"/>
      <c r="G275" s="89">
        <f t="shared" si="265"/>
        <v>0</v>
      </c>
      <c r="H275" s="176"/>
      <c r="I275" s="91"/>
      <c r="J275" s="173">
        <f t="shared" si="266"/>
        <v>0</v>
      </c>
      <c r="K275" s="90"/>
      <c r="L275" s="91"/>
      <c r="M275" s="89">
        <f t="shared" si="267"/>
        <v>0</v>
      </c>
      <c r="N275" s="176"/>
      <c r="O275" s="91"/>
      <c r="P275" s="173">
        <f t="shared" si="268"/>
        <v>0</v>
      </c>
      <c r="Q275" s="90"/>
      <c r="R275" s="91"/>
      <c r="S275" s="89">
        <f t="shared" si="269"/>
        <v>0</v>
      </c>
      <c r="T275" s="176"/>
      <c r="U275" s="91"/>
      <c r="V275" s="173">
        <f t="shared" si="270"/>
        <v>0</v>
      </c>
      <c r="W275" s="90"/>
      <c r="X275" s="91"/>
      <c r="Y275" s="89">
        <f t="shared" si="271"/>
        <v>0</v>
      </c>
      <c r="Z275" s="176"/>
      <c r="AA275" s="91"/>
      <c r="AB275" s="173">
        <f t="shared" si="272"/>
        <v>0</v>
      </c>
      <c r="AC275" s="90"/>
      <c r="AD275" s="91"/>
      <c r="AE275" s="89">
        <f t="shared" si="230"/>
        <v>0</v>
      </c>
      <c r="AF275" s="176"/>
      <c r="AG275" s="91"/>
      <c r="AH275" s="89">
        <f t="shared" si="273"/>
        <v>0</v>
      </c>
      <c r="AI275" s="160">
        <f t="shared" si="234"/>
        <v>0</v>
      </c>
      <c r="AJ275" s="201" t="str">
        <f t="shared" si="228"/>
        <v>ممتاز</v>
      </c>
      <c r="AK275" s="66" t="e">
        <f t="shared" si="229"/>
        <v>#DIV/0!</v>
      </c>
      <c r="AM275" s="51">
        <f t="shared" si="227"/>
        <v>265</v>
      </c>
      <c r="AN275" s="86">
        <f t="shared" si="231"/>
        <v>0</v>
      </c>
      <c r="AO275" s="98">
        <f t="shared" si="232"/>
        <v>0</v>
      </c>
      <c r="AP275" s="79">
        <f t="shared" si="233"/>
        <v>0</v>
      </c>
      <c r="AQ275" s="168">
        <f t="shared" si="235"/>
        <v>0</v>
      </c>
      <c r="AR275" s="163"/>
      <c r="AS275" s="89">
        <f t="shared" si="236"/>
        <v>0</v>
      </c>
      <c r="AT275" s="168">
        <f t="shared" si="237"/>
        <v>0</v>
      </c>
      <c r="AU275" s="163"/>
      <c r="AV275" s="89">
        <f t="shared" si="238"/>
        <v>0</v>
      </c>
      <c r="AW275" s="168">
        <f t="shared" si="239"/>
        <v>0</v>
      </c>
      <c r="AX275" s="163"/>
      <c r="AY275" s="89">
        <f t="shared" si="240"/>
        <v>0</v>
      </c>
      <c r="AZ275" s="168">
        <f t="shared" si="241"/>
        <v>0</v>
      </c>
      <c r="BA275" s="163"/>
      <c r="BB275" s="89">
        <f t="shared" si="242"/>
        <v>0</v>
      </c>
      <c r="BC275" s="168">
        <f t="shared" si="243"/>
        <v>0</v>
      </c>
      <c r="BD275" s="163"/>
      <c r="BE275" s="89">
        <f t="shared" si="244"/>
        <v>0</v>
      </c>
      <c r="BF275" s="168">
        <f t="shared" si="245"/>
        <v>0</v>
      </c>
      <c r="BG275" s="163"/>
      <c r="BH275" s="89">
        <f t="shared" si="246"/>
        <v>0</v>
      </c>
      <c r="BI275" s="168">
        <f t="shared" si="247"/>
        <v>0</v>
      </c>
      <c r="BJ275" s="163"/>
      <c r="BK275" s="89">
        <f t="shared" si="248"/>
        <v>0</v>
      </c>
      <c r="BL275" s="168">
        <f t="shared" si="249"/>
        <v>0</v>
      </c>
      <c r="BM275" s="163"/>
      <c r="BN275" s="89">
        <f t="shared" si="250"/>
        <v>0</v>
      </c>
      <c r="BO275" s="168">
        <f t="shared" si="251"/>
        <v>0</v>
      </c>
      <c r="BP275" s="163"/>
      <c r="BQ275" s="89">
        <f t="shared" si="252"/>
        <v>0</v>
      </c>
      <c r="BR275" s="168">
        <f t="shared" si="253"/>
        <v>0</v>
      </c>
      <c r="BS275" s="163"/>
      <c r="BT275" s="89">
        <f t="shared" si="254"/>
        <v>0</v>
      </c>
      <c r="BU275" s="76">
        <f t="shared" si="255"/>
        <v>0</v>
      </c>
      <c r="BV275" s="196" t="str">
        <f>LOOKUP(BU275,'الفترة الاولى'!$BX$2:$BY$6)</f>
        <v>ممتاز</v>
      </c>
      <c r="BW275" s="77" t="e">
        <f>BU275/'الفترة الاولى'!$BZ$2</f>
        <v>#DIV/0!</v>
      </c>
    </row>
    <row r="276" spans="1:75" ht="25.2" customHeight="1" thickBot="1" x14ac:dyDescent="0.3">
      <c r="A276" s="51">
        <v>266</v>
      </c>
      <c r="B276" s="54"/>
      <c r="C276" s="102"/>
      <c r="D276" s="80"/>
      <c r="E276" s="169"/>
      <c r="F276" s="92"/>
      <c r="G276" s="170">
        <f t="shared" si="265"/>
        <v>0</v>
      </c>
      <c r="H276" s="177"/>
      <c r="I276" s="92"/>
      <c r="J276" s="174">
        <f t="shared" si="266"/>
        <v>0</v>
      </c>
      <c r="K276" s="93"/>
      <c r="L276" s="92"/>
      <c r="M276" s="170">
        <f t="shared" si="267"/>
        <v>0</v>
      </c>
      <c r="N276" s="177"/>
      <c r="O276" s="92"/>
      <c r="P276" s="174">
        <f t="shared" si="268"/>
        <v>0</v>
      </c>
      <c r="Q276" s="93"/>
      <c r="R276" s="92"/>
      <c r="S276" s="170">
        <f t="shared" si="269"/>
        <v>0</v>
      </c>
      <c r="T276" s="177"/>
      <c r="U276" s="92"/>
      <c r="V276" s="174">
        <f t="shared" si="270"/>
        <v>0</v>
      </c>
      <c r="W276" s="93"/>
      <c r="X276" s="92"/>
      <c r="Y276" s="170">
        <f t="shared" si="271"/>
        <v>0</v>
      </c>
      <c r="Z276" s="177"/>
      <c r="AA276" s="92"/>
      <c r="AB276" s="174">
        <f t="shared" si="272"/>
        <v>0</v>
      </c>
      <c r="AC276" s="93"/>
      <c r="AD276" s="92"/>
      <c r="AE276" s="89">
        <f t="shared" si="230"/>
        <v>0</v>
      </c>
      <c r="AF276" s="177"/>
      <c r="AG276" s="92"/>
      <c r="AH276" s="170">
        <f t="shared" si="273"/>
        <v>0</v>
      </c>
      <c r="AI276" s="161">
        <f t="shared" si="234"/>
        <v>0</v>
      </c>
      <c r="AJ276" s="202" t="str">
        <f t="shared" si="228"/>
        <v>ممتاز</v>
      </c>
      <c r="AK276" s="67" t="e">
        <f t="shared" si="229"/>
        <v>#DIV/0!</v>
      </c>
      <c r="AM276" s="52">
        <f t="shared" si="227"/>
        <v>266</v>
      </c>
      <c r="AN276" s="87">
        <f t="shared" si="231"/>
        <v>0</v>
      </c>
      <c r="AO276" s="99">
        <f t="shared" si="232"/>
        <v>0</v>
      </c>
      <c r="AP276" s="80">
        <f t="shared" si="233"/>
        <v>0</v>
      </c>
      <c r="AQ276" s="169">
        <f t="shared" si="235"/>
        <v>0</v>
      </c>
      <c r="AR276" s="188"/>
      <c r="AS276" s="170">
        <f t="shared" si="236"/>
        <v>0</v>
      </c>
      <c r="AT276" s="169">
        <f t="shared" si="237"/>
        <v>0</v>
      </c>
      <c r="AU276" s="188"/>
      <c r="AV276" s="170">
        <f t="shared" si="238"/>
        <v>0</v>
      </c>
      <c r="AW276" s="169">
        <f t="shared" si="239"/>
        <v>0</v>
      </c>
      <c r="AX276" s="188"/>
      <c r="AY276" s="170">
        <f t="shared" si="240"/>
        <v>0</v>
      </c>
      <c r="AZ276" s="169">
        <f t="shared" si="241"/>
        <v>0</v>
      </c>
      <c r="BA276" s="188"/>
      <c r="BB276" s="170">
        <f t="shared" si="242"/>
        <v>0</v>
      </c>
      <c r="BC276" s="169">
        <f t="shared" si="243"/>
        <v>0</v>
      </c>
      <c r="BD276" s="188"/>
      <c r="BE276" s="170">
        <f t="shared" si="244"/>
        <v>0</v>
      </c>
      <c r="BF276" s="169">
        <f t="shared" si="245"/>
        <v>0</v>
      </c>
      <c r="BG276" s="188"/>
      <c r="BH276" s="170">
        <f t="shared" si="246"/>
        <v>0</v>
      </c>
      <c r="BI276" s="169">
        <f t="shared" si="247"/>
        <v>0</v>
      </c>
      <c r="BJ276" s="188"/>
      <c r="BK276" s="170">
        <f t="shared" si="248"/>
        <v>0</v>
      </c>
      <c r="BL276" s="169">
        <f t="shared" si="249"/>
        <v>0</v>
      </c>
      <c r="BM276" s="188"/>
      <c r="BN276" s="170">
        <f t="shared" si="250"/>
        <v>0</v>
      </c>
      <c r="BO276" s="169">
        <f t="shared" si="251"/>
        <v>0</v>
      </c>
      <c r="BP276" s="188"/>
      <c r="BQ276" s="170">
        <f t="shared" si="252"/>
        <v>0</v>
      </c>
      <c r="BR276" s="169">
        <f t="shared" si="253"/>
        <v>0</v>
      </c>
      <c r="BS276" s="188"/>
      <c r="BT276" s="170">
        <f t="shared" si="254"/>
        <v>0</v>
      </c>
      <c r="BU276" s="72">
        <f t="shared" si="255"/>
        <v>0</v>
      </c>
      <c r="BV276" s="194" t="str">
        <f>LOOKUP(BU276,'الفترة الاولى'!$BX$2:$BY$6)</f>
        <v>ممتاز</v>
      </c>
      <c r="BW276" s="73" t="e">
        <f>BU276/'الفترة الاولى'!$BZ$2</f>
        <v>#DIV/0!</v>
      </c>
    </row>
    <row r="277" spans="1:75" ht="25.2" customHeight="1" thickBot="1" x14ac:dyDescent="0.3">
      <c r="A277" s="52">
        <v>267</v>
      </c>
      <c r="B277" s="55"/>
      <c r="C277" s="103"/>
      <c r="D277" s="81"/>
      <c r="E277" s="171"/>
      <c r="F277" s="94"/>
      <c r="G277" s="172">
        <f t="shared" si="265"/>
        <v>0</v>
      </c>
      <c r="H277" s="178"/>
      <c r="I277" s="94"/>
      <c r="J277" s="175">
        <f t="shared" si="266"/>
        <v>0</v>
      </c>
      <c r="K277" s="95"/>
      <c r="L277" s="94"/>
      <c r="M277" s="172">
        <f t="shared" si="267"/>
        <v>0</v>
      </c>
      <c r="N277" s="178"/>
      <c r="O277" s="94"/>
      <c r="P277" s="175">
        <f t="shared" si="268"/>
        <v>0</v>
      </c>
      <c r="Q277" s="95"/>
      <c r="R277" s="94"/>
      <c r="S277" s="172">
        <f t="shared" si="269"/>
        <v>0</v>
      </c>
      <c r="T277" s="178"/>
      <c r="U277" s="94"/>
      <c r="V277" s="175">
        <f t="shared" si="270"/>
        <v>0</v>
      </c>
      <c r="W277" s="95"/>
      <c r="X277" s="94"/>
      <c r="Y277" s="172">
        <f t="shared" si="271"/>
        <v>0</v>
      </c>
      <c r="Z277" s="178"/>
      <c r="AA277" s="94"/>
      <c r="AB277" s="175">
        <f t="shared" si="272"/>
        <v>0</v>
      </c>
      <c r="AC277" s="95"/>
      <c r="AD277" s="94"/>
      <c r="AE277" s="89">
        <f t="shared" si="230"/>
        <v>0</v>
      </c>
      <c r="AF277" s="178"/>
      <c r="AG277" s="94"/>
      <c r="AH277" s="172">
        <f t="shared" si="273"/>
        <v>0</v>
      </c>
      <c r="AI277" s="162">
        <f t="shared" si="234"/>
        <v>0</v>
      </c>
      <c r="AJ277" s="200" t="str">
        <f t="shared" si="228"/>
        <v>ممتاز</v>
      </c>
      <c r="AK277" s="65" t="e">
        <f t="shared" si="229"/>
        <v>#DIV/0!</v>
      </c>
      <c r="AM277" s="50">
        <f t="shared" si="227"/>
        <v>267</v>
      </c>
      <c r="AN277" s="88">
        <f t="shared" si="231"/>
        <v>0</v>
      </c>
      <c r="AO277" s="100">
        <f t="shared" si="232"/>
        <v>0</v>
      </c>
      <c r="AP277" s="81">
        <f t="shared" si="233"/>
        <v>0</v>
      </c>
      <c r="AQ277" s="171">
        <f t="shared" si="235"/>
        <v>0</v>
      </c>
      <c r="AR277" s="189"/>
      <c r="AS277" s="172">
        <f t="shared" si="236"/>
        <v>0</v>
      </c>
      <c r="AT277" s="171">
        <f t="shared" si="237"/>
        <v>0</v>
      </c>
      <c r="AU277" s="189"/>
      <c r="AV277" s="172">
        <f t="shared" si="238"/>
        <v>0</v>
      </c>
      <c r="AW277" s="171">
        <f t="shared" si="239"/>
        <v>0</v>
      </c>
      <c r="AX277" s="189"/>
      <c r="AY277" s="172">
        <f t="shared" si="240"/>
        <v>0</v>
      </c>
      <c r="AZ277" s="171">
        <f t="shared" si="241"/>
        <v>0</v>
      </c>
      <c r="BA277" s="189"/>
      <c r="BB277" s="172">
        <f t="shared" si="242"/>
        <v>0</v>
      </c>
      <c r="BC277" s="171">
        <f t="shared" si="243"/>
        <v>0</v>
      </c>
      <c r="BD277" s="189"/>
      <c r="BE277" s="172">
        <f t="shared" si="244"/>
        <v>0</v>
      </c>
      <c r="BF277" s="171">
        <f t="shared" si="245"/>
        <v>0</v>
      </c>
      <c r="BG277" s="189"/>
      <c r="BH277" s="172">
        <f t="shared" si="246"/>
        <v>0</v>
      </c>
      <c r="BI277" s="171">
        <f t="shared" si="247"/>
        <v>0</v>
      </c>
      <c r="BJ277" s="189"/>
      <c r="BK277" s="172">
        <f t="shared" si="248"/>
        <v>0</v>
      </c>
      <c r="BL277" s="171">
        <f t="shared" si="249"/>
        <v>0</v>
      </c>
      <c r="BM277" s="189"/>
      <c r="BN277" s="172">
        <f t="shared" si="250"/>
        <v>0</v>
      </c>
      <c r="BO277" s="171">
        <f t="shared" si="251"/>
        <v>0</v>
      </c>
      <c r="BP277" s="189"/>
      <c r="BQ277" s="172">
        <f t="shared" si="252"/>
        <v>0</v>
      </c>
      <c r="BR277" s="171">
        <f t="shared" si="253"/>
        <v>0</v>
      </c>
      <c r="BS277" s="189"/>
      <c r="BT277" s="172">
        <f t="shared" si="254"/>
        <v>0</v>
      </c>
      <c r="BU277" s="74">
        <f t="shared" si="255"/>
        <v>0</v>
      </c>
      <c r="BV277" s="195" t="str">
        <f>LOOKUP(BU277,'الفترة الاولى'!$BX$2:$BY$6)</f>
        <v>ممتاز</v>
      </c>
      <c r="BW277" s="75" t="e">
        <f>BU277/'الفترة الاولى'!$BZ$2</f>
        <v>#DIV/0!</v>
      </c>
    </row>
    <row r="278" spans="1:75" ht="25.2" customHeight="1" thickBot="1" x14ac:dyDescent="0.3">
      <c r="A278" s="50">
        <v>268</v>
      </c>
      <c r="B278" s="53"/>
      <c r="C278" s="101"/>
      <c r="D278" s="79"/>
      <c r="E278" s="168"/>
      <c r="F278" s="163"/>
      <c r="G278" s="89">
        <f t="shared" si="265"/>
        <v>0</v>
      </c>
      <c r="H278" s="176"/>
      <c r="I278" s="91"/>
      <c r="J278" s="173">
        <f t="shared" si="266"/>
        <v>0</v>
      </c>
      <c r="K278" s="90"/>
      <c r="L278" s="91"/>
      <c r="M278" s="89">
        <f t="shared" si="267"/>
        <v>0</v>
      </c>
      <c r="N278" s="176"/>
      <c r="O278" s="91"/>
      <c r="P278" s="173">
        <f t="shared" si="268"/>
        <v>0</v>
      </c>
      <c r="Q278" s="90"/>
      <c r="R278" s="91"/>
      <c r="S278" s="89">
        <f t="shared" si="269"/>
        <v>0</v>
      </c>
      <c r="T278" s="176"/>
      <c r="U278" s="91"/>
      <c r="V278" s="173">
        <f t="shared" si="270"/>
        <v>0</v>
      </c>
      <c r="W278" s="90"/>
      <c r="X278" s="91"/>
      <c r="Y278" s="89">
        <f t="shared" si="271"/>
        <v>0</v>
      </c>
      <c r="Z278" s="176"/>
      <c r="AA278" s="91"/>
      <c r="AB278" s="173">
        <f t="shared" si="272"/>
        <v>0</v>
      </c>
      <c r="AC278" s="90"/>
      <c r="AD278" s="91"/>
      <c r="AE278" s="89">
        <f t="shared" si="230"/>
        <v>0</v>
      </c>
      <c r="AF278" s="176"/>
      <c r="AG278" s="91"/>
      <c r="AH278" s="89">
        <f t="shared" si="273"/>
        <v>0</v>
      </c>
      <c r="AI278" s="160">
        <f t="shared" si="234"/>
        <v>0</v>
      </c>
      <c r="AJ278" s="201" t="str">
        <f t="shared" si="228"/>
        <v>ممتاز</v>
      </c>
      <c r="AK278" s="66" t="e">
        <f t="shared" si="229"/>
        <v>#DIV/0!</v>
      </c>
      <c r="AM278" s="51">
        <f t="shared" ref="AM278:AM310" si="274">A278</f>
        <v>268</v>
      </c>
      <c r="AN278" s="86">
        <f t="shared" si="231"/>
        <v>0</v>
      </c>
      <c r="AO278" s="98">
        <f t="shared" si="232"/>
        <v>0</v>
      </c>
      <c r="AP278" s="79">
        <f t="shared" si="233"/>
        <v>0</v>
      </c>
      <c r="AQ278" s="168">
        <f t="shared" si="235"/>
        <v>0</v>
      </c>
      <c r="AR278" s="163"/>
      <c r="AS278" s="89">
        <f t="shared" si="236"/>
        <v>0</v>
      </c>
      <c r="AT278" s="168">
        <f t="shared" si="237"/>
        <v>0</v>
      </c>
      <c r="AU278" s="163"/>
      <c r="AV278" s="89">
        <f t="shared" si="238"/>
        <v>0</v>
      </c>
      <c r="AW278" s="168">
        <f t="shared" si="239"/>
        <v>0</v>
      </c>
      <c r="AX278" s="163"/>
      <c r="AY278" s="89">
        <f t="shared" si="240"/>
        <v>0</v>
      </c>
      <c r="AZ278" s="168">
        <f t="shared" si="241"/>
        <v>0</v>
      </c>
      <c r="BA278" s="163"/>
      <c r="BB278" s="89">
        <f t="shared" si="242"/>
        <v>0</v>
      </c>
      <c r="BC278" s="168">
        <f t="shared" si="243"/>
        <v>0</v>
      </c>
      <c r="BD278" s="163"/>
      <c r="BE278" s="89">
        <f t="shared" si="244"/>
        <v>0</v>
      </c>
      <c r="BF278" s="168">
        <f t="shared" si="245"/>
        <v>0</v>
      </c>
      <c r="BG278" s="163"/>
      <c r="BH278" s="89">
        <f t="shared" si="246"/>
        <v>0</v>
      </c>
      <c r="BI278" s="168">
        <f t="shared" si="247"/>
        <v>0</v>
      </c>
      <c r="BJ278" s="163"/>
      <c r="BK278" s="89">
        <f t="shared" si="248"/>
        <v>0</v>
      </c>
      <c r="BL278" s="168">
        <f t="shared" si="249"/>
        <v>0</v>
      </c>
      <c r="BM278" s="163"/>
      <c r="BN278" s="89">
        <f t="shared" si="250"/>
        <v>0</v>
      </c>
      <c r="BO278" s="168">
        <f t="shared" si="251"/>
        <v>0</v>
      </c>
      <c r="BP278" s="163"/>
      <c r="BQ278" s="89">
        <f t="shared" si="252"/>
        <v>0</v>
      </c>
      <c r="BR278" s="168">
        <f t="shared" si="253"/>
        <v>0</v>
      </c>
      <c r="BS278" s="163"/>
      <c r="BT278" s="89">
        <f t="shared" si="254"/>
        <v>0</v>
      </c>
      <c r="BU278" s="76">
        <f t="shared" si="255"/>
        <v>0</v>
      </c>
      <c r="BV278" s="196" t="str">
        <f>LOOKUP(BU278,'الفترة الاولى'!$BX$2:$BY$6)</f>
        <v>ممتاز</v>
      </c>
      <c r="BW278" s="77" t="e">
        <f>BU278/'الفترة الاولى'!$BZ$2</f>
        <v>#DIV/0!</v>
      </c>
    </row>
    <row r="279" spans="1:75" ht="25.2" customHeight="1" thickBot="1" x14ac:dyDescent="0.3">
      <c r="A279" s="51">
        <v>269</v>
      </c>
      <c r="B279" s="54"/>
      <c r="C279" s="102"/>
      <c r="D279" s="80"/>
      <c r="E279" s="169"/>
      <c r="F279" s="92"/>
      <c r="G279" s="170">
        <f t="shared" si="265"/>
        <v>0</v>
      </c>
      <c r="H279" s="177"/>
      <c r="I279" s="92"/>
      <c r="J279" s="174">
        <f t="shared" si="266"/>
        <v>0</v>
      </c>
      <c r="K279" s="93"/>
      <c r="L279" s="92"/>
      <c r="M279" s="170">
        <f t="shared" si="267"/>
        <v>0</v>
      </c>
      <c r="N279" s="177"/>
      <c r="O279" s="92"/>
      <c r="P279" s="174">
        <f t="shared" si="268"/>
        <v>0</v>
      </c>
      <c r="Q279" s="93"/>
      <c r="R279" s="92"/>
      <c r="S279" s="170">
        <f t="shared" si="269"/>
        <v>0</v>
      </c>
      <c r="T279" s="177"/>
      <c r="U279" s="92"/>
      <c r="V279" s="174">
        <f t="shared" si="270"/>
        <v>0</v>
      </c>
      <c r="W279" s="93"/>
      <c r="X279" s="92"/>
      <c r="Y279" s="170">
        <f t="shared" si="271"/>
        <v>0</v>
      </c>
      <c r="Z279" s="177"/>
      <c r="AA279" s="92"/>
      <c r="AB279" s="174">
        <f t="shared" si="272"/>
        <v>0</v>
      </c>
      <c r="AC279" s="93"/>
      <c r="AD279" s="92"/>
      <c r="AE279" s="89">
        <f t="shared" si="230"/>
        <v>0</v>
      </c>
      <c r="AF279" s="177"/>
      <c r="AG279" s="92"/>
      <c r="AH279" s="170">
        <f t="shared" si="273"/>
        <v>0</v>
      </c>
      <c r="AI279" s="161">
        <f t="shared" si="234"/>
        <v>0</v>
      </c>
      <c r="AJ279" s="202" t="str">
        <f t="shared" si="228"/>
        <v>ممتاز</v>
      </c>
      <c r="AK279" s="67" t="e">
        <f t="shared" si="229"/>
        <v>#DIV/0!</v>
      </c>
      <c r="AM279" s="52">
        <f t="shared" si="274"/>
        <v>269</v>
      </c>
      <c r="AN279" s="87">
        <f t="shared" si="231"/>
        <v>0</v>
      </c>
      <c r="AO279" s="99">
        <f t="shared" si="232"/>
        <v>0</v>
      </c>
      <c r="AP279" s="80">
        <f t="shared" si="233"/>
        <v>0</v>
      </c>
      <c r="AQ279" s="169">
        <f t="shared" si="235"/>
        <v>0</v>
      </c>
      <c r="AR279" s="188"/>
      <c r="AS279" s="170">
        <f t="shared" si="236"/>
        <v>0</v>
      </c>
      <c r="AT279" s="169">
        <f t="shared" si="237"/>
        <v>0</v>
      </c>
      <c r="AU279" s="188"/>
      <c r="AV279" s="170">
        <f t="shared" si="238"/>
        <v>0</v>
      </c>
      <c r="AW279" s="169">
        <f t="shared" si="239"/>
        <v>0</v>
      </c>
      <c r="AX279" s="188"/>
      <c r="AY279" s="170">
        <f t="shared" si="240"/>
        <v>0</v>
      </c>
      <c r="AZ279" s="169">
        <f t="shared" si="241"/>
        <v>0</v>
      </c>
      <c r="BA279" s="188"/>
      <c r="BB279" s="170">
        <f t="shared" si="242"/>
        <v>0</v>
      </c>
      <c r="BC279" s="169">
        <f t="shared" si="243"/>
        <v>0</v>
      </c>
      <c r="BD279" s="188"/>
      <c r="BE279" s="170">
        <f t="shared" si="244"/>
        <v>0</v>
      </c>
      <c r="BF279" s="169">
        <f t="shared" si="245"/>
        <v>0</v>
      </c>
      <c r="BG279" s="188"/>
      <c r="BH279" s="170">
        <f t="shared" si="246"/>
        <v>0</v>
      </c>
      <c r="BI279" s="169">
        <f t="shared" si="247"/>
        <v>0</v>
      </c>
      <c r="BJ279" s="188"/>
      <c r="BK279" s="170">
        <f t="shared" si="248"/>
        <v>0</v>
      </c>
      <c r="BL279" s="169">
        <f t="shared" si="249"/>
        <v>0</v>
      </c>
      <c r="BM279" s="188"/>
      <c r="BN279" s="170">
        <f t="shared" si="250"/>
        <v>0</v>
      </c>
      <c r="BO279" s="169">
        <f t="shared" si="251"/>
        <v>0</v>
      </c>
      <c r="BP279" s="188"/>
      <c r="BQ279" s="170">
        <f t="shared" si="252"/>
        <v>0</v>
      </c>
      <c r="BR279" s="169">
        <f t="shared" si="253"/>
        <v>0</v>
      </c>
      <c r="BS279" s="188"/>
      <c r="BT279" s="170">
        <f t="shared" si="254"/>
        <v>0</v>
      </c>
      <c r="BU279" s="72">
        <f t="shared" si="255"/>
        <v>0</v>
      </c>
      <c r="BV279" s="194" t="str">
        <f>LOOKUP(BU279,'الفترة الاولى'!$BX$2:$BY$6)</f>
        <v>ممتاز</v>
      </c>
      <c r="BW279" s="73" t="e">
        <f>BU279/'الفترة الاولى'!$BZ$2</f>
        <v>#DIV/0!</v>
      </c>
    </row>
    <row r="280" spans="1:75" ht="25.2" customHeight="1" thickBot="1" x14ac:dyDescent="0.3">
      <c r="A280" s="52">
        <v>270</v>
      </c>
      <c r="B280" s="55"/>
      <c r="C280" s="103"/>
      <c r="D280" s="81"/>
      <c r="E280" s="171"/>
      <c r="F280" s="94"/>
      <c r="G280" s="172">
        <f t="shared" si="265"/>
        <v>0</v>
      </c>
      <c r="H280" s="178"/>
      <c r="I280" s="94"/>
      <c r="J280" s="175">
        <f t="shared" si="266"/>
        <v>0</v>
      </c>
      <c r="K280" s="95"/>
      <c r="L280" s="94"/>
      <c r="M280" s="172">
        <f t="shared" si="267"/>
        <v>0</v>
      </c>
      <c r="N280" s="178"/>
      <c r="O280" s="94"/>
      <c r="P280" s="175">
        <f t="shared" si="268"/>
        <v>0</v>
      </c>
      <c r="Q280" s="95"/>
      <c r="R280" s="94"/>
      <c r="S280" s="172">
        <f t="shared" si="269"/>
        <v>0</v>
      </c>
      <c r="T280" s="178"/>
      <c r="U280" s="94"/>
      <c r="V280" s="175">
        <f t="shared" si="270"/>
        <v>0</v>
      </c>
      <c r="W280" s="95"/>
      <c r="X280" s="94"/>
      <c r="Y280" s="172">
        <f t="shared" si="271"/>
        <v>0</v>
      </c>
      <c r="Z280" s="178"/>
      <c r="AA280" s="94"/>
      <c r="AB280" s="175">
        <f t="shared" si="272"/>
        <v>0</v>
      </c>
      <c r="AC280" s="95"/>
      <c r="AD280" s="94"/>
      <c r="AE280" s="89">
        <f t="shared" si="230"/>
        <v>0</v>
      </c>
      <c r="AF280" s="178"/>
      <c r="AG280" s="94"/>
      <c r="AH280" s="172">
        <f t="shared" si="273"/>
        <v>0</v>
      </c>
      <c r="AI280" s="162">
        <f t="shared" si="234"/>
        <v>0</v>
      </c>
      <c r="AJ280" s="200" t="str">
        <f t="shared" si="228"/>
        <v>ممتاز</v>
      </c>
      <c r="AK280" s="65" t="e">
        <f t="shared" si="229"/>
        <v>#DIV/0!</v>
      </c>
      <c r="AM280" s="50">
        <f t="shared" si="274"/>
        <v>270</v>
      </c>
      <c r="AN280" s="88">
        <f t="shared" si="231"/>
        <v>0</v>
      </c>
      <c r="AO280" s="100">
        <f t="shared" si="232"/>
        <v>0</v>
      </c>
      <c r="AP280" s="81">
        <f t="shared" si="233"/>
        <v>0</v>
      </c>
      <c r="AQ280" s="171">
        <f t="shared" si="235"/>
        <v>0</v>
      </c>
      <c r="AR280" s="189"/>
      <c r="AS280" s="172">
        <f t="shared" si="236"/>
        <v>0</v>
      </c>
      <c r="AT280" s="171">
        <f t="shared" si="237"/>
        <v>0</v>
      </c>
      <c r="AU280" s="189"/>
      <c r="AV280" s="172">
        <f t="shared" si="238"/>
        <v>0</v>
      </c>
      <c r="AW280" s="171">
        <f t="shared" si="239"/>
        <v>0</v>
      </c>
      <c r="AX280" s="189"/>
      <c r="AY280" s="172">
        <f t="shared" si="240"/>
        <v>0</v>
      </c>
      <c r="AZ280" s="171">
        <f t="shared" si="241"/>
        <v>0</v>
      </c>
      <c r="BA280" s="189"/>
      <c r="BB280" s="172">
        <f t="shared" si="242"/>
        <v>0</v>
      </c>
      <c r="BC280" s="171">
        <f t="shared" si="243"/>
        <v>0</v>
      </c>
      <c r="BD280" s="189"/>
      <c r="BE280" s="172">
        <f t="shared" si="244"/>
        <v>0</v>
      </c>
      <c r="BF280" s="171">
        <f t="shared" si="245"/>
        <v>0</v>
      </c>
      <c r="BG280" s="189"/>
      <c r="BH280" s="172">
        <f t="shared" si="246"/>
        <v>0</v>
      </c>
      <c r="BI280" s="171">
        <f t="shared" si="247"/>
        <v>0</v>
      </c>
      <c r="BJ280" s="189"/>
      <c r="BK280" s="172">
        <f t="shared" si="248"/>
        <v>0</v>
      </c>
      <c r="BL280" s="171">
        <f t="shared" si="249"/>
        <v>0</v>
      </c>
      <c r="BM280" s="189"/>
      <c r="BN280" s="172">
        <f t="shared" si="250"/>
        <v>0</v>
      </c>
      <c r="BO280" s="171">
        <f t="shared" si="251"/>
        <v>0</v>
      </c>
      <c r="BP280" s="189"/>
      <c r="BQ280" s="172">
        <f t="shared" si="252"/>
        <v>0</v>
      </c>
      <c r="BR280" s="171">
        <f t="shared" si="253"/>
        <v>0</v>
      </c>
      <c r="BS280" s="189"/>
      <c r="BT280" s="172">
        <f t="shared" si="254"/>
        <v>0</v>
      </c>
      <c r="BU280" s="74">
        <f t="shared" si="255"/>
        <v>0</v>
      </c>
      <c r="BV280" s="195" t="str">
        <f>LOOKUP(BU280,'الفترة الاولى'!$BX$2:$BY$6)</f>
        <v>ممتاز</v>
      </c>
      <c r="BW280" s="75" t="e">
        <f>BU280/'الفترة الاولى'!$BZ$2</f>
        <v>#DIV/0!</v>
      </c>
    </row>
    <row r="281" spans="1:75" ht="25.2" customHeight="1" thickBot="1" x14ac:dyDescent="0.3">
      <c r="A281" s="50">
        <v>271</v>
      </c>
      <c r="B281" s="53"/>
      <c r="C281" s="101"/>
      <c r="D281" s="79"/>
      <c r="E281" s="168"/>
      <c r="F281" s="163"/>
      <c r="G281" s="89">
        <f t="shared" si="265"/>
        <v>0</v>
      </c>
      <c r="H281" s="176"/>
      <c r="I281" s="91"/>
      <c r="J281" s="173">
        <f t="shared" si="266"/>
        <v>0</v>
      </c>
      <c r="K281" s="90"/>
      <c r="L281" s="91"/>
      <c r="M281" s="89">
        <f t="shared" si="267"/>
        <v>0</v>
      </c>
      <c r="N281" s="176"/>
      <c r="O281" s="91"/>
      <c r="P281" s="173">
        <f t="shared" si="268"/>
        <v>0</v>
      </c>
      <c r="Q281" s="90"/>
      <c r="R281" s="91"/>
      <c r="S281" s="89">
        <f t="shared" si="269"/>
        <v>0</v>
      </c>
      <c r="T281" s="176"/>
      <c r="U281" s="91"/>
      <c r="V281" s="173">
        <f t="shared" si="270"/>
        <v>0</v>
      </c>
      <c r="W281" s="90"/>
      <c r="X281" s="91"/>
      <c r="Y281" s="89">
        <f t="shared" si="271"/>
        <v>0</v>
      </c>
      <c r="Z281" s="176"/>
      <c r="AA281" s="91"/>
      <c r="AB281" s="173">
        <f t="shared" si="272"/>
        <v>0</v>
      </c>
      <c r="AC281" s="90"/>
      <c r="AD281" s="91"/>
      <c r="AE281" s="89">
        <f t="shared" ref="AE281:AE310" si="275">SUM(AC281:AD281)</f>
        <v>0</v>
      </c>
      <c r="AF281" s="176"/>
      <c r="AG281" s="91"/>
      <c r="AH281" s="89">
        <f t="shared" si="273"/>
        <v>0</v>
      </c>
      <c r="AI281" s="160">
        <f t="shared" si="234"/>
        <v>0</v>
      </c>
      <c r="AJ281" s="201" t="str">
        <f t="shared" si="228"/>
        <v>ممتاز</v>
      </c>
      <c r="AK281" s="66" t="e">
        <f t="shared" si="229"/>
        <v>#DIV/0!</v>
      </c>
      <c r="AM281" s="51">
        <f t="shared" si="274"/>
        <v>271</v>
      </c>
      <c r="AN281" s="86">
        <f t="shared" si="231"/>
        <v>0</v>
      </c>
      <c r="AO281" s="98">
        <f t="shared" si="232"/>
        <v>0</v>
      </c>
      <c r="AP281" s="79">
        <f t="shared" si="233"/>
        <v>0</v>
      </c>
      <c r="AQ281" s="168">
        <f t="shared" si="235"/>
        <v>0</v>
      </c>
      <c r="AR281" s="163"/>
      <c r="AS281" s="89">
        <f t="shared" si="236"/>
        <v>0</v>
      </c>
      <c r="AT281" s="168">
        <f t="shared" si="237"/>
        <v>0</v>
      </c>
      <c r="AU281" s="163"/>
      <c r="AV281" s="89">
        <f t="shared" si="238"/>
        <v>0</v>
      </c>
      <c r="AW281" s="168">
        <f t="shared" si="239"/>
        <v>0</v>
      </c>
      <c r="AX281" s="163"/>
      <c r="AY281" s="89">
        <f t="shared" si="240"/>
        <v>0</v>
      </c>
      <c r="AZ281" s="168">
        <f t="shared" si="241"/>
        <v>0</v>
      </c>
      <c r="BA281" s="163"/>
      <c r="BB281" s="89">
        <f t="shared" si="242"/>
        <v>0</v>
      </c>
      <c r="BC281" s="168">
        <f t="shared" si="243"/>
        <v>0</v>
      </c>
      <c r="BD281" s="163"/>
      <c r="BE281" s="89">
        <f t="shared" si="244"/>
        <v>0</v>
      </c>
      <c r="BF281" s="168">
        <f t="shared" si="245"/>
        <v>0</v>
      </c>
      <c r="BG281" s="163"/>
      <c r="BH281" s="89">
        <f t="shared" si="246"/>
        <v>0</v>
      </c>
      <c r="BI281" s="168">
        <f t="shared" si="247"/>
        <v>0</v>
      </c>
      <c r="BJ281" s="163"/>
      <c r="BK281" s="89">
        <f t="shared" si="248"/>
        <v>0</v>
      </c>
      <c r="BL281" s="168">
        <f t="shared" si="249"/>
        <v>0</v>
      </c>
      <c r="BM281" s="163"/>
      <c r="BN281" s="89">
        <f t="shared" si="250"/>
        <v>0</v>
      </c>
      <c r="BO281" s="168">
        <f t="shared" si="251"/>
        <v>0</v>
      </c>
      <c r="BP281" s="163"/>
      <c r="BQ281" s="89">
        <f t="shared" si="252"/>
        <v>0</v>
      </c>
      <c r="BR281" s="168">
        <f t="shared" si="253"/>
        <v>0</v>
      </c>
      <c r="BS281" s="163"/>
      <c r="BT281" s="89">
        <f t="shared" si="254"/>
        <v>0</v>
      </c>
      <c r="BU281" s="76">
        <f t="shared" si="255"/>
        <v>0</v>
      </c>
      <c r="BV281" s="196" t="str">
        <f>LOOKUP(BU281,'الفترة الاولى'!$BX$2:$BY$6)</f>
        <v>ممتاز</v>
      </c>
      <c r="BW281" s="77" t="e">
        <f>BU281/'الفترة الاولى'!$BZ$2</f>
        <v>#DIV/0!</v>
      </c>
    </row>
    <row r="282" spans="1:75" ht="25.2" customHeight="1" thickBot="1" x14ac:dyDescent="0.3">
      <c r="A282" s="51">
        <v>272</v>
      </c>
      <c r="B282" s="54"/>
      <c r="C282" s="102"/>
      <c r="D282" s="80"/>
      <c r="E282" s="169"/>
      <c r="F282" s="92"/>
      <c r="G282" s="170">
        <f t="shared" si="265"/>
        <v>0</v>
      </c>
      <c r="H282" s="177"/>
      <c r="I282" s="92"/>
      <c r="J282" s="174">
        <f t="shared" si="266"/>
        <v>0</v>
      </c>
      <c r="K282" s="93"/>
      <c r="L282" s="92"/>
      <c r="M282" s="170">
        <f t="shared" si="267"/>
        <v>0</v>
      </c>
      <c r="N282" s="177"/>
      <c r="O282" s="92"/>
      <c r="P282" s="174">
        <f t="shared" si="268"/>
        <v>0</v>
      </c>
      <c r="Q282" s="93"/>
      <c r="R282" s="92"/>
      <c r="S282" s="170">
        <f t="shared" si="269"/>
        <v>0</v>
      </c>
      <c r="T282" s="177"/>
      <c r="U282" s="92"/>
      <c r="V282" s="174">
        <f t="shared" si="270"/>
        <v>0</v>
      </c>
      <c r="W282" s="93"/>
      <c r="X282" s="92"/>
      <c r="Y282" s="170">
        <f t="shared" si="271"/>
        <v>0</v>
      </c>
      <c r="Z282" s="177"/>
      <c r="AA282" s="92"/>
      <c r="AB282" s="174">
        <f t="shared" si="272"/>
        <v>0</v>
      </c>
      <c r="AC282" s="93"/>
      <c r="AD282" s="92"/>
      <c r="AE282" s="170">
        <f t="shared" si="275"/>
        <v>0</v>
      </c>
      <c r="AF282" s="177"/>
      <c r="AG282" s="92"/>
      <c r="AH282" s="170">
        <f t="shared" si="273"/>
        <v>0</v>
      </c>
      <c r="AI282" s="161">
        <f t="shared" si="234"/>
        <v>0</v>
      </c>
      <c r="AJ282" s="202" t="str">
        <f t="shared" si="228"/>
        <v>ممتاز</v>
      </c>
      <c r="AK282" s="67" t="e">
        <f t="shared" si="229"/>
        <v>#DIV/0!</v>
      </c>
      <c r="AM282" s="52">
        <f t="shared" si="274"/>
        <v>272</v>
      </c>
      <c r="AN282" s="87">
        <f t="shared" si="231"/>
        <v>0</v>
      </c>
      <c r="AO282" s="99">
        <f t="shared" si="232"/>
        <v>0</v>
      </c>
      <c r="AP282" s="80">
        <f t="shared" si="233"/>
        <v>0</v>
      </c>
      <c r="AQ282" s="169">
        <f t="shared" si="235"/>
        <v>0</v>
      </c>
      <c r="AR282" s="188"/>
      <c r="AS282" s="170">
        <f t="shared" si="236"/>
        <v>0</v>
      </c>
      <c r="AT282" s="169">
        <f t="shared" si="237"/>
        <v>0</v>
      </c>
      <c r="AU282" s="188"/>
      <c r="AV282" s="170">
        <f t="shared" si="238"/>
        <v>0</v>
      </c>
      <c r="AW282" s="169">
        <f t="shared" si="239"/>
        <v>0</v>
      </c>
      <c r="AX282" s="188"/>
      <c r="AY282" s="170">
        <f t="shared" si="240"/>
        <v>0</v>
      </c>
      <c r="AZ282" s="169">
        <f t="shared" si="241"/>
        <v>0</v>
      </c>
      <c r="BA282" s="188"/>
      <c r="BB282" s="170">
        <f t="shared" si="242"/>
        <v>0</v>
      </c>
      <c r="BC282" s="169">
        <f t="shared" si="243"/>
        <v>0</v>
      </c>
      <c r="BD282" s="188"/>
      <c r="BE282" s="170">
        <f t="shared" si="244"/>
        <v>0</v>
      </c>
      <c r="BF282" s="169">
        <f t="shared" si="245"/>
        <v>0</v>
      </c>
      <c r="BG282" s="188"/>
      <c r="BH282" s="170">
        <f t="shared" si="246"/>
        <v>0</v>
      </c>
      <c r="BI282" s="169">
        <f t="shared" si="247"/>
        <v>0</v>
      </c>
      <c r="BJ282" s="188"/>
      <c r="BK282" s="170">
        <f t="shared" si="248"/>
        <v>0</v>
      </c>
      <c r="BL282" s="169">
        <f t="shared" si="249"/>
        <v>0</v>
      </c>
      <c r="BM282" s="188"/>
      <c r="BN282" s="170">
        <f t="shared" si="250"/>
        <v>0</v>
      </c>
      <c r="BO282" s="169">
        <f t="shared" si="251"/>
        <v>0</v>
      </c>
      <c r="BP282" s="188"/>
      <c r="BQ282" s="170">
        <f t="shared" si="252"/>
        <v>0</v>
      </c>
      <c r="BR282" s="169">
        <f t="shared" si="253"/>
        <v>0</v>
      </c>
      <c r="BS282" s="188"/>
      <c r="BT282" s="170">
        <f t="shared" si="254"/>
        <v>0</v>
      </c>
      <c r="BU282" s="72">
        <f t="shared" si="255"/>
        <v>0</v>
      </c>
      <c r="BV282" s="194" t="str">
        <f>LOOKUP(BU282,'الفترة الاولى'!$BX$2:$BY$6)</f>
        <v>ممتاز</v>
      </c>
      <c r="BW282" s="73" t="e">
        <f>BU282/'الفترة الاولى'!$BZ$2</f>
        <v>#DIV/0!</v>
      </c>
    </row>
    <row r="283" spans="1:75" ht="25.2" customHeight="1" thickBot="1" x14ac:dyDescent="0.3">
      <c r="A283" s="52">
        <v>273</v>
      </c>
      <c r="B283" s="55"/>
      <c r="C283" s="103"/>
      <c r="D283" s="81"/>
      <c r="E283" s="171"/>
      <c r="F283" s="94"/>
      <c r="G283" s="172">
        <f t="shared" si="265"/>
        <v>0</v>
      </c>
      <c r="H283" s="178"/>
      <c r="I283" s="94"/>
      <c r="J283" s="175">
        <f t="shared" si="266"/>
        <v>0</v>
      </c>
      <c r="K283" s="95"/>
      <c r="L283" s="94"/>
      <c r="M283" s="172">
        <f t="shared" si="267"/>
        <v>0</v>
      </c>
      <c r="N283" s="178"/>
      <c r="O283" s="94"/>
      <c r="P283" s="175">
        <f t="shared" si="268"/>
        <v>0</v>
      </c>
      <c r="Q283" s="95"/>
      <c r="R283" s="94"/>
      <c r="S283" s="172">
        <f t="shared" si="269"/>
        <v>0</v>
      </c>
      <c r="T283" s="178"/>
      <c r="U283" s="94"/>
      <c r="V283" s="175">
        <f t="shared" si="270"/>
        <v>0</v>
      </c>
      <c r="W283" s="95"/>
      <c r="X283" s="94"/>
      <c r="Y283" s="172">
        <f t="shared" si="271"/>
        <v>0</v>
      </c>
      <c r="Z283" s="178"/>
      <c r="AA283" s="94"/>
      <c r="AB283" s="175">
        <f t="shared" si="272"/>
        <v>0</v>
      </c>
      <c r="AC283" s="95"/>
      <c r="AD283" s="94"/>
      <c r="AE283" s="172">
        <f t="shared" si="275"/>
        <v>0</v>
      </c>
      <c r="AF283" s="178"/>
      <c r="AG283" s="94"/>
      <c r="AH283" s="172">
        <f t="shared" si="273"/>
        <v>0</v>
      </c>
      <c r="AI283" s="162">
        <f t="shared" si="234"/>
        <v>0</v>
      </c>
      <c r="AJ283" s="200" t="str">
        <f t="shared" si="228"/>
        <v>ممتاز</v>
      </c>
      <c r="AK283" s="65" t="e">
        <f t="shared" si="229"/>
        <v>#DIV/0!</v>
      </c>
      <c r="AM283" s="50">
        <f t="shared" si="274"/>
        <v>273</v>
      </c>
      <c r="AN283" s="88">
        <f t="shared" si="231"/>
        <v>0</v>
      </c>
      <c r="AO283" s="100">
        <f t="shared" si="232"/>
        <v>0</v>
      </c>
      <c r="AP283" s="81">
        <f t="shared" si="233"/>
        <v>0</v>
      </c>
      <c r="AQ283" s="171">
        <f t="shared" si="235"/>
        <v>0</v>
      </c>
      <c r="AR283" s="189"/>
      <c r="AS283" s="172">
        <f t="shared" si="236"/>
        <v>0</v>
      </c>
      <c r="AT283" s="171">
        <f t="shared" si="237"/>
        <v>0</v>
      </c>
      <c r="AU283" s="189"/>
      <c r="AV283" s="172">
        <f t="shared" si="238"/>
        <v>0</v>
      </c>
      <c r="AW283" s="171">
        <f t="shared" si="239"/>
        <v>0</v>
      </c>
      <c r="AX283" s="189"/>
      <c r="AY283" s="172">
        <f t="shared" si="240"/>
        <v>0</v>
      </c>
      <c r="AZ283" s="171">
        <f t="shared" si="241"/>
        <v>0</v>
      </c>
      <c r="BA283" s="189"/>
      <c r="BB283" s="172">
        <f t="shared" si="242"/>
        <v>0</v>
      </c>
      <c r="BC283" s="171">
        <f t="shared" si="243"/>
        <v>0</v>
      </c>
      <c r="BD283" s="189"/>
      <c r="BE283" s="172">
        <f t="shared" si="244"/>
        <v>0</v>
      </c>
      <c r="BF283" s="171">
        <f t="shared" si="245"/>
        <v>0</v>
      </c>
      <c r="BG283" s="189"/>
      <c r="BH283" s="172">
        <f t="shared" si="246"/>
        <v>0</v>
      </c>
      <c r="BI283" s="171">
        <f t="shared" si="247"/>
        <v>0</v>
      </c>
      <c r="BJ283" s="189"/>
      <c r="BK283" s="172">
        <f t="shared" si="248"/>
        <v>0</v>
      </c>
      <c r="BL283" s="171">
        <f t="shared" si="249"/>
        <v>0</v>
      </c>
      <c r="BM283" s="189"/>
      <c r="BN283" s="172">
        <f t="shared" si="250"/>
        <v>0</v>
      </c>
      <c r="BO283" s="171">
        <f t="shared" si="251"/>
        <v>0</v>
      </c>
      <c r="BP283" s="189"/>
      <c r="BQ283" s="172">
        <f t="shared" si="252"/>
        <v>0</v>
      </c>
      <c r="BR283" s="171">
        <f t="shared" si="253"/>
        <v>0</v>
      </c>
      <c r="BS283" s="189"/>
      <c r="BT283" s="172">
        <f t="shared" si="254"/>
        <v>0</v>
      </c>
      <c r="BU283" s="74">
        <f t="shared" si="255"/>
        <v>0</v>
      </c>
      <c r="BV283" s="195" t="str">
        <f>LOOKUP(BU283,'الفترة الاولى'!$BX$2:$BY$6)</f>
        <v>ممتاز</v>
      </c>
      <c r="BW283" s="75" t="e">
        <f>BU283/'الفترة الاولى'!$BZ$2</f>
        <v>#DIV/0!</v>
      </c>
    </row>
    <row r="284" spans="1:75" ht="25.2" customHeight="1" thickBot="1" x14ac:dyDescent="0.3">
      <c r="A284" s="50">
        <v>274</v>
      </c>
      <c r="B284" s="53"/>
      <c r="C284" s="101"/>
      <c r="D284" s="79"/>
      <c r="E284" s="168"/>
      <c r="F284" s="163"/>
      <c r="G284" s="89">
        <f t="shared" si="265"/>
        <v>0</v>
      </c>
      <c r="H284" s="176"/>
      <c r="I284" s="91"/>
      <c r="J284" s="173">
        <f t="shared" si="266"/>
        <v>0</v>
      </c>
      <c r="K284" s="90"/>
      <c r="L284" s="91"/>
      <c r="M284" s="89">
        <f t="shared" si="267"/>
        <v>0</v>
      </c>
      <c r="N284" s="176"/>
      <c r="O284" s="91"/>
      <c r="P284" s="173">
        <f t="shared" si="268"/>
        <v>0</v>
      </c>
      <c r="Q284" s="90"/>
      <c r="R284" s="91"/>
      <c r="S284" s="89">
        <f t="shared" si="269"/>
        <v>0</v>
      </c>
      <c r="T284" s="176"/>
      <c r="U284" s="91"/>
      <c r="V284" s="173">
        <f t="shared" si="270"/>
        <v>0</v>
      </c>
      <c r="W284" s="90"/>
      <c r="X284" s="91"/>
      <c r="Y284" s="89">
        <f t="shared" si="271"/>
        <v>0</v>
      </c>
      <c r="Z284" s="176"/>
      <c r="AA284" s="91"/>
      <c r="AB284" s="173">
        <f t="shared" si="272"/>
        <v>0</v>
      </c>
      <c r="AC284" s="90"/>
      <c r="AD284" s="91"/>
      <c r="AE284" s="89">
        <f t="shared" si="275"/>
        <v>0</v>
      </c>
      <c r="AF284" s="176"/>
      <c r="AG284" s="91"/>
      <c r="AH284" s="89">
        <f t="shared" si="273"/>
        <v>0</v>
      </c>
      <c r="AI284" s="160">
        <f t="shared" si="234"/>
        <v>0</v>
      </c>
      <c r="AJ284" s="201" t="str">
        <f t="shared" si="228"/>
        <v>ممتاز</v>
      </c>
      <c r="AK284" s="66" t="e">
        <f t="shared" si="229"/>
        <v>#DIV/0!</v>
      </c>
      <c r="AM284" s="51">
        <f t="shared" si="274"/>
        <v>274</v>
      </c>
      <c r="AN284" s="86">
        <f t="shared" si="231"/>
        <v>0</v>
      </c>
      <c r="AO284" s="98">
        <f t="shared" si="232"/>
        <v>0</v>
      </c>
      <c r="AP284" s="79">
        <f t="shared" si="233"/>
        <v>0</v>
      </c>
      <c r="AQ284" s="168">
        <f t="shared" si="235"/>
        <v>0</v>
      </c>
      <c r="AR284" s="163"/>
      <c r="AS284" s="89">
        <f t="shared" si="236"/>
        <v>0</v>
      </c>
      <c r="AT284" s="168">
        <f t="shared" si="237"/>
        <v>0</v>
      </c>
      <c r="AU284" s="163"/>
      <c r="AV284" s="89">
        <f t="shared" si="238"/>
        <v>0</v>
      </c>
      <c r="AW284" s="168">
        <f t="shared" si="239"/>
        <v>0</v>
      </c>
      <c r="AX284" s="163"/>
      <c r="AY284" s="89">
        <f t="shared" si="240"/>
        <v>0</v>
      </c>
      <c r="AZ284" s="168">
        <f t="shared" si="241"/>
        <v>0</v>
      </c>
      <c r="BA284" s="163"/>
      <c r="BB284" s="89">
        <f t="shared" si="242"/>
        <v>0</v>
      </c>
      <c r="BC284" s="168">
        <f t="shared" si="243"/>
        <v>0</v>
      </c>
      <c r="BD284" s="163"/>
      <c r="BE284" s="89">
        <f t="shared" si="244"/>
        <v>0</v>
      </c>
      <c r="BF284" s="168">
        <f t="shared" si="245"/>
        <v>0</v>
      </c>
      <c r="BG284" s="163"/>
      <c r="BH284" s="89">
        <f t="shared" si="246"/>
        <v>0</v>
      </c>
      <c r="BI284" s="168">
        <f t="shared" si="247"/>
        <v>0</v>
      </c>
      <c r="BJ284" s="163"/>
      <c r="BK284" s="89">
        <f t="shared" si="248"/>
        <v>0</v>
      </c>
      <c r="BL284" s="168">
        <f t="shared" si="249"/>
        <v>0</v>
      </c>
      <c r="BM284" s="163"/>
      <c r="BN284" s="89">
        <f t="shared" si="250"/>
        <v>0</v>
      </c>
      <c r="BO284" s="168">
        <f t="shared" si="251"/>
        <v>0</v>
      </c>
      <c r="BP284" s="163"/>
      <c r="BQ284" s="89">
        <f t="shared" si="252"/>
        <v>0</v>
      </c>
      <c r="BR284" s="168">
        <f t="shared" si="253"/>
        <v>0</v>
      </c>
      <c r="BS284" s="163"/>
      <c r="BT284" s="89">
        <f t="shared" si="254"/>
        <v>0</v>
      </c>
      <c r="BU284" s="76">
        <f t="shared" si="255"/>
        <v>0</v>
      </c>
      <c r="BV284" s="196" t="str">
        <f>LOOKUP(BU284,'الفترة الاولى'!$BX$2:$BY$6)</f>
        <v>ممتاز</v>
      </c>
      <c r="BW284" s="77" t="e">
        <f>BU284/'الفترة الاولى'!$BZ$2</f>
        <v>#DIV/0!</v>
      </c>
    </row>
    <row r="285" spans="1:75" ht="25.2" customHeight="1" thickBot="1" x14ac:dyDescent="0.3">
      <c r="A285" s="51">
        <v>275</v>
      </c>
      <c r="B285" s="54"/>
      <c r="C285" s="102"/>
      <c r="D285" s="80"/>
      <c r="E285" s="169"/>
      <c r="F285" s="92"/>
      <c r="G285" s="170">
        <f t="shared" si="265"/>
        <v>0</v>
      </c>
      <c r="H285" s="177"/>
      <c r="I285" s="92"/>
      <c r="J285" s="174">
        <f t="shared" si="266"/>
        <v>0</v>
      </c>
      <c r="K285" s="93"/>
      <c r="L285" s="92"/>
      <c r="M285" s="170">
        <f t="shared" si="267"/>
        <v>0</v>
      </c>
      <c r="N285" s="177"/>
      <c r="O285" s="92"/>
      <c r="P285" s="174">
        <f t="shared" si="268"/>
        <v>0</v>
      </c>
      <c r="Q285" s="93"/>
      <c r="R285" s="92"/>
      <c r="S285" s="170">
        <f t="shared" si="269"/>
        <v>0</v>
      </c>
      <c r="T285" s="177"/>
      <c r="U285" s="92"/>
      <c r="V285" s="174">
        <f t="shared" si="270"/>
        <v>0</v>
      </c>
      <c r="W285" s="93"/>
      <c r="X285" s="92"/>
      <c r="Y285" s="170">
        <f t="shared" si="271"/>
        <v>0</v>
      </c>
      <c r="Z285" s="177"/>
      <c r="AA285" s="92"/>
      <c r="AB285" s="174">
        <f t="shared" si="272"/>
        <v>0</v>
      </c>
      <c r="AC285" s="93"/>
      <c r="AD285" s="92"/>
      <c r="AE285" s="170">
        <f t="shared" si="275"/>
        <v>0</v>
      </c>
      <c r="AF285" s="177"/>
      <c r="AG285" s="92"/>
      <c r="AH285" s="170">
        <f t="shared" si="273"/>
        <v>0</v>
      </c>
      <c r="AI285" s="161">
        <f t="shared" si="234"/>
        <v>0</v>
      </c>
      <c r="AJ285" s="202" t="str">
        <f t="shared" si="228"/>
        <v>ممتاز</v>
      </c>
      <c r="AK285" s="67" t="e">
        <f t="shared" si="229"/>
        <v>#DIV/0!</v>
      </c>
      <c r="AM285" s="52">
        <f t="shared" si="274"/>
        <v>275</v>
      </c>
      <c r="AN285" s="87">
        <f t="shared" si="231"/>
        <v>0</v>
      </c>
      <c r="AO285" s="99">
        <f t="shared" si="232"/>
        <v>0</v>
      </c>
      <c r="AP285" s="80">
        <f t="shared" si="233"/>
        <v>0</v>
      </c>
      <c r="AQ285" s="169">
        <f t="shared" si="235"/>
        <v>0</v>
      </c>
      <c r="AR285" s="188"/>
      <c r="AS285" s="170">
        <f t="shared" si="236"/>
        <v>0</v>
      </c>
      <c r="AT285" s="169">
        <f t="shared" si="237"/>
        <v>0</v>
      </c>
      <c r="AU285" s="188"/>
      <c r="AV285" s="170">
        <f t="shared" si="238"/>
        <v>0</v>
      </c>
      <c r="AW285" s="169">
        <f t="shared" si="239"/>
        <v>0</v>
      </c>
      <c r="AX285" s="188"/>
      <c r="AY285" s="170">
        <f t="shared" si="240"/>
        <v>0</v>
      </c>
      <c r="AZ285" s="169">
        <f t="shared" si="241"/>
        <v>0</v>
      </c>
      <c r="BA285" s="188"/>
      <c r="BB285" s="170">
        <f t="shared" si="242"/>
        <v>0</v>
      </c>
      <c r="BC285" s="169">
        <f t="shared" si="243"/>
        <v>0</v>
      </c>
      <c r="BD285" s="188"/>
      <c r="BE285" s="170">
        <f t="shared" si="244"/>
        <v>0</v>
      </c>
      <c r="BF285" s="169">
        <f t="shared" si="245"/>
        <v>0</v>
      </c>
      <c r="BG285" s="188"/>
      <c r="BH285" s="170">
        <f t="shared" si="246"/>
        <v>0</v>
      </c>
      <c r="BI285" s="169">
        <f t="shared" si="247"/>
        <v>0</v>
      </c>
      <c r="BJ285" s="188"/>
      <c r="BK285" s="170">
        <f t="shared" si="248"/>
        <v>0</v>
      </c>
      <c r="BL285" s="169">
        <f t="shared" si="249"/>
        <v>0</v>
      </c>
      <c r="BM285" s="188"/>
      <c r="BN285" s="170">
        <f t="shared" si="250"/>
        <v>0</v>
      </c>
      <c r="BO285" s="169">
        <f t="shared" si="251"/>
        <v>0</v>
      </c>
      <c r="BP285" s="188"/>
      <c r="BQ285" s="170">
        <f t="shared" si="252"/>
        <v>0</v>
      </c>
      <c r="BR285" s="169">
        <f t="shared" si="253"/>
        <v>0</v>
      </c>
      <c r="BS285" s="188"/>
      <c r="BT285" s="170">
        <f t="shared" si="254"/>
        <v>0</v>
      </c>
      <c r="BU285" s="72">
        <f t="shared" si="255"/>
        <v>0</v>
      </c>
      <c r="BV285" s="194" t="str">
        <f>LOOKUP(BU285,'الفترة الاولى'!$BX$2:$BY$6)</f>
        <v>ممتاز</v>
      </c>
      <c r="BW285" s="73" t="e">
        <f>BU285/'الفترة الاولى'!$BZ$2</f>
        <v>#DIV/0!</v>
      </c>
    </row>
    <row r="286" spans="1:75" ht="25.2" customHeight="1" thickBot="1" x14ac:dyDescent="0.3">
      <c r="A286" s="52">
        <v>276</v>
      </c>
      <c r="B286" s="55"/>
      <c r="C286" s="103"/>
      <c r="D286" s="81"/>
      <c r="E286" s="171"/>
      <c r="F286" s="94"/>
      <c r="G286" s="172">
        <f t="shared" si="265"/>
        <v>0</v>
      </c>
      <c r="H286" s="178"/>
      <c r="I286" s="94"/>
      <c r="J286" s="175">
        <f t="shared" si="266"/>
        <v>0</v>
      </c>
      <c r="K286" s="95"/>
      <c r="L286" s="94"/>
      <c r="M286" s="172">
        <f t="shared" si="267"/>
        <v>0</v>
      </c>
      <c r="N286" s="178"/>
      <c r="O286" s="94"/>
      <c r="P286" s="175">
        <f t="shared" si="268"/>
        <v>0</v>
      </c>
      <c r="Q286" s="95"/>
      <c r="R286" s="94"/>
      <c r="S286" s="172">
        <f t="shared" si="269"/>
        <v>0</v>
      </c>
      <c r="T286" s="178"/>
      <c r="U286" s="94"/>
      <c r="V286" s="175">
        <f t="shared" si="270"/>
        <v>0</v>
      </c>
      <c r="W286" s="95"/>
      <c r="X286" s="94"/>
      <c r="Y286" s="172">
        <f t="shared" si="271"/>
        <v>0</v>
      </c>
      <c r="Z286" s="178"/>
      <c r="AA286" s="94"/>
      <c r="AB286" s="175">
        <f t="shared" si="272"/>
        <v>0</v>
      </c>
      <c r="AC286" s="95"/>
      <c r="AD286" s="94"/>
      <c r="AE286" s="172">
        <f t="shared" si="275"/>
        <v>0</v>
      </c>
      <c r="AF286" s="178"/>
      <c r="AG286" s="94"/>
      <c r="AH286" s="172">
        <f t="shared" si="273"/>
        <v>0</v>
      </c>
      <c r="AI286" s="162">
        <f t="shared" si="234"/>
        <v>0</v>
      </c>
      <c r="AJ286" s="200" t="str">
        <f t="shared" si="228"/>
        <v>ممتاز</v>
      </c>
      <c r="AK286" s="65" t="e">
        <f t="shared" si="229"/>
        <v>#DIV/0!</v>
      </c>
      <c r="AM286" s="50">
        <f t="shared" si="274"/>
        <v>276</v>
      </c>
      <c r="AN286" s="88">
        <f t="shared" si="231"/>
        <v>0</v>
      </c>
      <c r="AO286" s="100">
        <f t="shared" si="232"/>
        <v>0</v>
      </c>
      <c r="AP286" s="81">
        <f t="shared" si="233"/>
        <v>0</v>
      </c>
      <c r="AQ286" s="171">
        <f t="shared" si="235"/>
        <v>0</v>
      </c>
      <c r="AR286" s="189"/>
      <c r="AS286" s="172">
        <f t="shared" si="236"/>
        <v>0</v>
      </c>
      <c r="AT286" s="171">
        <f t="shared" si="237"/>
        <v>0</v>
      </c>
      <c r="AU286" s="189"/>
      <c r="AV286" s="172">
        <f t="shared" si="238"/>
        <v>0</v>
      </c>
      <c r="AW286" s="171">
        <f t="shared" si="239"/>
        <v>0</v>
      </c>
      <c r="AX286" s="189"/>
      <c r="AY286" s="172">
        <f t="shared" si="240"/>
        <v>0</v>
      </c>
      <c r="AZ286" s="171">
        <f t="shared" si="241"/>
        <v>0</v>
      </c>
      <c r="BA286" s="189"/>
      <c r="BB286" s="172">
        <f t="shared" si="242"/>
        <v>0</v>
      </c>
      <c r="BC286" s="171">
        <f t="shared" si="243"/>
        <v>0</v>
      </c>
      <c r="BD286" s="189"/>
      <c r="BE286" s="172">
        <f t="shared" si="244"/>
        <v>0</v>
      </c>
      <c r="BF286" s="171">
        <f t="shared" si="245"/>
        <v>0</v>
      </c>
      <c r="BG286" s="189"/>
      <c r="BH286" s="172">
        <f t="shared" si="246"/>
        <v>0</v>
      </c>
      <c r="BI286" s="171">
        <f t="shared" si="247"/>
        <v>0</v>
      </c>
      <c r="BJ286" s="189"/>
      <c r="BK286" s="172">
        <f t="shared" si="248"/>
        <v>0</v>
      </c>
      <c r="BL286" s="171">
        <f t="shared" si="249"/>
        <v>0</v>
      </c>
      <c r="BM286" s="189"/>
      <c r="BN286" s="172">
        <f t="shared" si="250"/>
        <v>0</v>
      </c>
      <c r="BO286" s="171">
        <f t="shared" si="251"/>
        <v>0</v>
      </c>
      <c r="BP286" s="189"/>
      <c r="BQ286" s="172">
        <f t="shared" si="252"/>
        <v>0</v>
      </c>
      <c r="BR286" s="171">
        <f t="shared" si="253"/>
        <v>0</v>
      </c>
      <c r="BS286" s="189"/>
      <c r="BT286" s="172">
        <f t="shared" si="254"/>
        <v>0</v>
      </c>
      <c r="BU286" s="74">
        <f t="shared" si="255"/>
        <v>0</v>
      </c>
      <c r="BV286" s="195" t="str">
        <f>LOOKUP(BU286,'الفترة الاولى'!$BX$2:$BY$6)</f>
        <v>ممتاز</v>
      </c>
      <c r="BW286" s="75" t="e">
        <f>BU286/'الفترة الاولى'!$BZ$2</f>
        <v>#DIV/0!</v>
      </c>
    </row>
    <row r="287" spans="1:75" ht="25.2" customHeight="1" thickBot="1" x14ac:dyDescent="0.3">
      <c r="A287" s="50">
        <v>277</v>
      </c>
      <c r="B287" s="53"/>
      <c r="C287" s="101"/>
      <c r="D287" s="79"/>
      <c r="E287" s="168"/>
      <c r="F287" s="163"/>
      <c r="G287" s="89">
        <f t="shared" si="265"/>
        <v>0</v>
      </c>
      <c r="H287" s="176"/>
      <c r="I287" s="91"/>
      <c r="J287" s="173">
        <f t="shared" si="266"/>
        <v>0</v>
      </c>
      <c r="K287" s="90"/>
      <c r="L287" s="91"/>
      <c r="M287" s="89">
        <f t="shared" si="267"/>
        <v>0</v>
      </c>
      <c r="N287" s="176"/>
      <c r="O287" s="91"/>
      <c r="P287" s="173">
        <f t="shared" si="268"/>
        <v>0</v>
      </c>
      <c r="Q287" s="90"/>
      <c r="R287" s="91"/>
      <c r="S287" s="89">
        <f t="shared" si="269"/>
        <v>0</v>
      </c>
      <c r="T287" s="176"/>
      <c r="U287" s="91"/>
      <c r="V287" s="173">
        <f t="shared" si="270"/>
        <v>0</v>
      </c>
      <c r="W287" s="90"/>
      <c r="X287" s="91"/>
      <c r="Y287" s="89">
        <f t="shared" si="271"/>
        <v>0</v>
      </c>
      <c r="Z287" s="176"/>
      <c r="AA287" s="91"/>
      <c r="AB287" s="173">
        <f t="shared" si="272"/>
        <v>0</v>
      </c>
      <c r="AC287" s="90"/>
      <c r="AD287" s="91"/>
      <c r="AE287" s="89">
        <f t="shared" si="275"/>
        <v>0</v>
      </c>
      <c r="AF287" s="176"/>
      <c r="AG287" s="91"/>
      <c r="AH287" s="89">
        <f t="shared" si="273"/>
        <v>0</v>
      </c>
      <c r="AI287" s="160">
        <f t="shared" si="234"/>
        <v>0</v>
      </c>
      <c r="AJ287" s="201" t="str">
        <f t="shared" si="228"/>
        <v>ممتاز</v>
      </c>
      <c r="AK287" s="66" t="e">
        <f t="shared" si="229"/>
        <v>#DIV/0!</v>
      </c>
      <c r="AM287" s="51">
        <f t="shared" si="274"/>
        <v>277</v>
      </c>
      <c r="AN287" s="86">
        <f t="shared" si="231"/>
        <v>0</v>
      </c>
      <c r="AO287" s="98">
        <f t="shared" si="232"/>
        <v>0</v>
      </c>
      <c r="AP287" s="79">
        <f t="shared" si="233"/>
        <v>0</v>
      </c>
      <c r="AQ287" s="168">
        <f t="shared" si="235"/>
        <v>0</v>
      </c>
      <c r="AR287" s="163"/>
      <c r="AS287" s="89">
        <f t="shared" si="236"/>
        <v>0</v>
      </c>
      <c r="AT287" s="168">
        <f t="shared" si="237"/>
        <v>0</v>
      </c>
      <c r="AU287" s="163"/>
      <c r="AV287" s="89">
        <f t="shared" si="238"/>
        <v>0</v>
      </c>
      <c r="AW287" s="168">
        <f t="shared" si="239"/>
        <v>0</v>
      </c>
      <c r="AX287" s="163"/>
      <c r="AY287" s="89">
        <f t="shared" si="240"/>
        <v>0</v>
      </c>
      <c r="AZ287" s="168">
        <f t="shared" si="241"/>
        <v>0</v>
      </c>
      <c r="BA287" s="163"/>
      <c r="BB287" s="89">
        <f t="shared" si="242"/>
        <v>0</v>
      </c>
      <c r="BC287" s="168">
        <f t="shared" si="243"/>
        <v>0</v>
      </c>
      <c r="BD287" s="163"/>
      <c r="BE287" s="89">
        <f t="shared" si="244"/>
        <v>0</v>
      </c>
      <c r="BF287" s="168">
        <f t="shared" si="245"/>
        <v>0</v>
      </c>
      <c r="BG287" s="163"/>
      <c r="BH287" s="89">
        <f t="shared" si="246"/>
        <v>0</v>
      </c>
      <c r="BI287" s="168">
        <f t="shared" si="247"/>
        <v>0</v>
      </c>
      <c r="BJ287" s="163"/>
      <c r="BK287" s="89">
        <f t="shared" si="248"/>
        <v>0</v>
      </c>
      <c r="BL287" s="168">
        <f t="shared" si="249"/>
        <v>0</v>
      </c>
      <c r="BM287" s="163"/>
      <c r="BN287" s="89">
        <f t="shared" si="250"/>
        <v>0</v>
      </c>
      <c r="BO287" s="168">
        <f t="shared" si="251"/>
        <v>0</v>
      </c>
      <c r="BP287" s="163"/>
      <c r="BQ287" s="89">
        <f t="shared" si="252"/>
        <v>0</v>
      </c>
      <c r="BR287" s="168">
        <f t="shared" si="253"/>
        <v>0</v>
      </c>
      <c r="BS287" s="163"/>
      <c r="BT287" s="89">
        <f t="shared" si="254"/>
        <v>0</v>
      </c>
      <c r="BU287" s="76">
        <f t="shared" si="255"/>
        <v>0</v>
      </c>
      <c r="BV287" s="196" t="str">
        <f>LOOKUP(BU287,'الفترة الاولى'!$BX$2:$BY$6)</f>
        <v>ممتاز</v>
      </c>
      <c r="BW287" s="77" t="e">
        <f>BU287/'الفترة الاولى'!$BZ$2</f>
        <v>#DIV/0!</v>
      </c>
    </row>
    <row r="288" spans="1:75" ht="25.2" customHeight="1" thickBot="1" x14ac:dyDescent="0.3">
      <c r="A288" s="51">
        <v>278</v>
      </c>
      <c r="B288" s="54"/>
      <c r="C288" s="102"/>
      <c r="D288" s="80"/>
      <c r="E288" s="169"/>
      <c r="F288" s="92"/>
      <c r="G288" s="170">
        <f t="shared" si="265"/>
        <v>0</v>
      </c>
      <c r="H288" s="177"/>
      <c r="I288" s="92"/>
      <c r="J288" s="174">
        <f t="shared" si="266"/>
        <v>0</v>
      </c>
      <c r="K288" s="93"/>
      <c r="L288" s="92"/>
      <c r="M288" s="170">
        <f t="shared" si="267"/>
        <v>0</v>
      </c>
      <c r="N288" s="177"/>
      <c r="O288" s="92"/>
      <c r="P288" s="174">
        <f t="shared" si="268"/>
        <v>0</v>
      </c>
      <c r="Q288" s="93"/>
      <c r="R288" s="92"/>
      <c r="S288" s="170">
        <f t="shared" si="269"/>
        <v>0</v>
      </c>
      <c r="T288" s="177"/>
      <c r="U288" s="92"/>
      <c r="V288" s="174">
        <f t="shared" si="270"/>
        <v>0</v>
      </c>
      <c r="W288" s="93"/>
      <c r="X288" s="92"/>
      <c r="Y288" s="170">
        <f t="shared" si="271"/>
        <v>0</v>
      </c>
      <c r="Z288" s="177"/>
      <c r="AA288" s="92"/>
      <c r="AB288" s="174">
        <f t="shared" si="272"/>
        <v>0</v>
      </c>
      <c r="AC288" s="93"/>
      <c r="AD288" s="92"/>
      <c r="AE288" s="170">
        <f t="shared" si="275"/>
        <v>0</v>
      </c>
      <c r="AF288" s="177"/>
      <c r="AG288" s="92"/>
      <c r="AH288" s="170">
        <f t="shared" si="273"/>
        <v>0</v>
      </c>
      <c r="AI288" s="161">
        <f t="shared" si="234"/>
        <v>0</v>
      </c>
      <c r="AJ288" s="202" t="str">
        <f t="shared" si="228"/>
        <v>ممتاز</v>
      </c>
      <c r="AK288" s="67" t="e">
        <f t="shared" si="229"/>
        <v>#DIV/0!</v>
      </c>
      <c r="AM288" s="52">
        <f t="shared" si="274"/>
        <v>278</v>
      </c>
      <c r="AN288" s="87">
        <f t="shared" si="231"/>
        <v>0</v>
      </c>
      <c r="AO288" s="99">
        <f t="shared" si="232"/>
        <v>0</v>
      </c>
      <c r="AP288" s="80">
        <f t="shared" si="233"/>
        <v>0</v>
      </c>
      <c r="AQ288" s="169">
        <f t="shared" si="235"/>
        <v>0</v>
      </c>
      <c r="AR288" s="188"/>
      <c r="AS288" s="170">
        <f t="shared" si="236"/>
        <v>0</v>
      </c>
      <c r="AT288" s="169">
        <f t="shared" si="237"/>
        <v>0</v>
      </c>
      <c r="AU288" s="188"/>
      <c r="AV288" s="170">
        <f t="shared" si="238"/>
        <v>0</v>
      </c>
      <c r="AW288" s="169">
        <f t="shared" si="239"/>
        <v>0</v>
      </c>
      <c r="AX288" s="188"/>
      <c r="AY288" s="170">
        <f t="shared" si="240"/>
        <v>0</v>
      </c>
      <c r="AZ288" s="169">
        <f t="shared" si="241"/>
        <v>0</v>
      </c>
      <c r="BA288" s="188"/>
      <c r="BB288" s="170">
        <f t="shared" si="242"/>
        <v>0</v>
      </c>
      <c r="BC288" s="169">
        <f t="shared" si="243"/>
        <v>0</v>
      </c>
      <c r="BD288" s="188"/>
      <c r="BE288" s="170">
        <f t="shared" si="244"/>
        <v>0</v>
      </c>
      <c r="BF288" s="169">
        <f t="shared" si="245"/>
        <v>0</v>
      </c>
      <c r="BG288" s="188"/>
      <c r="BH288" s="170">
        <f t="shared" si="246"/>
        <v>0</v>
      </c>
      <c r="BI288" s="169">
        <f t="shared" si="247"/>
        <v>0</v>
      </c>
      <c r="BJ288" s="188"/>
      <c r="BK288" s="170">
        <f t="shared" si="248"/>
        <v>0</v>
      </c>
      <c r="BL288" s="169">
        <f t="shared" si="249"/>
        <v>0</v>
      </c>
      <c r="BM288" s="188"/>
      <c r="BN288" s="170">
        <f t="shared" si="250"/>
        <v>0</v>
      </c>
      <c r="BO288" s="169">
        <f t="shared" si="251"/>
        <v>0</v>
      </c>
      <c r="BP288" s="188"/>
      <c r="BQ288" s="170">
        <f t="shared" si="252"/>
        <v>0</v>
      </c>
      <c r="BR288" s="169">
        <f t="shared" si="253"/>
        <v>0</v>
      </c>
      <c r="BS288" s="188"/>
      <c r="BT288" s="170">
        <f t="shared" si="254"/>
        <v>0</v>
      </c>
      <c r="BU288" s="72">
        <f t="shared" si="255"/>
        <v>0</v>
      </c>
      <c r="BV288" s="194" t="str">
        <f>LOOKUP(BU288,'الفترة الاولى'!$BX$2:$BY$6)</f>
        <v>ممتاز</v>
      </c>
      <c r="BW288" s="73" t="e">
        <f>BU288/'الفترة الاولى'!$BZ$2</f>
        <v>#DIV/0!</v>
      </c>
    </row>
    <row r="289" spans="1:75" ht="25.2" customHeight="1" thickBot="1" x14ac:dyDescent="0.3">
      <c r="A289" s="52">
        <v>279</v>
      </c>
      <c r="B289" s="55"/>
      <c r="C289" s="103"/>
      <c r="D289" s="81"/>
      <c r="E289" s="171"/>
      <c r="F289" s="94"/>
      <c r="G289" s="172">
        <f t="shared" si="265"/>
        <v>0</v>
      </c>
      <c r="H289" s="178"/>
      <c r="I289" s="94"/>
      <c r="J289" s="175">
        <f t="shared" si="266"/>
        <v>0</v>
      </c>
      <c r="K289" s="95"/>
      <c r="L289" s="94"/>
      <c r="M289" s="172">
        <f t="shared" si="267"/>
        <v>0</v>
      </c>
      <c r="N289" s="178"/>
      <c r="O289" s="94"/>
      <c r="P289" s="175">
        <f t="shared" si="268"/>
        <v>0</v>
      </c>
      <c r="Q289" s="95"/>
      <c r="R289" s="94"/>
      <c r="S289" s="172">
        <f t="shared" si="269"/>
        <v>0</v>
      </c>
      <c r="T289" s="178"/>
      <c r="U289" s="94"/>
      <c r="V289" s="175">
        <f t="shared" si="270"/>
        <v>0</v>
      </c>
      <c r="W289" s="95"/>
      <c r="X289" s="94"/>
      <c r="Y289" s="172">
        <f t="shared" si="271"/>
        <v>0</v>
      </c>
      <c r="Z289" s="178"/>
      <c r="AA289" s="94"/>
      <c r="AB289" s="175">
        <f t="shared" si="272"/>
        <v>0</v>
      </c>
      <c r="AC289" s="95"/>
      <c r="AD289" s="94"/>
      <c r="AE289" s="172">
        <f t="shared" si="275"/>
        <v>0</v>
      </c>
      <c r="AF289" s="178"/>
      <c r="AG289" s="94"/>
      <c r="AH289" s="172">
        <f t="shared" si="273"/>
        <v>0</v>
      </c>
      <c r="AI289" s="162">
        <f t="shared" si="234"/>
        <v>0</v>
      </c>
      <c r="AJ289" s="200" t="str">
        <f t="shared" si="228"/>
        <v>ممتاز</v>
      </c>
      <c r="AK289" s="65" t="e">
        <f t="shared" si="229"/>
        <v>#DIV/0!</v>
      </c>
      <c r="AM289" s="50">
        <f t="shared" si="274"/>
        <v>279</v>
      </c>
      <c r="AN289" s="88">
        <f t="shared" si="231"/>
        <v>0</v>
      </c>
      <c r="AO289" s="100">
        <f t="shared" si="232"/>
        <v>0</v>
      </c>
      <c r="AP289" s="81">
        <f t="shared" si="233"/>
        <v>0</v>
      </c>
      <c r="AQ289" s="171">
        <f t="shared" si="235"/>
        <v>0</v>
      </c>
      <c r="AR289" s="189"/>
      <c r="AS289" s="172">
        <f t="shared" si="236"/>
        <v>0</v>
      </c>
      <c r="AT289" s="171">
        <f t="shared" si="237"/>
        <v>0</v>
      </c>
      <c r="AU289" s="189"/>
      <c r="AV289" s="172">
        <f t="shared" si="238"/>
        <v>0</v>
      </c>
      <c r="AW289" s="171">
        <f t="shared" si="239"/>
        <v>0</v>
      </c>
      <c r="AX289" s="189"/>
      <c r="AY289" s="172">
        <f t="shared" si="240"/>
        <v>0</v>
      </c>
      <c r="AZ289" s="171">
        <f t="shared" si="241"/>
        <v>0</v>
      </c>
      <c r="BA289" s="189"/>
      <c r="BB289" s="172">
        <f t="shared" si="242"/>
        <v>0</v>
      </c>
      <c r="BC289" s="171">
        <f t="shared" si="243"/>
        <v>0</v>
      </c>
      <c r="BD289" s="189"/>
      <c r="BE289" s="172">
        <f t="shared" si="244"/>
        <v>0</v>
      </c>
      <c r="BF289" s="171">
        <f t="shared" si="245"/>
        <v>0</v>
      </c>
      <c r="BG289" s="189"/>
      <c r="BH289" s="172">
        <f t="shared" si="246"/>
        <v>0</v>
      </c>
      <c r="BI289" s="171">
        <f t="shared" si="247"/>
        <v>0</v>
      </c>
      <c r="BJ289" s="189"/>
      <c r="BK289" s="172">
        <f t="shared" si="248"/>
        <v>0</v>
      </c>
      <c r="BL289" s="171">
        <f t="shared" si="249"/>
        <v>0</v>
      </c>
      <c r="BM289" s="189"/>
      <c r="BN289" s="172">
        <f t="shared" si="250"/>
        <v>0</v>
      </c>
      <c r="BO289" s="171">
        <f t="shared" si="251"/>
        <v>0</v>
      </c>
      <c r="BP289" s="189"/>
      <c r="BQ289" s="172">
        <f t="shared" si="252"/>
        <v>0</v>
      </c>
      <c r="BR289" s="171">
        <f t="shared" si="253"/>
        <v>0</v>
      </c>
      <c r="BS289" s="189"/>
      <c r="BT289" s="172">
        <f t="shared" si="254"/>
        <v>0</v>
      </c>
      <c r="BU289" s="74">
        <f t="shared" si="255"/>
        <v>0</v>
      </c>
      <c r="BV289" s="195" t="str">
        <f>LOOKUP(BU289,'الفترة الاولى'!$BX$2:$BY$6)</f>
        <v>ممتاز</v>
      </c>
      <c r="BW289" s="75" t="e">
        <f>BU289/'الفترة الاولى'!$BZ$2</f>
        <v>#DIV/0!</v>
      </c>
    </row>
    <row r="290" spans="1:75" ht="25.2" customHeight="1" thickBot="1" x14ac:dyDescent="0.3">
      <c r="A290" s="50">
        <v>280</v>
      </c>
      <c r="B290" s="53"/>
      <c r="C290" s="101"/>
      <c r="D290" s="79"/>
      <c r="E290" s="168"/>
      <c r="F290" s="163"/>
      <c r="G290" s="89">
        <f t="shared" si="265"/>
        <v>0</v>
      </c>
      <c r="H290" s="176"/>
      <c r="I290" s="91"/>
      <c r="J290" s="173">
        <f t="shared" si="266"/>
        <v>0</v>
      </c>
      <c r="K290" s="90"/>
      <c r="L290" s="91"/>
      <c r="M290" s="89">
        <f t="shared" si="267"/>
        <v>0</v>
      </c>
      <c r="N290" s="176"/>
      <c r="O290" s="91"/>
      <c r="P290" s="173">
        <f t="shared" si="268"/>
        <v>0</v>
      </c>
      <c r="Q290" s="90"/>
      <c r="R290" s="91"/>
      <c r="S290" s="89">
        <f t="shared" si="269"/>
        <v>0</v>
      </c>
      <c r="T290" s="176"/>
      <c r="U290" s="91"/>
      <c r="V290" s="173">
        <f t="shared" si="270"/>
        <v>0</v>
      </c>
      <c r="W290" s="90"/>
      <c r="X290" s="91"/>
      <c r="Y290" s="89">
        <f t="shared" si="271"/>
        <v>0</v>
      </c>
      <c r="Z290" s="176"/>
      <c r="AA290" s="91"/>
      <c r="AB290" s="173">
        <f t="shared" si="272"/>
        <v>0</v>
      </c>
      <c r="AC290" s="90"/>
      <c r="AD290" s="91"/>
      <c r="AE290" s="89">
        <f t="shared" si="275"/>
        <v>0</v>
      </c>
      <c r="AF290" s="176"/>
      <c r="AG290" s="91"/>
      <c r="AH290" s="89">
        <f t="shared" si="273"/>
        <v>0</v>
      </c>
      <c r="AI290" s="160">
        <f t="shared" si="234"/>
        <v>0</v>
      </c>
      <c r="AJ290" s="201" t="str">
        <f t="shared" si="228"/>
        <v>ممتاز</v>
      </c>
      <c r="AK290" s="66" t="e">
        <f t="shared" si="229"/>
        <v>#DIV/0!</v>
      </c>
      <c r="AM290" s="51">
        <f t="shared" si="274"/>
        <v>280</v>
      </c>
      <c r="AN290" s="86">
        <f t="shared" si="231"/>
        <v>0</v>
      </c>
      <c r="AO290" s="98">
        <f t="shared" si="232"/>
        <v>0</v>
      </c>
      <c r="AP290" s="79">
        <f t="shared" si="233"/>
        <v>0</v>
      </c>
      <c r="AQ290" s="168">
        <f t="shared" si="235"/>
        <v>0</v>
      </c>
      <c r="AR290" s="163"/>
      <c r="AS290" s="89">
        <f t="shared" si="236"/>
        <v>0</v>
      </c>
      <c r="AT290" s="168">
        <f t="shared" si="237"/>
        <v>0</v>
      </c>
      <c r="AU290" s="163"/>
      <c r="AV290" s="89">
        <f t="shared" si="238"/>
        <v>0</v>
      </c>
      <c r="AW290" s="168">
        <f t="shared" si="239"/>
        <v>0</v>
      </c>
      <c r="AX290" s="163"/>
      <c r="AY290" s="89">
        <f t="shared" si="240"/>
        <v>0</v>
      </c>
      <c r="AZ290" s="168">
        <f t="shared" si="241"/>
        <v>0</v>
      </c>
      <c r="BA290" s="163"/>
      <c r="BB290" s="89">
        <f t="shared" si="242"/>
        <v>0</v>
      </c>
      <c r="BC290" s="168">
        <f t="shared" si="243"/>
        <v>0</v>
      </c>
      <c r="BD290" s="163"/>
      <c r="BE290" s="89">
        <f t="shared" si="244"/>
        <v>0</v>
      </c>
      <c r="BF290" s="168">
        <f t="shared" si="245"/>
        <v>0</v>
      </c>
      <c r="BG290" s="163"/>
      <c r="BH290" s="89">
        <f t="shared" si="246"/>
        <v>0</v>
      </c>
      <c r="BI290" s="168">
        <f t="shared" si="247"/>
        <v>0</v>
      </c>
      <c r="BJ290" s="163"/>
      <c r="BK290" s="89">
        <f t="shared" si="248"/>
        <v>0</v>
      </c>
      <c r="BL290" s="168">
        <f t="shared" si="249"/>
        <v>0</v>
      </c>
      <c r="BM290" s="163"/>
      <c r="BN290" s="89">
        <f t="shared" si="250"/>
        <v>0</v>
      </c>
      <c r="BO290" s="168">
        <f t="shared" si="251"/>
        <v>0</v>
      </c>
      <c r="BP290" s="163"/>
      <c r="BQ290" s="89">
        <f t="shared" si="252"/>
        <v>0</v>
      </c>
      <c r="BR290" s="168">
        <f t="shared" si="253"/>
        <v>0</v>
      </c>
      <c r="BS290" s="163"/>
      <c r="BT290" s="89">
        <f t="shared" si="254"/>
        <v>0</v>
      </c>
      <c r="BU290" s="76">
        <f t="shared" si="255"/>
        <v>0</v>
      </c>
      <c r="BV290" s="196" t="str">
        <f>LOOKUP(BU290,'الفترة الاولى'!$BX$2:$BY$6)</f>
        <v>ممتاز</v>
      </c>
      <c r="BW290" s="77" t="e">
        <f>BU290/'الفترة الاولى'!$BZ$2</f>
        <v>#DIV/0!</v>
      </c>
    </row>
    <row r="291" spans="1:75" ht="25.2" customHeight="1" thickBot="1" x14ac:dyDescent="0.3">
      <c r="A291" s="51">
        <v>281</v>
      </c>
      <c r="B291" s="54"/>
      <c r="C291" s="102"/>
      <c r="D291" s="80"/>
      <c r="E291" s="169"/>
      <c r="F291" s="92"/>
      <c r="G291" s="170">
        <f t="shared" si="265"/>
        <v>0</v>
      </c>
      <c r="H291" s="177"/>
      <c r="I291" s="92"/>
      <c r="J291" s="174">
        <f t="shared" si="266"/>
        <v>0</v>
      </c>
      <c r="K291" s="93"/>
      <c r="L291" s="92"/>
      <c r="M291" s="170">
        <f t="shared" si="267"/>
        <v>0</v>
      </c>
      <c r="N291" s="177"/>
      <c r="O291" s="92"/>
      <c r="P291" s="174">
        <f t="shared" si="268"/>
        <v>0</v>
      </c>
      <c r="Q291" s="93"/>
      <c r="R291" s="92"/>
      <c r="S291" s="170">
        <f t="shared" si="269"/>
        <v>0</v>
      </c>
      <c r="T291" s="177"/>
      <c r="U291" s="92"/>
      <c r="V291" s="174">
        <f t="shared" si="270"/>
        <v>0</v>
      </c>
      <c r="W291" s="93"/>
      <c r="X291" s="92"/>
      <c r="Y291" s="170">
        <f t="shared" si="271"/>
        <v>0</v>
      </c>
      <c r="Z291" s="177"/>
      <c r="AA291" s="92"/>
      <c r="AB291" s="174">
        <f t="shared" si="272"/>
        <v>0</v>
      </c>
      <c r="AC291" s="93"/>
      <c r="AD291" s="92"/>
      <c r="AE291" s="170">
        <f t="shared" si="275"/>
        <v>0</v>
      </c>
      <c r="AF291" s="177"/>
      <c r="AG291" s="92"/>
      <c r="AH291" s="170">
        <f t="shared" si="273"/>
        <v>0</v>
      </c>
      <c r="AI291" s="161">
        <f t="shared" si="234"/>
        <v>0</v>
      </c>
      <c r="AJ291" s="202" t="str">
        <f t="shared" si="228"/>
        <v>ممتاز</v>
      </c>
      <c r="AK291" s="67" t="e">
        <f t="shared" si="229"/>
        <v>#DIV/0!</v>
      </c>
      <c r="AM291" s="52">
        <f t="shared" si="274"/>
        <v>281</v>
      </c>
      <c r="AN291" s="87">
        <f t="shared" si="231"/>
        <v>0</v>
      </c>
      <c r="AO291" s="99">
        <f t="shared" si="232"/>
        <v>0</v>
      </c>
      <c r="AP291" s="80">
        <f t="shared" si="233"/>
        <v>0</v>
      </c>
      <c r="AQ291" s="169">
        <f t="shared" si="235"/>
        <v>0</v>
      </c>
      <c r="AR291" s="188"/>
      <c r="AS291" s="170">
        <f t="shared" si="236"/>
        <v>0</v>
      </c>
      <c r="AT291" s="169">
        <f t="shared" si="237"/>
        <v>0</v>
      </c>
      <c r="AU291" s="188"/>
      <c r="AV291" s="170">
        <f t="shared" si="238"/>
        <v>0</v>
      </c>
      <c r="AW291" s="169">
        <f t="shared" si="239"/>
        <v>0</v>
      </c>
      <c r="AX291" s="188"/>
      <c r="AY291" s="170">
        <f t="shared" si="240"/>
        <v>0</v>
      </c>
      <c r="AZ291" s="169">
        <f t="shared" si="241"/>
        <v>0</v>
      </c>
      <c r="BA291" s="188"/>
      <c r="BB291" s="170">
        <f t="shared" si="242"/>
        <v>0</v>
      </c>
      <c r="BC291" s="169">
        <f t="shared" si="243"/>
        <v>0</v>
      </c>
      <c r="BD291" s="188"/>
      <c r="BE291" s="170">
        <f t="shared" si="244"/>
        <v>0</v>
      </c>
      <c r="BF291" s="169">
        <f t="shared" si="245"/>
        <v>0</v>
      </c>
      <c r="BG291" s="188"/>
      <c r="BH291" s="170">
        <f t="shared" si="246"/>
        <v>0</v>
      </c>
      <c r="BI291" s="169">
        <f t="shared" si="247"/>
        <v>0</v>
      </c>
      <c r="BJ291" s="188"/>
      <c r="BK291" s="170">
        <f t="shared" si="248"/>
        <v>0</v>
      </c>
      <c r="BL291" s="169">
        <f t="shared" si="249"/>
        <v>0</v>
      </c>
      <c r="BM291" s="188"/>
      <c r="BN291" s="170">
        <f t="shared" si="250"/>
        <v>0</v>
      </c>
      <c r="BO291" s="169">
        <f t="shared" si="251"/>
        <v>0</v>
      </c>
      <c r="BP291" s="188"/>
      <c r="BQ291" s="170">
        <f t="shared" si="252"/>
        <v>0</v>
      </c>
      <c r="BR291" s="169">
        <f t="shared" si="253"/>
        <v>0</v>
      </c>
      <c r="BS291" s="188"/>
      <c r="BT291" s="170">
        <f t="shared" si="254"/>
        <v>0</v>
      </c>
      <c r="BU291" s="72">
        <f t="shared" si="255"/>
        <v>0</v>
      </c>
      <c r="BV291" s="194" t="str">
        <f>LOOKUP(BU291,'الفترة الاولى'!$BX$2:$BY$6)</f>
        <v>ممتاز</v>
      </c>
      <c r="BW291" s="73" t="e">
        <f>BU291/'الفترة الاولى'!$BZ$2</f>
        <v>#DIV/0!</v>
      </c>
    </row>
    <row r="292" spans="1:75" ht="25.2" customHeight="1" thickBot="1" x14ac:dyDescent="0.3">
      <c r="A292" s="52">
        <v>282</v>
      </c>
      <c r="B292" s="55"/>
      <c r="C292" s="103"/>
      <c r="D292" s="81"/>
      <c r="E292" s="171"/>
      <c r="F292" s="94"/>
      <c r="G292" s="172">
        <f t="shared" si="265"/>
        <v>0</v>
      </c>
      <c r="H292" s="178"/>
      <c r="I292" s="94"/>
      <c r="J292" s="175">
        <f t="shared" si="266"/>
        <v>0</v>
      </c>
      <c r="K292" s="95"/>
      <c r="L292" s="94"/>
      <c r="M292" s="172">
        <f t="shared" si="267"/>
        <v>0</v>
      </c>
      <c r="N292" s="178"/>
      <c r="O292" s="94"/>
      <c r="P292" s="175">
        <f t="shared" si="268"/>
        <v>0</v>
      </c>
      <c r="Q292" s="95"/>
      <c r="R292" s="94"/>
      <c r="S292" s="172">
        <f t="shared" si="269"/>
        <v>0</v>
      </c>
      <c r="T292" s="178"/>
      <c r="U292" s="94"/>
      <c r="V292" s="175">
        <f t="shared" si="270"/>
        <v>0</v>
      </c>
      <c r="W292" s="95"/>
      <c r="X292" s="94"/>
      <c r="Y292" s="172">
        <f t="shared" si="271"/>
        <v>0</v>
      </c>
      <c r="Z292" s="178"/>
      <c r="AA292" s="94"/>
      <c r="AB292" s="175">
        <f t="shared" si="272"/>
        <v>0</v>
      </c>
      <c r="AC292" s="95"/>
      <c r="AD292" s="94"/>
      <c r="AE292" s="172">
        <f t="shared" si="275"/>
        <v>0</v>
      </c>
      <c r="AF292" s="178"/>
      <c r="AG292" s="94"/>
      <c r="AH292" s="172">
        <f t="shared" si="273"/>
        <v>0</v>
      </c>
      <c r="AI292" s="162">
        <f t="shared" si="234"/>
        <v>0</v>
      </c>
      <c r="AJ292" s="200" t="str">
        <f t="shared" si="228"/>
        <v>ممتاز</v>
      </c>
      <c r="AK292" s="65" t="e">
        <f t="shared" si="229"/>
        <v>#DIV/0!</v>
      </c>
      <c r="AM292" s="50">
        <f t="shared" si="274"/>
        <v>282</v>
      </c>
      <c r="AN292" s="88">
        <f t="shared" si="231"/>
        <v>0</v>
      </c>
      <c r="AO292" s="100">
        <f t="shared" si="232"/>
        <v>0</v>
      </c>
      <c r="AP292" s="81">
        <f t="shared" si="233"/>
        <v>0</v>
      </c>
      <c r="AQ292" s="171">
        <f t="shared" si="235"/>
        <v>0</v>
      </c>
      <c r="AR292" s="189"/>
      <c r="AS292" s="172">
        <f t="shared" si="236"/>
        <v>0</v>
      </c>
      <c r="AT292" s="171">
        <f t="shared" si="237"/>
        <v>0</v>
      </c>
      <c r="AU292" s="189"/>
      <c r="AV292" s="172">
        <f t="shared" si="238"/>
        <v>0</v>
      </c>
      <c r="AW292" s="171">
        <f t="shared" si="239"/>
        <v>0</v>
      </c>
      <c r="AX292" s="189"/>
      <c r="AY292" s="172">
        <f t="shared" si="240"/>
        <v>0</v>
      </c>
      <c r="AZ292" s="171">
        <f t="shared" si="241"/>
        <v>0</v>
      </c>
      <c r="BA292" s="189"/>
      <c r="BB292" s="172">
        <f t="shared" si="242"/>
        <v>0</v>
      </c>
      <c r="BC292" s="171">
        <f t="shared" si="243"/>
        <v>0</v>
      </c>
      <c r="BD292" s="189"/>
      <c r="BE292" s="172">
        <f t="shared" si="244"/>
        <v>0</v>
      </c>
      <c r="BF292" s="171">
        <f t="shared" si="245"/>
        <v>0</v>
      </c>
      <c r="BG292" s="189"/>
      <c r="BH292" s="172">
        <f t="shared" si="246"/>
        <v>0</v>
      </c>
      <c r="BI292" s="171">
        <f t="shared" si="247"/>
        <v>0</v>
      </c>
      <c r="BJ292" s="189"/>
      <c r="BK292" s="172">
        <f t="shared" si="248"/>
        <v>0</v>
      </c>
      <c r="BL292" s="171">
        <f t="shared" si="249"/>
        <v>0</v>
      </c>
      <c r="BM292" s="189"/>
      <c r="BN292" s="172">
        <f t="shared" si="250"/>
        <v>0</v>
      </c>
      <c r="BO292" s="171">
        <f t="shared" si="251"/>
        <v>0</v>
      </c>
      <c r="BP292" s="189"/>
      <c r="BQ292" s="172">
        <f t="shared" si="252"/>
        <v>0</v>
      </c>
      <c r="BR292" s="171">
        <f t="shared" si="253"/>
        <v>0</v>
      </c>
      <c r="BS292" s="189"/>
      <c r="BT292" s="172">
        <f t="shared" si="254"/>
        <v>0</v>
      </c>
      <c r="BU292" s="74">
        <f t="shared" si="255"/>
        <v>0</v>
      </c>
      <c r="BV292" s="195" t="str">
        <f>LOOKUP(BU292,'الفترة الاولى'!$BX$2:$BY$6)</f>
        <v>ممتاز</v>
      </c>
      <c r="BW292" s="75" t="e">
        <f>BU292/'الفترة الاولى'!$BZ$2</f>
        <v>#DIV/0!</v>
      </c>
    </row>
    <row r="293" spans="1:75" ht="25.2" customHeight="1" thickBot="1" x14ac:dyDescent="0.3">
      <c r="A293" s="50">
        <v>283</v>
      </c>
      <c r="B293" s="53"/>
      <c r="C293" s="101"/>
      <c r="D293" s="79"/>
      <c r="E293" s="168"/>
      <c r="F293" s="163"/>
      <c r="G293" s="89">
        <f t="shared" si="265"/>
        <v>0</v>
      </c>
      <c r="H293" s="176"/>
      <c r="I293" s="91"/>
      <c r="J293" s="173">
        <f t="shared" si="266"/>
        <v>0</v>
      </c>
      <c r="K293" s="90"/>
      <c r="L293" s="91"/>
      <c r="M293" s="89">
        <f t="shared" si="267"/>
        <v>0</v>
      </c>
      <c r="N293" s="176"/>
      <c r="O293" s="91"/>
      <c r="P293" s="173">
        <f t="shared" si="268"/>
        <v>0</v>
      </c>
      <c r="Q293" s="90"/>
      <c r="R293" s="91"/>
      <c r="S293" s="89">
        <f t="shared" si="269"/>
        <v>0</v>
      </c>
      <c r="T293" s="176"/>
      <c r="U293" s="91"/>
      <c r="V293" s="173">
        <f t="shared" si="270"/>
        <v>0</v>
      </c>
      <c r="W293" s="90"/>
      <c r="X293" s="91"/>
      <c r="Y293" s="89">
        <f t="shared" si="271"/>
        <v>0</v>
      </c>
      <c r="Z293" s="176"/>
      <c r="AA293" s="91"/>
      <c r="AB293" s="173">
        <f t="shared" si="272"/>
        <v>0</v>
      </c>
      <c r="AC293" s="90"/>
      <c r="AD293" s="91"/>
      <c r="AE293" s="89">
        <f t="shared" si="275"/>
        <v>0</v>
      </c>
      <c r="AF293" s="176"/>
      <c r="AG293" s="91"/>
      <c r="AH293" s="89">
        <f t="shared" si="273"/>
        <v>0</v>
      </c>
      <c r="AI293" s="160">
        <f t="shared" si="234"/>
        <v>0</v>
      </c>
      <c r="AJ293" s="201" t="str">
        <f t="shared" si="228"/>
        <v>ممتاز</v>
      </c>
      <c r="AK293" s="66" t="e">
        <f t="shared" si="229"/>
        <v>#DIV/0!</v>
      </c>
      <c r="AM293" s="51">
        <f t="shared" si="274"/>
        <v>283</v>
      </c>
      <c r="AN293" s="86">
        <f t="shared" si="231"/>
        <v>0</v>
      </c>
      <c r="AO293" s="98">
        <f t="shared" si="232"/>
        <v>0</v>
      </c>
      <c r="AP293" s="79">
        <f t="shared" si="233"/>
        <v>0</v>
      </c>
      <c r="AQ293" s="168">
        <f t="shared" si="235"/>
        <v>0</v>
      </c>
      <c r="AR293" s="163"/>
      <c r="AS293" s="89">
        <f t="shared" si="236"/>
        <v>0</v>
      </c>
      <c r="AT293" s="168">
        <f t="shared" si="237"/>
        <v>0</v>
      </c>
      <c r="AU293" s="163"/>
      <c r="AV293" s="89">
        <f t="shared" si="238"/>
        <v>0</v>
      </c>
      <c r="AW293" s="168">
        <f t="shared" si="239"/>
        <v>0</v>
      </c>
      <c r="AX293" s="163"/>
      <c r="AY293" s="89">
        <f t="shared" si="240"/>
        <v>0</v>
      </c>
      <c r="AZ293" s="168">
        <f t="shared" si="241"/>
        <v>0</v>
      </c>
      <c r="BA293" s="163"/>
      <c r="BB293" s="89">
        <f t="shared" si="242"/>
        <v>0</v>
      </c>
      <c r="BC293" s="168">
        <f t="shared" si="243"/>
        <v>0</v>
      </c>
      <c r="BD293" s="163"/>
      <c r="BE293" s="89">
        <f t="shared" si="244"/>
        <v>0</v>
      </c>
      <c r="BF293" s="168">
        <f t="shared" si="245"/>
        <v>0</v>
      </c>
      <c r="BG293" s="163"/>
      <c r="BH293" s="89">
        <f t="shared" si="246"/>
        <v>0</v>
      </c>
      <c r="BI293" s="168">
        <f t="shared" si="247"/>
        <v>0</v>
      </c>
      <c r="BJ293" s="163"/>
      <c r="BK293" s="89">
        <f t="shared" si="248"/>
        <v>0</v>
      </c>
      <c r="BL293" s="168">
        <f t="shared" si="249"/>
        <v>0</v>
      </c>
      <c r="BM293" s="163"/>
      <c r="BN293" s="89">
        <f t="shared" si="250"/>
        <v>0</v>
      </c>
      <c r="BO293" s="168">
        <f t="shared" si="251"/>
        <v>0</v>
      </c>
      <c r="BP293" s="163"/>
      <c r="BQ293" s="89">
        <f t="shared" si="252"/>
        <v>0</v>
      </c>
      <c r="BR293" s="168">
        <f t="shared" si="253"/>
        <v>0</v>
      </c>
      <c r="BS293" s="163"/>
      <c r="BT293" s="89">
        <f t="shared" si="254"/>
        <v>0</v>
      </c>
      <c r="BU293" s="76">
        <f t="shared" si="255"/>
        <v>0</v>
      </c>
      <c r="BV293" s="196" t="str">
        <f>LOOKUP(BU293,'الفترة الاولى'!$BX$2:$BY$6)</f>
        <v>ممتاز</v>
      </c>
      <c r="BW293" s="77" t="e">
        <f>BU293/'الفترة الاولى'!$BZ$2</f>
        <v>#DIV/0!</v>
      </c>
    </row>
    <row r="294" spans="1:75" ht="25.2" customHeight="1" thickBot="1" x14ac:dyDescent="0.3">
      <c r="A294" s="51">
        <v>284</v>
      </c>
      <c r="B294" s="54"/>
      <c r="C294" s="102"/>
      <c r="D294" s="80"/>
      <c r="E294" s="169"/>
      <c r="F294" s="92"/>
      <c r="G294" s="170">
        <f t="shared" si="265"/>
        <v>0</v>
      </c>
      <c r="H294" s="177"/>
      <c r="I294" s="92"/>
      <c r="J294" s="174">
        <f t="shared" si="266"/>
        <v>0</v>
      </c>
      <c r="K294" s="93"/>
      <c r="L294" s="92"/>
      <c r="M294" s="170">
        <f t="shared" si="267"/>
        <v>0</v>
      </c>
      <c r="N294" s="177"/>
      <c r="O294" s="92"/>
      <c r="P294" s="174">
        <f t="shared" si="268"/>
        <v>0</v>
      </c>
      <c r="Q294" s="93"/>
      <c r="R294" s="92"/>
      <c r="S294" s="170">
        <f t="shared" si="269"/>
        <v>0</v>
      </c>
      <c r="T294" s="177"/>
      <c r="U294" s="92"/>
      <c r="V294" s="174">
        <f t="shared" si="270"/>
        <v>0</v>
      </c>
      <c r="W294" s="93"/>
      <c r="X294" s="92"/>
      <c r="Y294" s="170">
        <f t="shared" si="271"/>
        <v>0</v>
      </c>
      <c r="Z294" s="177"/>
      <c r="AA294" s="92"/>
      <c r="AB294" s="174">
        <f t="shared" si="272"/>
        <v>0</v>
      </c>
      <c r="AC294" s="93"/>
      <c r="AD294" s="92"/>
      <c r="AE294" s="170">
        <f t="shared" si="275"/>
        <v>0</v>
      </c>
      <c r="AF294" s="177"/>
      <c r="AG294" s="92"/>
      <c r="AH294" s="170">
        <f t="shared" si="273"/>
        <v>0</v>
      </c>
      <c r="AI294" s="161">
        <f t="shared" si="234"/>
        <v>0</v>
      </c>
      <c r="AJ294" s="202" t="str">
        <f t="shared" si="228"/>
        <v>ممتاز</v>
      </c>
      <c r="AK294" s="67" t="e">
        <f t="shared" si="229"/>
        <v>#DIV/0!</v>
      </c>
      <c r="AM294" s="52">
        <f t="shared" si="274"/>
        <v>284</v>
      </c>
      <c r="AN294" s="87">
        <f t="shared" si="231"/>
        <v>0</v>
      </c>
      <c r="AO294" s="99">
        <f t="shared" si="232"/>
        <v>0</v>
      </c>
      <c r="AP294" s="80">
        <f t="shared" si="233"/>
        <v>0</v>
      </c>
      <c r="AQ294" s="169">
        <f t="shared" si="235"/>
        <v>0</v>
      </c>
      <c r="AR294" s="188"/>
      <c r="AS294" s="170">
        <f t="shared" si="236"/>
        <v>0</v>
      </c>
      <c r="AT294" s="169">
        <f t="shared" si="237"/>
        <v>0</v>
      </c>
      <c r="AU294" s="188"/>
      <c r="AV294" s="170">
        <f t="shared" si="238"/>
        <v>0</v>
      </c>
      <c r="AW294" s="169">
        <f t="shared" si="239"/>
        <v>0</v>
      </c>
      <c r="AX294" s="188"/>
      <c r="AY294" s="170">
        <f t="shared" si="240"/>
        <v>0</v>
      </c>
      <c r="AZ294" s="169">
        <f t="shared" si="241"/>
        <v>0</v>
      </c>
      <c r="BA294" s="188"/>
      <c r="BB294" s="170">
        <f t="shared" si="242"/>
        <v>0</v>
      </c>
      <c r="BC294" s="169">
        <f t="shared" si="243"/>
        <v>0</v>
      </c>
      <c r="BD294" s="188"/>
      <c r="BE294" s="170">
        <f t="shared" si="244"/>
        <v>0</v>
      </c>
      <c r="BF294" s="169">
        <f t="shared" si="245"/>
        <v>0</v>
      </c>
      <c r="BG294" s="188"/>
      <c r="BH294" s="170">
        <f t="shared" si="246"/>
        <v>0</v>
      </c>
      <c r="BI294" s="169">
        <f t="shared" si="247"/>
        <v>0</v>
      </c>
      <c r="BJ294" s="188"/>
      <c r="BK294" s="170">
        <f t="shared" si="248"/>
        <v>0</v>
      </c>
      <c r="BL294" s="169">
        <f t="shared" si="249"/>
        <v>0</v>
      </c>
      <c r="BM294" s="188"/>
      <c r="BN294" s="170">
        <f t="shared" si="250"/>
        <v>0</v>
      </c>
      <c r="BO294" s="169">
        <f t="shared" si="251"/>
        <v>0</v>
      </c>
      <c r="BP294" s="188"/>
      <c r="BQ294" s="170">
        <f t="shared" si="252"/>
        <v>0</v>
      </c>
      <c r="BR294" s="169">
        <f t="shared" si="253"/>
        <v>0</v>
      </c>
      <c r="BS294" s="188"/>
      <c r="BT294" s="170">
        <f t="shared" si="254"/>
        <v>0</v>
      </c>
      <c r="BU294" s="72">
        <f t="shared" si="255"/>
        <v>0</v>
      </c>
      <c r="BV294" s="194" t="str">
        <f>LOOKUP(BU294,'الفترة الاولى'!$BX$2:$BY$6)</f>
        <v>ممتاز</v>
      </c>
      <c r="BW294" s="73" t="e">
        <f>BU294/'الفترة الاولى'!$BZ$2</f>
        <v>#DIV/0!</v>
      </c>
    </row>
    <row r="295" spans="1:75" ht="25.2" customHeight="1" thickBot="1" x14ac:dyDescent="0.3">
      <c r="A295" s="52">
        <v>285</v>
      </c>
      <c r="B295" s="55"/>
      <c r="C295" s="103"/>
      <c r="D295" s="81"/>
      <c r="E295" s="171"/>
      <c r="F295" s="94"/>
      <c r="G295" s="172">
        <f t="shared" si="265"/>
        <v>0</v>
      </c>
      <c r="H295" s="178"/>
      <c r="I295" s="94"/>
      <c r="J295" s="175">
        <f t="shared" si="266"/>
        <v>0</v>
      </c>
      <c r="K295" s="95"/>
      <c r="L295" s="94"/>
      <c r="M295" s="172">
        <f t="shared" si="267"/>
        <v>0</v>
      </c>
      <c r="N295" s="178"/>
      <c r="O295" s="94"/>
      <c r="P295" s="175">
        <f t="shared" si="268"/>
        <v>0</v>
      </c>
      <c r="Q295" s="95"/>
      <c r="R295" s="94"/>
      <c r="S295" s="172">
        <f t="shared" si="269"/>
        <v>0</v>
      </c>
      <c r="T295" s="178"/>
      <c r="U295" s="94"/>
      <c r="V295" s="175">
        <f t="shared" si="270"/>
        <v>0</v>
      </c>
      <c r="W295" s="95"/>
      <c r="X295" s="94"/>
      <c r="Y295" s="172">
        <f t="shared" si="271"/>
        <v>0</v>
      </c>
      <c r="Z295" s="178"/>
      <c r="AA295" s="94"/>
      <c r="AB295" s="175">
        <f t="shared" si="272"/>
        <v>0</v>
      </c>
      <c r="AC295" s="95"/>
      <c r="AD295" s="94"/>
      <c r="AE295" s="172">
        <f t="shared" si="275"/>
        <v>0</v>
      </c>
      <c r="AF295" s="178"/>
      <c r="AG295" s="94"/>
      <c r="AH295" s="172">
        <f t="shared" si="273"/>
        <v>0</v>
      </c>
      <c r="AI295" s="162">
        <f t="shared" si="234"/>
        <v>0</v>
      </c>
      <c r="AJ295" s="200" t="str">
        <f t="shared" si="228"/>
        <v>ممتاز</v>
      </c>
      <c r="AK295" s="65" t="e">
        <f t="shared" si="229"/>
        <v>#DIV/0!</v>
      </c>
      <c r="AM295" s="50">
        <f t="shared" si="274"/>
        <v>285</v>
      </c>
      <c r="AN295" s="88">
        <f t="shared" si="231"/>
        <v>0</v>
      </c>
      <c r="AO295" s="100">
        <f t="shared" si="232"/>
        <v>0</v>
      </c>
      <c r="AP295" s="81">
        <f t="shared" si="233"/>
        <v>0</v>
      </c>
      <c r="AQ295" s="171">
        <f t="shared" si="235"/>
        <v>0</v>
      </c>
      <c r="AR295" s="189"/>
      <c r="AS295" s="172">
        <f t="shared" si="236"/>
        <v>0</v>
      </c>
      <c r="AT295" s="171">
        <f t="shared" si="237"/>
        <v>0</v>
      </c>
      <c r="AU295" s="189"/>
      <c r="AV295" s="172">
        <f t="shared" si="238"/>
        <v>0</v>
      </c>
      <c r="AW295" s="171">
        <f t="shared" si="239"/>
        <v>0</v>
      </c>
      <c r="AX295" s="189"/>
      <c r="AY295" s="172">
        <f t="shared" si="240"/>
        <v>0</v>
      </c>
      <c r="AZ295" s="171">
        <f t="shared" si="241"/>
        <v>0</v>
      </c>
      <c r="BA295" s="189"/>
      <c r="BB295" s="172">
        <f t="shared" si="242"/>
        <v>0</v>
      </c>
      <c r="BC295" s="171">
        <f t="shared" si="243"/>
        <v>0</v>
      </c>
      <c r="BD295" s="189"/>
      <c r="BE295" s="172">
        <f t="shared" si="244"/>
        <v>0</v>
      </c>
      <c r="BF295" s="171">
        <f t="shared" si="245"/>
        <v>0</v>
      </c>
      <c r="BG295" s="189"/>
      <c r="BH295" s="172">
        <f t="shared" si="246"/>
        <v>0</v>
      </c>
      <c r="BI295" s="171">
        <f t="shared" si="247"/>
        <v>0</v>
      </c>
      <c r="BJ295" s="189"/>
      <c r="BK295" s="172">
        <f t="shared" si="248"/>
        <v>0</v>
      </c>
      <c r="BL295" s="171">
        <f t="shared" si="249"/>
        <v>0</v>
      </c>
      <c r="BM295" s="189"/>
      <c r="BN295" s="172">
        <f t="shared" si="250"/>
        <v>0</v>
      </c>
      <c r="BO295" s="171">
        <f t="shared" si="251"/>
        <v>0</v>
      </c>
      <c r="BP295" s="189"/>
      <c r="BQ295" s="172">
        <f t="shared" si="252"/>
        <v>0</v>
      </c>
      <c r="BR295" s="171">
        <f t="shared" si="253"/>
        <v>0</v>
      </c>
      <c r="BS295" s="189"/>
      <c r="BT295" s="172">
        <f t="shared" si="254"/>
        <v>0</v>
      </c>
      <c r="BU295" s="74">
        <f t="shared" si="255"/>
        <v>0</v>
      </c>
      <c r="BV295" s="195" t="str">
        <f>LOOKUP(BU295,'الفترة الاولى'!$BX$2:$BY$6)</f>
        <v>ممتاز</v>
      </c>
      <c r="BW295" s="75" t="e">
        <f>BU295/'الفترة الاولى'!$BZ$2</f>
        <v>#DIV/0!</v>
      </c>
    </row>
    <row r="296" spans="1:75" ht="25.2" customHeight="1" thickBot="1" x14ac:dyDescent="0.3">
      <c r="A296" s="50">
        <v>286</v>
      </c>
      <c r="B296" s="53"/>
      <c r="C296" s="101"/>
      <c r="D296" s="79"/>
      <c r="E296" s="168"/>
      <c r="F296" s="163"/>
      <c r="G296" s="89">
        <f t="shared" si="265"/>
        <v>0</v>
      </c>
      <c r="H296" s="176"/>
      <c r="I296" s="91"/>
      <c r="J296" s="173">
        <f t="shared" si="266"/>
        <v>0</v>
      </c>
      <c r="K296" s="90"/>
      <c r="L296" s="91"/>
      <c r="M296" s="89">
        <f t="shared" si="267"/>
        <v>0</v>
      </c>
      <c r="N296" s="176"/>
      <c r="O296" s="91"/>
      <c r="P296" s="173">
        <f t="shared" si="268"/>
        <v>0</v>
      </c>
      <c r="Q296" s="90"/>
      <c r="R296" s="91"/>
      <c r="S296" s="89">
        <f t="shared" si="269"/>
        <v>0</v>
      </c>
      <c r="T296" s="176"/>
      <c r="U296" s="91"/>
      <c r="V296" s="173">
        <f t="shared" si="270"/>
        <v>0</v>
      </c>
      <c r="W296" s="90"/>
      <c r="X296" s="91"/>
      <c r="Y296" s="89">
        <f t="shared" si="271"/>
        <v>0</v>
      </c>
      <c r="Z296" s="176"/>
      <c r="AA296" s="91"/>
      <c r="AB296" s="173">
        <f t="shared" si="272"/>
        <v>0</v>
      </c>
      <c r="AC296" s="90"/>
      <c r="AD296" s="91"/>
      <c r="AE296" s="89">
        <f t="shared" si="275"/>
        <v>0</v>
      </c>
      <c r="AF296" s="176"/>
      <c r="AG296" s="91"/>
      <c r="AH296" s="89">
        <f t="shared" si="273"/>
        <v>0</v>
      </c>
      <c r="AI296" s="160">
        <f t="shared" si="234"/>
        <v>0</v>
      </c>
      <c r="AJ296" s="201" t="str">
        <f t="shared" si="228"/>
        <v>ممتاز</v>
      </c>
      <c r="AK296" s="66" t="e">
        <f t="shared" si="229"/>
        <v>#DIV/0!</v>
      </c>
      <c r="AM296" s="51">
        <f t="shared" si="274"/>
        <v>286</v>
      </c>
      <c r="AN296" s="86">
        <f t="shared" si="231"/>
        <v>0</v>
      </c>
      <c r="AO296" s="98">
        <f t="shared" si="232"/>
        <v>0</v>
      </c>
      <c r="AP296" s="79">
        <f t="shared" si="233"/>
        <v>0</v>
      </c>
      <c r="AQ296" s="168">
        <f t="shared" si="235"/>
        <v>0</v>
      </c>
      <c r="AR296" s="163"/>
      <c r="AS296" s="89">
        <f t="shared" si="236"/>
        <v>0</v>
      </c>
      <c r="AT296" s="168">
        <f t="shared" si="237"/>
        <v>0</v>
      </c>
      <c r="AU296" s="163"/>
      <c r="AV296" s="89">
        <f t="shared" si="238"/>
        <v>0</v>
      </c>
      <c r="AW296" s="168">
        <f t="shared" si="239"/>
        <v>0</v>
      </c>
      <c r="AX296" s="163"/>
      <c r="AY296" s="89">
        <f t="shared" si="240"/>
        <v>0</v>
      </c>
      <c r="AZ296" s="168">
        <f t="shared" si="241"/>
        <v>0</v>
      </c>
      <c r="BA296" s="163"/>
      <c r="BB296" s="89">
        <f t="shared" si="242"/>
        <v>0</v>
      </c>
      <c r="BC296" s="168">
        <f t="shared" si="243"/>
        <v>0</v>
      </c>
      <c r="BD296" s="163"/>
      <c r="BE296" s="89">
        <f t="shared" si="244"/>
        <v>0</v>
      </c>
      <c r="BF296" s="168">
        <f t="shared" si="245"/>
        <v>0</v>
      </c>
      <c r="BG296" s="163"/>
      <c r="BH296" s="89">
        <f t="shared" si="246"/>
        <v>0</v>
      </c>
      <c r="BI296" s="168">
        <f t="shared" si="247"/>
        <v>0</v>
      </c>
      <c r="BJ296" s="163"/>
      <c r="BK296" s="89">
        <f t="shared" si="248"/>
        <v>0</v>
      </c>
      <c r="BL296" s="168">
        <f t="shared" si="249"/>
        <v>0</v>
      </c>
      <c r="BM296" s="163"/>
      <c r="BN296" s="89">
        <f t="shared" si="250"/>
        <v>0</v>
      </c>
      <c r="BO296" s="168">
        <f t="shared" si="251"/>
        <v>0</v>
      </c>
      <c r="BP296" s="163"/>
      <c r="BQ296" s="89">
        <f t="shared" si="252"/>
        <v>0</v>
      </c>
      <c r="BR296" s="168">
        <f t="shared" si="253"/>
        <v>0</v>
      </c>
      <c r="BS296" s="163"/>
      <c r="BT296" s="89">
        <f t="shared" si="254"/>
        <v>0</v>
      </c>
      <c r="BU296" s="76">
        <f t="shared" si="255"/>
        <v>0</v>
      </c>
      <c r="BV296" s="196" t="str">
        <f>LOOKUP(BU296,'الفترة الاولى'!$BX$2:$BY$6)</f>
        <v>ممتاز</v>
      </c>
      <c r="BW296" s="77" t="e">
        <f>BU296/'الفترة الاولى'!$BZ$2</f>
        <v>#DIV/0!</v>
      </c>
    </row>
    <row r="297" spans="1:75" ht="25.2" customHeight="1" thickBot="1" x14ac:dyDescent="0.3">
      <c r="A297" s="51">
        <v>287</v>
      </c>
      <c r="B297" s="54"/>
      <c r="C297" s="102"/>
      <c r="D297" s="80"/>
      <c r="E297" s="169"/>
      <c r="F297" s="92"/>
      <c r="G297" s="170">
        <f t="shared" si="265"/>
        <v>0</v>
      </c>
      <c r="H297" s="177"/>
      <c r="I297" s="92"/>
      <c r="J297" s="174">
        <f t="shared" si="266"/>
        <v>0</v>
      </c>
      <c r="K297" s="93"/>
      <c r="L297" s="92"/>
      <c r="M297" s="170">
        <f t="shared" si="267"/>
        <v>0</v>
      </c>
      <c r="N297" s="177"/>
      <c r="O297" s="92"/>
      <c r="P297" s="174">
        <f t="shared" si="268"/>
        <v>0</v>
      </c>
      <c r="Q297" s="93"/>
      <c r="R297" s="92"/>
      <c r="S297" s="170">
        <f t="shared" si="269"/>
        <v>0</v>
      </c>
      <c r="T297" s="177"/>
      <c r="U297" s="92"/>
      <c r="V297" s="174">
        <f t="shared" si="270"/>
        <v>0</v>
      </c>
      <c r="W297" s="93"/>
      <c r="X297" s="92"/>
      <c r="Y297" s="170">
        <f t="shared" si="271"/>
        <v>0</v>
      </c>
      <c r="Z297" s="177"/>
      <c r="AA297" s="92"/>
      <c r="AB297" s="174">
        <f t="shared" si="272"/>
        <v>0</v>
      </c>
      <c r="AC297" s="93"/>
      <c r="AD297" s="92"/>
      <c r="AE297" s="170">
        <f t="shared" si="275"/>
        <v>0</v>
      </c>
      <c r="AF297" s="177"/>
      <c r="AG297" s="92"/>
      <c r="AH297" s="170">
        <f t="shared" si="273"/>
        <v>0</v>
      </c>
      <c r="AI297" s="161">
        <f t="shared" si="234"/>
        <v>0</v>
      </c>
      <c r="AJ297" s="202" t="str">
        <f t="shared" si="228"/>
        <v>ممتاز</v>
      </c>
      <c r="AK297" s="67" t="e">
        <f t="shared" si="229"/>
        <v>#DIV/0!</v>
      </c>
      <c r="AM297" s="52">
        <f t="shared" si="274"/>
        <v>287</v>
      </c>
      <c r="AN297" s="87">
        <f t="shared" si="231"/>
        <v>0</v>
      </c>
      <c r="AO297" s="99">
        <f t="shared" si="232"/>
        <v>0</v>
      </c>
      <c r="AP297" s="80">
        <f t="shared" si="233"/>
        <v>0</v>
      </c>
      <c r="AQ297" s="169">
        <f t="shared" si="235"/>
        <v>0</v>
      </c>
      <c r="AR297" s="188"/>
      <c r="AS297" s="170">
        <f t="shared" si="236"/>
        <v>0</v>
      </c>
      <c r="AT297" s="169">
        <f t="shared" si="237"/>
        <v>0</v>
      </c>
      <c r="AU297" s="188"/>
      <c r="AV297" s="170">
        <f t="shared" si="238"/>
        <v>0</v>
      </c>
      <c r="AW297" s="169">
        <f t="shared" si="239"/>
        <v>0</v>
      </c>
      <c r="AX297" s="188"/>
      <c r="AY297" s="170">
        <f t="shared" si="240"/>
        <v>0</v>
      </c>
      <c r="AZ297" s="169">
        <f t="shared" si="241"/>
        <v>0</v>
      </c>
      <c r="BA297" s="188"/>
      <c r="BB297" s="170">
        <f t="shared" si="242"/>
        <v>0</v>
      </c>
      <c r="BC297" s="169">
        <f t="shared" si="243"/>
        <v>0</v>
      </c>
      <c r="BD297" s="188"/>
      <c r="BE297" s="170">
        <f t="shared" si="244"/>
        <v>0</v>
      </c>
      <c r="BF297" s="169">
        <f t="shared" si="245"/>
        <v>0</v>
      </c>
      <c r="BG297" s="188"/>
      <c r="BH297" s="170">
        <f t="shared" si="246"/>
        <v>0</v>
      </c>
      <c r="BI297" s="169">
        <f t="shared" si="247"/>
        <v>0</v>
      </c>
      <c r="BJ297" s="188"/>
      <c r="BK297" s="170">
        <f t="shared" si="248"/>
        <v>0</v>
      </c>
      <c r="BL297" s="169">
        <f t="shared" si="249"/>
        <v>0</v>
      </c>
      <c r="BM297" s="188"/>
      <c r="BN297" s="170">
        <f t="shared" si="250"/>
        <v>0</v>
      </c>
      <c r="BO297" s="169">
        <f t="shared" si="251"/>
        <v>0</v>
      </c>
      <c r="BP297" s="188"/>
      <c r="BQ297" s="170">
        <f t="shared" si="252"/>
        <v>0</v>
      </c>
      <c r="BR297" s="169">
        <f t="shared" si="253"/>
        <v>0</v>
      </c>
      <c r="BS297" s="188"/>
      <c r="BT297" s="170">
        <f t="shared" si="254"/>
        <v>0</v>
      </c>
      <c r="BU297" s="72">
        <f t="shared" si="255"/>
        <v>0</v>
      </c>
      <c r="BV297" s="194" t="str">
        <f>LOOKUP(BU297,'الفترة الاولى'!$BX$2:$BY$6)</f>
        <v>ممتاز</v>
      </c>
      <c r="BW297" s="73" t="e">
        <f>BU297/'الفترة الاولى'!$BZ$2</f>
        <v>#DIV/0!</v>
      </c>
    </row>
    <row r="298" spans="1:75" ht="25.2" customHeight="1" thickBot="1" x14ac:dyDescent="0.3">
      <c r="A298" s="52">
        <v>288</v>
      </c>
      <c r="B298" s="55"/>
      <c r="C298" s="103"/>
      <c r="D298" s="81"/>
      <c r="E298" s="171"/>
      <c r="F298" s="94"/>
      <c r="G298" s="172">
        <f t="shared" si="265"/>
        <v>0</v>
      </c>
      <c r="H298" s="178"/>
      <c r="I298" s="94"/>
      <c r="J298" s="175">
        <f t="shared" si="266"/>
        <v>0</v>
      </c>
      <c r="K298" s="95"/>
      <c r="L298" s="94"/>
      <c r="M298" s="172">
        <f t="shared" si="267"/>
        <v>0</v>
      </c>
      <c r="N298" s="178"/>
      <c r="O298" s="94"/>
      <c r="P298" s="175">
        <f t="shared" si="268"/>
        <v>0</v>
      </c>
      <c r="Q298" s="95"/>
      <c r="R298" s="94"/>
      <c r="S298" s="172">
        <f t="shared" si="269"/>
        <v>0</v>
      </c>
      <c r="T298" s="178"/>
      <c r="U298" s="94"/>
      <c r="V298" s="175">
        <f t="shared" si="270"/>
        <v>0</v>
      </c>
      <c r="W298" s="95"/>
      <c r="X298" s="94"/>
      <c r="Y298" s="172">
        <f t="shared" si="271"/>
        <v>0</v>
      </c>
      <c r="Z298" s="178"/>
      <c r="AA298" s="94"/>
      <c r="AB298" s="175">
        <f t="shared" si="272"/>
        <v>0</v>
      </c>
      <c r="AC298" s="95"/>
      <c r="AD298" s="94"/>
      <c r="AE298" s="172">
        <f t="shared" si="275"/>
        <v>0</v>
      </c>
      <c r="AF298" s="178"/>
      <c r="AG298" s="94"/>
      <c r="AH298" s="172">
        <f t="shared" si="273"/>
        <v>0</v>
      </c>
      <c r="AI298" s="162">
        <f t="shared" si="234"/>
        <v>0</v>
      </c>
      <c r="AJ298" s="200" t="str">
        <f t="shared" si="228"/>
        <v>ممتاز</v>
      </c>
      <c r="AK298" s="65" t="e">
        <f t="shared" si="229"/>
        <v>#DIV/0!</v>
      </c>
      <c r="AM298" s="50">
        <f t="shared" si="274"/>
        <v>288</v>
      </c>
      <c r="AN298" s="88">
        <f t="shared" si="231"/>
        <v>0</v>
      </c>
      <c r="AO298" s="100">
        <f t="shared" si="232"/>
        <v>0</v>
      </c>
      <c r="AP298" s="81">
        <f t="shared" si="233"/>
        <v>0</v>
      </c>
      <c r="AQ298" s="171">
        <f t="shared" si="235"/>
        <v>0</v>
      </c>
      <c r="AR298" s="189"/>
      <c r="AS298" s="172">
        <f t="shared" si="236"/>
        <v>0</v>
      </c>
      <c r="AT298" s="171">
        <f t="shared" si="237"/>
        <v>0</v>
      </c>
      <c r="AU298" s="189"/>
      <c r="AV298" s="172">
        <f t="shared" si="238"/>
        <v>0</v>
      </c>
      <c r="AW298" s="171">
        <f t="shared" si="239"/>
        <v>0</v>
      </c>
      <c r="AX298" s="189"/>
      <c r="AY298" s="172">
        <f t="shared" si="240"/>
        <v>0</v>
      </c>
      <c r="AZ298" s="171">
        <f t="shared" si="241"/>
        <v>0</v>
      </c>
      <c r="BA298" s="189"/>
      <c r="BB298" s="172">
        <f t="shared" si="242"/>
        <v>0</v>
      </c>
      <c r="BC298" s="171">
        <f t="shared" si="243"/>
        <v>0</v>
      </c>
      <c r="BD298" s="189"/>
      <c r="BE298" s="172">
        <f t="shared" si="244"/>
        <v>0</v>
      </c>
      <c r="BF298" s="171">
        <f t="shared" si="245"/>
        <v>0</v>
      </c>
      <c r="BG298" s="189"/>
      <c r="BH298" s="172">
        <f t="shared" si="246"/>
        <v>0</v>
      </c>
      <c r="BI298" s="171">
        <f t="shared" si="247"/>
        <v>0</v>
      </c>
      <c r="BJ298" s="189"/>
      <c r="BK298" s="172">
        <f t="shared" si="248"/>
        <v>0</v>
      </c>
      <c r="BL298" s="171">
        <f t="shared" si="249"/>
        <v>0</v>
      </c>
      <c r="BM298" s="189"/>
      <c r="BN298" s="172">
        <f t="shared" si="250"/>
        <v>0</v>
      </c>
      <c r="BO298" s="171">
        <f t="shared" si="251"/>
        <v>0</v>
      </c>
      <c r="BP298" s="189"/>
      <c r="BQ298" s="172">
        <f t="shared" si="252"/>
        <v>0</v>
      </c>
      <c r="BR298" s="171">
        <f t="shared" si="253"/>
        <v>0</v>
      </c>
      <c r="BS298" s="189"/>
      <c r="BT298" s="172">
        <f t="shared" si="254"/>
        <v>0</v>
      </c>
      <c r="BU298" s="74">
        <f t="shared" si="255"/>
        <v>0</v>
      </c>
      <c r="BV298" s="195" t="str">
        <f>LOOKUP(BU298,'الفترة الاولى'!$BX$2:$BY$6)</f>
        <v>ممتاز</v>
      </c>
      <c r="BW298" s="75" t="e">
        <f>BU298/'الفترة الاولى'!$BZ$2</f>
        <v>#DIV/0!</v>
      </c>
    </row>
    <row r="299" spans="1:75" ht="25.2" customHeight="1" thickBot="1" x14ac:dyDescent="0.3">
      <c r="A299" s="50">
        <v>289</v>
      </c>
      <c r="B299" s="53"/>
      <c r="C299" s="101"/>
      <c r="D299" s="79"/>
      <c r="E299" s="168"/>
      <c r="F299" s="163"/>
      <c r="G299" s="89">
        <f t="shared" si="265"/>
        <v>0</v>
      </c>
      <c r="H299" s="176"/>
      <c r="I299" s="91"/>
      <c r="J299" s="173">
        <f t="shared" si="266"/>
        <v>0</v>
      </c>
      <c r="K299" s="90"/>
      <c r="L299" s="91"/>
      <c r="M299" s="89">
        <f t="shared" si="267"/>
        <v>0</v>
      </c>
      <c r="N299" s="176"/>
      <c r="O299" s="91"/>
      <c r="P299" s="173">
        <f t="shared" si="268"/>
        <v>0</v>
      </c>
      <c r="Q299" s="90"/>
      <c r="R299" s="91"/>
      <c r="S299" s="89">
        <f t="shared" si="269"/>
        <v>0</v>
      </c>
      <c r="T299" s="176"/>
      <c r="U299" s="91"/>
      <c r="V299" s="173">
        <f t="shared" si="270"/>
        <v>0</v>
      </c>
      <c r="W299" s="90"/>
      <c r="X299" s="91"/>
      <c r="Y299" s="89">
        <f t="shared" si="271"/>
        <v>0</v>
      </c>
      <c r="Z299" s="176"/>
      <c r="AA299" s="91"/>
      <c r="AB299" s="173">
        <f t="shared" si="272"/>
        <v>0</v>
      </c>
      <c r="AC299" s="90"/>
      <c r="AD299" s="91"/>
      <c r="AE299" s="89">
        <f t="shared" si="275"/>
        <v>0</v>
      </c>
      <c r="AF299" s="176"/>
      <c r="AG299" s="91"/>
      <c r="AH299" s="89">
        <f t="shared" si="273"/>
        <v>0</v>
      </c>
      <c r="AI299" s="160">
        <f t="shared" si="234"/>
        <v>0</v>
      </c>
      <c r="AJ299" s="201" t="str">
        <f t="shared" si="228"/>
        <v>ممتاز</v>
      </c>
      <c r="AK299" s="66" t="e">
        <f t="shared" si="229"/>
        <v>#DIV/0!</v>
      </c>
      <c r="AM299" s="51">
        <f t="shared" si="274"/>
        <v>289</v>
      </c>
      <c r="AN299" s="86">
        <f t="shared" si="231"/>
        <v>0</v>
      </c>
      <c r="AO299" s="98">
        <f t="shared" si="232"/>
        <v>0</v>
      </c>
      <c r="AP299" s="79">
        <f t="shared" si="233"/>
        <v>0</v>
      </c>
      <c r="AQ299" s="168">
        <f t="shared" si="235"/>
        <v>0</v>
      </c>
      <c r="AR299" s="163"/>
      <c r="AS299" s="89">
        <f t="shared" si="236"/>
        <v>0</v>
      </c>
      <c r="AT299" s="168">
        <f t="shared" si="237"/>
        <v>0</v>
      </c>
      <c r="AU299" s="163"/>
      <c r="AV299" s="89">
        <f t="shared" si="238"/>
        <v>0</v>
      </c>
      <c r="AW299" s="168">
        <f t="shared" si="239"/>
        <v>0</v>
      </c>
      <c r="AX299" s="163"/>
      <c r="AY299" s="89">
        <f t="shared" si="240"/>
        <v>0</v>
      </c>
      <c r="AZ299" s="168">
        <f t="shared" si="241"/>
        <v>0</v>
      </c>
      <c r="BA299" s="163"/>
      <c r="BB299" s="89">
        <f t="shared" si="242"/>
        <v>0</v>
      </c>
      <c r="BC299" s="168">
        <f t="shared" si="243"/>
        <v>0</v>
      </c>
      <c r="BD299" s="163"/>
      <c r="BE299" s="89">
        <f t="shared" si="244"/>
        <v>0</v>
      </c>
      <c r="BF299" s="168">
        <f t="shared" si="245"/>
        <v>0</v>
      </c>
      <c r="BG299" s="163"/>
      <c r="BH299" s="89">
        <f t="shared" si="246"/>
        <v>0</v>
      </c>
      <c r="BI299" s="168">
        <f t="shared" si="247"/>
        <v>0</v>
      </c>
      <c r="BJ299" s="163"/>
      <c r="BK299" s="89">
        <f t="shared" si="248"/>
        <v>0</v>
      </c>
      <c r="BL299" s="168">
        <f t="shared" si="249"/>
        <v>0</v>
      </c>
      <c r="BM299" s="163"/>
      <c r="BN299" s="89">
        <f t="shared" si="250"/>
        <v>0</v>
      </c>
      <c r="BO299" s="168">
        <f t="shared" si="251"/>
        <v>0</v>
      </c>
      <c r="BP299" s="163"/>
      <c r="BQ299" s="89">
        <f t="shared" si="252"/>
        <v>0</v>
      </c>
      <c r="BR299" s="168">
        <f t="shared" si="253"/>
        <v>0</v>
      </c>
      <c r="BS299" s="163"/>
      <c r="BT299" s="89">
        <f t="shared" si="254"/>
        <v>0</v>
      </c>
      <c r="BU299" s="76">
        <f t="shared" si="255"/>
        <v>0</v>
      </c>
      <c r="BV299" s="196" t="str">
        <f>LOOKUP(BU299,'الفترة الاولى'!$BX$2:$BY$6)</f>
        <v>ممتاز</v>
      </c>
      <c r="BW299" s="77" t="e">
        <f>BU299/'الفترة الاولى'!$BZ$2</f>
        <v>#DIV/0!</v>
      </c>
    </row>
    <row r="300" spans="1:75" ht="25.2" customHeight="1" thickBot="1" x14ac:dyDescent="0.3">
      <c r="A300" s="51">
        <v>290</v>
      </c>
      <c r="B300" s="54"/>
      <c r="C300" s="102"/>
      <c r="D300" s="80"/>
      <c r="E300" s="169"/>
      <c r="F300" s="92"/>
      <c r="G300" s="170">
        <f t="shared" si="265"/>
        <v>0</v>
      </c>
      <c r="H300" s="177"/>
      <c r="I300" s="92"/>
      <c r="J300" s="174">
        <f t="shared" si="266"/>
        <v>0</v>
      </c>
      <c r="K300" s="93"/>
      <c r="L300" s="92"/>
      <c r="M300" s="170">
        <f t="shared" si="267"/>
        <v>0</v>
      </c>
      <c r="N300" s="177"/>
      <c r="O300" s="92"/>
      <c r="P300" s="174">
        <f t="shared" si="268"/>
        <v>0</v>
      </c>
      <c r="Q300" s="93"/>
      <c r="R300" s="92"/>
      <c r="S300" s="170">
        <f t="shared" si="269"/>
        <v>0</v>
      </c>
      <c r="T300" s="177"/>
      <c r="U300" s="92"/>
      <c r="V300" s="174">
        <f t="shared" si="270"/>
        <v>0</v>
      </c>
      <c r="W300" s="93"/>
      <c r="X300" s="92"/>
      <c r="Y300" s="170">
        <f t="shared" si="271"/>
        <v>0</v>
      </c>
      <c r="Z300" s="177"/>
      <c r="AA300" s="92"/>
      <c r="AB300" s="174">
        <f t="shared" si="272"/>
        <v>0</v>
      </c>
      <c r="AC300" s="93"/>
      <c r="AD300" s="92"/>
      <c r="AE300" s="170">
        <f t="shared" si="275"/>
        <v>0</v>
      </c>
      <c r="AF300" s="177"/>
      <c r="AG300" s="92"/>
      <c r="AH300" s="170">
        <f t="shared" si="273"/>
        <v>0</v>
      </c>
      <c r="AI300" s="161">
        <f t="shared" si="234"/>
        <v>0</v>
      </c>
      <c r="AJ300" s="202" t="str">
        <f t="shared" si="228"/>
        <v>ممتاز</v>
      </c>
      <c r="AK300" s="67" t="e">
        <f t="shared" si="229"/>
        <v>#DIV/0!</v>
      </c>
      <c r="AM300" s="52">
        <f t="shared" si="274"/>
        <v>290</v>
      </c>
      <c r="AN300" s="87">
        <f t="shared" si="231"/>
        <v>0</v>
      </c>
      <c r="AO300" s="99">
        <f t="shared" si="232"/>
        <v>0</v>
      </c>
      <c r="AP300" s="80">
        <f t="shared" si="233"/>
        <v>0</v>
      </c>
      <c r="AQ300" s="169">
        <f t="shared" si="235"/>
        <v>0</v>
      </c>
      <c r="AR300" s="188"/>
      <c r="AS300" s="170">
        <f t="shared" si="236"/>
        <v>0</v>
      </c>
      <c r="AT300" s="169">
        <f t="shared" si="237"/>
        <v>0</v>
      </c>
      <c r="AU300" s="188"/>
      <c r="AV300" s="170">
        <f t="shared" si="238"/>
        <v>0</v>
      </c>
      <c r="AW300" s="169">
        <f t="shared" si="239"/>
        <v>0</v>
      </c>
      <c r="AX300" s="188"/>
      <c r="AY300" s="170">
        <f t="shared" si="240"/>
        <v>0</v>
      </c>
      <c r="AZ300" s="169">
        <f t="shared" si="241"/>
        <v>0</v>
      </c>
      <c r="BA300" s="188"/>
      <c r="BB300" s="170">
        <f t="shared" si="242"/>
        <v>0</v>
      </c>
      <c r="BC300" s="169">
        <f t="shared" si="243"/>
        <v>0</v>
      </c>
      <c r="BD300" s="188"/>
      <c r="BE300" s="170">
        <f t="shared" si="244"/>
        <v>0</v>
      </c>
      <c r="BF300" s="169">
        <f t="shared" si="245"/>
        <v>0</v>
      </c>
      <c r="BG300" s="188"/>
      <c r="BH300" s="170">
        <f t="shared" si="246"/>
        <v>0</v>
      </c>
      <c r="BI300" s="169">
        <f t="shared" si="247"/>
        <v>0</v>
      </c>
      <c r="BJ300" s="188"/>
      <c r="BK300" s="170">
        <f t="shared" si="248"/>
        <v>0</v>
      </c>
      <c r="BL300" s="169">
        <f t="shared" si="249"/>
        <v>0</v>
      </c>
      <c r="BM300" s="188"/>
      <c r="BN300" s="170">
        <f t="shared" si="250"/>
        <v>0</v>
      </c>
      <c r="BO300" s="169">
        <f t="shared" si="251"/>
        <v>0</v>
      </c>
      <c r="BP300" s="188"/>
      <c r="BQ300" s="170">
        <f t="shared" si="252"/>
        <v>0</v>
      </c>
      <c r="BR300" s="169">
        <f t="shared" si="253"/>
        <v>0</v>
      </c>
      <c r="BS300" s="188"/>
      <c r="BT300" s="170">
        <f t="shared" si="254"/>
        <v>0</v>
      </c>
      <c r="BU300" s="72">
        <f t="shared" si="255"/>
        <v>0</v>
      </c>
      <c r="BV300" s="194" t="str">
        <f>LOOKUP(BU300,'الفترة الاولى'!$BX$2:$BY$6)</f>
        <v>ممتاز</v>
      </c>
      <c r="BW300" s="73" t="e">
        <f>BU300/'الفترة الاولى'!$BZ$2</f>
        <v>#DIV/0!</v>
      </c>
    </row>
    <row r="301" spans="1:75" ht="25.2" customHeight="1" thickBot="1" x14ac:dyDescent="0.3">
      <c r="A301" s="52">
        <v>291</v>
      </c>
      <c r="B301" s="55"/>
      <c r="C301" s="103"/>
      <c r="D301" s="81"/>
      <c r="E301" s="171"/>
      <c r="F301" s="94"/>
      <c r="G301" s="172">
        <f t="shared" si="265"/>
        <v>0</v>
      </c>
      <c r="H301" s="178"/>
      <c r="I301" s="94"/>
      <c r="J301" s="175">
        <f t="shared" si="266"/>
        <v>0</v>
      </c>
      <c r="K301" s="95"/>
      <c r="L301" s="94"/>
      <c r="M301" s="172">
        <f t="shared" si="267"/>
        <v>0</v>
      </c>
      <c r="N301" s="178"/>
      <c r="O301" s="94"/>
      <c r="P301" s="175">
        <f t="shared" si="268"/>
        <v>0</v>
      </c>
      <c r="Q301" s="95"/>
      <c r="R301" s="94"/>
      <c r="S301" s="172">
        <f t="shared" si="269"/>
        <v>0</v>
      </c>
      <c r="T301" s="178"/>
      <c r="U301" s="94"/>
      <c r="V301" s="175">
        <f t="shared" si="270"/>
        <v>0</v>
      </c>
      <c r="W301" s="95"/>
      <c r="X301" s="94"/>
      <c r="Y301" s="172">
        <f t="shared" si="271"/>
        <v>0</v>
      </c>
      <c r="Z301" s="178"/>
      <c r="AA301" s="94"/>
      <c r="AB301" s="175">
        <f t="shared" si="272"/>
        <v>0</v>
      </c>
      <c r="AC301" s="95"/>
      <c r="AD301" s="94"/>
      <c r="AE301" s="172">
        <f t="shared" si="275"/>
        <v>0</v>
      </c>
      <c r="AF301" s="178"/>
      <c r="AG301" s="94"/>
      <c r="AH301" s="172">
        <f t="shared" si="273"/>
        <v>0</v>
      </c>
      <c r="AI301" s="162">
        <f t="shared" si="234"/>
        <v>0</v>
      </c>
      <c r="AJ301" s="200" t="str">
        <f t="shared" si="228"/>
        <v>ممتاز</v>
      </c>
      <c r="AK301" s="65" t="e">
        <f t="shared" si="229"/>
        <v>#DIV/0!</v>
      </c>
      <c r="AM301" s="50">
        <f t="shared" si="274"/>
        <v>291</v>
      </c>
      <c r="AN301" s="88">
        <f t="shared" si="231"/>
        <v>0</v>
      </c>
      <c r="AO301" s="100">
        <f t="shared" si="232"/>
        <v>0</v>
      </c>
      <c r="AP301" s="81">
        <f t="shared" si="233"/>
        <v>0</v>
      </c>
      <c r="AQ301" s="171">
        <f t="shared" si="235"/>
        <v>0</v>
      </c>
      <c r="AR301" s="189"/>
      <c r="AS301" s="172">
        <f t="shared" si="236"/>
        <v>0</v>
      </c>
      <c r="AT301" s="171">
        <f t="shared" si="237"/>
        <v>0</v>
      </c>
      <c r="AU301" s="189"/>
      <c r="AV301" s="172">
        <f t="shared" si="238"/>
        <v>0</v>
      </c>
      <c r="AW301" s="171">
        <f t="shared" si="239"/>
        <v>0</v>
      </c>
      <c r="AX301" s="189"/>
      <c r="AY301" s="172">
        <f t="shared" si="240"/>
        <v>0</v>
      </c>
      <c r="AZ301" s="171">
        <f t="shared" si="241"/>
        <v>0</v>
      </c>
      <c r="BA301" s="189"/>
      <c r="BB301" s="172">
        <f t="shared" si="242"/>
        <v>0</v>
      </c>
      <c r="BC301" s="171">
        <f t="shared" si="243"/>
        <v>0</v>
      </c>
      <c r="BD301" s="189"/>
      <c r="BE301" s="172">
        <f t="shared" si="244"/>
        <v>0</v>
      </c>
      <c r="BF301" s="171">
        <f t="shared" si="245"/>
        <v>0</v>
      </c>
      <c r="BG301" s="189"/>
      <c r="BH301" s="172">
        <f t="shared" si="246"/>
        <v>0</v>
      </c>
      <c r="BI301" s="171">
        <f t="shared" si="247"/>
        <v>0</v>
      </c>
      <c r="BJ301" s="189"/>
      <c r="BK301" s="172">
        <f t="shared" si="248"/>
        <v>0</v>
      </c>
      <c r="BL301" s="171">
        <f t="shared" si="249"/>
        <v>0</v>
      </c>
      <c r="BM301" s="189"/>
      <c r="BN301" s="172">
        <f t="shared" si="250"/>
        <v>0</v>
      </c>
      <c r="BO301" s="171">
        <f t="shared" si="251"/>
        <v>0</v>
      </c>
      <c r="BP301" s="189"/>
      <c r="BQ301" s="172">
        <f t="shared" si="252"/>
        <v>0</v>
      </c>
      <c r="BR301" s="171">
        <f t="shared" si="253"/>
        <v>0</v>
      </c>
      <c r="BS301" s="189"/>
      <c r="BT301" s="172">
        <f t="shared" si="254"/>
        <v>0</v>
      </c>
      <c r="BU301" s="74">
        <f t="shared" si="255"/>
        <v>0</v>
      </c>
      <c r="BV301" s="195" t="str">
        <f>LOOKUP(BU301,'الفترة الاولى'!$BX$2:$BY$6)</f>
        <v>ممتاز</v>
      </c>
      <c r="BW301" s="75" t="e">
        <f>BU301/'الفترة الاولى'!$BZ$2</f>
        <v>#DIV/0!</v>
      </c>
    </row>
    <row r="302" spans="1:75" ht="25.2" customHeight="1" thickBot="1" x14ac:dyDescent="0.3">
      <c r="A302" s="50">
        <v>292</v>
      </c>
      <c r="B302" s="53"/>
      <c r="C302" s="101"/>
      <c r="D302" s="79"/>
      <c r="E302" s="168"/>
      <c r="F302" s="163"/>
      <c r="G302" s="89">
        <f t="shared" si="265"/>
        <v>0</v>
      </c>
      <c r="H302" s="176"/>
      <c r="I302" s="91"/>
      <c r="J302" s="173">
        <f t="shared" si="266"/>
        <v>0</v>
      </c>
      <c r="K302" s="90"/>
      <c r="L302" s="91"/>
      <c r="M302" s="89">
        <f t="shared" si="267"/>
        <v>0</v>
      </c>
      <c r="N302" s="176"/>
      <c r="O302" s="91"/>
      <c r="P302" s="173">
        <f t="shared" si="268"/>
        <v>0</v>
      </c>
      <c r="Q302" s="90"/>
      <c r="R302" s="91"/>
      <c r="S302" s="89">
        <f t="shared" si="269"/>
        <v>0</v>
      </c>
      <c r="T302" s="176"/>
      <c r="U302" s="91"/>
      <c r="V302" s="173">
        <f t="shared" si="270"/>
        <v>0</v>
      </c>
      <c r="W302" s="90"/>
      <c r="X302" s="91"/>
      <c r="Y302" s="89">
        <f t="shared" si="271"/>
        <v>0</v>
      </c>
      <c r="Z302" s="176"/>
      <c r="AA302" s="91"/>
      <c r="AB302" s="173">
        <f t="shared" si="272"/>
        <v>0</v>
      </c>
      <c r="AC302" s="90"/>
      <c r="AD302" s="91"/>
      <c r="AE302" s="89">
        <f t="shared" si="275"/>
        <v>0</v>
      </c>
      <c r="AF302" s="176"/>
      <c r="AG302" s="91"/>
      <c r="AH302" s="89">
        <f t="shared" si="273"/>
        <v>0</v>
      </c>
      <c r="AI302" s="160">
        <f t="shared" si="234"/>
        <v>0</v>
      </c>
      <c r="AJ302" s="201" t="str">
        <f t="shared" si="228"/>
        <v>ممتاز</v>
      </c>
      <c r="AK302" s="66" t="e">
        <f t="shared" si="229"/>
        <v>#DIV/0!</v>
      </c>
      <c r="AM302" s="51">
        <f t="shared" si="274"/>
        <v>292</v>
      </c>
      <c r="AN302" s="86">
        <f t="shared" si="231"/>
        <v>0</v>
      </c>
      <c r="AO302" s="98">
        <f t="shared" si="232"/>
        <v>0</v>
      </c>
      <c r="AP302" s="79">
        <f t="shared" si="233"/>
        <v>0</v>
      </c>
      <c r="AQ302" s="168">
        <f t="shared" si="235"/>
        <v>0</v>
      </c>
      <c r="AR302" s="163"/>
      <c r="AS302" s="89">
        <f t="shared" si="236"/>
        <v>0</v>
      </c>
      <c r="AT302" s="168">
        <f t="shared" si="237"/>
        <v>0</v>
      </c>
      <c r="AU302" s="163"/>
      <c r="AV302" s="89">
        <f t="shared" si="238"/>
        <v>0</v>
      </c>
      <c r="AW302" s="168">
        <f t="shared" si="239"/>
        <v>0</v>
      </c>
      <c r="AX302" s="163"/>
      <c r="AY302" s="89">
        <f t="shared" si="240"/>
        <v>0</v>
      </c>
      <c r="AZ302" s="168">
        <f t="shared" si="241"/>
        <v>0</v>
      </c>
      <c r="BA302" s="163"/>
      <c r="BB302" s="89">
        <f t="shared" si="242"/>
        <v>0</v>
      </c>
      <c r="BC302" s="168">
        <f t="shared" si="243"/>
        <v>0</v>
      </c>
      <c r="BD302" s="163"/>
      <c r="BE302" s="89">
        <f t="shared" si="244"/>
        <v>0</v>
      </c>
      <c r="BF302" s="168">
        <f t="shared" si="245"/>
        <v>0</v>
      </c>
      <c r="BG302" s="163"/>
      <c r="BH302" s="89">
        <f t="shared" si="246"/>
        <v>0</v>
      </c>
      <c r="BI302" s="168">
        <f t="shared" si="247"/>
        <v>0</v>
      </c>
      <c r="BJ302" s="163"/>
      <c r="BK302" s="89">
        <f t="shared" si="248"/>
        <v>0</v>
      </c>
      <c r="BL302" s="168">
        <f t="shared" si="249"/>
        <v>0</v>
      </c>
      <c r="BM302" s="163"/>
      <c r="BN302" s="89">
        <f t="shared" si="250"/>
        <v>0</v>
      </c>
      <c r="BO302" s="168">
        <f t="shared" si="251"/>
        <v>0</v>
      </c>
      <c r="BP302" s="163"/>
      <c r="BQ302" s="89">
        <f t="shared" si="252"/>
        <v>0</v>
      </c>
      <c r="BR302" s="168">
        <f t="shared" si="253"/>
        <v>0</v>
      </c>
      <c r="BS302" s="163"/>
      <c r="BT302" s="89">
        <f t="shared" si="254"/>
        <v>0</v>
      </c>
      <c r="BU302" s="76">
        <f t="shared" si="255"/>
        <v>0</v>
      </c>
      <c r="BV302" s="196" t="str">
        <f>LOOKUP(BU302,'الفترة الاولى'!$BX$2:$BY$6)</f>
        <v>ممتاز</v>
      </c>
      <c r="BW302" s="77" t="e">
        <f>BU302/'الفترة الاولى'!$BZ$2</f>
        <v>#DIV/0!</v>
      </c>
    </row>
    <row r="303" spans="1:75" ht="25.2" customHeight="1" thickBot="1" x14ac:dyDescent="0.3">
      <c r="A303" s="51">
        <v>293</v>
      </c>
      <c r="B303" s="54"/>
      <c r="C303" s="102"/>
      <c r="D303" s="80"/>
      <c r="E303" s="169"/>
      <c r="F303" s="92"/>
      <c r="G303" s="170">
        <f t="shared" si="265"/>
        <v>0</v>
      </c>
      <c r="H303" s="177"/>
      <c r="I303" s="92"/>
      <c r="J303" s="174">
        <f t="shared" si="266"/>
        <v>0</v>
      </c>
      <c r="K303" s="93"/>
      <c r="L303" s="92"/>
      <c r="M303" s="170">
        <f t="shared" si="267"/>
        <v>0</v>
      </c>
      <c r="N303" s="177"/>
      <c r="O303" s="92"/>
      <c r="P303" s="174">
        <f t="shared" si="268"/>
        <v>0</v>
      </c>
      <c r="Q303" s="93"/>
      <c r="R303" s="92"/>
      <c r="S303" s="170">
        <f t="shared" si="269"/>
        <v>0</v>
      </c>
      <c r="T303" s="177"/>
      <c r="U303" s="92"/>
      <c r="V303" s="174">
        <f t="shared" si="270"/>
        <v>0</v>
      </c>
      <c r="W303" s="93"/>
      <c r="X303" s="92"/>
      <c r="Y303" s="170">
        <f t="shared" si="271"/>
        <v>0</v>
      </c>
      <c r="Z303" s="177"/>
      <c r="AA303" s="92"/>
      <c r="AB303" s="174">
        <f t="shared" si="272"/>
        <v>0</v>
      </c>
      <c r="AC303" s="93"/>
      <c r="AD303" s="92"/>
      <c r="AE303" s="170">
        <f t="shared" si="275"/>
        <v>0</v>
      </c>
      <c r="AF303" s="177"/>
      <c r="AG303" s="92"/>
      <c r="AH303" s="170">
        <f t="shared" si="273"/>
        <v>0</v>
      </c>
      <c r="AI303" s="161">
        <f t="shared" si="234"/>
        <v>0</v>
      </c>
      <c r="AJ303" s="202" t="str">
        <f t="shared" si="228"/>
        <v>ممتاز</v>
      </c>
      <c r="AK303" s="67" t="e">
        <f t="shared" si="229"/>
        <v>#DIV/0!</v>
      </c>
      <c r="AM303" s="52">
        <f t="shared" si="274"/>
        <v>293</v>
      </c>
      <c r="AN303" s="87">
        <f t="shared" si="231"/>
        <v>0</v>
      </c>
      <c r="AO303" s="99">
        <f t="shared" si="232"/>
        <v>0</v>
      </c>
      <c r="AP303" s="80">
        <f t="shared" si="233"/>
        <v>0</v>
      </c>
      <c r="AQ303" s="169">
        <f t="shared" si="235"/>
        <v>0</v>
      </c>
      <c r="AR303" s="188"/>
      <c r="AS303" s="170">
        <f t="shared" si="236"/>
        <v>0</v>
      </c>
      <c r="AT303" s="169">
        <f t="shared" si="237"/>
        <v>0</v>
      </c>
      <c r="AU303" s="188"/>
      <c r="AV303" s="170">
        <f t="shared" si="238"/>
        <v>0</v>
      </c>
      <c r="AW303" s="169">
        <f t="shared" si="239"/>
        <v>0</v>
      </c>
      <c r="AX303" s="188"/>
      <c r="AY303" s="170">
        <f t="shared" si="240"/>
        <v>0</v>
      </c>
      <c r="AZ303" s="169">
        <f t="shared" si="241"/>
        <v>0</v>
      </c>
      <c r="BA303" s="188"/>
      <c r="BB303" s="170">
        <f t="shared" si="242"/>
        <v>0</v>
      </c>
      <c r="BC303" s="169">
        <f t="shared" si="243"/>
        <v>0</v>
      </c>
      <c r="BD303" s="188"/>
      <c r="BE303" s="170">
        <f t="shared" si="244"/>
        <v>0</v>
      </c>
      <c r="BF303" s="169">
        <f t="shared" si="245"/>
        <v>0</v>
      </c>
      <c r="BG303" s="188"/>
      <c r="BH303" s="170">
        <f t="shared" si="246"/>
        <v>0</v>
      </c>
      <c r="BI303" s="169">
        <f t="shared" si="247"/>
        <v>0</v>
      </c>
      <c r="BJ303" s="188"/>
      <c r="BK303" s="170">
        <f t="shared" si="248"/>
        <v>0</v>
      </c>
      <c r="BL303" s="169">
        <f t="shared" si="249"/>
        <v>0</v>
      </c>
      <c r="BM303" s="188"/>
      <c r="BN303" s="170">
        <f t="shared" si="250"/>
        <v>0</v>
      </c>
      <c r="BO303" s="169">
        <f t="shared" si="251"/>
        <v>0</v>
      </c>
      <c r="BP303" s="188"/>
      <c r="BQ303" s="170">
        <f t="shared" si="252"/>
        <v>0</v>
      </c>
      <c r="BR303" s="169">
        <f t="shared" si="253"/>
        <v>0</v>
      </c>
      <c r="BS303" s="188"/>
      <c r="BT303" s="170">
        <f t="shared" si="254"/>
        <v>0</v>
      </c>
      <c r="BU303" s="72">
        <f t="shared" si="255"/>
        <v>0</v>
      </c>
      <c r="BV303" s="194" t="str">
        <f>LOOKUP(BU303,'الفترة الاولى'!$BX$2:$BY$6)</f>
        <v>ممتاز</v>
      </c>
      <c r="BW303" s="73" t="e">
        <f>BU303/'الفترة الاولى'!$BZ$2</f>
        <v>#DIV/0!</v>
      </c>
    </row>
    <row r="304" spans="1:75" ht="25.2" customHeight="1" thickBot="1" x14ac:dyDescent="0.3">
      <c r="A304" s="52">
        <v>294</v>
      </c>
      <c r="B304" s="55"/>
      <c r="C304" s="103"/>
      <c r="D304" s="81"/>
      <c r="E304" s="171"/>
      <c r="F304" s="94"/>
      <c r="G304" s="172">
        <f t="shared" si="265"/>
        <v>0</v>
      </c>
      <c r="H304" s="178"/>
      <c r="I304" s="94"/>
      <c r="J304" s="175">
        <f t="shared" si="266"/>
        <v>0</v>
      </c>
      <c r="K304" s="95"/>
      <c r="L304" s="94"/>
      <c r="M304" s="172">
        <f t="shared" si="267"/>
        <v>0</v>
      </c>
      <c r="N304" s="178"/>
      <c r="O304" s="94"/>
      <c r="P304" s="175">
        <f t="shared" si="268"/>
        <v>0</v>
      </c>
      <c r="Q304" s="95"/>
      <c r="R304" s="94"/>
      <c r="S304" s="172">
        <f t="shared" si="269"/>
        <v>0</v>
      </c>
      <c r="T304" s="178"/>
      <c r="U304" s="94"/>
      <c r="V304" s="175">
        <f t="shared" si="270"/>
        <v>0</v>
      </c>
      <c r="W304" s="95"/>
      <c r="X304" s="94"/>
      <c r="Y304" s="172">
        <f t="shared" si="271"/>
        <v>0</v>
      </c>
      <c r="Z304" s="178"/>
      <c r="AA304" s="94"/>
      <c r="AB304" s="175">
        <f t="shared" si="272"/>
        <v>0</v>
      </c>
      <c r="AC304" s="95"/>
      <c r="AD304" s="94"/>
      <c r="AE304" s="172">
        <f t="shared" si="275"/>
        <v>0</v>
      </c>
      <c r="AF304" s="178"/>
      <c r="AG304" s="94"/>
      <c r="AH304" s="172">
        <f t="shared" si="273"/>
        <v>0</v>
      </c>
      <c r="AI304" s="162">
        <f t="shared" si="234"/>
        <v>0</v>
      </c>
      <c r="AJ304" s="200" t="str">
        <f t="shared" si="228"/>
        <v>ممتاز</v>
      </c>
      <c r="AK304" s="65" t="e">
        <f t="shared" si="229"/>
        <v>#DIV/0!</v>
      </c>
      <c r="AM304" s="50">
        <f t="shared" si="274"/>
        <v>294</v>
      </c>
      <c r="AN304" s="88">
        <f t="shared" si="231"/>
        <v>0</v>
      </c>
      <c r="AO304" s="100">
        <f t="shared" si="232"/>
        <v>0</v>
      </c>
      <c r="AP304" s="81">
        <f t="shared" si="233"/>
        <v>0</v>
      </c>
      <c r="AQ304" s="171">
        <f t="shared" si="235"/>
        <v>0</v>
      </c>
      <c r="AR304" s="189"/>
      <c r="AS304" s="172">
        <f t="shared" si="236"/>
        <v>0</v>
      </c>
      <c r="AT304" s="171">
        <f t="shared" si="237"/>
        <v>0</v>
      </c>
      <c r="AU304" s="189"/>
      <c r="AV304" s="172">
        <f t="shared" si="238"/>
        <v>0</v>
      </c>
      <c r="AW304" s="171">
        <f t="shared" si="239"/>
        <v>0</v>
      </c>
      <c r="AX304" s="189"/>
      <c r="AY304" s="172">
        <f t="shared" si="240"/>
        <v>0</v>
      </c>
      <c r="AZ304" s="171">
        <f t="shared" si="241"/>
        <v>0</v>
      </c>
      <c r="BA304" s="189"/>
      <c r="BB304" s="172">
        <f t="shared" si="242"/>
        <v>0</v>
      </c>
      <c r="BC304" s="171">
        <f t="shared" si="243"/>
        <v>0</v>
      </c>
      <c r="BD304" s="189"/>
      <c r="BE304" s="172">
        <f t="shared" si="244"/>
        <v>0</v>
      </c>
      <c r="BF304" s="171">
        <f t="shared" si="245"/>
        <v>0</v>
      </c>
      <c r="BG304" s="189"/>
      <c r="BH304" s="172">
        <f t="shared" si="246"/>
        <v>0</v>
      </c>
      <c r="BI304" s="171">
        <f t="shared" si="247"/>
        <v>0</v>
      </c>
      <c r="BJ304" s="189"/>
      <c r="BK304" s="172">
        <f t="shared" si="248"/>
        <v>0</v>
      </c>
      <c r="BL304" s="171">
        <f t="shared" si="249"/>
        <v>0</v>
      </c>
      <c r="BM304" s="189"/>
      <c r="BN304" s="172">
        <f t="shared" si="250"/>
        <v>0</v>
      </c>
      <c r="BO304" s="171">
        <f t="shared" si="251"/>
        <v>0</v>
      </c>
      <c r="BP304" s="189"/>
      <c r="BQ304" s="172">
        <f t="shared" si="252"/>
        <v>0</v>
      </c>
      <c r="BR304" s="171">
        <f t="shared" si="253"/>
        <v>0</v>
      </c>
      <c r="BS304" s="189"/>
      <c r="BT304" s="172">
        <f t="shared" si="254"/>
        <v>0</v>
      </c>
      <c r="BU304" s="74">
        <f t="shared" si="255"/>
        <v>0</v>
      </c>
      <c r="BV304" s="195" t="str">
        <f>LOOKUP(BU304,'الفترة الاولى'!$BX$2:$BY$6)</f>
        <v>ممتاز</v>
      </c>
      <c r="BW304" s="75" t="e">
        <f>BU304/'الفترة الاولى'!$BZ$2</f>
        <v>#DIV/0!</v>
      </c>
    </row>
    <row r="305" spans="1:75" ht="25.2" customHeight="1" thickBot="1" x14ac:dyDescent="0.3">
      <c r="A305" s="50">
        <v>295</v>
      </c>
      <c r="B305" s="53"/>
      <c r="C305" s="101"/>
      <c r="D305" s="79"/>
      <c r="E305" s="168"/>
      <c r="F305" s="163"/>
      <c r="G305" s="89">
        <f t="shared" si="265"/>
        <v>0</v>
      </c>
      <c r="H305" s="176"/>
      <c r="I305" s="91"/>
      <c r="J305" s="173">
        <f t="shared" si="266"/>
        <v>0</v>
      </c>
      <c r="K305" s="90"/>
      <c r="L305" s="91"/>
      <c r="M305" s="89">
        <f t="shared" si="267"/>
        <v>0</v>
      </c>
      <c r="N305" s="176"/>
      <c r="O305" s="91"/>
      <c r="P305" s="173">
        <f t="shared" si="268"/>
        <v>0</v>
      </c>
      <c r="Q305" s="90"/>
      <c r="R305" s="91"/>
      <c r="S305" s="89">
        <f t="shared" si="269"/>
        <v>0</v>
      </c>
      <c r="T305" s="176"/>
      <c r="U305" s="91"/>
      <c r="V305" s="173">
        <f t="shared" si="270"/>
        <v>0</v>
      </c>
      <c r="W305" s="90"/>
      <c r="X305" s="91"/>
      <c r="Y305" s="89">
        <f t="shared" si="271"/>
        <v>0</v>
      </c>
      <c r="Z305" s="176"/>
      <c r="AA305" s="91"/>
      <c r="AB305" s="173">
        <f t="shared" si="272"/>
        <v>0</v>
      </c>
      <c r="AC305" s="90"/>
      <c r="AD305" s="91"/>
      <c r="AE305" s="89">
        <f t="shared" si="275"/>
        <v>0</v>
      </c>
      <c r="AF305" s="176"/>
      <c r="AG305" s="91"/>
      <c r="AH305" s="89">
        <f t="shared" si="273"/>
        <v>0</v>
      </c>
      <c r="AI305" s="160">
        <f t="shared" si="234"/>
        <v>0</v>
      </c>
      <c r="AJ305" s="201" t="str">
        <f t="shared" si="228"/>
        <v>ممتاز</v>
      </c>
      <c r="AK305" s="66" t="e">
        <f t="shared" si="229"/>
        <v>#DIV/0!</v>
      </c>
      <c r="AM305" s="51">
        <f t="shared" si="274"/>
        <v>295</v>
      </c>
      <c r="AN305" s="86">
        <f t="shared" si="231"/>
        <v>0</v>
      </c>
      <c r="AO305" s="98">
        <f t="shared" si="232"/>
        <v>0</v>
      </c>
      <c r="AP305" s="79">
        <f t="shared" si="233"/>
        <v>0</v>
      </c>
      <c r="AQ305" s="168">
        <f t="shared" si="235"/>
        <v>0</v>
      </c>
      <c r="AR305" s="163"/>
      <c r="AS305" s="89">
        <f t="shared" si="236"/>
        <v>0</v>
      </c>
      <c r="AT305" s="168">
        <f t="shared" si="237"/>
        <v>0</v>
      </c>
      <c r="AU305" s="163"/>
      <c r="AV305" s="89">
        <f t="shared" si="238"/>
        <v>0</v>
      </c>
      <c r="AW305" s="168">
        <f t="shared" si="239"/>
        <v>0</v>
      </c>
      <c r="AX305" s="163"/>
      <c r="AY305" s="89">
        <f t="shared" si="240"/>
        <v>0</v>
      </c>
      <c r="AZ305" s="168">
        <f t="shared" si="241"/>
        <v>0</v>
      </c>
      <c r="BA305" s="163"/>
      <c r="BB305" s="89">
        <f t="shared" si="242"/>
        <v>0</v>
      </c>
      <c r="BC305" s="168">
        <f t="shared" si="243"/>
        <v>0</v>
      </c>
      <c r="BD305" s="163"/>
      <c r="BE305" s="89">
        <f t="shared" si="244"/>
        <v>0</v>
      </c>
      <c r="BF305" s="168">
        <f t="shared" si="245"/>
        <v>0</v>
      </c>
      <c r="BG305" s="163"/>
      <c r="BH305" s="89">
        <f t="shared" si="246"/>
        <v>0</v>
      </c>
      <c r="BI305" s="168">
        <f t="shared" si="247"/>
        <v>0</v>
      </c>
      <c r="BJ305" s="163"/>
      <c r="BK305" s="89">
        <f t="shared" si="248"/>
        <v>0</v>
      </c>
      <c r="BL305" s="168">
        <f t="shared" si="249"/>
        <v>0</v>
      </c>
      <c r="BM305" s="163"/>
      <c r="BN305" s="89">
        <f t="shared" si="250"/>
        <v>0</v>
      </c>
      <c r="BO305" s="168">
        <f t="shared" si="251"/>
        <v>0</v>
      </c>
      <c r="BP305" s="163"/>
      <c r="BQ305" s="89">
        <f t="shared" si="252"/>
        <v>0</v>
      </c>
      <c r="BR305" s="168">
        <f t="shared" si="253"/>
        <v>0</v>
      </c>
      <c r="BS305" s="163"/>
      <c r="BT305" s="89">
        <f t="shared" si="254"/>
        <v>0</v>
      </c>
      <c r="BU305" s="76">
        <f t="shared" si="255"/>
        <v>0</v>
      </c>
      <c r="BV305" s="196" t="str">
        <f>LOOKUP(BU305,'الفترة الاولى'!$BX$2:$BY$6)</f>
        <v>ممتاز</v>
      </c>
      <c r="BW305" s="77" t="e">
        <f>BU305/'الفترة الاولى'!$BZ$2</f>
        <v>#DIV/0!</v>
      </c>
    </row>
    <row r="306" spans="1:75" ht="25.2" customHeight="1" thickBot="1" x14ac:dyDescent="0.3">
      <c r="A306" s="51">
        <v>296</v>
      </c>
      <c r="B306" s="54"/>
      <c r="C306" s="102"/>
      <c r="D306" s="80"/>
      <c r="E306" s="169"/>
      <c r="F306" s="92"/>
      <c r="G306" s="170">
        <f t="shared" si="265"/>
        <v>0</v>
      </c>
      <c r="H306" s="177"/>
      <c r="I306" s="92"/>
      <c r="J306" s="174">
        <f t="shared" si="266"/>
        <v>0</v>
      </c>
      <c r="K306" s="93"/>
      <c r="L306" s="92"/>
      <c r="M306" s="170">
        <f t="shared" si="267"/>
        <v>0</v>
      </c>
      <c r="N306" s="177"/>
      <c r="O306" s="92"/>
      <c r="P306" s="174">
        <f t="shared" si="268"/>
        <v>0</v>
      </c>
      <c r="Q306" s="93"/>
      <c r="R306" s="92"/>
      <c r="S306" s="170">
        <f t="shared" si="269"/>
        <v>0</v>
      </c>
      <c r="T306" s="177"/>
      <c r="U306" s="92"/>
      <c r="V306" s="174">
        <f t="shared" si="270"/>
        <v>0</v>
      </c>
      <c r="W306" s="93"/>
      <c r="X306" s="92"/>
      <c r="Y306" s="170">
        <f t="shared" si="271"/>
        <v>0</v>
      </c>
      <c r="Z306" s="177"/>
      <c r="AA306" s="92"/>
      <c r="AB306" s="174">
        <f t="shared" si="272"/>
        <v>0</v>
      </c>
      <c r="AC306" s="93"/>
      <c r="AD306" s="92"/>
      <c r="AE306" s="170">
        <f t="shared" si="275"/>
        <v>0</v>
      </c>
      <c r="AF306" s="177"/>
      <c r="AG306" s="92"/>
      <c r="AH306" s="170">
        <f t="shared" si="273"/>
        <v>0</v>
      </c>
      <c r="AI306" s="161">
        <f t="shared" si="234"/>
        <v>0</v>
      </c>
      <c r="AJ306" s="202" t="str">
        <f t="shared" si="228"/>
        <v>ممتاز</v>
      </c>
      <c r="AK306" s="67" t="e">
        <f t="shared" si="229"/>
        <v>#DIV/0!</v>
      </c>
      <c r="AM306" s="52">
        <f t="shared" si="274"/>
        <v>296</v>
      </c>
      <c r="AN306" s="87">
        <f t="shared" si="231"/>
        <v>0</v>
      </c>
      <c r="AO306" s="99">
        <f t="shared" si="232"/>
        <v>0</v>
      </c>
      <c r="AP306" s="80">
        <f t="shared" si="233"/>
        <v>0</v>
      </c>
      <c r="AQ306" s="169">
        <f t="shared" si="235"/>
        <v>0</v>
      </c>
      <c r="AR306" s="188"/>
      <c r="AS306" s="170">
        <f t="shared" si="236"/>
        <v>0</v>
      </c>
      <c r="AT306" s="169">
        <f t="shared" si="237"/>
        <v>0</v>
      </c>
      <c r="AU306" s="188"/>
      <c r="AV306" s="170">
        <f t="shared" si="238"/>
        <v>0</v>
      </c>
      <c r="AW306" s="169">
        <f t="shared" si="239"/>
        <v>0</v>
      </c>
      <c r="AX306" s="188"/>
      <c r="AY306" s="170">
        <f t="shared" si="240"/>
        <v>0</v>
      </c>
      <c r="AZ306" s="169">
        <f t="shared" si="241"/>
        <v>0</v>
      </c>
      <c r="BA306" s="188"/>
      <c r="BB306" s="170">
        <f t="shared" si="242"/>
        <v>0</v>
      </c>
      <c r="BC306" s="169">
        <f t="shared" si="243"/>
        <v>0</v>
      </c>
      <c r="BD306" s="188"/>
      <c r="BE306" s="170">
        <f t="shared" si="244"/>
        <v>0</v>
      </c>
      <c r="BF306" s="169">
        <f t="shared" si="245"/>
        <v>0</v>
      </c>
      <c r="BG306" s="188"/>
      <c r="BH306" s="170">
        <f t="shared" si="246"/>
        <v>0</v>
      </c>
      <c r="BI306" s="169">
        <f t="shared" si="247"/>
        <v>0</v>
      </c>
      <c r="BJ306" s="188"/>
      <c r="BK306" s="170">
        <f t="shared" si="248"/>
        <v>0</v>
      </c>
      <c r="BL306" s="169">
        <f t="shared" si="249"/>
        <v>0</v>
      </c>
      <c r="BM306" s="188"/>
      <c r="BN306" s="170">
        <f t="shared" si="250"/>
        <v>0</v>
      </c>
      <c r="BO306" s="169">
        <f t="shared" si="251"/>
        <v>0</v>
      </c>
      <c r="BP306" s="188"/>
      <c r="BQ306" s="170">
        <f t="shared" si="252"/>
        <v>0</v>
      </c>
      <c r="BR306" s="169">
        <f t="shared" si="253"/>
        <v>0</v>
      </c>
      <c r="BS306" s="188"/>
      <c r="BT306" s="170">
        <f t="shared" si="254"/>
        <v>0</v>
      </c>
      <c r="BU306" s="72">
        <f t="shared" si="255"/>
        <v>0</v>
      </c>
      <c r="BV306" s="194" t="str">
        <f>LOOKUP(BU306,'الفترة الاولى'!$BX$2:$BY$6)</f>
        <v>ممتاز</v>
      </c>
      <c r="BW306" s="73" t="e">
        <f>BU306/'الفترة الاولى'!$BZ$2</f>
        <v>#DIV/0!</v>
      </c>
    </row>
    <row r="307" spans="1:75" ht="25.2" customHeight="1" thickBot="1" x14ac:dyDescent="0.3">
      <c r="A307" s="52">
        <v>297</v>
      </c>
      <c r="B307" s="55"/>
      <c r="C307" s="103"/>
      <c r="D307" s="81"/>
      <c r="E307" s="171"/>
      <c r="F307" s="94"/>
      <c r="G307" s="172">
        <f t="shared" si="265"/>
        <v>0</v>
      </c>
      <c r="H307" s="178"/>
      <c r="I307" s="94"/>
      <c r="J307" s="175">
        <f t="shared" si="266"/>
        <v>0</v>
      </c>
      <c r="K307" s="95"/>
      <c r="L307" s="94"/>
      <c r="M307" s="172">
        <f t="shared" si="267"/>
        <v>0</v>
      </c>
      <c r="N307" s="178"/>
      <c r="O307" s="94"/>
      <c r="P307" s="175">
        <f t="shared" si="268"/>
        <v>0</v>
      </c>
      <c r="Q307" s="95"/>
      <c r="R307" s="94"/>
      <c r="S307" s="172">
        <f t="shared" si="269"/>
        <v>0</v>
      </c>
      <c r="T307" s="178"/>
      <c r="U307" s="94"/>
      <c r="V307" s="175">
        <f t="shared" si="270"/>
        <v>0</v>
      </c>
      <c r="W307" s="95"/>
      <c r="X307" s="94"/>
      <c r="Y307" s="172">
        <f t="shared" si="271"/>
        <v>0</v>
      </c>
      <c r="Z307" s="178"/>
      <c r="AA307" s="94"/>
      <c r="AB307" s="175">
        <f t="shared" si="272"/>
        <v>0</v>
      </c>
      <c r="AC307" s="95"/>
      <c r="AD307" s="94"/>
      <c r="AE307" s="172">
        <f t="shared" si="275"/>
        <v>0</v>
      </c>
      <c r="AF307" s="178"/>
      <c r="AG307" s="94"/>
      <c r="AH307" s="172">
        <f t="shared" si="273"/>
        <v>0</v>
      </c>
      <c r="AI307" s="162">
        <f t="shared" si="234"/>
        <v>0</v>
      </c>
      <c r="AJ307" s="200" t="str">
        <f t="shared" si="228"/>
        <v>ممتاز</v>
      </c>
      <c r="AK307" s="65" t="e">
        <f t="shared" si="229"/>
        <v>#DIV/0!</v>
      </c>
      <c r="AM307" s="50">
        <f t="shared" si="274"/>
        <v>297</v>
      </c>
      <c r="AN307" s="88">
        <f t="shared" si="231"/>
        <v>0</v>
      </c>
      <c r="AO307" s="100">
        <f t="shared" si="232"/>
        <v>0</v>
      </c>
      <c r="AP307" s="81">
        <f t="shared" si="233"/>
        <v>0</v>
      </c>
      <c r="AQ307" s="171">
        <f t="shared" si="235"/>
        <v>0</v>
      </c>
      <c r="AR307" s="189"/>
      <c r="AS307" s="172">
        <f t="shared" si="236"/>
        <v>0</v>
      </c>
      <c r="AT307" s="171">
        <f t="shared" si="237"/>
        <v>0</v>
      </c>
      <c r="AU307" s="189"/>
      <c r="AV307" s="172">
        <f t="shared" si="238"/>
        <v>0</v>
      </c>
      <c r="AW307" s="171">
        <f t="shared" si="239"/>
        <v>0</v>
      </c>
      <c r="AX307" s="189"/>
      <c r="AY307" s="172">
        <f t="shared" si="240"/>
        <v>0</v>
      </c>
      <c r="AZ307" s="171">
        <f t="shared" si="241"/>
        <v>0</v>
      </c>
      <c r="BA307" s="189"/>
      <c r="BB307" s="172">
        <f t="shared" si="242"/>
        <v>0</v>
      </c>
      <c r="BC307" s="171">
        <f t="shared" si="243"/>
        <v>0</v>
      </c>
      <c r="BD307" s="189"/>
      <c r="BE307" s="172">
        <f t="shared" si="244"/>
        <v>0</v>
      </c>
      <c r="BF307" s="171">
        <f t="shared" si="245"/>
        <v>0</v>
      </c>
      <c r="BG307" s="189"/>
      <c r="BH307" s="172">
        <f t="shared" si="246"/>
        <v>0</v>
      </c>
      <c r="BI307" s="171">
        <f t="shared" si="247"/>
        <v>0</v>
      </c>
      <c r="BJ307" s="189"/>
      <c r="BK307" s="172">
        <f t="shared" si="248"/>
        <v>0</v>
      </c>
      <c r="BL307" s="171">
        <f t="shared" si="249"/>
        <v>0</v>
      </c>
      <c r="BM307" s="189"/>
      <c r="BN307" s="172">
        <f t="shared" si="250"/>
        <v>0</v>
      </c>
      <c r="BO307" s="171">
        <f t="shared" si="251"/>
        <v>0</v>
      </c>
      <c r="BP307" s="189"/>
      <c r="BQ307" s="172">
        <f t="shared" si="252"/>
        <v>0</v>
      </c>
      <c r="BR307" s="171">
        <f t="shared" si="253"/>
        <v>0</v>
      </c>
      <c r="BS307" s="189"/>
      <c r="BT307" s="172">
        <f t="shared" si="254"/>
        <v>0</v>
      </c>
      <c r="BU307" s="74">
        <f t="shared" si="255"/>
        <v>0</v>
      </c>
      <c r="BV307" s="195" t="str">
        <f>LOOKUP(BU307,'الفترة الاولى'!$BX$2:$BY$6)</f>
        <v>ممتاز</v>
      </c>
      <c r="BW307" s="75" t="e">
        <f>BU307/'الفترة الاولى'!$BZ$2</f>
        <v>#DIV/0!</v>
      </c>
    </row>
    <row r="308" spans="1:75" ht="25.2" customHeight="1" thickBot="1" x14ac:dyDescent="0.3">
      <c r="A308" s="50">
        <v>298</v>
      </c>
      <c r="B308" s="53"/>
      <c r="C308" s="101"/>
      <c r="D308" s="79"/>
      <c r="E308" s="168"/>
      <c r="F308" s="163"/>
      <c r="G308" s="89">
        <f t="shared" si="265"/>
        <v>0</v>
      </c>
      <c r="H308" s="176"/>
      <c r="I308" s="91"/>
      <c r="J308" s="173">
        <f t="shared" si="266"/>
        <v>0</v>
      </c>
      <c r="K308" s="90"/>
      <c r="L308" s="91"/>
      <c r="M308" s="89">
        <f t="shared" si="267"/>
        <v>0</v>
      </c>
      <c r="N308" s="176"/>
      <c r="O308" s="91"/>
      <c r="P308" s="173">
        <f t="shared" si="268"/>
        <v>0</v>
      </c>
      <c r="Q308" s="90"/>
      <c r="R308" s="91"/>
      <c r="S308" s="89">
        <f t="shared" si="269"/>
        <v>0</v>
      </c>
      <c r="T308" s="176"/>
      <c r="U308" s="91"/>
      <c r="V308" s="173">
        <f t="shared" si="270"/>
        <v>0</v>
      </c>
      <c r="W308" s="90"/>
      <c r="X308" s="91"/>
      <c r="Y308" s="89">
        <f t="shared" si="271"/>
        <v>0</v>
      </c>
      <c r="Z308" s="176"/>
      <c r="AA308" s="91"/>
      <c r="AB308" s="173">
        <f t="shared" si="272"/>
        <v>0</v>
      </c>
      <c r="AC308" s="90"/>
      <c r="AD308" s="91"/>
      <c r="AE308" s="89">
        <f t="shared" si="275"/>
        <v>0</v>
      </c>
      <c r="AF308" s="176"/>
      <c r="AG308" s="91"/>
      <c r="AH308" s="89">
        <f t="shared" si="273"/>
        <v>0</v>
      </c>
      <c r="AI308" s="160">
        <f t="shared" si="234"/>
        <v>0</v>
      </c>
      <c r="AJ308" s="201" t="str">
        <f t="shared" si="228"/>
        <v>ممتاز</v>
      </c>
      <c r="AK308" s="66" t="e">
        <f t="shared" si="229"/>
        <v>#DIV/0!</v>
      </c>
      <c r="AM308" s="51">
        <f t="shared" si="274"/>
        <v>298</v>
      </c>
      <c r="AN308" s="86">
        <f t="shared" si="231"/>
        <v>0</v>
      </c>
      <c r="AO308" s="98">
        <f t="shared" si="232"/>
        <v>0</v>
      </c>
      <c r="AP308" s="79">
        <f t="shared" si="233"/>
        <v>0</v>
      </c>
      <c r="AQ308" s="168">
        <f t="shared" si="235"/>
        <v>0</v>
      </c>
      <c r="AR308" s="163"/>
      <c r="AS308" s="89">
        <f t="shared" si="236"/>
        <v>0</v>
      </c>
      <c r="AT308" s="168">
        <f t="shared" si="237"/>
        <v>0</v>
      </c>
      <c r="AU308" s="163"/>
      <c r="AV308" s="89">
        <f t="shared" si="238"/>
        <v>0</v>
      </c>
      <c r="AW308" s="168">
        <f t="shared" si="239"/>
        <v>0</v>
      </c>
      <c r="AX308" s="163"/>
      <c r="AY308" s="89">
        <f t="shared" si="240"/>
        <v>0</v>
      </c>
      <c r="AZ308" s="168">
        <f t="shared" si="241"/>
        <v>0</v>
      </c>
      <c r="BA308" s="163"/>
      <c r="BB308" s="89">
        <f t="shared" si="242"/>
        <v>0</v>
      </c>
      <c r="BC308" s="168">
        <f t="shared" si="243"/>
        <v>0</v>
      </c>
      <c r="BD308" s="163"/>
      <c r="BE308" s="89">
        <f t="shared" si="244"/>
        <v>0</v>
      </c>
      <c r="BF308" s="168">
        <f t="shared" si="245"/>
        <v>0</v>
      </c>
      <c r="BG308" s="163"/>
      <c r="BH308" s="89">
        <f t="shared" si="246"/>
        <v>0</v>
      </c>
      <c r="BI308" s="168">
        <f t="shared" si="247"/>
        <v>0</v>
      </c>
      <c r="BJ308" s="163"/>
      <c r="BK308" s="89">
        <f t="shared" si="248"/>
        <v>0</v>
      </c>
      <c r="BL308" s="168">
        <f t="shared" si="249"/>
        <v>0</v>
      </c>
      <c r="BM308" s="163"/>
      <c r="BN308" s="89">
        <f t="shared" si="250"/>
        <v>0</v>
      </c>
      <c r="BO308" s="168">
        <f t="shared" si="251"/>
        <v>0</v>
      </c>
      <c r="BP308" s="163"/>
      <c r="BQ308" s="89">
        <f t="shared" si="252"/>
        <v>0</v>
      </c>
      <c r="BR308" s="168">
        <f t="shared" si="253"/>
        <v>0</v>
      </c>
      <c r="BS308" s="163"/>
      <c r="BT308" s="89">
        <f t="shared" si="254"/>
        <v>0</v>
      </c>
      <c r="BU308" s="76">
        <f t="shared" si="255"/>
        <v>0</v>
      </c>
      <c r="BV308" s="196" t="str">
        <f>LOOKUP(BU308,'الفترة الاولى'!$BX$2:$BY$6)</f>
        <v>ممتاز</v>
      </c>
      <c r="BW308" s="77" t="e">
        <f>BU308/'الفترة الاولى'!$BZ$2</f>
        <v>#DIV/0!</v>
      </c>
    </row>
    <row r="309" spans="1:75" ht="25.2" customHeight="1" thickBot="1" x14ac:dyDescent="0.3">
      <c r="A309" s="51">
        <v>299</v>
      </c>
      <c r="B309" s="54"/>
      <c r="C309" s="102"/>
      <c r="D309" s="80"/>
      <c r="E309" s="169"/>
      <c r="F309" s="92"/>
      <c r="G309" s="170">
        <f t="shared" si="265"/>
        <v>0</v>
      </c>
      <c r="H309" s="177"/>
      <c r="I309" s="92"/>
      <c r="J309" s="174">
        <f t="shared" si="266"/>
        <v>0</v>
      </c>
      <c r="K309" s="93"/>
      <c r="L309" s="92"/>
      <c r="M309" s="170">
        <f t="shared" si="267"/>
        <v>0</v>
      </c>
      <c r="N309" s="177"/>
      <c r="O309" s="92"/>
      <c r="P309" s="174">
        <f t="shared" si="268"/>
        <v>0</v>
      </c>
      <c r="Q309" s="93"/>
      <c r="R309" s="92"/>
      <c r="S309" s="170">
        <f t="shared" si="269"/>
        <v>0</v>
      </c>
      <c r="T309" s="177"/>
      <c r="U309" s="92"/>
      <c r="V309" s="174">
        <f t="shared" si="270"/>
        <v>0</v>
      </c>
      <c r="W309" s="93"/>
      <c r="X309" s="92"/>
      <c r="Y309" s="170">
        <f t="shared" si="271"/>
        <v>0</v>
      </c>
      <c r="Z309" s="177"/>
      <c r="AA309" s="92"/>
      <c r="AB309" s="174">
        <f t="shared" si="272"/>
        <v>0</v>
      </c>
      <c r="AC309" s="93"/>
      <c r="AD309" s="92"/>
      <c r="AE309" s="170">
        <f t="shared" si="275"/>
        <v>0</v>
      </c>
      <c r="AF309" s="177"/>
      <c r="AG309" s="92"/>
      <c r="AH309" s="170">
        <f t="shared" si="273"/>
        <v>0</v>
      </c>
      <c r="AI309" s="161">
        <f t="shared" si="234"/>
        <v>0</v>
      </c>
      <c r="AJ309" s="202" t="str">
        <f t="shared" si="228"/>
        <v>ممتاز</v>
      </c>
      <c r="AK309" s="67" t="e">
        <f t="shared" si="229"/>
        <v>#DIV/0!</v>
      </c>
      <c r="AM309" s="52">
        <f t="shared" si="274"/>
        <v>299</v>
      </c>
      <c r="AN309" s="87">
        <f t="shared" si="231"/>
        <v>0</v>
      </c>
      <c r="AO309" s="99">
        <f t="shared" si="232"/>
        <v>0</v>
      </c>
      <c r="AP309" s="80">
        <f t="shared" si="233"/>
        <v>0</v>
      </c>
      <c r="AQ309" s="169">
        <f t="shared" si="235"/>
        <v>0</v>
      </c>
      <c r="AR309" s="188"/>
      <c r="AS309" s="170">
        <f t="shared" si="236"/>
        <v>0</v>
      </c>
      <c r="AT309" s="169">
        <f t="shared" si="237"/>
        <v>0</v>
      </c>
      <c r="AU309" s="188"/>
      <c r="AV309" s="170">
        <f t="shared" si="238"/>
        <v>0</v>
      </c>
      <c r="AW309" s="169">
        <f t="shared" si="239"/>
        <v>0</v>
      </c>
      <c r="AX309" s="188"/>
      <c r="AY309" s="170">
        <f t="shared" si="240"/>
        <v>0</v>
      </c>
      <c r="AZ309" s="169">
        <f t="shared" si="241"/>
        <v>0</v>
      </c>
      <c r="BA309" s="188"/>
      <c r="BB309" s="170">
        <f t="shared" si="242"/>
        <v>0</v>
      </c>
      <c r="BC309" s="169">
        <f t="shared" si="243"/>
        <v>0</v>
      </c>
      <c r="BD309" s="188"/>
      <c r="BE309" s="170">
        <f t="shared" si="244"/>
        <v>0</v>
      </c>
      <c r="BF309" s="169">
        <f t="shared" si="245"/>
        <v>0</v>
      </c>
      <c r="BG309" s="188"/>
      <c r="BH309" s="170">
        <f t="shared" si="246"/>
        <v>0</v>
      </c>
      <c r="BI309" s="169">
        <f t="shared" si="247"/>
        <v>0</v>
      </c>
      <c r="BJ309" s="188"/>
      <c r="BK309" s="170">
        <f t="shared" si="248"/>
        <v>0</v>
      </c>
      <c r="BL309" s="169">
        <f t="shared" si="249"/>
        <v>0</v>
      </c>
      <c r="BM309" s="188"/>
      <c r="BN309" s="170">
        <f t="shared" si="250"/>
        <v>0</v>
      </c>
      <c r="BO309" s="169">
        <f t="shared" si="251"/>
        <v>0</v>
      </c>
      <c r="BP309" s="188"/>
      <c r="BQ309" s="170">
        <f t="shared" si="252"/>
        <v>0</v>
      </c>
      <c r="BR309" s="169">
        <f t="shared" si="253"/>
        <v>0</v>
      </c>
      <c r="BS309" s="188"/>
      <c r="BT309" s="170">
        <f t="shared" si="254"/>
        <v>0</v>
      </c>
      <c r="BU309" s="72">
        <f t="shared" si="255"/>
        <v>0</v>
      </c>
      <c r="BV309" s="194" t="str">
        <f>LOOKUP(BU309,'الفترة الاولى'!$BX$2:$BY$6)</f>
        <v>ممتاز</v>
      </c>
      <c r="BW309" s="73" t="e">
        <f>BU309/'الفترة الاولى'!$BZ$2</f>
        <v>#DIV/0!</v>
      </c>
    </row>
    <row r="310" spans="1:75" ht="25.2" customHeight="1" thickBot="1" x14ac:dyDescent="0.3">
      <c r="A310" s="52">
        <v>300</v>
      </c>
      <c r="B310" s="55"/>
      <c r="C310" s="103"/>
      <c r="D310" s="81"/>
      <c r="E310" s="171"/>
      <c r="F310" s="94"/>
      <c r="G310" s="172">
        <f t="shared" si="265"/>
        <v>0</v>
      </c>
      <c r="H310" s="178"/>
      <c r="I310" s="94"/>
      <c r="J310" s="175">
        <f t="shared" si="266"/>
        <v>0</v>
      </c>
      <c r="K310" s="95"/>
      <c r="L310" s="94"/>
      <c r="M310" s="172">
        <f t="shared" si="267"/>
        <v>0</v>
      </c>
      <c r="N310" s="178"/>
      <c r="O310" s="94"/>
      <c r="P310" s="175">
        <f t="shared" si="268"/>
        <v>0</v>
      </c>
      <c r="Q310" s="95"/>
      <c r="R310" s="94"/>
      <c r="S310" s="172">
        <f t="shared" si="269"/>
        <v>0</v>
      </c>
      <c r="T310" s="178"/>
      <c r="U310" s="94"/>
      <c r="V310" s="175">
        <f t="shared" si="270"/>
        <v>0</v>
      </c>
      <c r="W310" s="95"/>
      <c r="X310" s="94"/>
      <c r="Y310" s="172">
        <f t="shared" si="271"/>
        <v>0</v>
      </c>
      <c r="Z310" s="178"/>
      <c r="AA310" s="94"/>
      <c r="AB310" s="175">
        <f t="shared" si="272"/>
        <v>0</v>
      </c>
      <c r="AC310" s="95"/>
      <c r="AD310" s="94"/>
      <c r="AE310" s="172">
        <f t="shared" si="275"/>
        <v>0</v>
      </c>
      <c r="AF310" s="178"/>
      <c r="AG310" s="94"/>
      <c r="AH310" s="172">
        <f t="shared" si="273"/>
        <v>0</v>
      </c>
      <c r="AI310" s="162">
        <f t="shared" si="234"/>
        <v>0</v>
      </c>
      <c r="AJ310" s="200" t="str">
        <f t="shared" si="228"/>
        <v>ممتاز</v>
      </c>
      <c r="AK310" s="65" t="e">
        <f t="shared" si="229"/>
        <v>#DIV/0!</v>
      </c>
      <c r="AM310" s="50">
        <f t="shared" si="274"/>
        <v>300</v>
      </c>
      <c r="AN310" s="88">
        <f t="shared" si="231"/>
        <v>0</v>
      </c>
      <c r="AO310" s="100">
        <f t="shared" si="232"/>
        <v>0</v>
      </c>
      <c r="AP310" s="81">
        <f t="shared" si="233"/>
        <v>0</v>
      </c>
      <c r="AQ310" s="171">
        <f t="shared" si="235"/>
        <v>0</v>
      </c>
      <c r="AR310" s="189"/>
      <c r="AS310" s="172">
        <f t="shared" si="236"/>
        <v>0</v>
      </c>
      <c r="AT310" s="171">
        <f t="shared" si="237"/>
        <v>0</v>
      </c>
      <c r="AU310" s="189"/>
      <c r="AV310" s="172">
        <f t="shared" si="238"/>
        <v>0</v>
      </c>
      <c r="AW310" s="171">
        <f t="shared" si="239"/>
        <v>0</v>
      </c>
      <c r="AX310" s="189"/>
      <c r="AY310" s="172">
        <f t="shared" si="240"/>
        <v>0</v>
      </c>
      <c r="AZ310" s="171">
        <f t="shared" si="241"/>
        <v>0</v>
      </c>
      <c r="BA310" s="189"/>
      <c r="BB310" s="172">
        <f t="shared" si="242"/>
        <v>0</v>
      </c>
      <c r="BC310" s="171">
        <f t="shared" si="243"/>
        <v>0</v>
      </c>
      <c r="BD310" s="189"/>
      <c r="BE310" s="172">
        <f t="shared" si="244"/>
        <v>0</v>
      </c>
      <c r="BF310" s="171">
        <f t="shared" si="245"/>
        <v>0</v>
      </c>
      <c r="BG310" s="189"/>
      <c r="BH310" s="172">
        <f t="shared" si="246"/>
        <v>0</v>
      </c>
      <c r="BI310" s="171">
        <f t="shared" si="247"/>
        <v>0</v>
      </c>
      <c r="BJ310" s="189"/>
      <c r="BK310" s="172">
        <f t="shared" si="248"/>
        <v>0</v>
      </c>
      <c r="BL310" s="171">
        <f t="shared" si="249"/>
        <v>0</v>
      </c>
      <c r="BM310" s="189"/>
      <c r="BN310" s="172">
        <f t="shared" si="250"/>
        <v>0</v>
      </c>
      <c r="BO310" s="171">
        <f t="shared" si="251"/>
        <v>0</v>
      </c>
      <c r="BP310" s="189"/>
      <c r="BQ310" s="172">
        <f t="shared" si="252"/>
        <v>0</v>
      </c>
      <c r="BR310" s="171">
        <f t="shared" si="253"/>
        <v>0</v>
      </c>
      <c r="BS310" s="189"/>
      <c r="BT310" s="172">
        <f t="shared" si="254"/>
        <v>0</v>
      </c>
      <c r="BU310" s="74">
        <f t="shared" si="255"/>
        <v>0</v>
      </c>
      <c r="BV310" s="195" t="str">
        <f>LOOKUP(BU310,'الفترة الاولى'!$BX$2:$BY$6)</f>
        <v>ممتاز</v>
      </c>
      <c r="BW310" s="75" t="e">
        <f>BU310/'الفترة الاولى'!$BZ$2</f>
        <v>#DIV/0!</v>
      </c>
    </row>
  </sheetData>
  <sheetProtection selectLockedCells="1"/>
  <mergeCells count="52">
    <mergeCell ref="AI8:AI9"/>
    <mergeCell ref="BW7:BW10"/>
    <mergeCell ref="AQ8:AR8"/>
    <mergeCell ref="AT8:AU8"/>
    <mergeCell ref="AW8:AX8"/>
    <mergeCell ref="AZ8:BA8"/>
    <mergeCell ref="BC8:BD8"/>
    <mergeCell ref="BF8:BG8"/>
    <mergeCell ref="BI8:BJ8"/>
    <mergeCell ref="BL8:BM8"/>
    <mergeCell ref="BO8:BP8"/>
    <mergeCell ref="BR8:BS8"/>
    <mergeCell ref="BU8:BU10"/>
    <mergeCell ref="BV7:BV10"/>
    <mergeCell ref="AP7:AP10"/>
    <mergeCell ref="A5:AK5"/>
    <mergeCell ref="B2:AK2"/>
    <mergeCell ref="B4:AK4"/>
    <mergeCell ref="B3:AK3"/>
    <mergeCell ref="K6:P6"/>
    <mergeCell ref="S6:AI6"/>
    <mergeCell ref="N8:O8"/>
    <mergeCell ref="Q8:R8"/>
    <mergeCell ref="D7:D10"/>
    <mergeCell ref="A6:B6"/>
    <mergeCell ref="C6:D6"/>
    <mergeCell ref="A7:A10"/>
    <mergeCell ref="C7:C10"/>
    <mergeCell ref="B7:B10"/>
    <mergeCell ref="AV2:BT2"/>
    <mergeCell ref="AV3:BT3"/>
    <mergeCell ref="AV4:BT4"/>
    <mergeCell ref="AM5:BV5"/>
    <mergeCell ref="AM6:AR6"/>
    <mergeCell ref="AW6:BB6"/>
    <mergeCell ref="BE6:BU6"/>
    <mergeCell ref="BZ9:CA9"/>
    <mergeCell ref="AJ7:AJ10"/>
    <mergeCell ref="AK7:AK10"/>
    <mergeCell ref="T8:U8"/>
    <mergeCell ref="W8:X8"/>
    <mergeCell ref="Z8:AA8"/>
    <mergeCell ref="AC8:AD8"/>
    <mergeCell ref="AF8:AG8"/>
    <mergeCell ref="E7:AI7"/>
    <mergeCell ref="E8:F8"/>
    <mergeCell ref="H8:I8"/>
    <mergeCell ref="AM7:AM10"/>
    <mergeCell ref="AN7:AN10"/>
    <mergeCell ref="AO7:AO10"/>
    <mergeCell ref="AQ7:BU7"/>
    <mergeCell ref="K8:L8"/>
  </mergeCells>
  <dataValidations count="20">
    <dataValidation type="decimal" allowBlank="1" showInputMessage="1" showErrorMessage="1" errorTitle="قف" error="الدرجة غير صحيحة_x000a_" sqref="AQ11:AQ310 BR11:BR310 E11:E310 AW11:AW310 AT140:AT310 AZ62:AZ310 BC58:BC310 BF56:BF310 BI61:BI310 BL50:BL310 BO31:BO310" xr:uid="{00000000-0002-0000-0200-000000000000}">
      <formula1>0</formula1>
      <formula2>$E$10</formula2>
    </dataValidation>
    <dataValidation type="decimal" allowBlank="1" showInputMessage="1" showErrorMessage="1" errorTitle="قف" error="الدرجة غير صحيحة_x000a_" sqref="AR11:AR310 BS11:BS310 F11:F310 AX11:AX310 AU43:AU310 BD11:BD310 BA100:BA310 BG70:BG310 BJ80:BJ310 BM51:BM310 BP31:BP310" xr:uid="{00000000-0002-0000-0200-000001000000}">
      <formula1>0</formula1>
      <formula2>$F$10</formula2>
    </dataValidation>
    <dataValidation type="decimal" allowBlank="1" showInputMessage="1" showErrorMessage="1" errorTitle="قف" error="الدرجة غير صحيحة_x000a_" sqref="H11:H310" xr:uid="{00000000-0002-0000-0200-000002000000}">
      <formula1>0</formula1>
      <formula2>$H$10</formula2>
    </dataValidation>
    <dataValidation type="decimal" allowBlank="1" showInputMessage="1" showErrorMessage="1" errorTitle="قف" error="الدرجة غير صحيحة_x000a_" sqref="I11:I310" xr:uid="{00000000-0002-0000-0200-000003000000}">
      <formula1>0</formula1>
      <formula2>$I$10</formula2>
    </dataValidation>
    <dataValidation type="decimal" allowBlank="1" showInputMessage="1" showErrorMessage="1" errorTitle="قف" error="الدرجة غير صحيحة_x000a_" sqref="K11:K310" xr:uid="{00000000-0002-0000-0200-000004000000}">
      <formula1>0</formula1>
      <formula2>$K$10</formula2>
    </dataValidation>
    <dataValidation type="decimal" allowBlank="1" showInputMessage="1" showErrorMessage="1" errorTitle="قف" error="الدرجة غير صحيحة_x000a_" sqref="L11:L310" xr:uid="{00000000-0002-0000-0200-000005000000}">
      <formula1>0</formula1>
      <formula2>$L$10</formula2>
    </dataValidation>
    <dataValidation type="decimal" allowBlank="1" showInputMessage="1" showErrorMessage="1" errorTitle="قف" error="الدرجة غير صحيحة_x000a_" sqref="N11:N310" xr:uid="{00000000-0002-0000-0200-000006000000}">
      <formula1>0</formula1>
      <formula2>$N$10</formula2>
    </dataValidation>
    <dataValidation type="decimal" allowBlank="1" showInputMessage="1" showErrorMessage="1" errorTitle="قف" error="الدرجة غير صحيحة_x000a_" sqref="O11:O310" xr:uid="{00000000-0002-0000-0200-000007000000}">
      <formula1>0</formula1>
      <formula2>$O$10</formula2>
    </dataValidation>
    <dataValidation type="decimal" allowBlank="1" showInputMessage="1" showErrorMessage="1" errorTitle="قف" error="الدرجة غير صحيحة_x000a_" sqref="Q11:Q310" xr:uid="{00000000-0002-0000-0200-000008000000}">
      <formula1>0</formula1>
      <formula2>$Q$10</formula2>
    </dataValidation>
    <dataValidation type="decimal" allowBlank="1" showInputMessage="1" showErrorMessage="1" errorTitle="قف" error="الدرجة غير صحيحة_x000a_" sqref="R11:R310" xr:uid="{00000000-0002-0000-0200-000009000000}">
      <formula1>0</formula1>
      <formula2>$R$10</formula2>
    </dataValidation>
    <dataValidation type="decimal" allowBlank="1" showInputMessage="1" showErrorMessage="1" errorTitle="قف" error="الدرجة غير صحيحة_x000a_" sqref="T11:T310" xr:uid="{00000000-0002-0000-0200-00000A000000}">
      <formula1>0</formula1>
      <formula2>$T$10</formula2>
    </dataValidation>
    <dataValidation type="decimal" allowBlank="1" showInputMessage="1" showErrorMessage="1" errorTitle="قف" error="الدرجة غير صحيحة_x000a_" sqref="U11:U310" xr:uid="{00000000-0002-0000-0200-00000B000000}">
      <formula1>0</formula1>
      <formula2>$U$10</formula2>
    </dataValidation>
    <dataValidation type="decimal" allowBlank="1" showInputMessage="1" showErrorMessage="1" errorTitle="قف" error="الدرجة غير صحيحة_x000a_" sqref="W11:W310" xr:uid="{00000000-0002-0000-0200-00000C000000}">
      <formula1>0</formula1>
      <formula2>$W$10</formula2>
    </dataValidation>
    <dataValidation type="decimal" allowBlank="1" showInputMessage="1" showErrorMessage="1" errorTitle="قف" error="الدرجة غير صحيحة_x000a_" sqref="X11:X310" xr:uid="{00000000-0002-0000-0200-00000D000000}">
      <formula1>0</formula1>
      <formula2>$X$10</formula2>
    </dataValidation>
    <dataValidation type="decimal" allowBlank="1" showInputMessage="1" showErrorMessage="1" errorTitle="قف" error="الدرجة غير صحيحة_x000a_" sqref="Z11:Z310" xr:uid="{00000000-0002-0000-0200-00000E000000}">
      <formula1>0</formula1>
      <formula2>$Z$10</formula2>
    </dataValidation>
    <dataValidation type="decimal" allowBlank="1" showInputMessage="1" showErrorMessage="1" errorTitle="قف" error="الدرجة غير صحيحة_x000a_" sqref="AA11:AA310" xr:uid="{00000000-0002-0000-0200-00000F000000}">
      <formula1>0</formula1>
      <formula2>$AA$10</formula2>
    </dataValidation>
    <dataValidation type="decimal" allowBlank="1" showInputMessage="1" showErrorMessage="1" errorTitle="قف" error="الدرجة غير صحيحة_x000a_" sqref="AC11:AC310" xr:uid="{00000000-0002-0000-0200-000010000000}">
      <formula1>0</formula1>
      <formula2>$AC$10</formula2>
    </dataValidation>
    <dataValidation type="decimal" allowBlank="1" showInputMessage="1" showErrorMessage="1" errorTitle="قف" error="الدرجة غير صحيحة_x000a_" sqref="AD11:AD310" xr:uid="{00000000-0002-0000-0200-000011000000}">
      <formula1>0</formula1>
      <formula2>$AD$10</formula2>
    </dataValidation>
    <dataValidation type="decimal" allowBlank="1" showInputMessage="1" showErrorMessage="1" errorTitle="قف" error="الدرجة غير صحيحة_x000a_" sqref="AF11:AF310" xr:uid="{00000000-0002-0000-0200-000012000000}">
      <formula1>0</formula1>
      <formula2>$AF$10</formula2>
    </dataValidation>
    <dataValidation type="whole" operator="lessThanOrEqual" allowBlank="1" showInputMessage="1" showErrorMessage="1" sqref="AG11:AG310" xr:uid="{00000000-0002-0000-0200-000013000000}">
      <formula1>$AG$10</formula1>
    </dataValidation>
  </dataValidations>
  <pageMargins left="1" right="1" top="1" bottom="1" header="0.5" footer="0.5"/>
  <pageSetup paperSize="258" scale="10" fitToWidth="0" orientation="landscape" r:id="rId1"/>
  <headerFooter>
    <oddHeader xml:space="preserve">&amp;Lصفحة &amp;P&amp;R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10</vt:i4>
      </vt:variant>
    </vt:vector>
  </HeadingPairs>
  <TitlesOfParts>
    <vt:vector size="13" baseType="lpstr">
      <vt:lpstr>مجموع الفترتين</vt:lpstr>
      <vt:lpstr>ص الفترة الاولى</vt:lpstr>
      <vt:lpstr>الفترة الاولى</vt:lpstr>
      <vt:lpstr>'ص الفترة الاولى'!Print_Area</vt:lpstr>
      <vt:lpstr>'مجموع الفترتين'!Print_Area</vt:lpstr>
      <vt:lpstr>'الفترة الاولى'!Print_Titles</vt:lpstr>
      <vt:lpstr>'مجموع الفترتين'!Print_Titles</vt:lpstr>
      <vt:lpstr>اسم</vt:lpstr>
      <vt:lpstr>الاسماء</vt:lpstr>
      <vt:lpstr>'مجموع الفترتين'!امتحانات</vt:lpstr>
      <vt:lpstr>بيان</vt:lpstr>
      <vt:lpstr>تسلسل</vt:lpstr>
      <vt:lpstr>درجات</vt:lpstr>
    </vt:vector>
  </TitlesOfParts>
  <Company>فراس الصعيو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2026-06-04T07:20:48Z</cp:lastPrinted>
  <dcterms:created xsi:type="dcterms:W3CDTF">2017-02-09T05:04:55Z</dcterms:created>
  <dcterms:modified xsi:type="dcterms:W3CDTF">2026-06-08T11:48:49Z</dcterms:modified>
</cp:coreProperties>
</file>