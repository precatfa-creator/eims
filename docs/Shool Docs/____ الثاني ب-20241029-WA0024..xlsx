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F:\مجلد جديد\"/>
    </mc:Choice>
  </mc:AlternateContent>
  <xr:revisionPtr revIDLastSave="0" documentId="13_ncr:1_{E73DA3CE-7718-440B-BEE0-730495DDCF82}" xr6:coauthVersionLast="47" xr6:coauthVersionMax="47" xr10:uidLastSave="{00000000-0000-0000-0000-000000000000}"/>
  <bookViews>
    <workbookView showSheetTabs="0" xWindow="-108" yWindow="-108" windowWidth="16608" windowHeight="8832" tabRatio="705" activeTab="1" xr2:uid="{00000000-000D-0000-FFFF-FFFF00000000}"/>
  </bookViews>
  <sheets>
    <sheet name="بيانات الصحيفة " sheetId="35" r:id="rId1"/>
    <sheet name="الرئيسية" sheetId="34" r:id="rId2"/>
    <sheet name="صحيفة الفترات" sheetId="30" r:id="rId3"/>
    <sheet name="الصحيفة النهائية" sheetId="27" r:id="rId4"/>
    <sheet name="النتيجة النهائية" sheetId="31" r:id="rId5"/>
    <sheet name="ادخال1" sheetId="4" r:id="rId6"/>
  </sheets>
  <definedNames>
    <definedName name="_xlnm._FilterDatabase" localSheetId="5" hidden="1">ادخال1!$E$2:$E$395</definedName>
    <definedName name="_xlnm.Print_Area" localSheetId="4">'النتيجة النهائية'!$A$1:$AJ$1161</definedName>
    <definedName name="_xlnm.Print_Area" localSheetId="0">'بيانات الصحيفة '!$A$1:$BG$110</definedName>
    <definedName name="_xlnm.Print_Titles" localSheetId="4">'النتيجة النهائية'!$1:$9</definedName>
    <definedName name="اسماء">ادخال1!$B$11:$EP$510</definedName>
    <definedName name="الترتيب1">ادخال1!$AR$11:$AS$396</definedName>
    <definedName name="الترتيب2">ادخال1!$AX$11:$AY$395</definedName>
    <definedName name="الترتيب3">ادخال1!$BC$11:$BD$397</definedName>
    <definedName name="عمود1">ادخال1!$A$11:$A$395</definedName>
    <definedName name="عمود2">ادخال1!$B$11:$B$395</definedName>
    <definedName name="مستجد">ادخال1!$CH$3:$CH$4</definedName>
    <definedName name="مسلسل">ادخال1!$A$11:$B$395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4" l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39" i="4"/>
  <c r="BM140" i="4"/>
  <c r="BM141" i="4"/>
  <c r="BM142" i="4"/>
  <c r="BM143" i="4"/>
  <c r="BM144" i="4"/>
  <c r="BM145" i="4"/>
  <c r="BM146" i="4"/>
  <c r="BM147" i="4"/>
  <c r="BM148" i="4"/>
  <c r="BM149" i="4"/>
  <c r="BM150" i="4"/>
  <c r="BM151" i="4"/>
  <c r="BM152" i="4"/>
  <c r="BM153" i="4"/>
  <c r="BM154" i="4"/>
  <c r="BM155" i="4"/>
  <c r="BM156" i="4"/>
  <c r="BM157" i="4"/>
  <c r="BM158" i="4"/>
  <c r="BM159" i="4"/>
  <c r="BM160" i="4"/>
  <c r="BM161" i="4"/>
  <c r="BM162" i="4"/>
  <c r="BM163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6" i="4"/>
  <c r="BM177" i="4"/>
  <c r="BM178" i="4"/>
  <c r="BM179" i="4"/>
  <c r="BM180" i="4"/>
  <c r="BM181" i="4"/>
  <c r="BM182" i="4"/>
  <c r="BM183" i="4"/>
  <c r="BM184" i="4"/>
  <c r="BM185" i="4"/>
  <c r="BM186" i="4"/>
  <c r="BM187" i="4"/>
  <c r="BM188" i="4"/>
  <c r="BM189" i="4"/>
  <c r="BM190" i="4"/>
  <c r="BM191" i="4"/>
  <c r="BM192" i="4"/>
  <c r="BM193" i="4"/>
  <c r="BM194" i="4"/>
  <c r="BM195" i="4"/>
  <c r="BM196" i="4"/>
  <c r="BM197" i="4"/>
  <c r="BM198" i="4"/>
  <c r="BM199" i="4"/>
  <c r="BM200" i="4"/>
  <c r="BM201" i="4"/>
  <c r="BM202" i="4"/>
  <c r="BM203" i="4"/>
  <c r="BM204" i="4"/>
  <c r="BM205" i="4"/>
  <c r="BM206" i="4"/>
  <c r="BM207" i="4"/>
  <c r="BM208" i="4"/>
  <c r="BM209" i="4"/>
  <c r="BM210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242" i="4"/>
  <c r="BM243" i="4"/>
  <c r="BM244" i="4"/>
  <c r="BM245" i="4"/>
  <c r="BM246" i="4"/>
  <c r="BM247" i="4"/>
  <c r="BM248" i="4"/>
  <c r="BM249" i="4"/>
  <c r="BM250" i="4"/>
  <c r="BM251" i="4"/>
  <c r="BM252" i="4"/>
  <c r="BM253" i="4"/>
  <c r="BM254" i="4"/>
  <c r="BM255" i="4"/>
  <c r="BM256" i="4"/>
  <c r="BM257" i="4"/>
  <c r="BM258" i="4"/>
  <c r="BM259" i="4"/>
  <c r="BM260" i="4"/>
  <c r="BM261" i="4"/>
  <c r="BM262" i="4"/>
  <c r="BM263" i="4"/>
  <c r="BM264" i="4"/>
  <c r="BM265" i="4"/>
  <c r="BM266" i="4"/>
  <c r="BM267" i="4"/>
  <c r="BM268" i="4"/>
  <c r="BM269" i="4"/>
  <c r="BM270" i="4"/>
  <c r="BM271" i="4"/>
  <c r="BM272" i="4"/>
  <c r="BM273" i="4"/>
  <c r="BM274" i="4"/>
  <c r="BM275" i="4"/>
  <c r="BM276" i="4"/>
  <c r="BM277" i="4"/>
  <c r="BM278" i="4"/>
  <c r="BM279" i="4"/>
  <c r="BM280" i="4"/>
  <c r="BM281" i="4"/>
  <c r="BM282" i="4"/>
  <c r="BM283" i="4"/>
  <c r="BM284" i="4"/>
  <c r="BM285" i="4"/>
  <c r="BM286" i="4"/>
  <c r="BM287" i="4"/>
  <c r="BM288" i="4"/>
  <c r="BM289" i="4"/>
  <c r="BM290" i="4"/>
  <c r="BM291" i="4"/>
  <c r="BM292" i="4"/>
  <c r="BM293" i="4"/>
  <c r="BM294" i="4"/>
  <c r="BM295" i="4"/>
  <c r="BM296" i="4"/>
  <c r="BM297" i="4"/>
  <c r="BM298" i="4"/>
  <c r="BM299" i="4"/>
  <c r="BM300" i="4"/>
  <c r="BM301" i="4"/>
  <c r="BM302" i="4"/>
  <c r="BM303" i="4"/>
  <c r="BM304" i="4"/>
  <c r="BM305" i="4"/>
  <c r="BM306" i="4"/>
  <c r="BM307" i="4"/>
  <c r="BM308" i="4"/>
  <c r="BM309" i="4"/>
  <c r="BM310" i="4"/>
  <c r="BM311" i="4"/>
  <c r="BM312" i="4"/>
  <c r="BM313" i="4"/>
  <c r="BM314" i="4"/>
  <c r="BM315" i="4"/>
  <c r="BM316" i="4"/>
  <c r="BM317" i="4"/>
  <c r="BM318" i="4"/>
  <c r="BM319" i="4"/>
  <c r="BM320" i="4"/>
  <c r="BM321" i="4"/>
  <c r="BM322" i="4"/>
  <c r="BM323" i="4"/>
  <c r="BM324" i="4"/>
  <c r="BM325" i="4"/>
  <c r="BM326" i="4"/>
  <c r="BM327" i="4"/>
  <c r="BM328" i="4"/>
  <c r="BM329" i="4"/>
  <c r="BM330" i="4"/>
  <c r="BM331" i="4"/>
  <c r="BM332" i="4"/>
  <c r="BM333" i="4"/>
  <c r="BM334" i="4"/>
  <c r="BM335" i="4"/>
  <c r="BM336" i="4"/>
  <c r="BM337" i="4"/>
  <c r="BM338" i="4"/>
  <c r="BM339" i="4"/>
  <c r="BM340" i="4"/>
  <c r="BM341" i="4"/>
  <c r="BM342" i="4"/>
  <c r="BM343" i="4"/>
  <c r="BM344" i="4"/>
  <c r="BM345" i="4"/>
  <c r="BM346" i="4"/>
  <c r="BM347" i="4"/>
  <c r="BM348" i="4"/>
  <c r="BM349" i="4"/>
  <c r="BM350" i="4"/>
  <c r="BM351" i="4"/>
  <c r="BM352" i="4"/>
  <c r="BM353" i="4"/>
  <c r="BM354" i="4"/>
  <c r="BM355" i="4"/>
  <c r="BM356" i="4"/>
  <c r="BM357" i="4"/>
  <c r="BM358" i="4"/>
  <c r="BM359" i="4"/>
  <c r="BM360" i="4"/>
  <c r="BM361" i="4"/>
  <c r="BM362" i="4"/>
  <c r="BM363" i="4"/>
  <c r="BM364" i="4"/>
  <c r="BM365" i="4"/>
  <c r="BM366" i="4"/>
  <c r="BM367" i="4"/>
  <c r="BM368" i="4"/>
  <c r="BM369" i="4"/>
  <c r="BM370" i="4"/>
  <c r="BM371" i="4"/>
  <c r="BM372" i="4"/>
  <c r="BM373" i="4"/>
  <c r="BM374" i="4"/>
  <c r="BM375" i="4"/>
  <c r="BM376" i="4"/>
  <c r="BM377" i="4"/>
  <c r="BM378" i="4"/>
  <c r="BM379" i="4"/>
  <c r="BM380" i="4"/>
  <c r="BM381" i="4"/>
  <c r="BM382" i="4"/>
  <c r="BM383" i="4"/>
  <c r="BM384" i="4"/>
  <c r="BM385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142" i="4"/>
  <c r="BN143" i="4"/>
  <c r="BN144" i="4"/>
  <c r="BN145" i="4"/>
  <c r="BN146" i="4"/>
  <c r="BN147" i="4"/>
  <c r="BN148" i="4"/>
  <c r="BN149" i="4"/>
  <c r="BN150" i="4"/>
  <c r="BN151" i="4"/>
  <c r="BN152" i="4"/>
  <c r="BN153" i="4"/>
  <c r="BN154" i="4"/>
  <c r="BN155" i="4"/>
  <c r="BN156" i="4"/>
  <c r="BN157" i="4"/>
  <c r="BN158" i="4"/>
  <c r="BN159" i="4"/>
  <c r="BN160" i="4"/>
  <c r="BN161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BN191" i="4"/>
  <c r="BN192" i="4"/>
  <c r="BN193" i="4"/>
  <c r="BN194" i="4"/>
  <c r="BN195" i="4"/>
  <c r="BN196" i="4"/>
  <c r="BN197" i="4"/>
  <c r="BN198" i="4"/>
  <c r="BN199" i="4"/>
  <c r="BN200" i="4"/>
  <c r="BO12" i="4"/>
  <c r="BO13" i="4"/>
  <c r="BO14" i="4"/>
  <c r="BO15" i="4"/>
  <c r="BO16" i="4"/>
  <c r="BO17" i="4"/>
  <c r="BO18" i="4"/>
  <c r="BO19" i="4"/>
  <c r="BO20" i="4"/>
  <c r="BO21" i="4"/>
  <c r="BO22" i="4"/>
  <c r="BO23" i="4"/>
  <c r="BO24" i="4"/>
  <c r="BO25" i="4"/>
  <c r="BO26" i="4"/>
  <c r="BO27" i="4"/>
  <c r="BO28" i="4"/>
  <c r="BO29" i="4"/>
  <c r="BO30" i="4"/>
  <c r="BO31" i="4"/>
  <c r="BO32" i="4"/>
  <c r="BO33" i="4"/>
  <c r="BO34" i="4"/>
  <c r="BO35" i="4"/>
  <c r="BO36" i="4"/>
  <c r="BO37" i="4"/>
  <c r="BO38" i="4"/>
  <c r="BO39" i="4"/>
  <c r="BO40" i="4"/>
  <c r="BO41" i="4"/>
  <c r="BO42" i="4"/>
  <c r="BO43" i="4"/>
  <c r="BO44" i="4"/>
  <c r="BO45" i="4"/>
  <c r="BO46" i="4"/>
  <c r="BO47" i="4"/>
  <c r="BO48" i="4"/>
  <c r="BO49" i="4"/>
  <c r="BO50" i="4"/>
  <c r="BO51" i="4"/>
  <c r="BO52" i="4"/>
  <c r="BO53" i="4"/>
  <c r="BO54" i="4"/>
  <c r="BO55" i="4"/>
  <c r="BO56" i="4"/>
  <c r="BO57" i="4"/>
  <c r="BO58" i="4"/>
  <c r="BO59" i="4"/>
  <c r="BO60" i="4"/>
  <c r="BO61" i="4"/>
  <c r="BO62" i="4"/>
  <c r="BO63" i="4"/>
  <c r="BO64" i="4"/>
  <c r="BO65" i="4"/>
  <c r="BO66" i="4"/>
  <c r="BO67" i="4"/>
  <c r="BO68" i="4"/>
  <c r="BO69" i="4"/>
  <c r="BO70" i="4"/>
  <c r="BO71" i="4"/>
  <c r="BO72" i="4"/>
  <c r="BO73" i="4"/>
  <c r="BO74" i="4"/>
  <c r="BO75" i="4"/>
  <c r="BO76" i="4"/>
  <c r="BO77" i="4"/>
  <c r="BO78" i="4"/>
  <c r="BO79" i="4"/>
  <c r="BO80" i="4"/>
  <c r="BO81" i="4"/>
  <c r="BO82" i="4"/>
  <c r="BO83" i="4"/>
  <c r="BO84" i="4"/>
  <c r="BO85" i="4"/>
  <c r="BO86" i="4"/>
  <c r="BO87" i="4"/>
  <c r="BO88" i="4"/>
  <c r="BO89" i="4"/>
  <c r="BO90" i="4"/>
  <c r="BO91" i="4"/>
  <c r="BO92" i="4"/>
  <c r="BO93" i="4"/>
  <c r="BO94" i="4"/>
  <c r="BO95" i="4"/>
  <c r="BO96" i="4"/>
  <c r="BO97" i="4"/>
  <c r="BO98" i="4"/>
  <c r="BO99" i="4"/>
  <c r="BO100" i="4"/>
  <c r="BO101" i="4"/>
  <c r="BO102" i="4"/>
  <c r="BO103" i="4"/>
  <c r="BO104" i="4"/>
  <c r="BO105" i="4"/>
  <c r="BO106" i="4"/>
  <c r="BO107" i="4"/>
  <c r="BO108" i="4"/>
  <c r="BO109" i="4"/>
  <c r="BO110" i="4"/>
  <c r="BO111" i="4"/>
  <c r="BO112" i="4"/>
  <c r="BO113" i="4"/>
  <c r="BO114" i="4"/>
  <c r="BO115" i="4"/>
  <c r="BO116" i="4"/>
  <c r="BO117" i="4"/>
  <c r="BO118" i="4"/>
  <c r="BO119" i="4"/>
  <c r="BO120" i="4"/>
  <c r="BO121" i="4"/>
  <c r="BO122" i="4"/>
  <c r="BO123" i="4"/>
  <c r="BO124" i="4"/>
  <c r="BO125" i="4"/>
  <c r="BO126" i="4"/>
  <c r="BO127" i="4"/>
  <c r="BO128" i="4"/>
  <c r="BO129" i="4"/>
  <c r="BO130" i="4"/>
  <c r="BO131" i="4"/>
  <c r="BO132" i="4"/>
  <c r="BO133" i="4"/>
  <c r="BO134" i="4"/>
  <c r="BO135" i="4"/>
  <c r="BO136" i="4"/>
  <c r="BO137" i="4"/>
  <c r="BO138" i="4"/>
  <c r="BO139" i="4"/>
  <c r="BO140" i="4"/>
  <c r="BO141" i="4"/>
  <c r="BO142" i="4"/>
  <c r="BO143" i="4"/>
  <c r="BO144" i="4"/>
  <c r="BO145" i="4"/>
  <c r="BO146" i="4"/>
  <c r="BO147" i="4"/>
  <c r="BO148" i="4"/>
  <c r="BO149" i="4"/>
  <c r="BO150" i="4"/>
  <c r="BO151" i="4"/>
  <c r="BO152" i="4"/>
  <c r="BO153" i="4"/>
  <c r="BO154" i="4"/>
  <c r="BO155" i="4"/>
  <c r="BO156" i="4"/>
  <c r="BO157" i="4"/>
  <c r="BO158" i="4"/>
  <c r="BO159" i="4"/>
  <c r="BO160" i="4"/>
  <c r="BO161" i="4"/>
  <c r="BO162" i="4"/>
  <c r="BO163" i="4"/>
  <c r="BO164" i="4"/>
  <c r="BO165" i="4"/>
  <c r="BO166" i="4"/>
  <c r="BO167" i="4"/>
  <c r="BO168" i="4"/>
  <c r="BO169" i="4"/>
  <c r="BO170" i="4"/>
  <c r="BO171" i="4"/>
  <c r="BO172" i="4"/>
  <c r="BO173" i="4"/>
  <c r="BO174" i="4"/>
  <c r="BO175" i="4"/>
  <c r="BO176" i="4"/>
  <c r="BO177" i="4"/>
  <c r="BO178" i="4"/>
  <c r="BO179" i="4"/>
  <c r="BO180" i="4"/>
  <c r="BO181" i="4"/>
  <c r="BO182" i="4"/>
  <c r="BO183" i="4"/>
  <c r="BO184" i="4"/>
  <c r="BO185" i="4"/>
  <c r="BO186" i="4"/>
  <c r="BO187" i="4"/>
  <c r="BO188" i="4"/>
  <c r="BO189" i="4"/>
  <c r="BO190" i="4"/>
  <c r="BO191" i="4"/>
  <c r="BO192" i="4"/>
  <c r="BO193" i="4"/>
  <c r="BO194" i="4"/>
  <c r="BO195" i="4"/>
  <c r="BO196" i="4"/>
  <c r="BO197" i="4"/>
  <c r="BO198" i="4"/>
  <c r="BO199" i="4"/>
  <c r="BO200" i="4"/>
  <c r="BO201" i="4"/>
  <c r="BO202" i="4"/>
  <c r="BO203" i="4"/>
  <c r="BO204" i="4"/>
  <c r="BO205" i="4"/>
  <c r="BO206" i="4"/>
  <c r="BO207" i="4"/>
  <c r="BO208" i="4"/>
  <c r="BO209" i="4"/>
  <c r="BO210" i="4"/>
  <c r="BO211" i="4"/>
  <c r="BO212" i="4"/>
  <c r="BO213" i="4"/>
  <c r="BO214" i="4"/>
  <c r="BO215" i="4"/>
  <c r="BO216" i="4"/>
  <c r="BO217" i="4"/>
  <c r="BO218" i="4"/>
  <c r="BO219" i="4"/>
  <c r="BO220" i="4"/>
  <c r="BO221" i="4"/>
  <c r="BO222" i="4"/>
  <c r="BO223" i="4"/>
  <c r="BO224" i="4"/>
  <c r="BO225" i="4"/>
  <c r="BO226" i="4"/>
  <c r="BO227" i="4"/>
  <c r="BO228" i="4"/>
  <c r="BO229" i="4"/>
  <c r="BO230" i="4"/>
  <c r="BO231" i="4"/>
  <c r="BO232" i="4"/>
  <c r="BO233" i="4"/>
  <c r="BO234" i="4"/>
  <c r="BO235" i="4"/>
  <c r="BO236" i="4"/>
  <c r="BO237" i="4"/>
  <c r="BO238" i="4"/>
  <c r="BO239" i="4"/>
  <c r="BO240" i="4"/>
  <c r="BO241" i="4"/>
  <c r="BO242" i="4"/>
  <c r="BO243" i="4"/>
  <c r="BO244" i="4"/>
  <c r="BO245" i="4"/>
  <c r="BO246" i="4"/>
  <c r="BO247" i="4"/>
  <c r="BO248" i="4"/>
  <c r="BO249" i="4"/>
  <c r="BO250" i="4"/>
  <c r="BO251" i="4"/>
  <c r="BO252" i="4"/>
  <c r="BO253" i="4"/>
  <c r="BO254" i="4"/>
  <c r="BO255" i="4"/>
  <c r="BO256" i="4"/>
  <c r="BO257" i="4"/>
  <c r="BO258" i="4"/>
  <c r="BO259" i="4"/>
  <c r="BO260" i="4"/>
  <c r="BO261" i="4"/>
  <c r="BO262" i="4"/>
  <c r="BO263" i="4"/>
  <c r="BO264" i="4"/>
  <c r="BO265" i="4"/>
  <c r="BO266" i="4"/>
  <c r="BO267" i="4"/>
  <c r="BO268" i="4"/>
  <c r="BO269" i="4"/>
  <c r="BO270" i="4"/>
  <c r="BO271" i="4"/>
  <c r="BO272" i="4"/>
  <c r="BO273" i="4"/>
  <c r="BO274" i="4"/>
  <c r="BO275" i="4"/>
  <c r="BO276" i="4"/>
  <c r="BO277" i="4"/>
  <c r="BO278" i="4"/>
  <c r="BO279" i="4"/>
  <c r="BO280" i="4"/>
  <c r="BO281" i="4"/>
  <c r="BO282" i="4"/>
  <c r="BO283" i="4"/>
  <c r="BO284" i="4"/>
  <c r="BO285" i="4"/>
  <c r="BO286" i="4"/>
  <c r="BO287" i="4"/>
  <c r="BO288" i="4"/>
  <c r="BO289" i="4"/>
  <c r="BO290" i="4"/>
  <c r="BO291" i="4"/>
  <c r="BO292" i="4"/>
  <c r="BO293" i="4"/>
  <c r="BO294" i="4"/>
  <c r="BO295" i="4"/>
  <c r="BP12" i="4"/>
  <c r="BP13" i="4"/>
  <c r="BP14" i="4"/>
  <c r="BP15" i="4"/>
  <c r="BP16" i="4"/>
  <c r="BP17" i="4"/>
  <c r="BP18" i="4"/>
  <c r="BP19" i="4"/>
  <c r="BP20" i="4"/>
  <c r="BP21" i="4"/>
  <c r="BP22" i="4"/>
  <c r="BP23" i="4"/>
  <c r="BP24" i="4"/>
  <c r="BP25" i="4"/>
  <c r="BP26" i="4"/>
  <c r="BP27" i="4"/>
  <c r="BP28" i="4"/>
  <c r="BP29" i="4"/>
  <c r="BP30" i="4"/>
  <c r="BP31" i="4"/>
  <c r="BP32" i="4"/>
  <c r="BP33" i="4"/>
  <c r="BP34" i="4"/>
  <c r="BP35" i="4"/>
  <c r="BP36" i="4"/>
  <c r="BP37" i="4"/>
  <c r="BP38" i="4"/>
  <c r="BP39" i="4"/>
  <c r="BP40" i="4"/>
  <c r="BP41" i="4"/>
  <c r="BP42" i="4"/>
  <c r="BP43" i="4"/>
  <c r="BP44" i="4"/>
  <c r="BP45" i="4"/>
  <c r="BP46" i="4"/>
  <c r="BP47" i="4"/>
  <c r="BP48" i="4"/>
  <c r="BP49" i="4"/>
  <c r="BP50" i="4"/>
  <c r="BP51" i="4"/>
  <c r="BP52" i="4"/>
  <c r="BP53" i="4"/>
  <c r="BP54" i="4"/>
  <c r="BP55" i="4"/>
  <c r="BP56" i="4"/>
  <c r="BP57" i="4"/>
  <c r="BP58" i="4"/>
  <c r="BP59" i="4"/>
  <c r="BP60" i="4"/>
  <c r="BP61" i="4"/>
  <c r="BP62" i="4"/>
  <c r="BP63" i="4"/>
  <c r="BP64" i="4"/>
  <c r="BP65" i="4"/>
  <c r="BP66" i="4"/>
  <c r="BP67" i="4"/>
  <c r="BP68" i="4"/>
  <c r="BP69" i="4"/>
  <c r="BP70" i="4"/>
  <c r="BP71" i="4"/>
  <c r="BP72" i="4"/>
  <c r="BP73" i="4"/>
  <c r="BP74" i="4"/>
  <c r="BP75" i="4"/>
  <c r="BP76" i="4"/>
  <c r="BP77" i="4"/>
  <c r="BP78" i="4"/>
  <c r="BP79" i="4"/>
  <c r="BP80" i="4"/>
  <c r="BP81" i="4"/>
  <c r="BP82" i="4"/>
  <c r="BP83" i="4"/>
  <c r="BP84" i="4"/>
  <c r="BP85" i="4"/>
  <c r="BP86" i="4"/>
  <c r="BP87" i="4"/>
  <c r="BP88" i="4"/>
  <c r="BP89" i="4"/>
  <c r="BP90" i="4"/>
  <c r="BP91" i="4"/>
  <c r="BP92" i="4"/>
  <c r="BP93" i="4"/>
  <c r="BP94" i="4"/>
  <c r="BP95" i="4"/>
  <c r="BP96" i="4"/>
  <c r="BP97" i="4"/>
  <c r="BP98" i="4"/>
  <c r="BP99" i="4"/>
  <c r="BP100" i="4"/>
  <c r="BP101" i="4"/>
  <c r="BP102" i="4"/>
  <c r="BP103" i="4"/>
  <c r="BP104" i="4"/>
  <c r="BP105" i="4"/>
  <c r="BP106" i="4"/>
  <c r="BP107" i="4"/>
  <c r="BP108" i="4"/>
  <c r="BP109" i="4"/>
  <c r="BP110" i="4"/>
  <c r="BP111" i="4"/>
  <c r="BP112" i="4"/>
  <c r="BP113" i="4"/>
  <c r="BP114" i="4"/>
  <c r="BP115" i="4"/>
  <c r="BP116" i="4"/>
  <c r="BP117" i="4"/>
  <c r="BP118" i="4"/>
  <c r="BP119" i="4"/>
  <c r="BP120" i="4"/>
  <c r="BP121" i="4"/>
  <c r="BP122" i="4"/>
  <c r="BP123" i="4"/>
  <c r="BP124" i="4"/>
  <c r="BP125" i="4"/>
  <c r="BP126" i="4"/>
  <c r="BP127" i="4"/>
  <c r="BP128" i="4"/>
  <c r="BP129" i="4"/>
  <c r="BP130" i="4"/>
  <c r="BP131" i="4"/>
  <c r="BP132" i="4"/>
  <c r="BP133" i="4"/>
  <c r="BP134" i="4"/>
  <c r="BP135" i="4"/>
  <c r="BP136" i="4"/>
  <c r="BP137" i="4"/>
  <c r="BP138" i="4"/>
  <c r="BP139" i="4"/>
  <c r="BP140" i="4"/>
  <c r="BP141" i="4"/>
  <c r="BP142" i="4"/>
  <c r="BP143" i="4"/>
  <c r="BP144" i="4"/>
  <c r="BP145" i="4"/>
  <c r="BP146" i="4"/>
  <c r="BP147" i="4"/>
  <c r="BP148" i="4"/>
  <c r="BP149" i="4"/>
  <c r="BP150" i="4"/>
  <c r="BP151" i="4"/>
  <c r="BP152" i="4"/>
  <c r="BP153" i="4"/>
  <c r="BP154" i="4"/>
  <c r="BP155" i="4"/>
  <c r="BP156" i="4"/>
  <c r="BP157" i="4"/>
  <c r="BP158" i="4"/>
  <c r="BP159" i="4"/>
  <c r="BP160" i="4"/>
  <c r="BP161" i="4"/>
  <c r="BP162" i="4"/>
  <c r="BP163" i="4"/>
  <c r="BP164" i="4"/>
  <c r="BP165" i="4"/>
  <c r="BP166" i="4"/>
  <c r="BP167" i="4"/>
  <c r="BP168" i="4"/>
  <c r="BP169" i="4"/>
  <c r="BP170" i="4"/>
  <c r="BP171" i="4"/>
  <c r="BP172" i="4"/>
  <c r="BP173" i="4"/>
  <c r="BP174" i="4"/>
  <c r="BP175" i="4"/>
  <c r="BP176" i="4"/>
  <c r="BP177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3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BQ98" i="4"/>
  <c r="BQ99" i="4"/>
  <c r="BQ100" i="4"/>
  <c r="BQ101" i="4"/>
  <c r="BQ102" i="4"/>
  <c r="BQ103" i="4"/>
  <c r="BQ104" i="4"/>
  <c r="BQ105" i="4"/>
  <c r="BQ106" i="4"/>
  <c r="BQ107" i="4"/>
  <c r="BQ108" i="4"/>
  <c r="BQ109" i="4"/>
  <c r="BQ110" i="4"/>
  <c r="BQ111" i="4"/>
  <c r="BQ112" i="4"/>
  <c r="BQ113" i="4"/>
  <c r="BQ114" i="4"/>
  <c r="BQ115" i="4"/>
  <c r="BQ116" i="4"/>
  <c r="BQ117" i="4"/>
  <c r="BQ118" i="4"/>
  <c r="BQ119" i="4"/>
  <c r="BQ120" i="4"/>
  <c r="BQ121" i="4"/>
  <c r="BQ122" i="4"/>
  <c r="BQ123" i="4"/>
  <c r="BQ124" i="4"/>
  <c r="BQ125" i="4"/>
  <c r="BQ126" i="4"/>
  <c r="BQ127" i="4"/>
  <c r="BQ128" i="4"/>
  <c r="BQ129" i="4"/>
  <c r="BQ130" i="4"/>
  <c r="BQ131" i="4"/>
  <c r="BQ132" i="4"/>
  <c r="BQ133" i="4"/>
  <c r="BQ134" i="4"/>
  <c r="BQ135" i="4"/>
  <c r="BQ136" i="4"/>
  <c r="BQ137" i="4"/>
  <c r="BQ138" i="4"/>
  <c r="BQ139" i="4"/>
  <c r="BQ140" i="4"/>
  <c r="BQ141" i="4"/>
  <c r="BQ142" i="4"/>
  <c r="BQ143" i="4"/>
  <c r="BQ144" i="4"/>
  <c r="BQ145" i="4"/>
  <c r="BQ146" i="4"/>
  <c r="BQ147" i="4"/>
  <c r="BQ148" i="4"/>
  <c r="BQ149" i="4"/>
  <c r="BQ150" i="4"/>
  <c r="BQ151" i="4"/>
  <c r="BQ152" i="4"/>
  <c r="BQ153" i="4"/>
  <c r="BQ154" i="4"/>
  <c r="BQ155" i="4"/>
  <c r="BQ156" i="4"/>
  <c r="BQ157" i="4"/>
  <c r="BQ158" i="4"/>
  <c r="BQ159" i="4"/>
  <c r="BQ160" i="4"/>
  <c r="BQ161" i="4"/>
  <c r="BQ162" i="4"/>
  <c r="BQ163" i="4"/>
  <c r="BQ164" i="4"/>
  <c r="BQ165" i="4"/>
  <c r="BQ166" i="4"/>
  <c r="BQ167" i="4"/>
  <c r="BQ168" i="4"/>
  <c r="BQ169" i="4"/>
  <c r="BQ170" i="4"/>
  <c r="BQ171" i="4"/>
  <c r="BQ172" i="4"/>
  <c r="BQ173" i="4"/>
  <c r="BQ174" i="4"/>
  <c r="BQ175" i="4"/>
  <c r="BQ176" i="4"/>
  <c r="BQ177" i="4"/>
  <c r="BQ178" i="4"/>
  <c r="BQ179" i="4"/>
  <c r="BQ180" i="4"/>
  <c r="BQ181" i="4"/>
  <c r="BQ182" i="4"/>
  <c r="BQ183" i="4"/>
  <c r="BQ184" i="4"/>
  <c r="BQ185" i="4"/>
  <c r="BQ186" i="4"/>
  <c r="BQ187" i="4"/>
  <c r="BQ188" i="4"/>
  <c r="BQ189" i="4"/>
  <c r="BQ190" i="4"/>
  <c r="BQ191" i="4"/>
  <c r="BQ192" i="4"/>
  <c r="BQ193" i="4"/>
  <c r="BQ194" i="4"/>
  <c r="BQ195" i="4"/>
  <c r="BQ196" i="4"/>
  <c r="BQ197" i="4"/>
  <c r="BQ198" i="4"/>
  <c r="BQ199" i="4"/>
  <c r="BQ200" i="4"/>
  <c r="BQ201" i="4"/>
  <c r="BQ202" i="4"/>
  <c r="BQ203" i="4"/>
  <c r="BQ204" i="4"/>
  <c r="BQ205" i="4"/>
  <c r="BQ206" i="4"/>
  <c r="BQ207" i="4"/>
  <c r="BQ208" i="4"/>
  <c r="BQ209" i="4"/>
  <c r="BQ210" i="4"/>
  <c r="BQ211" i="4"/>
  <c r="BQ212" i="4"/>
  <c r="BQ213" i="4"/>
  <c r="BQ214" i="4"/>
  <c r="BQ215" i="4"/>
  <c r="BQ216" i="4"/>
  <c r="BQ217" i="4"/>
  <c r="BQ218" i="4"/>
  <c r="BQ219" i="4"/>
  <c r="BQ220" i="4"/>
  <c r="BQ221" i="4"/>
  <c r="BQ222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1" i="4"/>
  <c r="BR32" i="4"/>
  <c r="BR33" i="4"/>
  <c r="BR34" i="4"/>
  <c r="BR35" i="4"/>
  <c r="BR36" i="4"/>
  <c r="BR37" i="4"/>
  <c r="BR38" i="4"/>
  <c r="BR39" i="4"/>
  <c r="BR40" i="4"/>
  <c r="BR41" i="4"/>
  <c r="BR42" i="4"/>
  <c r="BR43" i="4"/>
  <c r="BR44" i="4"/>
  <c r="BR45" i="4"/>
  <c r="BR46" i="4"/>
  <c r="BR47" i="4"/>
  <c r="BR48" i="4"/>
  <c r="BR49" i="4"/>
  <c r="BR50" i="4"/>
  <c r="BR51" i="4"/>
  <c r="BR52" i="4"/>
  <c r="BR53" i="4"/>
  <c r="BR54" i="4"/>
  <c r="BR55" i="4"/>
  <c r="BR56" i="4"/>
  <c r="BR57" i="4"/>
  <c r="BR58" i="4"/>
  <c r="BR59" i="4"/>
  <c r="BR60" i="4"/>
  <c r="BR61" i="4"/>
  <c r="BR62" i="4"/>
  <c r="BR63" i="4"/>
  <c r="BR64" i="4"/>
  <c r="BR65" i="4"/>
  <c r="BR66" i="4"/>
  <c r="BR67" i="4"/>
  <c r="BR68" i="4"/>
  <c r="BR69" i="4"/>
  <c r="BR70" i="4"/>
  <c r="BR71" i="4"/>
  <c r="BR72" i="4"/>
  <c r="BR73" i="4"/>
  <c r="BR74" i="4"/>
  <c r="BR75" i="4"/>
  <c r="BR76" i="4"/>
  <c r="BR77" i="4"/>
  <c r="BR78" i="4"/>
  <c r="BR79" i="4"/>
  <c r="BR80" i="4"/>
  <c r="BR81" i="4"/>
  <c r="BR82" i="4"/>
  <c r="BR83" i="4"/>
  <c r="BR84" i="4"/>
  <c r="BR85" i="4"/>
  <c r="BR86" i="4"/>
  <c r="BR87" i="4"/>
  <c r="BR88" i="4"/>
  <c r="BR89" i="4"/>
  <c r="BR90" i="4"/>
  <c r="BR91" i="4"/>
  <c r="BR92" i="4"/>
  <c r="BR93" i="4"/>
  <c r="BR94" i="4"/>
  <c r="BR95" i="4"/>
  <c r="BR96" i="4"/>
  <c r="BR97" i="4"/>
  <c r="BR98" i="4"/>
  <c r="BR99" i="4"/>
  <c r="BR100" i="4"/>
  <c r="BR101" i="4"/>
  <c r="BR102" i="4"/>
  <c r="BR103" i="4"/>
  <c r="BR104" i="4"/>
  <c r="BR105" i="4"/>
  <c r="BR106" i="4"/>
  <c r="BR107" i="4"/>
  <c r="BR108" i="4"/>
  <c r="BR109" i="4"/>
  <c r="BR110" i="4"/>
  <c r="BR111" i="4"/>
  <c r="BR112" i="4"/>
  <c r="BR113" i="4"/>
  <c r="BR114" i="4"/>
  <c r="BR115" i="4"/>
  <c r="BR116" i="4"/>
  <c r="BR117" i="4"/>
  <c r="BR118" i="4"/>
  <c r="BR119" i="4"/>
  <c r="BR120" i="4"/>
  <c r="BR121" i="4"/>
  <c r="BR122" i="4"/>
  <c r="BR123" i="4"/>
  <c r="BR124" i="4"/>
  <c r="BR125" i="4"/>
  <c r="BR126" i="4"/>
  <c r="BR127" i="4"/>
  <c r="BR128" i="4"/>
  <c r="BR129" i="4"/>
  <c r="BR130" i="4"/>
  <c r="BR131" i="4"/>
  <c r="BR132" i="4"/>
  <c r="BR133" i="4"/>
  <c r="BR134" i="4"/>
  <c r="BR135" i="4"/>
  <c r="BR136" i="4"/>
  <c r="BR137" i="4"/>
  <c r="BR138" i="4"/>
  <c r="BR139" i="4"/>
  <c r="BR140" i="4"/>
  <c r="BR141" i="4"/>
  <c r="BR142" i="4"/>
  <c r="BR143" i="4"/>
  <c r="BR144" i="4"/>
  <c r="BR145" i="4"/>
  <c r="BR146" i="4"/>
  <c r="BR147" i="4"/>
  <c r="BR148" i="4"/>
  <c r="BR149" i="4"/>
  <c r="BR150" i="4"/>
  <c r="BR151" i="4"/>
  <c r="BR152" i="4"/>
  <c r="BR153" i="4"/>
  <c r="BR154" i="4"/>
  <c r="BR155" i="4"/>
  <c r="BR156" i="4"/>
  <c r="BR157" i="4"/>
  <c r="BR158" i="4"/>
  <c r="BR159" i="4"/>
  <c r="BR160" i="4"/>
  <c r="BR161" i="4"/>
  <c r="BR162" i="4"/>
  <c r="BR163" i="4"/>
  <c r="BR164" i="4"/>
  <c r="BR165" i="4"/>
  <c r="BR166" i="4"/>
  <c r="BR167" i="4"/>
  <c r="BR168" i="4"/>
  <c r="BR169" i="4"/>
  <c r="BR170" i="4"/>
  <c r="BR171" i="4"/>
  <c r="BR172" i="4"/>
  <c r="BR173" i="4"/>
  <c r="BR174" i="4"/>
  <c r="BR175" i="4"/>
  <c r="BR176" i="4"/>
  <c r="BR177" i="4"/>
  <c r="BR178" i="4"/>
  <c r="BR179" i="4"/>
  <c r="BR180" i="4"/>
  <c r="BR181" i="4"/>
  <c r="BR182" i="4"/>
  <c r="BR183" i="4"/>
  <c r="BR184" i="4"/>
  <c r="BR185" i="4"/>
  <c r="BR186" i="4"/>
  <c r="BR187" i="4"/>
  <c r="BR188" i="4"/>
  <c r="BR189" i="4"/>
  <c r="BR190" i="4"/>
  <c r="BR191" i="4"/>
  <c r="BR192" i="4"/>
  <c r="BR193" i="4"/>
  <c r="BR194" i="4"/>
  <c r="BR195" i="4"/>
  <c r="BR196" i="4"/>
  <c r="BR197" i="4"/>
  <c r="BR198" i="4"/>
  <c r="BR199" i="4"/>
  <c r="BR200" i="4"/>
  <c r="BR201" i="4"/>
  <c r="BR202" i="4"/>
  <c r="BR203" i="4"/>
  <c r="BR204" i="4"/>
  <c r="BR205" i="4"/>
  <c r="BR206" i="4"/>
  <c r="BR207" i="4"/>
  <c r="BR208" i="4"/>
  <c r="BR209" i="4"/>
  <c r="BR210" i="4"/>
  <c r="BR211" i="4"/>
  <c r="BR212" i="4"/>
  <c r="BR213" i="4"/>
  <c r="BR214" i="4"/>
  <c r="BR215" i="4"/>
  <c r="BR216" i="4"/>
  <c r="BR217" i="4"/>
  <c r="BR218" i="4"/>
  <c r="BR219" i="4"/>
  <c r="BR220" i="4"/>
  <c r="BR221" i="4"/>
  <c r="BR222" i="4"/>
  <c r="BR223" i="4"/>
  <c r="BR224" i="4"/>
  <c r="BR225" i="4"/>
  <c r="BR226" i="4"/>
  <c r="BR227" i="4"/>
  <c r="BR228" i="4"/>
  <c r="BR229" i="4"/>
  <c r="BR230" i="4"/>
  <c r="BR231" i="4"/>
  <c r="BR232" i="4"/>
  <c r="BR233" i="4"/>
  <c r="BR234" i="4"/>
  <c r="BR235" i="4"/>
  <c r="BR236" i="4"/>
  <c r="BR237" i="4"/>
  <c r="BR238" i="4"/>
  <c r="BR239" i="4"/>
  <c r="BR240" i="4"/>
  <c r="BR241" i="4"/>
  <c r="BR242" i="4"/>
  <c r="BR243" i="4"/>
  <c r="BR244" i="4"/>
  <c r="BR245" i="4"/>
  <c r="BR246" i="4"/>
  <c r="BR247" i="4"/>
  <c r="BR248" i="4"/>
  <c r="BR249" i="4"/>
  <c r="BR250" i="4"/>
  <c r="BR251" i="4"/>
  <c r="BR252" i="4"/>
  <c r="BR253" i="4"/>
  <c r="BR254" i="4"/>
  <c r="BR255" i="4"/>
  <c r="BR256" i="4"/>
  <c r="BR257" i="4"/>
  <c r="BR258" i="4"/>
  <c r="BR259" i="4"/>
  <c r="BR260" i="4"/>
  <c r="BR261" i="4"/>
  <c r="BR262" i="4"/>
  <c r="BR263" i="4"/>
  <c r="BR264" i="4"/>
  <c r="BR265" i="4"/>
  <c r="BR266" i="4"/>
  <c r="BR267" i="4"/>
  <c r="BR268" i="4"/>
  <c r="BR269" i="4"/>
  <c r="BR270" i="4"/>
  <c r="BR271" i="4"/>
  <c r="BR272" i="4"/>
  <c r="BR273" i="4"/>
  <c r="BR274" i="4"/>
  <c r="BR275" i="4"/>
  <c r="BR276" i="4"/>
  <c r="BR277" i="4"/>
  <c r="BR278" i="4"/>
  <c r="BR279" i="4"/>
  <c r="BR280" i="4"/>
  <c r="BR281" i="4"/>
  <c r="BR282" i="4"/>
  <c r="BR283" i="4"/>
  <c r="BR284" i="4"/>
  <c r="BR285" i="4"/>
  <c r="BR286" i="4"/>
  <c r="BR287" i="4"/>
  <c r="BR288" i="4"/>
  <c r="BR289" i="4"/>
  <c r="BR290" i="4"/>
  <c r="BR291" i="4"/>
  <c r="BR292" i="4"/>
  <c r="BR293" i="4"/>
  <c r="BR294" i="4"/>
  <c r="BR295" i="4"/>
  <c r="BR296" i="4"/>
  <c r="BR297" i="4"/>
  <c r="BR298" i="4"/>
  <c r="BR299" i="4"/>
  <c r="BR300" i="4"/>
  <c r="BR301" i="4"/>
  <c r="BR302" i="4"/>
  <c r="BR303" i="4"/>
  <c r="BR304" i="4"/>
  <c r="BR305" i="4"/>
  <c r="BR306" i="4"/>
  <c r="BR307" i="4"/>
  <c r="BR308" i="4"/>
  <c r="BR309" i="4"/>
  <c r="BR310" i="4"/>
  <c r="BR311" i="4"/>
  <c r="BR312" i="4"/>
  <c r="BR313" i="4"/>
  <c r="BR314" i="4"/>
  <c r="BR315" i="4"/>
  <c r="BR316" i="4"/>
  <c r="BR317" i="4"/>
  <c r="BR318" i="4"/>
  <c r="BR319" i="4"/>
  <c r="BR320" i="4"/>
  <c r="BR321" i="4"/>
  <c r="BR322" i="4"/>
  <c r="BR323" i="4"/>
  <c r="BR324" i="4"/>
  <c r="BR325" i="4"/>
  <c r="BR326" i="4"/>
  <c r="BR327" i="4"/>
  <c r="BR328" i="4"/>
  <c r="BR329" i="4"/>
  <c r="BR330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41" i="4"/>
  <c r="BS42" i="4"/>
  <c r="BS43" i="4"/>
  <c r="BS44" i="4"/>
  <c r="BS45" i="4"/>
  <c r="BS46" i="4"/>
  <c r="BS47" i="4"/>
  <c r="BS48" i="4"/>
  <c r="BS49" i="4"/>
  <c r="BS50" i="4"/>
  <c r="BS51" i="4"/>
  <c r="BS52" i="4"/>
  <c r="BS53" i="4"/>
  <c r="BS54" i="4"/>
  <c r="BS55" i="4"/>
  <c r="BS56" i="4"/>
  <c r="BS57" i="4"/>
  <c r="BS58" i="4"/>
  <c r="BS59" i="4"/>
  <c r="BS60" i="4"/>
  <c r="BS61" i="4"/>
  <c r="BS62" i="4"/>
  <c r="BS63" i="4"/>
  <c r="BS64" i="4"/>
  <c r="BS65" i="4"/>
  <c r="BS66" i="4"/>
  <c r="BS67" i="4"/>
  <c r="BS68" i="4"/>
  <c r="BS69" i="4"/>
  <c r="BS70" i="4"/>
  <c r="BS71" i="4"/>
  <c r="BS72" i="4"/>
  <c r="BS73" i="4"/>
  <c r="BS74" i="4"/>
  <c r="BS75" i="4"/>
  <c r="BS76" i="4"/>
  <c r="BS77" i="4"/>
  <c r="BS78" i="4"/>
  <c r="BS79" i="4"/>
  <c r="BS80" i="4"/>
  <c r="BS81" i="4"/>
  <c r="BS82" i="4"/>
  <c r="BS83" i="4"/>
  <c r="BS84" i="4"/>
  <c r="BS85" i="4"/>
  <c r="BS86" i="4"/>
  <c r="BS87" i="4"/>
  <c r="BS88" i="4"/>
  <c r="BS89" i="4"/>
  <c r="BS90" i="4"/>
  <c r="BS91" i="4"/>
  <c r="BS92" i="4"/>
  <c r="BS93" i="4"/>
  <c r="BS94" i="4"/>
  <c r="BS95" i="4"/>
  <c r="BS96" i="4"/>
  <c r="BS97" i="4"/>
  <c r="BS98" i="4"/>
  <c r="BS99" i="4"/>
  <c r="BS100" i="4"/>
  <c r="BS101" i="4"/>
  <c r="BS102" i="4"/>
  <c r="BS103" i="4"/>
  <c r="BS104" i="4"/>
  <c r="BS105" i="4"/>
  <c r="BS106" i="4"/>
  <c r="BS107" i="4"/>
  <c r="BS108" i="4"/>
  <c r="BS109" i="4"/>
  <c r="BS110" i="4"/>
  <c r="BS111" i="4"/>
  <c r="BS112" i="4"/>
  <c r="BS113" i="4"/>
  <c r="BS114" i="4"/>
  <c r="BS115" i="4"/>
  <c r="BS116" i="4"/>
  <c r="BS117" i="4"/>
  <c r="BS118" i="4"/>
  <c r="BS119" i="4"/>
  <c r="BS120" i="4"/>
  <c r="BS121" i="4"/>
  <c r="BS122" i="4"/>
  <c r="BS123" i="4"/>
  <c r="BS124" i="4"/>
  <c r="BS125" i="4"/>
  <c r="BS126" i="4"/>
  <c r="BS127" i="4"/>
  <c r="BS128" i="4"/>
  <c r="BS129" i="4"/>
  <c r="BS130" i="4"/>
  <c r="BS131" i="4"/>
  <c r="BS132" i="4"/>
  <c r="BS133" i="4"/>
  <c r="BS134" i="4"/>
  <c r="BS135" i="4"/>
  <c r="BS136" i="4"/>
  <c r="BS137" i="4"/>
  <c r="BS138" i="4"/>
  <c r="BS139" i="4"/>
  <c r="BS140" i="4"/>
  <c r="BS141" i="4"/>
  <c r="BS142" i="4"/>
  <c r="BS143" i="4"/>
  <c r="BS144" i="4"/>
  <c r="BS145" i="4"/>
  <c r="BS146" i="4"/>
  <c r="BS147" i="4"/>
  <c r="BS148" i="4"/>
  <c r="BS149" i="4"/>
  <c r="BS150" i="4"/>
  <c r="BS151" i="4"/>
  <c r="BS152" i="4"/>
  <c r="BS153" i="4"/>
  <c r="BS154" i="4"/>
  <c r="BS155" i="4"/>
  <c r="BS156" i="4"/>
  <c r="BS157" i="4"/>
  <c r="BS158" i="4"/>
  <c r="BS15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BU26" i="4"/>
  <c r="BU27" i="4"/>
  <c r="BU28" i="4"/>
  <c r="BU29" i="4"/>
  <c r="BU30" i="4"/>
  <c r="BU31" i="4"/>
  <c r="BU32" i="4"/>
  <c r="BU33" i="4"/>
  <c r="BU34" i="4"/>
  <c r="BU35" i="4"/>
  <c r="BU36" i="4"/>
  <c r="BU37" i="4"/>
  <c r="BU38" i="4"/>
  <c r="BU39" i="4"/>
  <c r="BU40" i="4"/>
  <c r="BU41" i="4"/>
  <c r="BU42" i="4"/>
  <c r="BU43" i="4"/>
  <c r="BU44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4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81" i="4"/>
  <c r="BU82" i="4"/>
  <c r="BU83" i="4"/>
  <c r="BU84" i="4"/>
  <c r="BU85" i="4"/>
  <c r="BU86" i="4"/>
  <c r="BU87" i="4"/>
  <c r="BU88" i="4"/>
  <c r="BU89" i="4"/>
  <c r="BU90" i="4"/>
  <c r="BU91" i="4"/>
  <c r="BU92" i="4"/>
  <c r="BU93" i="4"/>
  <c r="BU94" i="4"/>
  <c r="BU95" i="4"/>
  <c r="BU96" i="4"/>
  <c r="BU97" i="4"/>
  <c r="BU98" i="4"/>
  <c r="BU99" i="4"/>
  <c r="BU100" i="4"/>
  <c r="BU101" i="4"/>
  <c r="BU102" i="4"/>
  <c r="BU103" i="4"/>
  <c r="BU104" i="4"/>
  <c r="BU105" i="4"/>
  <c r="BU106" i="4"/>
  <c r="BU107" i="4"/>
  <c r="BU108" i="4"/>
  <c r="BU109" i="4"/>
  <c r="BU110" i="4"/>
  <c r="BU111" i="4"/>
  <c r="BU112" i="4"/>
  <c r="BU113" i="4"/>
  <c r="BU114" i="4"/>
  <c r="BU115" i="4"/>
  <c r="BU116" i="4"/>
  <c r="BU117" i="4"/>
  <c r="BU118" i="4"/>
  <c r="BU119" i="4"/>
  <c r="BU120" i="4"/>
  <c r="BU121" i="4"/>
  <c r="BU122" i="4"/>
  <c r="BU123" i="4"/>
  <c r="BU124" i="4"/>
  <c r="BU125" i="4"/>
  <c r="BU126" i="4"/>
  <c r="BU127" i="4"/>
  <c r="BU128" i="4"/>
  <c r="BU129" i="4"/>
  <c r="BU130" i="4"/>
  <c r="BU131" i="4"/>
  <c r="BU132" i="4"/>
  <c r="BU133" i="4"/>
  <c r="BU134" i="4"/>
  <c r="BU135" i="4"/>
  <c r="BU136" i="4"/>
  <c r="BU137" i="4"/>
  <c r="BU138" i="4"/>
  <c r="BU139" i="4"/>
  <c r="BU140" i="4"/>
  <c r="BU141" i="4"/>
  <c r="BU142" i="4"/>
  <c r="BU143" i="4"/>
  <c r="BU144" i="4"/>
  <c r="BU145" i="4"/>
  <c r="BU146" i="4"/>
  <c r="BU147" i="4"/>
  <c r="BU148" i="4"/>
  <c r="BU149" i="4"/>
  <c r="BU150" i="4"/>
  <c r="BU151" i="4"/>
  <c r="BU152" i="4"/>
  <c r="BU153" i="4"/>
  <c r="BU154" i="4"/>
  <c r="BU155" i="4"/>
  <c r="BU156" i="4"/>
  <c r="BU157" i="4"/>
  <c r="BU158" i="4"/>
  <c r="BU159" i="4"/>
  <c r="BU160" i="4"/>
  <c r="BU161" i="4"/>
  <c r="BU162" i="4"/>
  <c r="BU163" i="4"/>
  <c r="BU164" i="4"/>
  <c r="BU165" i="4"/>
  <c r="BU166" i="4"/>
  <c r="BU167" i="4"/>
  <c r="BU168" i="4"/>
  <c r="BU169" i="4"/>
  <c r="BU170" i="4"/>
  <c r="BU171" i="4"/>
  <c r="BU172" i="4"/>
  <c r="BU173" i="4"/>
  <c r="BU174" i="4"/>
  <c r="BU175" i="4"/>
  <c r="BU176" i="4"/>
  <c r="BU177" i="4"/>
  <c r="BU178" i="4"/>
  <c r="BU179" i="4"/>
  <c r="BU180" i="4"/>
  <c r="BU181" i="4"/>
  <c r="BU182" i="4"/>
  <c r="BU183" i="4"/>
  <c r="BU184" i="4"/>
  <c r="BU185" i="4"/>
  <c r="BU186" i="4"/>
  <c r="BU187" i="4"/>
  <c r="BU188" i="4"/>
  <c r="BU189" i="4"/>
  <c r="BU190" i="4"/>
  <c r="BU191" i="4"/>
  <c r="BU192" i="4"/>
  <c r="BU193" i="4"/>
  <c r="BU194" i="4"/>
  <c r="BU195" i="4"/>
  <c r="BU196" i="4"/>
  <c r="BU197" i="4"/>
  <c r="BU198" i="4"/>
  <c r="BU199" i="4"/>
  <c r="BU200" i="4"/>
  <c r="BU201" i="4"/>
  <c r="BU202" i="4"/>
  <c r="BU203" i="4"/>
  <c r="BU204" i="4"/>
  <c r="BU205" i="4"/>
  <c r="BU206" i="4"/>
  <c r="BU207" i="4"/>
  <c r="BU208" i="4"/>
  <c r="BU209" i="4"/>
  <c r="BU210" i="4"/>
  <c r="BU211" i="4"/>
  <c r="BU212" i="4"/>
  <c r="BU213" i="4"/>
  <c r="BU214" i="4"/>
  <c r="BU215" i="4"/>
  <c r="BU216" i="4"/>
  <c r="BU217" i="4"/>
  <c r="BU218" i="4"/>
  <c r="BU219" i="4"/>
  <c r="BU220" i="4"/>
  <c r="BU221" i="4"/>
  <c r="BU222" i="4"/>
  <c r="BU223" i="4"/>
  <c r="BU224" i="4"/>
  <c r="BU225" i="4"/>
  <c r="BU226" i="4"/>
  <c r="BU227" i="4"/>
  <c r="BU228" i="4"/>
  <c r="BU229" i="4"/>
  <c r="BU230" i="4"/>
  <c r="BU231" i="4"/>
  <c r="BU232" i="4"/>
  <c r="BU233" i="4"/>
  <c r="BU234" i="4"/>
  <c r="BU235" i="4"/>
  <c r="BU236" i="4"/>
  <c r="BU237" i="4"/>
  <c r="BU238" i="4"/>
  <c r="BU239" i="4"/>
  <c r="BU240" i="4"/>
  <c r="BU241" i="4"/>
  <c r="BU242" i="4"/>
  <c r="BU243" i="4"/>
  <c r="BU244" i="4"/>
  <c r="BU245" i="4"/>
  <c r="BU246" i="4"/>
  <c r="BU247" i="4"/>
  <c r="BU248" i="4"/>
  <c r="BU249" i="4"/>
  <c r="BU250" i="4"/>
  <c r="BU251" i="4"/>
  <c r="BU252" i="4"/>
  <c r="BU253" i="4"/>
  <c r="BU254" i="4"/>
  <c r="BU255" i="4"/>
  <c r="BU256" i="4"/>
  <c r="BU257" i="4"/>
  <c r="BU258" i="4"/>
  <c r="BU259" i="4"/>
  <c r="BU260" i="4"/>
  <c r="BU261" i="4"/>
  <c r="BU262" i="4"/>
  <c r="BU263" i="4"/>
  <c r="BU264" i="4"/>
  <c r="BU265" i="4"/>
  <c r="BU266" i="4"/>
  <c r="BU267" i="4"/>
  <c r="BU268" i="4"/>
  <c r="BU269" i="4"/>
  <c r="BU270" i="4"/>
  <c r="BU271" i="4"/>
  <c r="BU272" i="4"/>
  <c r="BU273" i="4"/>
  <c r="BU274" i="4"/>
  <c r="BU275" i="4"/>
  <c r="BU276" i="4"/>
  <c r="BU277" i="4"/>
  <c r="BU278" i="4"/>
  <c r="BU279" i="4"/>
  <c r="BU280" i="4"/>
  <c r="BU281" i="4"/>
  <c r="BU282" i="4"/>
  <c r="BU283" i="4"/>
  <c r="BU284" i="4"/>
  <c r="BU285" i="4"/>
  <c r="BU286" i="4"/>
  <c r="BU287" i="4"/>
  <c r="BU288" i="4"/>
  <c r="BU289" i="4"/>
  <c r="BU290" i="4"/>
  <c r="BU291" i="4"/>
  <c r="BU292" i="4"/>
  <c r="BU293" i="4"/>
  <c r="BU294" i="4"/>
  <c r="BU295" i="4"/>
  <c r="BU296" i="4"/>
  <c r="BU297" i="4"/>
  <c r="BU298" i="4"/>
  <c r="BU299" i="4"/>
  <c r="BU300" i="4"/>
  <c r="BU301" i="4"/>
  <c r="BU302" i="4"/>
  <c r="BU303" i="4"/>
  <c r="BU304" i="4"/>
  <c r="BU305" i="4"/>
  <c r="BU306" i="4"/>
  <c r="BU307" i="4"/>
  <c r="BU308" i="4"/>
  <c r="BU309" i="4"/>
  <c r="BU310" i="4"/>
  <c r="BU311" i="4"/>
  <c r="BU312" i="4"/>
  <c r="BU313" i="4"/>
  <c r="BU314" i="4"/>
  <c r="BU315" i="4"/>
  <c r="BU316" i="4"/>
  <c r="BU317" i="4"/>
  <c r="BU318" i="4"/>
  <c r="BU319" i="4"/>
  <c r="BU320" i="4"/>
  <c r="BU321" i="4"/>
  <c r="BU322" i="4"/>
  <c r="BU323" i="4"/>
  <c r="BU324" i="4"/>
  <c r="BU325" i="4"/>
  <c r="BU326" i="4"/>
  <c r="BU327" i="4"/>
  <c r="BU328" i="4"/>
  <c r="BU329" i="4"/>
  <c r="BU330" i="4"/>
  <c r="BU331" i="4"/>
  <c r="BU332" i="4"/>
  <c r="BU333" i="4"/>
  <c r="BU334" i="4"/>
  <c r="BU335" i="4"/>
  <c r="BU336" i="4"/>
  <c r="BU337" i="4"/>
  <c r="BU338" i="4"/>
  <c r="BU339" i="4"/>
  <c r="BU340" i="4"/>
  <c r="BU341" i="4"/>
  <c r="BU342" i="4"/>
  <c r="BU343" i="4"/>
  <c r="BU344" i="4"/>
  <c r="BU345" i="4"/>
  <c r="BU346" i="4"/>
  <c r="BU347" i="4"/>
  <c r="BU348" i="4"/>
  <c r="BU349" i="4"/>
  <c r="BU350" i="4"/>
  <c r="BU351" i="4"/>
  <c r="BU352" i="4"/>
  <c r="BU353" i="4"/>
  <c r="BU354" i="4"/>
  <c r="BU355" i="4"/>
  <c r="BU356" i="4"/>
  <c r="BU357" i="4"/>
  <c r="BU358" i="4"/>
  <c r="BU359" i="4"/>
  <c r="BU360" i="4"/>
  <c r="BU361" i="4"/>
  <c r="BU362" i="4"/>
  <c r="BU363" i="4"/>
  <c r="BU364" i="4"/>
  <c r="BU365" i="4"/>
  <c r="BU366" i="4"/>
  <c r="BU367" i="4"/>
  <c r="BU368" i="4"/>
  <c r="BU369" i="4"/>
  <c r="BU370" i="4"/>
  <c r="BU371" i="4"/>
  <c r="BU372" i="4"/>
  <c r="BU373" i="4"/>
  <c r="BU374" i="4"/>
  <c r="BU375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41" i="4"/>
  <c r="BV42" i="4"/>
  <c r="BV43" i="4"/>
  <c r="BV44" i="4"/>
  <c r="BV45" i="4"/>
  <c r="BV46" i="4"/>
  <c r="BV47" i="4"/>
  <c r="BV48" i="4"/>
  <c r="BV49" i="4"/>
  <c r="BV50" i="4"/>
  <c r="BV51" i="4"/>
  <c r="BV52" i="4"/>
  <c r="BV53" i="4"/>
  <c r="BV54" i="4"/>
  <c r="BV55" i="4"/>
  <c r="BV56" i="4"/>
  <c r="BV57" i="4"/>
  <c r="BV58" i="4"/>
  <c r="BV59" i="4"/>
  <c r="BV60" i="4"/>
  <c r="BV61" i="4"/>
  <c r="BV62" i="4"/>
  <c r="BV63" i="4"/>
  <c r="BV64" i="4"/>
  <c r="BV65" i="4"/>
  <c r="BV66" i="4"/>
  <c r="BV67" i="4"/>
  <c r="BV68" i="4"/>
  <c r="BV69" i="4"/>
  <c r="BV70" i="4"/>
  <c r="BV71" i="4"/>
  <c r="BV72" i="4"/>
  <c r="BV73" i="4"/>
  <c r="BV74" i="4"/>
  <c r="BV75" i="4"/>
  <c r="BV76" i="4"/>
  <c r="BV77" i="4"/>
  <c r="BV78" i="4"/>
  <c r="BV79" i="4"/>
  <c r="BV80" i="4"/>
  <c r="BV81" i="4"/>
  <c r="BV82" i="4"/>
  <c r="BV83" i="4"/>
  <c r="BV84" i="4"/>
  <c r="BV85" i="4"/>
  <c r="BV86" i="4"/>
  <c r="BV87" i="4"/>
  <c r="BV88" i="4"/>
  <c r="BV89" i="4"/>
  <c r="BV90" i="4"/>
  <c r="BV91" i="4"/>
  <c r="BV92" i="4"/>
  <c r="BV93" i="4"/>
  <c r="BV94" i="4"/>
  <c r="BV95" i="4"/>
  <c r="BV96" i="4"/>
  <c r="BV97" i="4"/>
  <c r="BV98" i="4"/>
  <c r="BV99" i="4"/>
  <c r="BV100" i="4"/>
  <c r="BV101" i="4"/>
  <c r="BV102" i="4"/>
  <c r="BV103" i="4"/>
  <c r="BV104" i="4"/>
  <c r="BV105" i="4"/>
  <c r="BV106" i="4"/>
  <c r="BV107" i="4"/>
  <c r="BV108" i="4"/>
  <c r="BV109" i="4"/>
  <c r="BV110" i="4"/>
  <c r="BV111" i="4"/>
  <c r="BV112" i="4"/>
  <c r="BV113" i="4"/>
  <c r="BV114" i="4"/>
  <c r="BV115" i="4"/>
  <c r="BV116" i="4"/>
  <c r="BV117" i="4"/>
  <c r="BV118" i="4"/>
  <c r="BV119" i="4"/>
  <c r="BV120" i="4"/>
  <c r="BV121" i="4"/>
  <c r="BV122" i="4"/>
  <c r="BV123" i="4"/>
  <c r="BV124" i="4"/>
  <c r="BV125" i="4"/>
  <c r="BV126" i="4"/>
  <c r="BV127" i="4"/>
  <c r="BV128" i="4"/>
  <c r="BV129" i="4"/>
  <c r="BV130" i="4"/>
  <c r="BV131" i="4"/>
  <c r="BV132" i="4"/>
  <c r="BV133" i="4"/>
  <c r="BV134" i="4"/>
  <c r="BV135" i="4"/>
  <c r="BV136" i="4"/>
  <c r="BV137" i="4"/>
  <c r="BV138" i="4"/>
  <c r="BV139" i="4"/>
  <c r="BV140" i="4"/>
  <c r="BV141" i="4"/>
  <c r="BV142" i="4"/>
  <c r="BV143" i="4"/>
  <c r="BV144" i="4"/>
  <c r="BV145" i="4"/>
  <c r="BV146" i="4"/>
  <c r="BV147" i="4"/>
  <c r="BV148" i="4"/>
  <c r="BV149" i="4"/>
  <c r="BV150" i="4"/>
  <c r="BV151" i="4"/>
  <c r="BV152" i="4"/>
  <c r="BV153" i="4"/>
  <c r="BV154" i="4"/>
  <c r="BV155" i="4"/>
  <c r="BV156" i="4"/>
  <c r="BV157" i="4"/>
  <c r="BV158" i="4"/>
  <c r="BV159" i="4"/>
  <c r="BV160" i="4"/>
  <c r="BV161" i="4"/>
  <c r="BV162" i="4"/>
  <c r="BV163" i="4"/>
  <c r="BV164" i="4"/>
  <c r="BV165" i="4"/>
  <c r="BV166" i="4"/>
  <c r="BV167" i="4"/>
  <c r="BV168" i="4"/>
  <c r="BV169" i="4"/>
  <c r="BV170" i="4"/>
  <c r="BV171" i="4"/>
  <c r="BV172" i="4"/>
  <c r="BV173" i="4"/>
  <c r="BV174" i="4"/>
  <c r="BV175" i="4"/>
  <c r="BV176" i="4"/>
  <c r="BV177" i="4"/>
  <c r="BV178" i="4"/>
  <c r="BV179" i="4"/>
  <c r="BV180" i="4"/>
  <c r="BV181" i="4"/>
  <c r="BV182" i="4"/>
  <c r="BV183" i="4"/>
  <c r="BV184" i="4"/>
  <c r="BV185" i="4"/>
  <c r="BV186" i="4"/>
  <c r="BV187" i="4"/>
  <c r="BV188" i="4"/>
  <c r="BV189" i="4"/>
  <c r="BV190" i="4"/>
  <c r="BV191" i="4"/>
  <c r="BV192" i="4"/>
  <c r="BV193" i="4"/>
  <c r="BV194" i="4"/>
  <c r="BV195" i="4"/>
  <c r="BV196" i="4"/>
  <c r="BV197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BW94" i="4"/>
  <c r="BW95" i="4"/>
  <c r="BW96" i="4"/>
  <c r="BW97" i="4"/>
  <c r="BW98" i="4"/>
  <c r="BW99" i="4"/>
  <c r="BW100" i="4"/>
  <c r="BW101" i="4"/>
  <c r="BW102" i="4"/>
  <c r="BW103" i="4"/>
  <c r="BW104" i="4"/>
  <c r="BW105" i="4"/>
  <c r="BW106" i="4"/>
  <c r="BW107" i="4"/>
  <c r="BW108" i="4"/>
  <c r="BW109" i="4"/>
  <c r="BW110" i="4"/>
  <c r="BW111" i="4"/>
  <c r="BW112" i="4"/>
  <c r="BW113" i="4"/>
  <c r="BW114" i="4"/>
  <c r="BW115" i="4"/>
  <c r="BW116" i="4"/>
  <c r="BW117" i="4"/>
  <c r="BW118" i="4"/>
  <c r="BW119" i="4"/>
  <c r="BW120" i="4"/>
  <c r="BW121" i="4"/>
  <c r="BW122" i="4"/>
  <c r="BW123" i="4"/>
  <c r="BW124" i="4"/>
  <c r="BW125" i="4"/>
  <c r="BW126" i="4"/>
  <c r="BW127" i="4"/>
  <c r="BW128" i="4"/>
  <c r="BW129" i="4"/>
  <c r="BW130" i="4"/>
  <c r="BW131" i="4"/>
  <c r="BW132" i="4"/>
  <c r="BW133" i="4"/>
  <c r="BW134" i="4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BW196" i="4"/>
  <c r="BW197" i="4"/>
  <c r="BW198" i="4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BW224" i="4"/>
  <c r="BW225" i="4"/>
  <c r="BW226" i="4"/>
  <c r="BW227" i="4"/>
  <c r="BW228" i="4"/>
  <c r="BW229" i="4"/>
  <c r="BW230" i="4"/>
  <c r="BW231" i="4"/>
  <c r="BW232" i="4"/>
  <c r="BW233" i="4"/>
  <c r="BW234" i="4"/>
  <c r="BW235" i="4"/>
  <c r="BW236" i="4"/>
  <c r="BW237" i="4"/>
  <c r="BW238" i="4"/>
  <c r="BW239" i="4"/>
  <c r="BW240" i="4"/>
  <c r="BW241" i="4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BW260" i="4"/>
  <c r="BW261" i="4"/>
  <c r="BW262" i="4"/>
  <c r="BW263" i="4"/>
  <c r="BW264" i="4"/>
  <c r="BW265" i="4"/>
  <c r="BW266" i="4"/>
  <c r="BW267" i="4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BW281" i="4"/>
  <c r="BW282" i="4"/>
  <c r="BW283" i="4"/>
  <c r="BW284" i="4"/>
  <c r="BW285" i="4"/>
  <c r="BW286" i="4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05" i="4"/>
  <c r="BW306" i="4"/>
  <c r="BW307" i="4"/>
  <c r="BW308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41" i="4"/>
  <c r="BX42" i="4"/>
  <c r="BX43" i="4"/>
  <c r="BX44" i="4"/>
  <c r="BX45" i="4"/>
  <c r="BX46" i="4"/>
  <c r="BX47" i="4"/>
  <c r="BX48" i="4"/>
  <c r="BX49" i="4"/>
  <c r="BX50" i="4"/>
  <c r="BX51" i="4"/>
  <c r="BX52" i="4"/>
  <c r="BX53" i="4"/>
  <c r="BX54" i="4"/>
  <c r="BX55" i="4"/>
  <c r="BX56" i="4"/>
  <c r="BX57" i="4"/>
  <c r="BX58" i="4"/>
  <c r="BX59" i="4"/>
  <c r="BX60" i="4"/>
  <c r="BX61" i="4"/>
  <c r="BX62" i="4"/>
  <c r="BX63" i="4"/>
  <c r="BX64" i="4"/>
  <c r="BX65" i="4"/>
  <c r="BX66" i="4"/>
  <c r="BX67" i="4"/>
  <c r="BX68" i="4"/>
  <c r="BX69" i="4"/>
  <c r="BX70" i="4"/>
  <c r="BX71" i="4"/>
  <c r="BX72" i="4"/>
  <c r="BX73" i="4"/>
  <c r="BX74" i="4"/>
  <c r="BX75" i="4"/>
  <c r="BX76" i="4"/>
  <c r="BX77" i="4"/>
  <c r="BX78" i="4"/>
  <c r="BX79" i="4"/>
  <c r="BX80" i="4"/>
  <c r="BX81" i="4"/>
  <c r="BX82" i="4"/>
  <c r="BX83" i="4"/>
  <c r="BX84" i="4"/>
  <c r="BX85" i="4"/>
  <c r="BX86" i="4"/>
  <c r="BX87" i="4"/>
  <c r="BX88" i="4"/>
  <c r="BX89" i="4"/>
  <c r="BX90" i="4"/>
  <c r="BX91" i="4"/>
  <c r="BX92" i="4"/>
  <c r="BX93" i="4"/>
  <c r="BX94" i="4"/>
  <c r="BX95" i="4"/>
  <c r="BX96" i="4"/>
  <c r="BX97" i="4"/>
  <c r="BX98" i="4"/>
  <c r="BX99" i="4"/>
  <c r="BX100" i="4"/>
  <c r="BX101" i="4"/>
  <c r="BX102" i="4"/>
  <c r="BX103" i="4"/>
  <c r="BX104" i="4"/>
  <c r="BX105" i="4"/>
  <c r="BX106" i="4"/>
  <c r="BX107" i="4"/>
  <c r="BX108" i="4"/>
  <c r="BX109" i="4"/>
  <c r="BX110" i="4"/>
  <c r="BX111" i="4"/>
  <c r="BX112" i="4"/>
  <c r="BX113" i="4"/>
  <c r="BX114" i="4"/>
  <c r="BX115" i="4"/>
  <c r="BX116" i="4"/>
  <c r="BX117" i="4"/>
  <c r="BX118" i="4"/>
  <c r="BX119" i="4"/>
  <c r="BX120" i="4"/>
  <c r="BX121" i="4"/>
  <c r="BX122" i="4"/>
  <c r="BX123" i="4"/>
  <c r="BX124" i="4"/>
  <c r="BX125" i="4"/>
  <c r="BX126" i="4"/>
  <c r="BX127" i="4"/>
  <c r="BX128" i="4"/>
  <c r="BX129" i="4"/>
  <c r="BX130" i="4"/>
  <c r="BX131" i="4"/>
  <c r="BX132" i="4"/>
  <c r="BX133" i="4"/>
  <c r="BX134" i="4"/>
  <c r="BX135" i="4"/>
  <c r="BX136" i="4"/>
  <c r="BX137" i="4"/>
  <c r="BX138" i="4"/>
  <c r="BX139" i="4"/>
  <c r="BX140" i="4"/>
  <c r="BX141" i="4"/>
  <c r="BX142" i="4"/>
  <c r="BX143" i="4"/>
  <c r="BX144" i="4"/>
  <c r="BX145" i="4"/>
  <c r="BX146" i="4"/>
  <c r="BX147" i="4"/>
  <c r="BX148" i="4"/>
  <c r="BX149" i="4"/>
  <c r="BX150" i="4"/>
  <c r="BX151" i="4"/>
  <c r="BX152" i="4"/>
  <c r="BX153" i="4"/>
  <c r="BX154" i="4"/>
  <c r="BX155" i="4"/>
  <c r="BX156" i="4"/>
  <c r="BX157" i="4"/>
  <c r="BX158" i="4"/>
  <c r="BX159" i="4"/>
  <c r="BX160" i="4"/>
  <c r="BX161" i="4"/>
  <c r="BX162" i="4"/>
  <c r="BX163" i="4"/>
  <c r="BX164" i="4"/>
  <c r="BX165" i="4"/>
  <c r="BX166" i="4"/>
  <c r="BX167" i="4"/>
  <c r="BX168" i="4"/>
  <c r="BX169" i="4"/>
  <c r="BX170" i="4"/>
  <c r="BX171" i="4"/>
  <c r="BX172" i="4"/>
  <c r="BX173" i="4"/>
  <c r="BX174" i="4"/>
  <c r="BX175" i="4"/>
  <c r="BX176" i="4"/>
  <c r="BX177" i="4"/>
  <c r="BX178" i="4"/>
  <c r="BX179" i="4"/>
  <c r="BX180" i="4"/>
  <c r="BX181" i="4"/>
  <c r="BX182" i="4"/>
  <c r="BX183" i="4"/>
  <c r="BX184" i="4"/>
  <c r="BX185" i="4"/>
  <c r="BX186" i="4"/>
  <c r="BX187" i="4"/>
  <c r="BX188" i="4"/>
  <c r="BX189" i="4"/>
  <c r="BX190" i="4"/>
  <c r="BX191" i="4"/>
  <c r="BX192" i="4"/>
  <c r="BX193" i="4"/>
  <c r="BX194" i="4"/>
  <c r="BX195" i="4"/>
  <c r="BX196" i="4"/>
  <c r="BX197" i="4"/>
  <c r="BX198" i="4"/>
  <c r="BX199" i="4"/>
  <c r="BX200" i="4"/>
  <c r="BX201" i="4"/>
  <c r="BX202" i="4"/>
  <c r="BX203" i="4"/>
  <c r="BX204" i="4"/>
  <c r="BX205" i="4"/>
  <c r="BX206" i="4"/>
  <c r="BX207" i="4"/>
  <c r="BX208" i="4"/>
  <c r="BX209" i="4"/>
  <c r="BX210" i="4"/>
  <c r="BX211" i="4"/>
  <c r="BX212" i="4"/>
  <c r="BX213" i="4"/>
  <c r="BX214" i="4"/>
  <c r="BX215" i="4"/>
  <c r="BX216" i="4"/>
  <c r="BX217" i="4"/>
  <c r="BX218" i="4"/>
  <c r="BX219" i="4"/>
  <c r="BX220" i="4"/>
  <c r="BX221" i="4"/>
  <c r="BX222" i="4"/>
  <c r="BX223" i="4"/>
  <c r="BX224" i="4"/>
  <c r="BX225" i="4"/>
  <c r="BX226" i="4"/>
  <c r="BX227" i="4"/>
  <c r="BX228" i="4"/>
  <c r="BX229" i="4"/>
  <c r="BX230" i="4"/>
  <c r="BX231" i="4"/>
  <c r="BX232" i="4"/>
  <c r="BX233" i="4"/>
  <c r="BX234" i="4"/>
  <c r="BX235" i="4"/>
  <c r="BX236" i="4"/>
  <c r="BX237" i="4"/>
  <c r="BX238" i="4"/>
  <c r="BX239" i="4"/>
  <c r="BX240" i="4"/>
  <c r="BX241" i="4"/>
  <c r="BX242" i="4"/>
  <c r="BX243" i="4"/>
  <c r="BX244" i="4"/>
  <c r="BX245" i="4"/>
  <c r="BX246" i="4"/>
  <c r="BX247" i="4"/>
  <c r="BX248" i="4"/>
  <c r="BX249" i="4"/>
  <c r="BX250" i="4"/>
  <c r="BX251" i="4"/>
  <c r="BX252" i="4"/>
  <c r="BX253" i="4"/>
  <c r="BX254" i="4"/>
  <c r="BX255" i="4"/>
  <c r="BX256" i="4"/>
  <c r="BX257" i="4"/>
  <c r="BX258" i="4"/>
  <c r="BX259" i="4"/>
  <c r="BX260" i="4"/>
  <c r="BX261" i="4"/>
  <c r="BX262" i="4"/>
  <c r="BX263" i="4"/>
  <c r="BX264" i="4"/>
  <c r="BX265" i="4"/>
  <c r="BX266" i="4"/>
  <c r="BX267" i="4"/>
  <c r="BX268" i="4"/>
  <c r="BX269" i="4"/>
  <c r="BX270" i="4"/>
  <c r="BX271" i="4"/>
  <c r="BX272" i="4"/>
  <c r="BX273" i="4"/>
  <c r="BX274" i="4"/>
  <c r="BX275" i="4"/>
  <c r="BX276" i="4"/>
  <c r="BX277" i="4"/>
  <c r="BX278" i="4"/>
  <c r="BX279" i="4"/>
  <c r="BX280" i="4"/>
  <c r="BX281" i="4"/>
  <c r="BX282" i="4"/>
  <c r="BX283" i="4"/>
  <c r="BX284" i="4"/>
  <c r="BX285" i="4"/>
  <c r="BX286" i="4"/>
  <c r="BX287" i="4"/>
  <c r="BX288" i="4"/>
  <c r="BX289" i="4"/>
  <c r="BX290" i="4"/>
  <c r="BX291" i="4"/>
  <c r="BX292" i="4"/>
  <c r="BX293" i="4"/>
  <c r="BX294" i="4"/>
  <c r="BX295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I11" i="30" l="1"/>
  <c r="T11" i="30" l="1"/>
  <c r="U1" i="30" l="1"/>
  <c r="BF96" i="35"/>
  <c r="AU96" i="35"/>
  <c r="AU95" i="35"/>
  <c r="BC94" i="35"/>
  <c r="AU94" i="35"/>
  <c r="AQ96" i="35"/>
  <c r="AF96" i="35"/>
  <c r="AF95" i="35"/>
  <c r="AN94" i="35"/>
  <c r="AF94" i="35"/>
  <c r="AB96" i="35"/>
  <c r="Q96" i="35"/>
  <c r="Q95" i="35"/>
  <c r="Y94" i="35"/>
  <c r="Q94" i="35"/>
  <c r="M96" i="35"/>
  <c r="B96" i="35"/>
  <c r="B95" i="35"/>
  <c r="J94" i="35"/>
  <c r="B94" i="35"/>
  <c r="BF74" i="35"/>
  <c r="AU74" i="35"/>
  <c r="AU73" i="35"/>
  <c r="BC72" i="35"/>
  <c r="AU72" i="35"/>
  <c r="AQ74" i="35"/>
  <c r="AF74" i="35"/>
  <c r="AF73" i="35"/>
  <c r="AN72" i="35"/>
  <c r="AF72" i="35"/>
  <c r="AB74" i="35"/>
  <c r="Q74" i="35"/>
  <c r="Q73" i="35"/>
  <c r="Y72" i="35"/>
  <c r="Q72" i="35"/>
  <c r="M74" i="35"/>
  <c r="B74" i="35"/>
  <c r="B73" i="35"/>
  <c r="J72" i="35"/>
  <c r="B72" i="35"/>
  <c r="BF52" i="35"/>
  <c r="AU52" i="35"/>
  <c r="AU51" i="35"/>
  <c r="BC50" i="35"/>
  <c r="AU50" i="35"/>
  <c r="AQ52" i="35"/>
  <c r="AF52" i="35"/>
  <c r="AF51" i="35"/>
  <c r="AN50" i="35"/>
  <c r="AF50" i="35"/>
  <c r="AB52" i="35"/>
  <c r="Q52" i="35"/>
  <c r="Q51" i="35"/>
  <c r="Y50" i="35"/>
  <c r="Q50" i="35"/>
  <c r="M52" i="35"/>
  <c r="B52" i="35"/>
  <c r="B51" i="35"/>
  <c r="J50" i="35"/>
  <c r="B50" i="35"/>
  <c r="BF30" i="35"/>
  <c r="AU30" i="35"/>
  <c r="AU29" i="35"/>
  <c r="BC28" i="35"/>
  <c r="AU28" i="35"/>
  <c r="AQ30" i="35"/>
  <c r="AF30" i="35"/>
  <c r="AF29" i="35"/>
  <c r="AN28" i="35"/>
  <c r="AF28" i="35"/>
  <c r="AB30" i="35"/>
  <c r="Q30" i="35"/>
  <c r="Q29" i="35"/>
  <c r="Y28" i="35"/>
  <c r="Q28" i="35"/>
  <c r="M30" i="35"/>
  <c r="B30" i="35"/>
  <c r="B29" i="35"/>
  <c r="J28" i="35"/>
  <c r="B28" i="35"/>
  <c r="BF8" i="35"/>
  <c r="AU8" i="35"/>
  <c r="AU7" i="35"/>
  <c r="BC6" i="35"/>
  <c r="AU6" i="35"/>
  <c r="AQ8" i="35"/>
  <c r="AF8" i="35"/>
  <c r="AF7" i="35"/>
  <c r="AN6" i="35"/>
  <c r="AF6" i="35"/>
  <c r="AB8" i="35"/>
  <c r="Q8" i="35"/>
  <c r="Q7" i="35"/>
  <c r="Y6" i="35"/>
  <c r="Q6" i="35"/>
  <c r="B1150" i="31"/>
  <c r="B1146" i="31"/>
  <c r="H1148" i="31" s="1"/>
  <c r="B1142" i="31"/>
  <c r="N1144" i="31" s="1"/>
  <c r="B1138" i="31"/>
  <c r="R1140" i="31" s="1"/>
  <c r="B1134" i="31"/>
  <c r="N1136" i="31" s="1"/>
  <c r="B1130" i="31"/>
  <c r="H1132" i="31" s="1"/>
  <c r="B1126" i="31"/>
  <c r="N1128" i="31" s="1"/>
  <c r="B1122" i="31"/>
  <c r="L1123" i="31" s="1"/>
  <c r="B1118" i="31"/>
  <c r="B1114" i="31"/>
  <c r="D1114" i="31" s="1"/>
  <c r="B1104" i="31"/>
  <c r="B1100" i="31"/>
  <c r="R1101" i="31" s="1"/>
  <c r="B1096" i="31"/>
  <c r="Q1098" i="31" s="1"/>
  <c r="B1092" i="31"/>
  <c r="S1094" i="31" s="1"/>
  <c r="B1088" i="31"/>
  <c r="Q1088" i="31" s="1"/>
  <c r="B1084" i="31"/>
  <c r="R1085" i="31" s="1"/>
  <c r="B1080" i="31"/>
  <c r="B1076" i="31"/>
  <c r="S1078" i="31" s="1"/>
  <c r="B1072" i="31"/>
  <c r="Q1072" i="31" s="1"/>
  <c r="B1068" i="31"/>
  <c r="B1058" i="31"/>
  <c r="N1060" i="31" s="1"/>
  <c r="B1054" i="31"/>
  <c r="F1056" i="31" s="1"/>
  <c r="B1050" i="31"/>
  <c r="R1051" i="31" s="1"/>
  <c r="B1046" i="31"/>
  <c r="B1042" i="31"/>
  <c r="L1044" i="31" s="1"/>
  <c r="B1038" i="31"/>
  <c r="J1040" i="31" s="1"/>
  <c r="B1034" i="31"/>
  <c r="R1035" i="31" s="1"/>
  <c r="B1030" i="31"/>
  <c r="B1026" i="31"/>
  <c r="B1022" i="31"/>
  <c r="N1023" i="31" s="1"/>
  <c r="B1012" i="31"/>
  <c r="N1014" i="31" s="1"/>
  <c r="B1008" i="31"/>
  <c r="B1004" i="31"/>
  <c r="L1005" i="31" s="1"/>
  <c r="B1000" i="31"/>
  <c r="B996" i="31"/>
  <c r="L996" i="31" s="1"/>
  <c r="B992" i="31"/>
  <c r="B988" i="31"/>
  <c r="B984" i="31"/>
  <c r="B980" i="31"/>
  <c r="B976" i="31"/>
  <c r="B966" i="31"/>
  <c r="N968" i="31" s="1"/>
  <c r="B962" i="31"/>
  <c r="N964" i="31" s="1"/>
  <c r="B958" i="31"/>
  <c r="N960" i="31" s="1"/>
  <c r="B954" i="31"/>
  <c r="B950" i="31"/>
  <c r="B946" i="31"/>
  <c r="L946" i="31" s="1"/>
  <c r="B942" i="31"/>
  <c r="B938" i="31"/>
  <c r="B934" i="31"/>
  <c r="L934" i="31" s="1"/>
  <c r="B930" i="31"/>
  <c r="L931" i="31" s="1"/>
  <c r="B920" i="31"/>
  <c r="H922" i="31" s="1"/>
  <c r="B916" i="31"/>
  <c r="B912" i="31"/>
  <c r="Q914" i="31" s="1"/>
  <c r="B908" i="31"/>
  <c r="N910" i="31" s="1"/>
  <c r="B904" i="31"/>
  <c r="L906" i="31" s="1"/>
  <c r="B900" i="31"/>
  <c r="B896" i="31"/>
  <c r="N898" i="31" s="1"/>
  <c r="B892" i="31"/>
  <c r="S892" i="31" s="1"/>
  <c r="B888" i="31"/>
  <c r="Q888" i="31" s="1"/>
  <c r="B884" i="31"/>
  <c r="B874" i="31"/>
  <c r="L874" i="31" s="1"/>
  <c r="B870" i="31"/>
  <c r="L870" i="31" s="1"/>
  <c r="B866" i="31"/>
  <c r="B862" i="31"/>
  <c r="B858" i="31"/>
  <c r="B854" i="31"/>
  <c r="H856" i="31" s="1"/>
  <c r="B850" i="31"/>
  <c r="F852" i="31" s="1"/>
  <c r="B846" i="31"/>
  <c r="B842" i="31"/>
  <c r="B838" i="31"/>
  <c r="Q840" i="31" s="1"/>
  <c r="B828" i="31"/>
  <c r="N830" i="31" s="1"/>
  <c r="B824" i="31"/>
  <c r="B820" i="31"/>
  <c r="N822" i="31" s="1"/>
  <c r="B816" i="31"/>
  <c r="N818" i="31" s="1"/>
  <c r="B812" i="31"/>
  <c r="N814" i="31" s="1"/>
  <c r="B808" i="31"/>
  <c r="B804" i="31"/>
  <c r="N806" i="31" s="1"/>
  <c r="B800" i="31"/>
  <c r="N802" i="31" s="1"/>
  <c r="B796" i="31"/>
  <c r="B792" i="31"/>
  <c r="B782" i="31"/>
  <c r="L784" i="31" s="1"/>
  <c r="B778" i="31"/>
  <c r="L779" i="31" s="1"/>
  <c r="B774" i="31"/>
  <c r="H776" i="31" s="1"/>
  <c r="B770" i="31"/>
  <c r="F771" i="31" s="1"/>
  <c r="B766" i="31"/>
  <c r="H767" i="31" s="1"/>
  <c r="B762" i="31"/>
  <c r="L764" i="31" s="1"/>
  <c r="B758" i="31"/>
  <c r="R759" i="31" s="1"/>
  <c r="B754" i="31"/>
  <c r="B750" i="31"/>
  <c r="F751" i="31" s="1"/>
  <c r="B746" i="31"/>
  <c r="S748" i="31" s="1"/>
  <c r="B736" i="31"/>
  <c r="N738" i="31" s="1"/>
  <c r="B732" i="31"/>
  <c r="B728" i="31"/>
  <c r="N730" i="31" s="1"/>
  <c r="B724" i="31"/>
  <c r="N726" i="31" s="1"/>
  <c r="B720" i="31"/>
  <c r="N722" i="31" s="1"/>
  <c r="B716" i="31"/>
  <c r="B712" i="31"/>
  <c r="B708" i="31"/>
  <c r="B704" i="31"/>
  <c r="L705" i="31" s="1"/>
  <c r="B700" i="31"/>
  <c r="B690" i="31"/>
  <c r="F692" i="31" s="1"/>
  <c r="B686" i="31"/>
  <c r="F688" i="31" s="1"/>
  <c r="B682" i="31"/>
  <c r="J684" i="31" s="1"/>
  <c r="B678" i="31"/>
  <c r="B674" i="31"/>
  <c r="B670" i="31"/>
  <c r="F672" i="31" s="1"/>
  <c r="B666" i="31"/>
  <c r="B662" i="31"/>
  <c r="B658" i="31"/>
  <c r="J660" i="31" s="1"/>
  <c r="B654" i="31"/>
  <c r="F655" i="31" s="1"/>
  <c r="B644" i="31"/>
  <c r="N646" i="31" s="1"/>
  <c r="B640" i="31"/>
  <c r="B636" i="31"/>
  <c r="N638" i="31" s="1"/>
  <c r="B632" i="31"/>
  <c r="N634" i="31" s="1"/>
  <c r="B628" i="31"/>
  <c r="N630" i="31" s="1"/>
  <c r="B624" i="31"/>
  <c r="B620" i="31"/>
  <c r="N622" i="31" s="1"/>
  <c r="B616" i="31"/>
  <c r="L616" i="31" s="1"/>
  <c r="B612" i="31"/>
  <c r="L612" i="31" s="1"/>
  <c r="B608" i="31"/>
  <c r="B598" i="31"/>
  <c r="B594" i="31"/>
  <c r="L595" i="31" s="1"/>
  <c r="B590" i="31"/>
  <c r="L591" i="31" s="1"/>
  <c r="B586" i="31"/>
  <c r="B582" i="31"/>
  <c r="L583" i="31" s="1"/>
  <c r="B578" i="31"/>
  <c r="L578" i="31" s="1"/>
  <c r="B574" i="31"/>
  <c r="Q576" i="31" s="1"/>
  <c r="B570" i="31"/>
  <c r="B566" i="31"/>
  <c r="L566" i="31" s="1"/>
  <c r="B562" i="31"/>
  <c r="Q564" i="31" s="1"/>
  <c r="B552" i="31"/>
  <c r="B548" i="31"/>
  <c r="B544" i="31"/>
  <c r="D544" i="31" s="1"/>
  <c r="B540" i="31"/>
  <c r="C540" i="31" s="1"/>
  <c r="B536" i="31"/>
  <c r="R538" i="31" s="1"/>
  <c r="B532" i="31"/>
  <c r="B528" i="31"/>
  <c r="D528" i="31" s="1"/>
  <c r="B524" i="31"/>
  <c r="H526" i="31" s="1"/>
  <c r="B520" i="31"/>
  <c r="B516" i="31"/>
  <c r="B506" i="31"/>
  <c r="B502" i="31"/>
  <c r="N502" i="31" s="1"/>
  <c r="B498" i="31"/>
  <c r="Q500" i="31" s="1"/>
  <c r="B494" i="31"/>
  <c r="B490" i="31"/>
  <c r="B486" i="31"/>
  <c r="N487" i="31" s="1"/>
  <c r="B482" i="31"/>
  <c r="B478" i="31"/>
  <c r="B474" i="31"/>
  <c r="L475" i="31" s="1"/>
  <c r="B470" i="31"/>
  <c r="L471" i="31" s="1"/>
  <c r="B460" i="31"/>
  <c r="L460" i="31" s="1"/>
  <c r="B456" i="31"/>
  <c r="B452" i="31"/>
  <c r="J453" i="31" s="1"/>
  <c r="B448" i="31"/>
  <c r="J449" i="31" s="1"/>
  <c r="B444" i="31"/>
  <c r="J445" i="31" s="1"/>
  <c r="B440" i="31"/>
  <c r="B436" i="31"/>
  <c r="N438" i="31" s="1"/>
  <c r="B432" i="31"/>
  <c r="N434" i="31" s="1"/>
  <c r="B428" i="31"/>
  <c r="L429" i="31" s="1"/>
  <c r="B424" i="31"/>
  <c r="B414" i="31"/>
  <c r="N415" i="31" s="1"/>
  <c r="B410" i="31"/>
  <c r="L410" i="31" s="1"/>
  <c r="B406" i="31"/>
  <c r="B402" i="31"/>
  <c r="B398" i="31"/>
  <c r="B394" i="31"/>
  <c r="N394" i="31" s="1"/>
  <c r="B390" i="31"/>
  <c r="B386" i="31"/>
  <c r="B382" i="31"/>
  <c r="N383" i="31" s="1"/>
  <c r="B378" i="31"/>
  <c r="Q380" i="31" s="1"/>
  <c r="B368" i="31"/>
  <c r="L369" i="31" s="1"/>
  <c r="B364" i="31"/>
  <c r="L365" i="31" s="1"/>
  <c r="B360" i="31"/>
  <c r="B356" i="31"/>
  <c r="L356" i="31" s="1"/>
  <c r="B352" i="31"/>
  <c r="B348" i="31"/>
  <c r="L348" i="31" s="1"/>
  <c r="B344" i="31"/>
  <c r="F346" i="31" s="1"/>
  <c r="B340" i="31"/>
  <c r="Q342" i="31" s="1"/>
  <c r="B336" i="31"/>
  <c r="L336" i="31" s="1"/>
  <c r="B332" i="31"/>
  <c r="B322" i="31"/>
  <c r="N324" i="31" s="1"/>
  <c r="B318" i="31"/>
  <c r="N320" i="31" s="1"/>
  <c r="B314" i="31"/>
  <c r="N316" i="31" s="1"/>
  <c r="B310" i="31"/>
  <c r="N312" i="31" s="1"/>
  <c r="B306" i="31"/>
  <c r="N308" i="31" s="1"/>
  <c r="B302" i="31"/>
  <c r="N304" i="31" s="1"/>
  <c r="B298" i="31"/>
  <c r="B294" i="31"/>
  <c r="L295" i="31" s="1"/>
  <c r="B290" i="31"/>
  <c r="L290" i="31" s="1"/>
  <c r="B286" i="31"/>
  <c r="L286" i="31" s="1"/>
  <c r="B276" i="31"/>
  <c r="N278" i="31" s="1"/>
  <c r="B272" i="31"/>
  <c r="L272" i="31" s="1"/>
  <c r="B268" i="31"/>
  <c r="L269" i="31" s="1"/>
  <c r="B264" i="31"/>
  <c r="B260" i="31"/>
  <c r="L261" i="31" s="1"/>
  <c r="B256" i="31"/>
  <c r="L256" i="31" s="1"/>
  <c r="B252" i="31"/>
  <c r="B248" i="31"/>
  <c r="L248" i="31" s="1"/>
  <c r="B244" i="31"/>
  <c r="R246" i="31" s="1"/>
  <c r="B240" i="31"/>
  <c r="H242" i="31" s="1"/>
  <c r="B230" i="31"/>
  <c r="N232" i="31" s="1"/>
  <c r="B226" i="31"/>
  <c r="N228" i="31" s="1"/>
  <c r="B222" i="31"/>
  <c r="N224" i="31" s="1"/>
  <c r="B218" i="31"/>
  <c r="N220" i="31" s="1"/>
  <c r="B214" i="31"/>
  <c r="N216" i="31" s="1"/>
  <c r="B210" i="31"/>
  <c r="B206" i="31"/>
  <c r="B202" i="31"/>
  <c r="L202" i="31" s="1"/>
  <c r="B198" i="31"/>
  <c r="L198" i="31" s="1"/>
  <c r="B194" i="31"/>
  <c r="L195" i="31" s="1"/>
  <c r="B184" i="31"/>
  <c r="R185" i="31" s="1"/>
  <c r="B180" i="31"/>
  <c r="S182" i="31" s="1"/>
  <c r="B176" i="31"/>
  <c r="C176" i="31" s="1"/>
  <c r="B172" i="31"/>
  <c r="N172" i="31" s="1"/>
  <c r="B168" i="31"/>
  <c r="H170" i="31" s="1"/>
  <c r="B164" i="31"/>
  <c r="S166" i="31" s="1"/>
  <c r="B160" i="31"/>
  <c r="L162" i="31" s="1"/>
  <c r="B156" i="31"/>
  <c r="N157" i="31" s="1"/>
  <c r="B152" i="31"/>
  <c r="N154" i="31" s="1"/>
  <c r="B148" i="31"/>
  <c r="R149" i="31" s="1"/>
  <c r="B138" i="31"/>
  <c r="L140" i="31" s="1"/>
  <c r="B134" i="31"/>
  <c r="F136" i="31" s="1"/>
  <c r="B130" i="31"/>
  <c r="R131" i="31" s="1"/>
  <c r="B126" i="31"/>
  <c r="L127" i="31" s="1"/>
  <c r="B122" i="31"/>
  <c r="F124" i="31" s="1"/>
  <c r="B118" i="31"/>
  <c r="F120" i="31" s="1"/>
  <c r="B114" i="31"/>
  <c r="L116" i="31" s="1"/>
  <c r="B110" i="31"/>
  <c r="R112" i="31" s="1"/>
  <c r="B106" i="31"/>
  <c r="B102" i="31"/>
  <c r="R103" i="31" s="1"/>
  <c r="B92" i="31"/>
  <c r="R93" i="31" s="1"/>
  <c r="B88" i="31"/>
  <c r="Q90" i="31" s="1"/>
  <c r="B84" i="31"/>
  <c r="H85" i="31" s="1"/>
  <c r="B80" i="31"/>
  <c r="N82" i="31" s="1"/>
  <c r="B76" i="31"/>
  <c r="L78" i="31" s="1"/>
  <c r="B72" i="31"/>
  <c r="L73" i="31" s="1"/>
  <c r="B68" i="31"/>
  <c r="N70" i="31" s="1"/>
  <c r="B64" i="31"/>
  <c r="B60" i="31"/>
  <c r="H61" i="31" s="1"/>
  <c r="B56" i="31"/>
  <c r="N58" i="31" s="1"/>
  <c r="B46" i="31"/>
  <c r="L47" i="31" s="1"/>
  <c r="B42" i="31"/>
  <c r="B38" i="31"/>
  <c r="J40" i="31" s="1"/>
  <c r="B34" i="31"/>
  <c r="H34" i="31" s="1"/>
  <c r="B30" i="31"/>
  <c r="R32" i="31" s="1"/>
  <c r="B26" i="31"/>
  <c r="B22" i="31"/>
  <c r="F24" i="31" s="1"/>
  <c r="B18" i="31"/>
  <c r="R20" i="31" s="1"/>
  <c r="B14" i="31"/>
  <c r="R14" i="31" s="1"/>
  <c r="S9" i="31"/>
  <c r="S7" i="31"/>
  <c r="S6" i="31"/>
  <c r="AE1" i="27"/>
  <c r="AU1" i="27"/>
  <c r="AU41" i="27" s="1"/>
  <c r="BK1" i="27"/>
  <c r="BK41" i="27" s="1"/>
  <c r="AX170" i="27"/>
  <c r="AW170" i="27"/>
  <c r="AX169" i="27"/>
  <c r="AW169" i="27"/>
  <c r="AX168" i="27"/>
  <c r="AW168" i="27"/>
  <c r="BC167" i="27"/>
  <c r="BB167" i="27"/>
  <c r="BA167" i="27"/>
  <c r="AZ167" i="27"/>
  <c r="AX165" i="27"/>
  <c r="BC165" i="27" s="1"/>
  <c r="AW165" i="27"/>
  <c r="AX164" i="27"/>
  <c r="BC164" i="27" s="1"/>
  <c r="AW164" i="27"/>
  <c r="AX163" i="27"/>
  <c r="BC163" i="27" s="1"/>
  <c r="AW163" i="27"/>
  <c r="AX162" i="27"/>
  <c r="AY162" i="27" s="1"/>
  <c r="AW162" i="27"/>
  <c r="AX161" i="27"/>
  <c r="BA161" i="27" s="1"/>
  <c r="AW161" i="27"/>
  <c r="AH170" i="27"/>
  <c r="AG170" i="27"/>
  <c r="AH169" i="27"/>
  <c r="AG169" i="27"/>
  <c r="AH168" i="27"/>
  <c r="AG168" i="27"/>
  <c r="AM167" i="27"/>
  <c r="AL167" i="27"/>
  <c r="AK167" i="27"/>
  <c r="AJ167" i="27"/>
  <c r="AH165" i="27"/>
  <c r="AK165" i="27" s="1"/>
  <c r="AG165" i="27"/>
  <c r="AH164" i="27"/>
  <c r="AK164" i="27" s="1"/>
  <c r="AG164" i="27"/>
  <c r="AH163" i="27"/>
  <c r="AK163" i="27" s="1"/>
  <c r="AG163" i="27"/>
  <c r="AH162" i="27"/>
  <c r="AM162" i="27" s="1"/>
  <c r="AG162" i="27"/>
  <c r="AH161" i="27"/>
  <c r="AK161" i="27" s="1"/>
  <c r="AG161" i="27"/>
  <c r="AE41" i="27"/>
  <c r="AE79" i="27"/>
  <c r="AE118" i="27" s="1"/>
  <c r="R170" i="27"/>
  <c r="Q170" i="27"/>
  <c r="R169" i="27"/>
  <c r="Q169" i="27"/>
  <c r="R168" i="27"/>
  <c r="Q168" i="27"/>
  <c r="W167" i="27"/>
  <c r="V167" i="27"/>
  <c r="U167" i="27"/>
  <c r="T167" i="27"/>
  <c r="R165" i="27"/>
  <c r="W165" i="27" s="1"/>
  <c r="Q165" i="27"/>
  <c r="R164" i="27"/>
  <c r="U164" i="27" s="1"/>
  <c r="Q164" i="27"/>
  <c r="R163" i="27"/>
  <c r="W163" i="27" s="1"/>
  <c r="Q163" i="27"/>
  <c r="R162" i="27"/>
  <c r="W162" i="27" s="1"/>
  <c r="R161" i="27"/>
  <c r="W161" i="27" s="1"/>
  <c r="Q162" i="27"/>
  <c r="Q161" i="27"/>
  <c r="O41" i="27"/>
  <c r="O79" i="27" s="1"/>
  <c r="B170" i="27"/>
  <c r="A170" i="27"/>
  <c r="B169" i="27"/>
  <c r="A169" i="27"/>
  <c r="B168" i="27"/>
  <c r="A168" i="27"/>
  <c r="G167" i="27"/>
  <c r="F167" i="27"/>
  <c r="E167" i="27"/>
  <c r="D167" i="27"/>
  <c r="B165" i="27"/>
  <c r="G165" i="27" s="1"/>
  <c r="A165" i="27"/>
  <c r="B164" i="27"/>
  <c r="C164" i="27" s="1"/>
  <c r="A164" i="27"/>
  <c r="B163" i="27"/>
  <c r="C163" i="27" s="1"/>
  <c r="A163" i="27"/>
  <c r="B162" i="27"/>
  <c r="C162" i="27" s="1"/>
  <c r="A162" i="27"/>
  <c r="B161" i="27"/>
  <c r="G161" i="27" s="1"/>
  <c r="A161" i="27"/>
  <c r="AX131" i="27"/>
  <c r="AW131" i="27"/>
  <c r="AX130" i="27"/>
  <c r="AW130" i="27"/>
  <c r="AX129" i="27"/>
  <c r="AW129" i="27"/>
  <c r="BC128" i="27"/>
  <c r="BB128" i="27"/>
  <c r="BA128" i="27"/>
  <c r="AZ128" i="27"/>
  <c r="AX126" i="27"/>
  <c r="AY126" i="27" s="1"/>
  <c r="AW126" i="27"/>
  <c r="AX125" i="27"/>
  <c r="BC125" i="27" s="1"/>
  <c r="AW125" i="27"/>
  <c r="AX124" i="27"/>
  <c r="BC124" i="27" s="1"/>
  <c r="AW124" i="27"/>
  <c r="AX123" i="27"/>
  <c r="AY123" i="27" s="1"/>
  <c r="AW123" i="27"/>
  <c r="AX122" i="27"/>
  <c r="BC122" i="27" s="1"/>
  <c r="AW122" i="27"/>
  <c r="AH131" i="27"/>
  <c r="AG131" i="27"/>
  <c r="AH130" i="27"/>
  <c r="AG130" i="27"/>
  <c r="AH129" i="27"/>
  <c r="AG129" i="27"/>
  <c r="AM128" i="27"/>
  <c r="AL128" i="27"/>
  <c r="AK128" i="27"/>
  <c r="AJ128" i="27"/>
  <c r="AH126" i="27"/>
  <c r="AM126" i="27" s="1"/>
  <c r="AG126" i="27"/>
  <c r="AH125" i="27"/>
  <c r="AM125" i="27" s="1"/>
  <c r="AG125" i="27"/>
  <c r="AH124" i="27"/>
  <c r="AM124" i="27" s="1"/>
  <c r="AG124" i="27"/>
  <c r="AH123" i="27"/>
  <c r="AM123" i="27" s="1"/>
  <c r="AG123" i="27"/>
  <c r="AH122" i="27"/>
  <c r="AK122" i="27" s="1"/>
  <c r="AG122" i="27"/>
  <c r="R131" i="27"/>
  <c r="Q131" i="27"/>
  <c r="R130" i="27"/>
  <c r="Q130" i="27"/>
  <c r="R129" i="27"/>
  <c r="Q129" i="27"/>
  <c r="W128" i="27"/>
  <c r="V128" i="27"/>
  <c r="U128" i="27"/>
  <c r="T128" i="27"/>
  <c r="R126" i="27"/>
  <c r="S126" i="27" s="1"/>
  <c r="Q126" i="27"/>
  <c r="R125" i="27"/>
  <c r="S125" i="27" s="1"/>
  <c r="Q125" i="27"/>
  <c r="R124" i="27"/>
  <c r="U124" i="27" s="1"/>
  <c r="Q124" i="27"/>
  <c r="R123" i="27"/>
  <c r="W123" i="27" s="1"/>
  <c r="R122" i="27"/>
  <c r="U122" i="27" s="1"/>
  <c r="Q123" i="27"/>
  <c r="Q122" i="27"/>
  <c r="B131" i="27"/>
  <c r="A131" i="27"/>
  <c r="B130" i="27"/>
  <c r="A130" i="27"/>
  <c r="B129" i="27"/>
  <c r="A129" i="27"/>
  <c r="G128" i="27"/>
  <c r="F128" i="27"/>
  <c r="E128" i="27"/>
  <c r="D128" i="27"/>
  <c r="B126" i="27"/>
  <c r="G126" i="27" s="1"/>
  <c r="A126" i="27"/>
  <c r="B125" i="27"/>
  <c r="E125" i="27" s="1"/>
  <c r="A125" i="27"/>
  <c r="B124" i="27"/>
  <c r="E124" i="27" s="1"/>
  <c r="A124" i="27"/>
  <c r="B123" i="27"/>
  <c r="E123" i="27" s="1"/>
  <c r="A123" i="27"/>
  <c r="B122" i="27"/>
  <c r="G122" i="27" s="1"/>
  <c r="A122" i="27"/>
  <c r="AX92" i="27"/>
  <c r="AW92" i="27"/>
  <c r="AX91" i="27"/>
  <c r="AW91" i="27"/>
  <c r="AX90" i="27"/>
  <c r="AW90" i="27"/>
  <c r="BC89" i="27"/>
  <c r="BB89" i="27"/>
  <c r="BA89" i="27"/>
  <c r="AZ89" i="27"/>
  <c r="AX87" i="27"/>
  <c r="BC87" i="27" s="1"/>
  <c r="AW87" i="27"/>
  <c r="AX86" i="27"/>
  <c r="BA86" i="27" s="1"/>
  <c r="AW86" i="27"/>
  <c r="AX85" i="27"/>
  <c r="AY85" i="27" s="1"/>
  <c r="AW85" i="27"/>
  <c r="AX84" i="27"/>
  <c r="BA84" i="27" s="1"/>
  <c r="AW84" i="27"/>
  <c r="AX83" i="27"/>
  <c r="BC83" i="27" s="1"/>
  <c r="AW83" i="27"/>
  <c r="AH92" i="27"/>
  <c r="AG92" i="27"/>
  <c r="AH91" i="27"/>
  <c r="AG91" i="27"/>
  <c r="AH90" i="27"/>
  <c r="AG90" i="27"/>
  <c r="AM89" i="27"/>
  <c r="AL89" i="27"/>
  <c r="AK89" i="27"/>
  <c r="AJ89" i="27"/>
  <c r="AH87" i="27"/>
  <c r="AK87" i="27" s="1"/>
  <c r="AG87" i="27"/>
  <c r="AH86" i="27"/>
  <c r="AG86" i="27"/>
  <c r="AH85" i="27"/>
  <c r="AG85" i="27"/>
  <c r="AH84" i="27"/>
  <c r="AK84" i="27" s="1"/>
  <c r="AG84" i="27"/>
  <c r="AH83" i="27"/>
  <c r="AK83" i="27" s="1"/>
  <c r="AG83" i="27"/>
  <c r="R92" i="27"/>
  <c r="Q92" i="27"/>
  <c r="R91" i="27"/>
  <c r="Q91" i="27"/>
  <c r="R90" i="27"/>
  <c r="Q90" i="27"/>
  <c r="W89" i="27"/>
  <c r="V89" i="27"/>
  <c r="U89" i="27"/>
  <c r="T89" i="27"/>
  <c r="R87" i="27"/>
  <c r="S87" i="27" s="1"/>
  <c r="Q87" i="27"/>
  <c r="R86" i="27"/>
  <c r="W86" i="27" s="1"/>
  <c r="Q86" i="27"/>
  <c r="R85" i="27"/>
  <c r="W85" i="27" s="1"/>
  <c r="Q85" i="27"/>
  <c r="R84" i="27"/>
  <c r="Q84" i="27"/>
  <c r="R83" i="27"/>
  <c r="W83" i="27" s="1"/>
  <c r="Q83" i="27"/>
  <c r="B92" i="27"/>
  <c r="A92" i="27"/>
  <c r="B91" i="27"/>
  <c r="A91" i="27"/>
  <c r="B90" i="27"/>
  <c r="A90" i="27"/>
  <c r="G89" i="27"/>
  <c r="F89" i="27"/>
  <c r="E89" i="27"/>
  <c r="D89" i="27"/>
  <c r="B87" i="27"/>
  <c r="E87" i="27" s="1"/>
  <c r="A87" i="27"/>
  <c r="B86" i="27"/>
  <c r="G86" i="27" s="1"/>
  <c r="A86" i="27"/>
  <c r="B85" i="27"/>
  <c r="G85" i="27" s="1"/>
  <c r="A85" i="27"/>
  <c r="B84" i="27"/>
  <c r="A84" i="27"/>
  <c r="B83" i="27"/>
  <c r="G83" i="27" s="1"/>
  <c r="A83" i="27"/>
  <c r="AX54" i="27"/>
  <c r="AW54" i="27"/>
  <c r="AX53" i="27"/>
  <c r="AW53" i="27"/>
  <c r="AX52" i="27"/>
  <c r="AW52" i="27"/>
  <c r="BC51" i="27"/>
  <c r="BB51" i="27"/>
  <c r="BA51" i="27"/>
  <c r="AZ51" i="27"/>
  <c r="AX49" i="27"/>
  <c r="BC49" i="27" s="1"/>
  <c r="AW49" i="27"/>
  <c r="AX48" i="27"/>
  <c r="AY48" i="27" s="1"/>
  <c r="AW48" i="27"/>
  <c r="AX47" i="27"/>
  <c r="AY47" i="27" s="1"/>
  <c r="AW47" i="27"/>
  <c r="AX46" i="27"/>
  <c r="BC46" i="27" s="1"/>
  <c r="AW46" i="27"/>
  <c r="AX45" i="27"/>
  <c r="BA45" i="27" s="1"/>
  <c r="AW45" i="27"/>
  <c r="AH54" i="27"/>
  <c r="AG54" i="27"/>
  <c r="AH53" i="27"/>
  <c r="AG53" i="27"/>
  <c r="AH52" i="27"/>
  <c r="AG52" i="27"/>
  <c r="AM51" i="27"/>
  <c r="AL51" i="27"/>
  <c r="AK51" i="27"/>
  <c r="AJ51" i="27"/>
  <c r="AH49" i="27"/>
  <c r="AK49" i="27" s="1"/>
  <c r="AG49" i="27"/>
  <c r="AH48" i="27"/>
  <c r="AM48" i="27" s="1"/>
  <c r="AG48" i="27"/>
  <c r="AH47" i="27"/>
  <c r="AM47" i="27" s="1"/>
  <c r="AG47" i="27"/>
  <c r="AH46" i="27"/>
  <c r="AI46" i="27" s="1"/>
  <c r="AG46" i="27"/>
  <c r="AH45" i="27"/>
  <c r="AK45" i="27" s="1"/>
  <c r="AG45" i="27"/>
  <c r="AC56" i="27"/>
  <c r="Y56" i="27" s="1"/>
  <c r="R54" i="27"/>
  <c r="Q54" i="27"/>
  <c r="R53" i="27"/>
  <c r="Q53" i="27"/>
  <c r="R52" i="27"/>
  <c r="Q52" i="27"/>
  <c r="W51" i="27"/>
  <c r="V51" i="27"/>
  <c r="U51" i="27"/>
  <c r="T51" i="27"/>
  <c r="R49" i="27"/>
  <c r="S49" i="27" s="1"/>
  <c r="Q49" i="27"/>
  <c r="R48" i="27"/>
  <c r="U48" i="27" s="1"/>
  <c r="Q48" i="27"/>
  <c r="R47" i="27"/>
  <c r="U47" i="27" s="1"/>
  <c r="Q47" i="27"/>
  <c r="R46" i="27"/>
  <c r="W46" i="27" s="1"/>
  <c r="R45" i="27"/>
  <c r="W45" i="27" s="1"/>
  <c r="Q46" i="27"/>
  <c r="Q45" i="27"/>
  <c r="M56" i="27"/>
  <c r="G57" i="27" s="1"/>
  <c r="B54" i="27"/>
  <c r="A54" i="27"/>
  <c r="B53" i="27"/>
  <c r="A53" i="27"/>
  <c r="B52" i="27"/>
  <c r="A52" i="27"/>
  <c r="G51" i="27"/>
  <c r="F51" i="27"/>
  <c r="E51" i="27"/>
  <c r="D51" i="27"/>
  <c r="B49" i="27"/>
  <c r="C49" i="27" s="1"/>
  <c r="A49" i="27"/>
  <c r="B48" i="27"/>
  <c r="G48" i="27" s="1"/>
  <c r="A48" i="27"/>
  <c r="B47" i="27"/>
  <c r="E47" i="27" s="1"/>
  <c r="A47" i="27"/>
  <c r="B46" i="27"/>
  <c r="G46" i="27" s="1"/>
  <c r="A46" i="27"/>
  <c r="B45" i="27"/>
  <c r="A45" i="27"/>
  <c r="AX14" i="27"/>
  <c r="AW14" i="27"/>
  <c r="AX13" i="27"/>
  <c r="AW13" i="27"/>
  <c r="AX12" i="27"/>
  <c r="AW12" i="27"/>
  <c r="BC11" i="27"/>
  <c r="BB11" i="27"/>
  <c r="BA11" i="27"/>
  <c r="AZ11" i="27"/>
  <c r="AX9" i="27"/>
  <c r="BA9" i="27" s="1"/>
  <c r="AW9" i="27"/>
  <c r="AX8" i="27"/>
  <c r="BA8" i="27" s="1"/>
  <c r="AW8" i="27"/>
  <c r="AX7" i="27"/>
  <c r="AY7" i="27" s="1"/>
  <c r="AW7" i="27"/>
  <c r="AX6" i="27"/>
  <c r="BC6" i="27" s="1"/>
  <c r="AW6" i="27"/>
  <c r="AX5" i="27"/>
  <c r="BC5" i="27" s="1"/>
  <c r="AW5" i="27"/>
  <c r="AH14" i="27"/>
  <c r="AG14" i="27"/>
  <c r="AH13" i="27"/>
  <c r="AG13" i="27"/>
  <c r="AH12" i="27"/>
  <c r="AG12" i="27"/>
  <c r="AM11" i="27"/>
  <c r="AL11" i="27"/>
  <c r="AK11" i="27"/>
  <c r="AJ11" i="27"/>
  <c r="AH9" i="27"/>
  <c r="AM9" i="27" s="1"/>
  <c r="AG9" i="27"/>
  <c r="AH8" i="27"/>
  <c r="AM8" i="27" s="1"/>
  <c r="AG8" i="27"/>
  <c r="AH7" i="27"/>
  <c r="AI7" i="27" s="1"/>
  <c r="AG7" i="27"/>
  <c r="AH6" i="27"/>
  <c r="AI6" i="27" s="1"/>
  <c r="AG6" i="27"/>
  <c r="AH5" i="27"/>
  <c r="AM5" i="27" s="1"/>
  <c r="AG5" i="27"/>
  <c r="AC16" i="27"/>
  <c r="V9" i="27" s="1"/>
  <c r="R14" i="27"/>
  <c r="Q14" i="27"/>
  <c r="R13" i="27"/>
  <c r="Q13" i="27"/>
  <c r="R12" i="27"/>
  <c r="Q12" i="27"/>
  <c r="W11" i="27"/>
  <c r="V11" i="27"/>
  <c r="U11" i="27"/>
  <c r="T11" i="27"/>
  <c r="R9" i="27"/>
  <c r="U9" i="27" s="1"/>
  <c r="Q9" i="27"/>
  <c r="R8" i="27"/>
  <c r="U8" i="27" s="1"/>
  <c r="Q8" i="27"/>
  <c r="R7" i="27"/>
  <c r="W7" i="27" s="1"/>
  <c r="Q7" i="27"/>
  <c r="R6" i="27"/>
  <c r="W6" i="27" s="1"/>
  <c r="Q6" i="27"/>
  <c r="R5" i="27"/>
  <c r="S5" i="27" s="1"/>
  <c r="Q5" i="27"/>
  <c r="B14" i="27"/>
  <c r="A14" i="27"/>
  <c r="M16" i="27"/>
  <c r="C18" i="27" s="1"/>
  <c r="L935" i="31"/>
  <c r="Q896" i="31"/>
  <c r="D1022" i="31"/>
  <c r="Q1042" i="31"/>
  <c r="F1092" i="31"/>
  <c r="N1114" i="31"/>
  <c r="Q876" i="31"/>
  <c r="N1058" i="31"/>
  <c r="F1059" i="31"/>
  <c r="N1059" i="31"/>
  <c r="D908" i="31"/>
  <c r="F690" i="31"/>
  <c r="J912" i="31"/>
  <c r="F1039" i="31"/>
  <c r="H1060" i="31"/>
  <c r="N1142" i="31"/>
  <c r="R124" i="31"/>
  <c r="Q780" i="31"/>
  <c r="N782" i="31"/>
  <c r="J784" i="31"/>
  <c r="F913" i="31"/>
  <c r="D1058" i="31"/>
  <c r="L1060" i="31"/>
  <c r="F1144" i="31"/>
  <c r="F691" i="31"/>
  <c r="J778" i="31"/>
  <c r="Q782" i="31"/>
  <c r="N784" i="31"/>
  <c r="S910" i="31"/>
  <c r="J913" i="31"/>
  <c r="J1106" i="31"/>
  <c r="F47" i="31"/>
  <c r="J783" i="31"/>
  <c r="S784" i="31"/>
  <c r="Q913" i="31"/>
  <c r="Q174" i="31"/>
  <c r="S85" i="31"/>
  <c r="D84" i="31"/>
  <c r="J84" i="31"/>
  <c r="F84" i="31"/>
  <c r="L139" i="31"/>
  <c r="F140" i="31"/>
  <c r="S139" i="31"/>
  <c r="C138" i="31"/>
  <c r="J138" i="31"/>
  <c r="F138" i="31"/>
  <c r="H82" i="31"/>
  <c r="F80" i="31"/>
  <c r="J82" i="31"/>
  <c r="H138" i="31"/>
  <c r="N340" i="31"/>
  <c r="R852" i="31"/>
  <c r="H893" i="31"/>
  <c r="S894" i="31"/>
  <c r="J894" i="31"/>
  <c r="S893" i="31"/>
  <c r="R893" i="31"/>
  <c r="N68" i="31"/>
  <c r="J86" i="31"/>
  <c r="J81" i="31"/>
  <c r="Q84" i="31"/>
  <c r="G163" i="27"/>
  <c r="G164" i="27"/>
  <c r="N81" i="31"/>
  <c r="R139" i="31"/>
  <c r="Q26" i="31"/>
  <c r="Q102" i="31"/>
  <c r="R161" i="31"/>
  <c r="S178" i="31"/>
  <c r="N178" i="31"/>
  <c r="Q178" i="31"/>
  <c r="L394" i="31"/>
  <c r="R530" i="31"/>
  <c r="H530" i="31"/>
  <c r="N529" i="31"/>
  <c r="N528" i="31"/>
  <c r="Q542" i="31"/>
  <c r="N540" i="31"/>
  <c r="R554" i="31"/>
  <c r="N27" i="31"/>
  <c r="J160" i="31"/>
  <c r="N379" i="31"/>
  <c r="R522" i="31"/>
  <c r="H522" i="31"/>
  <c r="R546" i="31"/>
  <c r="H546" i="31"/>
  <c r="N545" i="31"/>
  <c r="N544" i="31"/>
  <c r="F660" i="31"/>
  <c r="F659" i="31"/>
  <c r="Q658" i="31"/>
  <c r="F658" i="31"/>
  <c r="R768" i="31"/>
  <c r="Q768" i="31"/>
  <c r="F767" i="31"/>
  <c r="N768" i="31"/>
  <c r="R766" i="31"/>
  <c r="L768" i="31"/>
  <c r="H766" i="31"/>
  <c r="S767" i="31"/>
  <c r="F766" i="31"/>
  <c r="Q767" i="31"/>
  <c r="D766" i="31"/>
  <c r="F504" i="31"/>
  <c r="N158" i="31"/>
  <c r="C502" i="31"/>
  <c r="F526" i="31"/>
  <c r="J676" i="31"/>
  <c r="F676" i="31"/>
  <c r="F675" i="31"/>
  <c r="Q674" i="31"/>
  <c r="F674" i="31"/>
  <c r="H156" i="31"/>
  <c r="S162" i="31"/>
  <c r="H161" i="31"/>
  <c r="N161" i="31"/>
  <c r="L291" i="31"/>
  <c r="Q384" i="31"/>
  <c r="N382" i="31"/>
  <c r="L382" i="31"/>
  <c r="C382" i="31"/>
  <c r="C524" i="31"/>
  <c r="Q860" i="31"/>
  <c r="R860" i="31"/>
  <c r="N1152" i="31"/>
  <c r="J1152" i="31"/>
  <c r="H1151" i="31"/>
  <c r="H1150" i="31"/>
  <c r="D746" i="31"/>
  <c r="H748" i="31"/>
  <c r="N751" i="31"/>
  <c r="S779" i="31"/>
  <c r="S782" i="31"/>
  <c r="L910" i="31"/>
  <c r="Q912" i="31"/>
  <c r="J914" i="31"/>
  <c r="Q1034" i="31"/>
  <c r="Q1036" i="31"/>
  <c r="R1042" i="31"/>
  <c r="Q1059" i="31"/>
  <c r="F1093" i="31"/>
  <c r="H1116" i="31"/>
  <c r="F746" i="31"/>
  <c r="J748" i="31"/>
  <c r="R758" i="31"/>
  <c r="S759" i="31"/>
  <c r="F780" i="31"/>
  <c r="H890" i="31"/>
  <c r="N1043" i="31"/>
  <c r="Q1077" i="31"/>
  <c r="N454" i="31"/>
  <c r="F682" i="31"/>
  <c r="J747" i="31"/>
  <c r="D778" i="31"/>
  <c r="L780" i="31"/>
  <c r="N854" i="31"/>
  <c r="H913" i="31"/>
  <c r="N914" i="31"/>
  <c r="D1038" i="31"/>
  <c r="R1044" i="31"/>
  <c r="N1055" i="31"/>
  <c r="F1094" i="31"/>
  <c r="Q747" i="31"/>
  <c r="S1044" i="31"/>
  <c r="L1056" i="31"/>
  <c r="N1134" i="31"/>
  <c r="Q746" i="31"/>
  <c r="F1136" i="31"/>
  <c r="S1148" i="31"/>
  <c r="L107" i="31"/>
  <c r="N108" i="31"/>
  <c r="Q108" i="31"/>
  <c r="S107" i="31"/>
  <c r="F107" i="31"/>
  <c r="H106" i="31"/>
  <c r="R107" i="31"/>
  <c r="S106" i="31"/>
  <c r="F106" i="31"/>
  <c r="H108" i="31"/>
  <c r="F135" i="31"/>
  <c r="S26" i="31"/>
  <c r="F48" i="31"/>
  <c r="N64" i="31"/>
  <c r="S68" i="31"/>
  <c r="S81" i="31"/>
  <c r="Q106" i="31"/>
  <c r="F108" i="31"/>
  <c r="L120" i="31"/>
  <c r="H122" i="31"/>
  <c r="J123" i="31"/>
  <c r="Q124" i="31"/>
  <c r="S134" i="31"/>
  <c r="S156" i="31"/>
  <c r="R157" i="31"/>
  <c r="H158" i="31"/>
  <c r="S157" i="31"/>
  <c r="Q66" i="31"/>
  <c r="S65" i="31"/>
  <c r="Q78" i="31"/>
  <c r="J136" i="31"/>
  <c r="Q134" i="31"/>
  <c r="Q135" i="31"/>
  <c r="L31" i="31"/>
  <c r="C64" i="31"/>
  <c r="R65" i="31"/>
  <c r="H68" i="31"/>
  <c r="H81" i="31"/>
  <c r="H92" i="31"/>
  <c r="C106" i="31"/>
  <c r="H107" i="31"/>
  <c r="J108" i="31"/>
  <c r="S120" i="31"/>
  <c r="N122" i="31"/>
  <c r="S123" i="31"/>
  <c r="S124" i="31"/>
  <c r="F134" i="31"/>
  <c r="N136" i="31"/>
  <c r="L360" i="31"/>
  <c r="L361" i="31"/>
  <c r="R106" i="31"/>
  <c r="S66" i="31"/>
  <c r="D106" i="31"/>
  <c r="J107" i="31"/>
  <c r="L108" i="31"/>
  <c r="S122" i="31"/>
  <c r="H134" i="31"/>
  <c r="C168" i="31"/>
  <c r="J106" i="31"/>
  <c r="N107" i="31"/>
  <c r="R108" i="31"/>
  <c r="L119" i="31"/>
  <c r="S118" i="31"/>
  <c r="Q120" i="31"/>
  <c r="H118" i="31"/>
  <c r="L123" i="31"/>
  <c r="J124" i="31"/>
  <c r="N123" i="31"/>
  <c r="Q122" i="31"/>
  <c r="C122" i="31"/>
  <c r="L124" i="31"/>
  <c r="Q123" i="31"/>
  <c r="R122" i="31"/>
  <c r="D122" i="31"/>
  <c r="F123" i="31"/>
  <c r="H124" i="31"/>
  <c r="R135" i="31"/>
  <c r="S433" i="31"/>
  <c r="J432" i="31"/>
  <c r="J433" i="31"/>
  <c r="L432" i="31"/>
  <c r="L590" i="31"/>
  <c r="J905" i="31"/>
  <c r="J904" i="31"/>
  <c r="Q905" i="31"/>
  <c r="H906" i="31"/>
  <c r="S905" i="31"/>
  <c r="H904" i="31"/>
  <c r="S906" i="31"/>
  <c r="H905" i="31"/>
  <c r="D904" i="31"/>
  <c r="R906" i="31"/>
  <c r="F905" i="31"/>
  <c r="H77" i="31"/>
  <c r="R44" i="31"/>
  <c r="J64" i="31"/>
  <c r="L69" i="31"/>
  <c r="Q69" i="31"/>
  <c r="D68" i="31"/>
  <c r="R69" i="31"/>
  <c r="L81" i="31"/>
  <c r="Q81" i="31"/>
  <c r="D80" i="31"/>
  <c r="R81" i="31"/>
  <c r="Q93" i="31"/>
  <c r="N106" i="31"/>
  <c r="Q107" i="31"/>
  <c r="S108" i="31"/>
  <c r="H119" i="31"/>
  <c r="F122" i="31"/>
  <c r="H123" i="31"/>
  <c r="N124" i="31"/>
  <c r="S135" i="31"/>
  <c r="Q434" i="31"/>
  <c r="F508" i="31"/>
  <c r="N506" i="31"/>
  <c r="Q508" i="31"/>
  <c r="N507" i="31"/>
  <c r="L506" i="31"/>
  <c r="C506" i="31"/>
  <c r="S15" i="31"/>
  <c r="N84" i="31"/>
  <c r="J85" i="31"/>
  <c r="H86" i="31"/>
  <c r="S86" i="31"/>
  <c r="J103" i="31"/>
  <c r="S104" i="31"/>
  <c r="N114" i="31"/>
  <c r="N138" i="31"/>
  <c r="J139" i="31"/>
  <c r="H140" i="31"/>
  <c r="S140" i="31"/>
  <c r="C160" i="31"/>
  <c r="S160" i="31"/>
  <c r="F162" i="31"/>
  <c r="J172" i="31"/>
  <c r="N174" i="31"/>
  <c r="H176" i="31"/>
  <c r="J177" i="31"/>
  <c r="L178" i="31"/>
  <c r="S184" i="31"/>
  <c r="L357" i="31"/>
  <c r="L368" i="31"/>
  <c r="F392" i="31"/>
  <c r="L452" i="31"/>
  <c r="L486" i="31"/>
  <c r="N522" i="31"/>
  <c r="C520" i="31"/>
  <c r="F522" i="31"/>
  <c r="N526" i="31"/>
  <c r="N525" i="31"/>
  <c r="D524" i="31"/>
  <c r="N530" i="31"/>
  <c r="Q530" i="31"/>
  <c r="C528" i="31"/>
  <c r="F530" i="31"/>
  <c r="N538" i="31"/>
  <c r="C536" i="31"/>
  <c r="F538" i="31"/>
  <c r="N542" i="31"/>
  <c r="N541" i="31"/>
  <c r="R542" i="31"/>
  <c r="N546" i="31"/>
  <c r="Q546" i="31"/>
  <c r="C544" i="31"/>
  <c r="F546" i="31"/>
  <c r="N554" i="31"/>
  <c r="C552" i="31"/>
  <c r="F554" i="31"/>
  <c r="N660" i="31"/>
  <c r="R660" i="31"/>
  <c r="N659" i="31"/>
  <c r="C658" i="31"/>
  <c r="H660" i="31"/>
  <c r="N658" i="31"/>
  <c r="S660" i="31"/>
  <c r="Q659" i="31"/>
  <c r="D658" i="31"/>
  <c r="Q660" i="31"/>
  <c r="F667" i="31"/>
  <c r="N676" i="31"/>
  <c r="R676" i="31"/>
  <c r="N675" i="31"/>
  <c r="C674" i="31"/>
  <c r="H676" i="31"/>
  <c r="N674" i="31"/>
  <c r="S676" i="31"/>
  <c r="Q675" i="31"/>
  <c r="D674" i="31"/>
  <c r="Q676" i="31"/>
  <c r="F683" i="31"/>
  <c r="F686" i="31"/>
  <c r="N692" i="31"/>
  <c r="R692" i="31"/>
  <c r="N691" i="31"/>
  <c r="C690" i="31"/>
  <c r="H692" i="31"/>
  <c r="N690" i="31"/>
  <c r="S692" i="31"/>
  <c r="Q691" i="31"/>
  <c r="D690" i="31"/>
  <c r="Q692" i="31"/>
  <c r="R172" i="31"/>
  <c r="R174" i="31"/>
  <c r="F472" i="31"/>
  <c r="C470" i="31"/>
  <c r="L487" i="31"/>
  <c r="Q655" i="31"/>
  <c r="Q671" i="31"/>
  <c r="Q687" i="31"/>
  <c r="N1028" i="31"/>
  <c r="S1028" i="31"/>
  <c r="F1028" i="31"/>
  <c r="R1026" i="31"/>
  <c r="C1026" i="31"/>
  <c r="Q1028" i="31"/>
  <c r="Q1027" i="31"/>
  <c r="N1026" i="31"/>
  <c r="R1027" i="31"/>
  <c r="F1026" i="31"/>
  <c r="N1027" i="31"/>
  <c r="D1026" i="31"/>
  <c r="H1028" i="31"/>
  <c r="H1026" i="31"/>
  <c r="J1028" i="31"/>
  <c r="H1027" i="31"/>
  <c r="F1027" i="31"/>
  <c r="Q1026" i="31"/>
  <c r="L1028" i="31"/>
  <c r="C172" i="31"/>
  <c r="S172" i="31"/>
  <c r="R176" i="31"/>
  <c r="S177" i="31"/>
  <c r="R178" i="31"/>
  <c r="L415" i="31"/>
  <c r="Q472" i="31"/>
  <c r="N668" i="31"/>
  <c r="R668" i="31"/>
  <c r="N667" i="31"/>
  <c r="C666" i="31"/>
  <c r="H668" i="31"/>
  <c r="N666" i="31"/>
  <c r="S668" i="31"/>
  <c r="Q667" i="31"/>
  <c r="D666" i="31"/>
  <c r="Q668" i="31"/>
  <c r="N684" i="31"/>
  <c r="R684" i="31"/>
  <c r="N683" i="31"/>
  <c r="C682" i="31"/>
  <c r="H684" i="31"/>
  <c r="N682" i="31"/>
  <c r="S684" i="31"/>
  <c r="Q683" i="31"/>
  <c r="D682" i="31"/>
  <c r="Q684" i="31"/>
  <c r="N866" i="31"/>
  <c r="N867" i="31"/>
  <c r="Q868" i="31"/>
  <c r="F868" i="31"/>
  <c r="L866" i="31"/>
  <c r="C866" i="31"/>
  <c r="R1028" i="31"/>
  <c r="Q488" i="31"/>
  <c r="F488" i="31"/>
  <c r="C486" i="31"/>
  <c r="H488" i="31"/>
  <c r="L599" i="31"/>
  <c r="L598" i="31"/>
  <c r="N656" i="31"/>
  <c r="H656" i="31"/>
  <c r="N654" i="31"/>
  <c r="R656" i="31"/>
  <c r="N655" i="31"/>
  <c r="C654" i="31"/>
  <c r="J656" i="31"/>
  <c r="Q654" i="31"/>
  <c r="Q656" i="31"/>
  <c r="N672" i="31"/>
  <c r="H672" i="31"/>
  <c r="N670" i="31"/>
  <c r="R672" i="31"/>
  <c r="N671" i="31"/>
  <c r="C670" i="31"/>
  <c r="J672" i="31"/>
  <c r="Q670" i="31"/>
  <c r="Q672" i="31"/>
  <c r="N688" i="31"/>
  <c r="H688" i="31"/>
  <c r="N686" i="31"/>
  <c r="R688" i="31"/>
  <c r="N687" i="31"/>
  <c r="C686" i="31"/>
  <c r="J688" i="31"/>
  <c r="Q686" i="31"/>
  <c r="Q688" i="31"/>
  <c r="L775" i="31"/>
  <c r="L776" i="31"/>
  <c r="Q775" i="31"/>
  <c r="R774" i="31"/>
  <c r="D774" i="31"/>
  <c r="N776" i="31"/>
  <c r="R775" i="31"/>
  <c r="S774" i="31"/>
  <c r="F774" i="31"/>
  <c r="S776" i="31"/>
  <c r="S775" i="31"/>
  <c r="N774" i="31"/>
  <c r="R776" i="31"/>
  <c r="N775" i="31"/>
  <c r="J774" i="31"/>
  <c r="Q776" i="31"/>
  <c r="J775" i="31"/>
  <c r="H774" i="31"/>
  <c r="J776" i="31"/>
  <c r="H775" i="31"/>
  <c r="C774" i="31"/>
  <c r="F776" i="31"/>
  <c r="Q774" i="31"/>
  <c r="L797" i="31"/>
  <c r="L796" i="31"/>
  <c r="L984" i="31"/>
  <c r="H986" i="31"/>
  <c r="R986" i="31"/>
  <c r="H153" i="31"/>
  <c r="R160" i="31"/>
  <c r="S161" i="31"/>
  <c r="R162" i="31"/>
  <c r="H172" i="31"/>
  <c r="J173" i="31"/>
  <c r="L174" i="31"/>
  <c r="D176" i="31"/>
  <c r="H177" i="31"/>
  <c r="H178" i="31"/>
  <c r="R184" i="31"/>
  <c r="S185" i="31"/>
  <c r="R186" i="31"/>
  <c r="N390" i="31"/>
  <c r="N395" i="31"/>
  <c r="N470" i="31"/>
  <c r="D486" i="31"/>
  <c r="R488" i="31"/>
  <c r="D654" i="31"/>
  <c r="S656" i="31"/>
  <c r="Q666" i="31"/>
  <c r="D670" i="31"/>
  <c r="S672" i="31"/>
  <c r="Q682" i="31"/>
  <c r="D686" i="31"/>
  <c r="S688" i="31"/>
  <c r="F775" i="31"/>
  <c r="N503" i="31"/>
  <c r="L747" i="31"/>
  <c r="R748" i="31"/>
  <c r="F748" i="31"/>
  <c r="H747" i="31"/>
  <c r="N746" i="31"/>
  <c r="N747" i="31"/>
  <c r="L748" i="31"/>
  <c r="C750" i="31"/>
  <c r="R750" i="31"/>
  <c r="S751" i="31"/>
  <c r="R752" i="31"/>
  <c r="L759" i="31"/>
  <c r="R760" i="31"/>
  <c r="F760" i="31"/>
  <c r="H759" i="31"/>
  <c r="J758" i="31"/>
  <c r="Q758" i="31"/>
  <c r="Q759" i="31"/>
  <c r="N760" i="31"/>
  <c r="D762" i="31"/>
  <c r="F763" i="31"/>
  <c r="F764" i="31"/>
  <c r="S764" i="31"/>
  <c r="J766" i="31"/>
  <c r="R767" i="31"/>
  <c r="L783" i="31"/>
  <c r="Q784" i="31"/>
  <c r="S783" i="31"/>
  <c r="F783" i="31"/>
  <c r="H782" i="31"/>
  <c r="R784" i="31"/>
  <c r="F784" i="31"/>
  <c r="H783" i="31"/>
  <c r="J782" i="31"/>
  <c r="R782" i="31"/>
  <c r="H784" i="31"/>
  <c r="L838" i="31"/>
  <c r="R892" i="31"/>
  <c r="J896" i="31"/>
  <c r="R897" i="31"/>
  <c r="Q908" i="31"/>
  <c r="S909" i="31"/>
  <c r="Q922" i="31"/>
  <c r="L922" i="31"/>
  <c r="J921" i="31"/>
  <c r="J920" i="31"/>
  <c r="S922" i="31"/>
  <c r="R921" i="31"/>
  <c r="Q920" i="31"/>
  <c r="S921" i="31"/>
  <c r="R920" i="31"/>
  <c r="H921" i="31"/>
  <c r="N1024" i="31"/>
  <c r="J1024" i="31"/>
  <c r="H1023" i="31"/>
  <c r="F1022" i="31"/>
  <c r="S1024" i="31"/>
  <c r="F1024" i="31"/>
  <c r="R1022" i="31"/>
  <c r="C1022" i="31"/>
  <c r="H1024" i="31"/>
  <c r="N1022" i="31"/>
  <c r="R1023" i="31"/>
  <c r="H1022" i="31"/>
  <c r="L1024" i="31"/>
  <c r="Q1022" i="31"/>
  <c r="R1024" i="31"/>
  <c r="H750" i="31"/>
  <c r="H751" i="31"/>
  <c r="J762" i="31"/>
  <c r="J763" i="31"/>
  <c r="J764" i="31"/>
  <c r="L767" i="31"/>
  <c r="S768" i="31"/>
  <c r="H768" i="31"/>
  <c r="J767" i="31"/>
  <c r="N766" i="31"/>
  <c r="J768" i="31"/>
  <c r="N767" i="31"/>
  <c r="Q766" i="31"/>
  <c r="C766" i="31"/>
  <c r="S766" i="31"/>
  <c r="F768" i="31"/>
  <c r="H840" i="31"/>
  <c r="R856" i="31"/>
  <c r="Q856" i="31"/>
  <c r="D854" i="31"/>
  <c r="L854" i="31"/>
  <c r="Q894" i="31"/>
  <c r="L894" i="31"/>
  <c r="J893" i="31"/>
  <c r="J892" i="31"/>
  <c r="N894" i="31"/>
  <c r="Q893" i="31"/>
  <c r="Q892" i="31"/>
  <c r="F893" i="31"/>
  <c r="R894" i="31"/>
  <c r="R896" i="31"/>
  <c r="L898" i="31"/>
  <c r="S908" i="31"/>
  <c r="N762" i="31"/>
  <c r="N763" i="31"/>
  <c r="S896" i="31"/>
  <c r="Q910" i="31"/>
  <c r="H910" i="31"/>
  <c r="F909" i="31"/>
  <c r="F908" i="31"/>
  <c r="J910" i="31"/>
  <c r="H909" i="31"/>
  <c r="H908" i="31"/>
  <c r="J909" i="31"/>
  <c r="R910" i="31"/>
  <c r="R990" i="31"/>
  <c r="L988" i="31"/>
  <c r="H990" i="31"/>
  <c r="D988" i="31"/>
  <c r="N1052" i="31"/>
  <c r="L1052" i="31"/>
  <c r="N1051" i="31"/>
  <c r="H1050" i="31"/>
  <c r="S1052" i="31"/>
  <c r="F1052" i="31"/>
  <c r="R1050" i="31"/>
  <c r="C1050" i="31"/>
  <c r="Q1052" i="31"/>
  <c r="Q1051" i="31"/>
  <c r="N1050" i="31"/>
  <c r="F1051" i="31"/>
  <c r="R1052" i="31"/>
  <c r="Q1050" i="31"/>
  <c r="J1052" i="31"/>
  <c r="F1050" i="31"/>
  <c r="H1052" i="31"/>
  <c r="D1050" i="31"/>
  <c r="H1051" i="31"/>
  <c r="L763" i="31"/>
  <c r="N764" i="31"/>
  <c r="R763" i="31"/>
  <c r="S762" i="31"/>
  <c r="F762" i="31"/>
  <c r="Q762" i="31"/>
  <c r="Q763" i="31"/>
  <c r="Q764" i="31"/>
  <c r="R840" i="31"/>
  <c r="N838" i="31"/>
  <c r="L839" i="31"/>
  <c r="H844" i="31"/>
  <c r="R844" i="31"/>
  <c r="Q898" i="31"/>
  <c r="H898" i="31"/>
  <c r="F897" i="31"/>
  <c r="F896" i="31"/>
  <c r="J898" i="31"/>
  <c r="H897" i="31"/>
  <c r="H896" i="31"/>
  <c r="J897" i="31"/>
  <c r="R898" i="31"/>
  <c r="N1082" i="31"/>
  <c r="R1082" i="31"/>
  <c r="N1081" i="31"/>
  <c r="C1080" i="31"/>
  <c r="H1082" i="31"/>
  <c r="N1080" i="31"/>
  <c r="S1082" i="31"/>
  <c r="Q1081" i="31"/>
  <c r="D1080" i="31"/>
  <c r="F1082" i="31"/>
  <c r="F1081" i="31"/>
  <c r="Q1080" i="31"/>
  <c r="F1080" i="31"/>
  <c r="J1082" i="31"/>
  <c r="L751" i="31"/>
  <c r="N752" i="31"/>
  <c r="R751" i="31"/>
  <c r="S750" i="31"/>
  <c r="F750" i="31"/>
  <c r="Q750" i="31"/>
  <c r="Q751" i="31"/>
  <c r="Q752" i="31"/>
  <c r="C762" i="31"/>
  <c r="R762" i="31"/>
  <c r="S763" i="31"/>
  <c r="R764" i="31"/>
  <c r="D838" i="31"/>
  <c r="D896" i="31"/>
  <c r="Q897" i="31"/>
  <c r="S898" i="31"/>
  <c r="J908" i="31"/>
  <c r="R909" i="31"/>
  <c r="Q1082" i="31"/>
  <c r="N1098" i="31"/>
  <c r="R1098" i="31"/>
  <c r="N1097" i="31"/>
  <c r="C1096" i="31"/>
  <c r="H1098" i="31"/>
  <c r="N1096" i="31"/>
  <c r="S1098" i="31"/>
  <c r="Q1097" i="31"/>
  <c r="D1096" i="31"/>
  <c r="F1098" i="31"/>
  <c r="F1097" i="31"/>
  <c r="Q1096" i="31"/>
  <c r="F1096" i="31"/>
  <c r="J1098" i="31"/>
  <c r="C778" i="31"/>
  <c r="Q778" i="31"/>
  <c r="N779" i="31"/>
  <c r="J780" i="31"/>
  <c r="N874" i="31"/>
  <c r="D888" i="31"/>
  <c r="S888" i="31"/>
  <c r="S889" i="31"/>
  <c r="S890" i="31"/>
  <c r="D912" i="31"/>
  <c r="S912" i="31"/>
  <c r="S913" i="31"/>
  <c r="S914" i="31"/>
  <c r="D980" i="31"/>
  <c r="R982" i="31"/>
  <c r="N1036" i="31"/>
  <c r="R1036" i="31"/>
  <c r="J1036" i="31"/>
  <c r="H1035" i="31"/>
  <c r="F1034" i="31"/>
  <c r="S1036" i="31"/>
  <c r="F1036" i="31"/>
  <c r="R1034" i="31"/>
  <c r="C1034" i="31"/>
  <c r="N1035" i="31"/>
  <c r="N1040" i="31"/>
  <c r="L1040" i="31"/>
  <c r="N1039" i="31"/>
  <c r="H1038" i="31"/>
  <c r="S1040" i="31"/>
  <c r="F1040" i="31"/>
  <c r="R1038" i="31"/>
  <c r="C1038" i="31"/>
  <c r="Q1040" i="31"/>
  <c r="Q1039" i="31"/>
  <c r="N1038" i="31"/>
  <c r="R1039" i="31"/>
  <c r="H1042" i="31"/>
  <c r="C1054" i="31"/>
  <c r="D1076" i="31"/>
  <c r="D1092" i="31"/>
  <c r="N1120" i="31"/>
  <c r="Q1120" i="31"/>
  <c r="C1118" i="31"/>
  <c r="F1120" i="31"/>
  <c r="N1119" i="31"/>
  <c r="R1120" i="31"/>
  <c r="D1118" i="31"/>
  <c r="L1147" i="31"/>
  <c r="Q1148" i="31"/>
  <c r="S1147" i="31"/>
  <c r="F1147" i="31"/>
  <c r="H1146" i="31"/>
  <c r="N1148" i="31"/>
  <c r="R1147" i="31"/>
  <c r="S1146" i="31"/>
  <c r="F1146" i="31"/>
  <c r="L1148" i="31"/>
  <c r="Q1147" i="31"/>
  <c r="R1146" i="31"/>
  <c r="D1146" i="31"/>
  <c r="J1148" i="31"/>
  <c r="N1147" i="31"/>
  <c r="Q1146" i="31"/>
  <c r="C1146" i="31"/>
  <c r="R1148" i="31"/>
  <c r="F1148" i="31"/>
  <c r="H1147" i="31"/>
  <c r="J1146" i="31"/>
  <c r="N1044" i="31"/>
  <c r="H1044" i="31"/>
  <c r="F1043" i="31"/>
  <c r="D1042" i="31"/>
  <c r="Q1044" i="31"/>
  <c r="Q1043" i="31"/>
  <c r="N1042" i="31"/>
  <c r="J1044" i="31"/>
  <c r="H1043" i="31"/>
  <c r="F1042" i="31"/>
  <c r="R1043" i="31"/>
  <c r="N1074" i="31"/>
  <c r="R1074" i="31"/>
  <c r="N1073" i="31"/>
  <c r="C1072" i="31"/>
  <c r="H1074" i="31"/>
  <c r="N1072" i="31"/>
  <c r="S1074" i="31"/>
  <c r="Q1073" i="31"/>
  <c r="D1072" i="31"/>
  <c r="Q1074" i="31"/>
  <c r="N1090" i="31"/>
  <c r="R1090" i="31"/>
  <c r="N1089" i="31"/>
  <c r="C1088" i="31"/>
  <c r="H1090" i="31"/>
  <c r="N1088" i="31"/>
  <c r="S1090" i="31"/>
  <c r="Q1089" i="31"/>
  <c r="D1088" i="31"/>
  <c r="Q1090" i="31"/>
  <c r="N1106" i="31"/>
  <c r="R1106" i="31"/>
  <c r="N1105" i="31"/>
  <c r="C1104" i="31"/>
  <c r="H1106" i="31"/>
  <c r="N1104" i="31"/>
  <c r="S1106" i="31"/>
  <c r="Q1105" i="31"/>
  <c r="D1104" i="31"/>
  <c r="Q1106" i="31"/>
  <c r="N1118" i="31"/>
  <c r="N1146" i="31"/>
  <c r="N778" i="31"/>
  <c r="J779" i="31"/>
  <c r="H780" i="31"/>
  <c r="S780" i="31"/>
  <c r="R888" i="31"/>
  <c r="R889" i="31"/>
  <c r="R890" i="31"/>
  <c r="R912" i="31"/>
  <c r="R913" i="31"/>
  <c r="R914" i="31"/>
  <c r="C1042" i="31"/>
  <c r="F1044" i="31"/>
  <c r="N1056" i="31"/>
  <c r="H1056" i="31"/>
  <c r="F1055" i="31"/>
  <c r="D1054" i="31"/>
  <c r="Q1056" i="31"/>
  <c r="Q1055" i="31"/>
  <c r="N1054" i="31"/>
  <c r="J1056" i="31"/>
  <c r="H1055" i="31"/>
  <c r="F1054" i="31"/>
  <c r="R1055" i="31"/>
  <c r="F1072" i="31"/>
  <c r="N1078" i="31"/>
  <c r="H1078" i="31"/>
  <c r="N1076" i="31"/>
  <c r="R1078" i="31"/>
  <c r="N1077" i="31"/>
  <c r="C1076" i="31"/>
  <c r="J1078" i="31"/>
  <c r="Q1076" i="31"/>
  <c r="Q1078" i="31"/>
  <c r="F1088" i="31"/>
  <c r="N1094" i="31"/>
  <c r="H1094" i="31"/>
  <c r="N1092" i="31"/>
  <c r="R1094" i="31"/>
  <c r="N1093" i="31"/>
  <c r="C1092" i="31"/>
  <c r="J1094" i="31"/>
  <c r="Q1092" i="31"/>
  <c r="Q1094" i="31"/>
  <c r="F1104" i="31"/>
  <c r="N1116" i="31"/>
  <c r="N1115" i="31"/>
  <c r="R1116" i="31"/>
  <c r="Q1116" i="31"/>
  <c r="C1114" i="31"/>
  <c r="F1116" i="31"/>
  <c r="H1120" i="31"/>
  <c r="N1132" i="31"/>
  <c r="N1131" i="31"/>
  <c r="N1130" i="31"/>
  <c r="R1132" i="31"/>
  <c r="D1130" i="31"/>
  <c r="Q1132" i="31"/>
  <c r="C1130" i="31"/>
  <c r="F1132" i="31"/>
  <c r="J1147" i="31"/>
  <c r="C1058" i="31"/>
  <c r="R1058" i="31"/>
  <c r="F1060" i="31"/>
  <c r="S1060" i="31"/>
  <c r="D1126" i="31"/>
  <c r="R1128" i="31"/>
  <c r="D1134" i="31"/>
  <c r="R1136" i="31"/>
  <c r="D1142" i="31"/>
  <c r="R1144" i="31"/>
  <c r="F1150" i="31"/>
  <c r="F1151" i="31"/>
  <c r="H1152" i="31"/>
  <c r="F1058" i="31"/>
  <c r="H1059" i="31"/>
  <c r="J1060" i="31"/>
  <c r="N1127" i="31"/>
  <c r="N1135" i="31"/>
  <c r="N1143" i="31"/>
  <c r="J1150" i="31"/>
  <c r="N1151" i="31"/>
  <c r="L1152" i="31"/>
  <c r="F1128" i="31"/>
  <c r="N1150" i="31"/>
  <c r="Q1151" i="31"/>
  <c r="Q1152" i="31"/>
  <c r="H1128" i="31"/>
  <c r="H1136" i="31"/>
  <c r="H1144" i="31"/>
  <c r="C1150" i="31"/>
  <c r="Q1150" i="31"/>
  <c r="R1151" i="31"/>
  <c r="R1152" i="31"/>
  <c r="Q1058" i="31"/>
  <c r="R1059" i="31"/>
  <c r="R1060" i="31"/>
  <c r="C1126" i="31"/>
  <c r="Q1128" i="31"/>
  <c r="C1134" i="31"/>
  <c r="Q1136" i="31"/>
  <c r="C1142" i="31"/>
  <c r="Q1144" i="31"/>
  <c r="D1150" i="31"/>
  <c r="R1150" i="31"/>
  <c r="F1152" i="31"/>
  <c r="S1152" i="31"/>
  <c r="L1114" i="31"/>
  <c r="L1115" i="31"/>
  <c r="L1118" i="31"/>
  <c r="L1119" i="31"/>
  <c r="L1126" i="31"/>
  <c r="L1127" i="31"/>
  <c r="L1130" i="31"/>
  <c r="L1131" i="31"/>
  <c r="L1134" i="31"/>
  <c r="L1135" i="31"/>
  <c r="L1142" i="31"/>
  <c r="L1143" i="31"/>
  <c r="L1146" i="31"/>
  <c r="L1150" i="31"/>
  <c r="L1151" i="31"/>
  <c r="F1114" i="31"/>
  <c r="Q1114" i="31"/>
  <c r="F1115" i="31"/>
  <c r="Q1115" i="31"/>
  <c r="J1116" i="31"/>
  <c r="S1116" i="31"/>
  <c r="F1118" i="31"/>
  <c r="Q1118" i="31"/>
  <c r="F1119" i="31"/>
  <c r="Q1119" i="31"/>
  <c r="J1120" i="31"/>
  <c r="S1120" i="31"/>
  <c r="F1126" i="31"/>
  <c r="Q1126" i="31"/>
  <c r="F1127" i="31"/>
  <c r="Q1127" i="31"/>
  <c r="J1128" i="31"/>
  <c r="S1128" i="31"/>
  <c r="F1130" i="31"/>
  <c r="Q1130" i="31"/>
  <c r="F1131" i="31"/>
  <c r="Q1131" i="31"/>
  <c r="J1132" i="31"/>
  <c r="S1132" i="31"/>
  <c r="F1134" i="31"/>
  <c r="Q1134" i="31"/>
  <c r="F1135" i="31"/>
  <c r="Q1135" i="31"/>
  <c r="J1136" i="31"/>
  <c r="S1136" i="31"/>
  <c r="F1142" i="31"/>
  <c r="Q1142" i="31"/>
  <c r="F1143" i="31"/>
  <c r="Q1143" i="31"/>
  <c r="J1144" i="31"/>
  <c r="S1144" i="31"/>
  <c r="H1114" i="31"/>
  <c r="R1114" i="31"/>
  <c r="H1115" i="31"/>
  <c r="R1115" i="31"/>
  <c r="L1116" i="31"/>
  <c r="H1118" i="31"/>
  <c r="R1118" i="31"/>
  <c r="H1119" i="31"/>
  <c r="R1119" i="31"/>
  <c r="L1120" i="31"/>
  <c r="H1126" i="31"/>
  <c r="R1126" i="31"/>
  <c r="H1127" i="31"/>
  <c r="R1127" i="31"/>
  <c r="L1128" i="31"/>
  <c r="H1130" i="31"/>
  <c r="R1130" i="31"/>
  <c r="H1131" i="31"/>
  <c r="R1131" i="31"/>
  <c r="L1132" i="31"/>
  <c r="H1134" i="31"/>
  <c r="R1134" i="31"/>
  <c r="H1135" i="31"/>
  <c r="R1135" i="31"/>
  <c r="L1136" i="31"/>
  <c r="H1142" i="31"/>
  <c r="R1142" i="31"/>
  <c r="H1143" i="31"/>
  <c r="R1143" i="31"/>
  <c r="L1144" i="31"/>
  <c r="J1114" i="31"/>
  <c r="S1114" i="31"/>
  <c r="J1115" i="31"/>
  <c r="S1115" i="31"/>
  <c r="J1118" i="31"/>
  <c r="S1118" i="31"/>
  <c r="J1119" i="31"/>
  <c r="S1119" i="31"/>
  <c r="J1126" i="31"/>
  <c r="S1126" i="31"/>
  <c r="J1127" i="31"/>
  <c r="S1127" i="31"/>
  <c r="J1130" i="31"/>
  <c r="S1130" i="31"/>
  <c r="J1131" i="31"/>
  <c r="S1131" i="31"/>
  <c r="J1134" i="31"/>
  <c r="S1134" i="31"/>
  <c r="J1135" i="31"/>
  <c r="S1135" i="31"/>
  <c r="J1142" i="31"/>
  <c r="S1142" i="31"/>
  <c r="J1143" i="31"/>
  <c r="S1143" i="31"/>
  <c r="S1150" i="31"/>
  <c r="J1151" i="31"/>
  <c r="S1151" i="31"/>
  <c r="L1072" i="31"/>
  <c r="L1073" i="31"/>
  <c r="L1076" i="31"/>
  <c r="L1077" i="31"/>
  <c r="L1080" i="31"/>
  <c r="L1081" i="31"/>
  <c r="L1088" i="31"/>
  <c r="L1089" i="31"/>
  <c r="L1092" i="31"/>
  <c r="L1093" i="31"/>
  <c r="L1096" i="31"/>
  <c r="L1097" i="31"/>
  <c r="L1104" i="31"/>
  <c r="L1105" i="31"/>
  <c r="H1072" i="31"/>
  <c r="R1072" i="31"/>
  <c r="H1073" i="31"/>
  <c r="R1073" i="31"/>
  <c r="L1074" i="31"/>
  <c r="H1076" i="31"/>
  <c r="R1076" i="31"/>
  <c r="H1077" i="31"/>
  <c r="R1077" i="31"/>
  <c r="L1078" i="31"/>
  <c r="H1080" i="31"/>
  <c r="R1080" i="31"/>
  <c r="H1081" i="31"/>
  <c r="R1081" i="31"/>
  <c r="L1082" i="31"/>
  <c r="H1088" i="31"/>
  <c r="R1088" i="31"/>
  <c r="H1089" i="31"/>
  <c r="R1089" i="31"/>
  <c r="L1090" i="31"/>
  <c r="H1092" i="31"/>
  <c r="R1092" i="31"/>
  <c r="H1093" i="31"/>
  <c r="R1093" i="31"/>
  <c r="L1094" i="31"/>
  <c r="H1096" i="31"/>
  <c r="R1096" i="31"/>
  <c r="H1097" i="31"/>
  <c r="R1097" i="31"/>
  <c r="L1098" i="31"/>
  <c r="H1104" i="31"/>
  <c r="R1104" i="31"/>
  <c r="H1105" i="31"/>
  <c r="R1105" i="31"/>
  <c r="L1106" i="31"/>
  <c r="J1072" i="31"/>
  <c r="S1072" i="31"/>
  <c r="J1073" i="31"/>
  <c r="S1073" i="31"/>
  <c r="J1076" i="31"/>
  <c r="S1076" i="31"/>
  <c r="J1077" i="31"/>
  <c r="S1077" i="31"/>
  <c r="J1080" i="31"/>
  <c r="S1080" i="31"/>
  <c r="J1081" i="31"/>
  <c r="S1081" i="31"/>
  <c r="J1088" i="31"/>
  <c r="S1088" i="31"/>
  <c r="J1089" i="31"/>
  <c r="S1089" i="31"/>
  <c r="J1092" i="31"/>
  <c r="S1092" i="31"/>
  <c r="J1093" i="31"/>
  <c r="S1093" i="31"/>
  <c r="J1096" i="31"/>
  <c r="S1096" i="31"/>
  <c r="J1097" i="31"/>
  <c r="S1097" i="31"/>
  <c r="J1104" i="31"/>
  <c r="S1104" i="31"/>
  <c r="J1105" i="31"/>
  <c r="S1105" i="31"/>
  <c r="L1022" i="31"/>
  <c r="L1023" i="31"/>
  <c r="L1026" i="31"/>
  <c r="L1027" i="31"/>
  <c r="L1034" i="31"/>
  <c r="L1035" i="31"/>
  <c r="L1038" i="31"/>
  <c r="L1039" i="31"/>
  <c r="L1042" i="31"/>
  <c r="L1043" i="31"/>
  <c r="L1050" i="31"/>
  <c r="L1051" i="31"/>
  <c r="L1054" i="31"/>
  <c r="L1055" i="31"/>
  <c r="L1058" i="31"/>
  <c r="L1059" i="31"/>
  <c r="J1022" i="31"/>
  <c r="S1022" i="31"/>
  <c r="J1023" i="31"/>
  <c r="S1023" i="31"/>
  <c r="J1026" i="31"/>
  <c r="S1026" i="31"/>
  <c r="J1027" i="31"/>
  <c r="S1027" i="31"/>
  <c r="J1034" i="31"/>
  <c r="S1034" i="31"/>
  <c r="J1035" i="31"/>
  <c r="S1035" i="31"/>
  <c r="J1038" i="31"/>
  <c r="S1038" i="31"/>
  <c r="J1039" i="31"/>
  <c r="S1039" i="31"/>
  <c r="J1042" i="31"/>
  <c r="S1042" i="31"/>
  <c r="J1043" i="31"/>
  <c r="S1043" i="31"/>
  <c r="J1050" i="31"/>
  <c r="S1050" i="31"/>
  <c r="J1051" i="31"/>
  <c r="S1051" i="31"/>
  <c r="J1054" i="31"/>
  <c r="S1054" i="31"/>
  <c r="J1055" i="31"/>
  <c r="S1055" i="31"/>
  <c r="J1058" i="31"/>
  <c r="S1058" i="31"/>
  <c r="J1059" i="31"/>
  <c r="S1059" i="31"/>
  <c r="F977" i="31"/>
  <c r="N990" i="31"/>
  <c r="S989" i="31"/>
  <c r="J989" i="31"/>
  <c r="S988" i="31"/>
  <c r="J988" i="31"/>
  <c r="L990" i="31"/>
  <c r="R989" i="31"/>
  <c r="H989" i="31"/>
  <c r="R988" i="31"/>
  <c r="H988" i="31"/>
  <c r="S990" i="31"/>
  <c r="J990" i="31"/>
  <c r="Q989" i="31"/>
  <c r="F989" i="31"/>
  <c r="Q988" i="31"/>
  <c r="F988" i="31"/>
  <c r="Q990" i="31"/>
  <c r="F990" i="31"/>
  <c r="N989" i="31"/>
  <c r="N988" i="31"/>
  <c r="C988" i="31"/>
  <c r="L989" i="31"/>
  <c r="L981" i="31"/>
  <c r="N1002" i="31"/>
  <c r="S1001" i="31"/>
  <c r="J1001" i="31"/>
  <c r="S1000" i="31"/>
  <c r="J1000" i="31"/>
  <c r="L1002" i="31"/>
  <c r="R1001" i="31"/>
  <c r="H1001" i="31"/>
  <c r="R1000" i="31"/>
  <c r="H1000" i="31"/>
  <c r="H1002" i="31"/>
  <c r="S1002" i="31"/>
  <c r="J1002" i="31"/>
  <c r="Q1001" i="31"/>
  <c r="F1001" i="31"/>
  <c r="Q1000" i="31"/>
  <c r="F1000" i="31"/>
  <c r="R1002" i="31"/>
  <c r="D1000" i="31"/>
  <c r="Q1002" i="31"/>
  <c r="F1002" i="31"/>
  <c r="N1001" i="31"/>
  <c r="N1000" i="31"/>
  <c r="C1000" i="31"/>
  <c r="L1000" i="31"/>
  <c r="N1006" i="31"/>
  <c r="S1005" i="31"/>
  <c r="J1005" i="31"/>
  <c r="S1004" i="31"/>
  <c r="J1004" i="31"/>
  <c r="L1006" i="31"/>
  <c r="R1005" i="31"/>
  <c r="H1005" i="31"/>
  <c r="R1004" i="31"/>
  <c r="H1004" i="31"/>
  <c r="S1006" i="31"/>
  <c r="J1006" i="31"/>
  <c r="Q1005" i="31"/>
  <c r="F1005" i="31"/>
  <c r="Q1004" i="31"/>
  <c r="F1004" i="31"/>
  <c r="R1006" i="31"/>
  <c r="H1006" i="31"/>
  <c r="D1004" i="31"/>
  <c r="Q1006" i="31"/>
  <c r="F1006" i="31"/>
  <c r="N1005" i="31"/>
  <c r="N1004" i="31"/>
  <c r="C1004" i="31"/>
  <c r="N982" i="31"/>
  <c r="S981" i="31"/>
  <c r="J981" i="31"/>
  <c r="S980" i="31"/>
  <c r="J980" i="31"/>
  <c r="L982" i="31"/>
  <c r="R981" i="31"/>
  <c r="H981" i="31"/>
  <c r="R980" i="31"/>
  <c r="H980" i="31"/>
  <c r="S982" i="31"/>
  <c r="J982" i="31"/>
  <c r="Q981" i="31"/>
  <c r="F981" i="31"/>
  <c r="Q980" i="31"/>
  <c r="F980" i="31"/>
  <c r="Q982" i="31"/>
  <c r="F982" i="31"/>
  <c r="N981" i="31"/>
  <c r="N980" i="31"/>
  <c r="C980" i="31"/>
  <c r="L980" i="31"/>
  <c r="N986" i="31"/>
  <c r="S985" i="31"/>
  <c r="J985" i="31"/>
  <c r="S984" i="31"/>
  <c r="J984" i="31"/>
  <c r="L986" i="31"/>
  <c r="R985" i="31"/>
  <c r="H985" i="31"/>
  <c r="R984" i="31"/>
  <c r="H984" i="31"/>
  <c r="S986" i="31"/>
  <c r="J986" i="31"/>
  <c r="Q985" i="31"/>
  <c r="F985" i="31"/>
  <c r="Q984" i="31"/>
  <c r="F984" i="31"/>
  <c r="Q986" i="31"/>
  <c r="F986" i="31"/>
  <c r="N985" i="31"/>
  <c r="N984" i="31"/>
  <c r="C984" i="31"/>
  <c r="L985" i="31"/>
  <c r="N998" i="31"/>
  <c r="S997" i="31"/>
  <c r="J997" i="31"/>
  <c r="S996" i="31"/>
  <c r="J996" i="31"/>
  <c r="L998" i="31"/>
  <c r="R997" i="31"/>
  <c r="H997" i="31"/>
  <c r="R996" i="31"/>
  <c r="H996" i="31"/>
  <c r="S998" i="31"/>
  <c r="J998" i="31"/>
  <c r="Q997" i="31"/>
  <c r="F997" i="31"/>
  <c r="Q996" i="31"/>
  <c r="F996" i="31"/>
  <c r="R998" i="31"/>
  <c r="H998" i="31"/>
  <c r="Q998" i="31"/>
  <c r="F998" i="31"/>
  <c r="N997" i="31"/>
  <c r="N996" i="31"/>
  <c r="C996" i="31"/>
  <c r="L997" i="31"/>
  <c r="L1004" i="31"/>
  <c r="H982" i="31"/>
  <c r="D984" i="31"/>
  <c r="D996" i="31"/>
  <c r="L1001" i="31"/>
  <c r="L1012" i="31"/>
  <c r="L1013" i="31"/>
  <c r="C1012" i="31"/>
  <c r="N1012" i="31"/>
  <c r="N1013" i="31"/>
  <c r="F1014" i="31"/>
  <c r="Q1014" i="31"/>
  <c r="H1014" i="31"/>
  <c r="R1014" i="31"/>
  <c r="D1012" i="31"/>
  <c r="F1012" i="31"/>
  <c r="Q1012" i="31"/>
  <c r="F1013" i="31"/>
  <c r="Q1013" i="31"/>
  <c r="J1014" i="31"/>
  <c r="S1014" i="31"/>
  <c r="H1012" i="31"/>
  <c r="R1012" i="31"/>
  <c r="H1013" i="31"/>
  <c r="R1013" i="31"/>
  <c r="L1014" i="31"/>
  <c r="J1012" i="31"/>
  <c r="S1012" i="31"/>
  <c r="J1013" i="31"/>
  <c r="S1013" i="31"/>
  <c r="N952" i="31"/>
  <c r="S951" i="31"/>
  <c r="J951" i="31"/>
  <c r="S950" i="31"/>
  <c r="J950" i="31"/>
  <c r="L952" i="31"/>
  <c r="R951" i="31"/>
  <c r="H951" i="31"/>
  <c r="R950" i="31"/>
  <c r="H950" i="31"/>
  <c r="S952" i="31"/>
  <c r="J952" i="31"/>
  <c r="Q951" i="31"/>
  <c r="F951" i="31"/>
  <c r="Q950" i="31"/>
  <c r="F950" i="31"/>
  <c r="L951" i="31"/>
  <c r="R952" i="31"/>
  <c r="H952" i="31"/>
  <c r="D950" i="31"/>
  <c r="Q952" i="31"/>
  <c r="F952" i="31"/>
  <c r="N951" i="31"/>
  <c r="N950" i="31"/>
  <c r="C950" i="31"/>
  <c r="N944" i="31"/>
  <c r="S943" i="31"/>
  <c r="J943" i="31"/>
  <c r="S942" i="31"/>
  <c r="J942" i="31"/>
  <c r="L944" i="31"/>
  <c r="R943" i="31"/>
  <c r="H943" i="31"/>
  <c r="R942" i="31"/>
  <c r="H942" i="31"/>
  <c r="S944" i="31"/>
  <c r="J944" i="31"/>
  <c r="Q943" i="31"/>
  <c r="F943" i="31"/>
  <c r="Q942" i="31"/>
  <c r="F942" i="31"/>
  <c r="R944" i="31"/>
  <c r="H944" i="31"/>
  <c r="D942" i="31"/>
  <c r="Q944" i="31"/>
  <c r="F944" i="31"/>
  <c r="N943" i="31"/>
  <c r="N942" i="31"/>
  <c r="C942" i="31"/>
  <c r="N948" i="31"/>
  <c r="S947" i="31"/>
  <c r="J947" i="31"/>
  <c r="S946" i="31"/>
  <c r="J946" i="31"/>
  <c r="L948" i="31"/>
  <c r="R947" i="31"/>
  <c r="H947" i="31"/>
  <c r="R946" i="31"/>
  <c r="H946" i="31"/>
  <c r="S948" i="31"/>
  <c r="J948" i="31"/>
  <c r="Q947" i="31"/>
  <c r="F947" i="31"/>
  <c r="Q946" i="31"/>
  <c r="F946" i="31"/>
  <c r="R948" i="31"/>
  <c r="H948" i="31"/>
  <c r="D946" i="31"/>
  <c r="Q948" i="31"/>
  <c r="F948" i="31"/>
  <c r="N947" i="31"/>
  <c r="N946" i="31"/>
  <c r="C946" i="31"/>
  <c r="N932" i="31"/>
  <c r="S931" i="31"/>
  <c r="J931" i="31"/>
  <c r="S930" i="31"/>
  <c r="J930" i="31"/>
  <c r="L932" i="31"/>
  <c r="R931" i="31"/>
  <c r="H931" i="31"/>
  <c r="R930" i="31"/>
  <c r="H930" i="31"/>
  <c r="S932" i="31"/>
  <c r="J932" i="31"/>
  <c r="Q931" i="31"/>
  <c r="F931" i="31"/>
  <c r="Q930" i="31"/>
  <c r="F930" i="31"/>
  <c r="R932" i="31"/>
  <c r="H932" i="31"/>
  <c r="D930" i="31"/>
  <c r="Q932" i="31"/>
  <c r="F932" i="31"/>
  <c r="N931" i="31"/>
  <c r="N930" i="31"/>
  <c r="C930" i="31"/>
  <c r="L943" i="31"/>
  <c r="L950" i="31"/>
  <c r="L942" i="31"/>
  <c r="L930" i="31"/>
  <c r="N936" i="31"/>
  <c r="S935" i="31"/>
  <c r="J935" i="31"/>
  <c r="S934" i="31"/>
  <c r="J934" i="31"/>
  <c r="L936" i="31"/>
  <c r="R935" i="31"/>
  <c r="H935" i="31"/>
  <c r="R934" i="31"/>
  <c r="H934" i="31"/>
  <c r="S936" i="31"/>
  <c r="J936" i="31"/>
  <c r="Q935" i="31"/>
  <c r="F935" i="31"/>
  <c r="Q934" i="31"/>
  <c r="F934" i="31"/>
  <c r="R936" i="31"/>
  <c r="H936" i="31"/>
  <c r="D934" i="31"/>
  <c r="Q936" i="31"/>
  <c r="F936" i="31"/>
  <c r="N935" i="31"/>
  <c r="N934" i="31"/>
  <c r="C934" i="31"/>
  <c r="L947" i="31"/>
  <c r="L963" i="31"/>
  <c r="C958" i="31"/>
  <c r="N958" i="31"/>
  <c r="N959" i="31"/>
  <c r="F960" i="31"/>
  <c r="Q960" i="31"/>
  <c r="C962" i="31"/>
  <c r="N962" i="31"/>
  <c r="N963" i="31"/>
  <c r="F964" i="31"/>
  <c r="Q964" i="31"/>
  <c r="C966" i="31"/>
  <c r="N966" i="31"/>
  <c r="N967" i="31"/>
  <c r="F968" i="31"/>
  <c r="Q968" i="31"/>
  <c r="D958" i="31"/>
  <c r="H960" i="31"/>
  <c r="R960" i="31"/>
  <c r="D962" i="31"/>
  <c r="H964" i="31"/>
  <c r="R964" i="31"/>
  <c r="D966" i="31"/>
  <c r="H968" i="31"/>
  <c r="R968" i="31"/>
  <c r="L959" i="31"/>
  <c r="L962" i="31"/>
  <c r="F958" i="31"/>
  <c r="Q958" i="31"/>
  <c r="F959" i="31"/>
  <c r="Q959" i="31"/>
  <c r="J960" i="31"/>
  <c r="S960" i="31"/>
  <c r="F962" i="31"/>
  <c r="Q962" i="31"/>
  <c r="F963" i="31"/>
  <c r="Q963" i="31"/>
  <c r="J964" i="31"/>
  <c r="S964" i="31"/>
  <c r="F966" i="31"/>
  <c r="Q966" i="31"/>
  <c r="F967" i="31"/>
  <c r="Q967" i="31"/>
  <c r="J968" i="31"/>
  <c r="S968" i="31"/>
  <c r="L966" i="31"/>
  <c r="L967" i="31"/>
  <c r="H958" i="31"/>
  <c r="R958" i="31"/>
  <c r="H959" i="31"/>
  <c r="R959" i="31"/>
  <c r="L960" i="31"/>
  <c r="H962" i="31"/>
  <c r="R962" i="31"/>
  <c r="H963" i="31"/>
  <c r="R963" i="31"/>
  <c r="L964" i="31"/>
  <c r="H966" i="31"/>
  <c r="R966" i="31"/>
  <c r="H967" i="31"/>
  <c r="R967" i="31"/>
  <c r="L968" i="31"/>
  <c r="L958" i="31"/>
  <c r="J958" i="31"/>
  <c r="S958" i="31"/>
  <c r="J959" i="31"/>
  <c r="S959" i="31"/>
  <c r="J962" i="31"/>
  <c r="S962" i="31"/>
  <c r="J963" i="31"/>
  <c r="S963" i="31"/>
  <c r="J966" i="31"/>
  <c r="S966" i="31"/>
  <c r="J967" i="31"/>
  <c r="S967" i="31"/>
  <c r="L888" i="31"/>
  <c r="L889" i="31"/>
  <c r="L892" i="31"/>
  <c r="L893" i="31"/>
  <c r="L896" i="31"/>
  <c r="L897" i="31"/>
  <c r="L904" i="31"/>
  <c r="L905" i="31"/>
  <c r="L908" i="31"/>
  <c r="L909" i="31"/>
  <c r="L912" i="31"/>
  <c r="L913" i="31"/>
  <c r="L920" i="31"/>
  <c r="L921" i="31"/>
  <c r="C888" i="31"/>
  <c r="N888" i="31"/>
  <c r="N889" i="31"/>
  <c r="F890" i="31"/>
  <c r="C892" i="31"/>
  <c r="N892" i="31"/>
  <c r="N893" i="31"/>
  <c r="F894" i="31"/>
  <c r="C896" i="31"/>
  <c r="N896" i="31"/>
  <c r="N897" i="31"/>
  <c r="F898" i="31"/>
  <c r="C904" i="31"/>
  <c r="N904" i="31"/>
  <c r="N905" i="31"/>
  <c r="F906" i="31"/>
  <c r="C908" i="31"/>
  <c r="N908" i="31"/>
  <c r="N909" i="31"/>
  <c r="F910" i="31"/>
  <c r="C912" i="31"/>
  <c r="N912" i="31"/>
  <c r="N913" i="31"/>
  <c r="F914" i="31"/>
  <c r="C920" i="31"/>
  <c r="N920" i="31"/>
  <c r="N921" i="31"/>
  <c r="F922" i="31"/>
  <c r="C838" i="31"/>
  <c r="F840" i="31"/>
  <c r="N842" i="31"/>
  <c r="N843" i="31"/>
  <c r="Q844" i="31"/>
  <c r="N850" i="31"/>
  <c r="N851" i="31"/>
  <c r="Q852" i="31"/>
  <c r="C854" i="31"/>
  <c r="F856" i="31"/>
  <c r="N858" i="31"/>
  <c r="N859" i="31"/>
  <c r="N868" i="31"/>
  <c r="S867" i="31"/>
  <c r="J867" i="31"/>
  <c r="S866" i="31"/>
  <c r="J866" i="31"/>
  <c r="R868" i="31"/>
  <c r="D866" i="31"/>
  <c r="L868" i="31"/>
  <c r="R867" i="31"/>
  <c r="H867" i="31"/>
  <c r="R866" i="31"/>
  <c r="H866" i="31"/>
  <c r="H868" i="31"/>
  <c r="S868" i="31"/>
  <c r="J868" i="31"/>
  <c r="Q867" i="31"/>
  <c r="F867" i="31"/>
  <c r="Q866" i="31"/>
  <c r="F866" i="31"/>
  <c r="L867" i="31"/>
  <c r="N860" i="31"/>
  <c r="S859" i="31"/>
  <c r="J859" i="31"/>
  <c r="S858" i="31"/>
  <c r="J858" i="31"/>
  <c r="L860" i="31"/>
  <c r="R859" i="31"/>
  <c r="H859" i="31"/>
  <c r="R858" i="31"/>
  <c r="H858" i="31"/>
  <c r="S860" i="31"/>
  <c r="J860" i="31"/>
  <c r="Q859" i="31"/>
  <c r="F859" i="31"/>
  <c r="Q858" i="31"/>
  <c r="F858" i="31"/>
  <c r="L871" i="31"/>
  <c r="C842" i="31"/>
  <c r="F844" i="31"/>
  <c r="C850" i="31"/>
  <c r="C858" i="31"/>
  <c r="F860" i="31"/>
  <c r="C870" i="31"/>
  <c r="N871" i="31"/>
  <c r="N852" i="31"/>
  <c r="S851" i="31"/>
  <c r="J851" i="31"/>
  <c r="S850" i="31"/>
  <c r="J850" i="31"/>
  <c r="L852" i="31"/>
  <c r="R851" i="31"/>
  <c r="H851" i="31"/>
  <c r="R850" i="31"/>
  <c r="H850" i="31"/>
  <c r="S852" i="31"/>
  <c r="J852" i="31"/>
  <c r="Q851" i="31"/>
  <c r="F851" i="31"/>
  <c r="Q850" i="31"/>
  <c r="F850" i="31"/>
  <c r="D842" i="31"/>
  <c r="D850" i="31"/>
  <c r="H852" i="31"/>
  <c r="D858" i="31"/>
  <c r="H860" i="31"/>
  <c r="N876" i="31"/>
  <c r="S875" i="31"/>
  <c r="J875" i="31"/>
  <c r="S874" i="31"/>
  <c r="J874" i="31"/>
  <c r="H876" i="31"/>
  <c r="D874" i="31"/>
  <c r="L876" i="31"/>
  <c r="R875" i="31"/>
  <c r="H875" i="31"/>
  <c r="R874" i="31"/>
  <c r="H874" i="31"/>
  <c r="S876" i="31"/>
  <c r="J876" i="31"/>
  <c r="Q875" i="31"/>
  <c r="F875" i="31"/>
  <c r="Q874" i="31"/>
  <c r="F874" i="31"/>
  <c r="R876" i="31"/>
  <c r="L875" i="31"/>
  <c r="L877" i="31" s="1"/>
  <c r="N844" i="31"/>
  <c r="S843" i="31"/>
  <c r="J843" i="31"/>
  <c r="S842" i="31"/>
  <c r="J842" i="31"/>
  <c r="L844" i="31"/>
  <c r="R843" i="31"/>
  <c r="H843" i="31"/>
  <c r="R842" i="31"/>
  <c r="H842" i="31"/>
  <c r="S844" i="31"/>
  <c r="J844" i="31"/>
  <c r="Q843" i="31"/>
  <c r="F843" i="31"/>
  <c r="Q842" i="31"/>
  <c r="F842" i="31"/>
  <c r="N872" i="31"/>
  <c r="S871" i="31"/>
  <c r="J871" i="31"/>
  <c r="S870" i="31"/>
  <c r="J870" i="31"/>
  <c r="R872" i="31"/>
  <c r="H872" i="31"/>
  <c r="L872" i="31"/>
  <c r="R871" i="31"/>
  <c r="H871" i="31"/>
  <c r="R870" i="31"/>
  <c r="H870" i="31"/>
  <c r="S872" i="31"/>
  <c r="J872" i="31"/>
  <c r="Q871" i="31"/>
  <c r="F871" i="31"/>
  <c r="Q870" i="31"/>
  <c r="F870" i="31"/>
  <c r="D870" i="31"/>
  <c r="N840" i="31"/>
  <c r="S839" i="31"/>
  <c r="J839" i="31"/>
  <c r="S838" i="31"/>
  <c r="J838" i="31"/>
  <c r="L840" i="31"/>
  <c r="R839" i="31"/>
  <c r="H839" i="31"/>
  <c r="R838" i="31"/>
  <c r="H838" i="31"/>
  <c r="S840" i="31"/>
  <c r="J840" i="31"/>
  <c r="Q839" i="31"/>
  <c r="F839" i="31"/>
  <c r="Q838" i="31"/>
  <c r="F838" i="31"/>
  <c r="L842" i="31"/>
  <c r="L843" i="31"/>
  <c r="L850" i="31"/>
  <c r="L851" i="31"/>
  <c r="N856" i="31"/>
  <c r="S855" i="31"/>
  <c r="J855" i="31"/>
  <c r="S854" i="31"/>
  <c r="J854" i="31"/>
  <c r="L856" i="31"/>
  <c r="R855" i="31"/>
  <c r="H855" i="31"/>
  <c r="R854" i="31"/>
  <c r="H854" i="31"/>
  <c r="S856" i="31"/>
  <c r="J856" i="31"/>
  <c r="Q855" i="31"/>
  <c r="F855" i="31"/>
  <c r="Q854" i="31"/>
  <c r="F854" i="31"/>
  <c r="L858" i="31"/>
  <c r="L859" i="31"/>
  <c r="N870" i="31"/>
  <c r="F872" i="31"/>
  <c r="C874" i="31"/>
  <c r="N875" i="31"/>
  <c r="N798" i="31"/>
  <c r="S797" i="31"/>
  <c r="J797" i="31"/>
  <c r="S796" i="31"/>
  <c r="J796" i="31"/>
  <c r="L798" i="31"/>
  <c r="R797" i="31"/>
  <c r="H797" i="31"/>
  <c r="R796" i="31"/>
  <c r="H796" i="31"/>
  <c r="S798" i="31"/>
  <c r="J798" i="31"/>
  <c r="Q797" i="31"/>
  <c r="F797" i="31"/>
  <c r="Q796" i="31"/>
  <c r="F796" i="31"/>
  <c r="R798" i="31"/>
  <c r="H798" i="31"/>
  <c r="D796" i="31"/>
  <c r="Q798" i="31"/>
  <c r="F798" i="31"/>
  <c r="N797" i="31"/>
  <c r="N796" i="31"/>
  <c r="C796" i="31"/>
  <c r="L804" i="31"/>
  <c r="L805" i="31"/>
  <c r="L828" i="31"/>
  <c r="C800" i="31"/>
  <c r="N800" i="31"/>
  <c r="N801" i="31"/>
  <c r="F802" i="31"/>
  <c r="Q802" i="31"/>
  <c r="C804" i="31"/>
  <c r="N804" i="31"/>
  <c r="N805" i="31"/>
  <c r="F806" i="31"/>
  <c r="Q806" i="31"/>
  <c r="C812" i="31"/>
  <c r="N812" i="31"/>
  <c r="N813" i="31"/>
  <c r="F814" i="31"/>
  <c r="Q814" i="31"/>
  <c r="C816" i="31"/>
  <c r="N816" i="31"/>
  <c r="N817" i="31"/>
  <c r="F818" i="31"/>
  <c r="Q818" i="31"/>
  <c r="C820" i="31"/>
  <c r="N820" i="31"/>
  <c r="N821" i="31"/>
  <c r="F822" i="31"/>
  <c r="Q822" i="31"/>
  <c r="C828" i="31"/>
  <c r="N828" i="31"/>
  <c r="N829" i="31"/>
  <c r="F830" i="31"/>
  <c r="Q830" i="31"/>
  <c r="D800" i="31"/>
  <c r="H802" i="31"/>
  <c r="R802" i="31"/>
  <c r="D804" i="31"/>
  <c r="H806" i="31"/>
  <c r="R806" i="31"/>
  <c r="D812" i="31"/>
  <c r="H814" i="31"/>
  <c r="R814" i="31"/>
  <c r="D816" i="31"/>
  <c r="H818" i="31"/>
  <c r="R818" i="31"/>
  <c r="D820" i="31"/>
  <c r="H822" i="31"/>
  <c r="R822" i="31"/>
  <c r="D828" i="31"/>
  <c r="H830" i="31"/>
  <c r="R830" i="31"/>
  <c r="L820" i="31"/>
  <c r="L821" i="31"/>
  <c r="F800" i="31"/>
  <c r="Q800" i="31"/>
  <c r="F801" i="31"/>
  <c r="Q801" i="31"/>
  <c r="J802" i="31"/>
  <c r="S802" i="31"/>
  <c r="F804" i="31"/>
  <c r="Q804" i="31"/>
  <c r="F805" i="31"/>
  <c r="Q805" i="31"/>
  <c r="J806" i="31"/>
  <c r="S806" i="31"/>
  <c r="F812" i="31"/>
  <c r="Q812" i="31"/>
  <c r="F813" i="31"/>
  <c r="Q813" i="31"/>
  <c r="J814" i="31"/>
  <c r="S814" i="31"/>
  <c r="F816" i="31"/>
  <c r="Q816" i="31"/>
  <c r="F817" i="31"/>
  <c r="Q817" i="31"/>
  <c r="J818" i="31"/>
  <c r="S818" i="31"/>
  <c r="F820" i="31"/>
  <c r="Q820" i="31"/>
  <c r="F821" i="31"/>
  <c r="Q821" i="31"/>
  <c r="J822" i="31"/>
  <c r="S822" i="31"/>
  <c r="F828" i="31"/>
  <c r="Q828" i="31"/>
  <c r="F829" i="31"/>
  <c r="Q829" i="31"/>
  <c r="J830" i="31"/>
  <c r="S830" i="31"/>
  <c r="L800" i="31"/>
  <c r="L812" i="31"/>
  <c r="L813" i="31"/>
  <c r="L816" i="31"/>
  <c r="L817" i="31"/>
  <c r="H800" i="31"/>
  <c r="R800" i="31"/>
  <c r="H801" i="31"/>
  <c r="R801" i="31"/>
  <c r="L802" i="31"/>
  <c r="H804" i="31"/>
  <c r="R804" i="31"/>
  <c r="H805" i="31"/>
  <c r="R805" i="31"/>
  <c r="L806" i="31"/>
  <c r="H812" i="31"/>
  <c r="R812" i="31"/>
  <c r="H813" i="31"/>
  <c r="R813" i="31"/>
  <c r="L814" i="31"/>
  <c r="H816" i="31"/>
  <c r="R816" i="31"/>
  <c r="H817" i="31"/>
  <c r="R817" i="31"/>
  <c r="L818" i="31"/>
  <c r="H820" i="31"/>
  <c r="R820" i="31"/>
  <c r="H821" i="31"/>
  <c r="R821" i="31"/>
  <c r="L822" i="31"/>
  <c r="H828" i="31"/>
  <c r="R828" i="31"/>
  <c r="H829" i="31"/>
  <c r="R829" i="31"/>
  <c r="L830" i="31"/>
  <c r="L801" i="31"/>
  <c r="L829" i="31"/>
  <c r="J800" i="31"/>
  <c r="S800" i="31"/>
  <c r="J801" i="31"/>
  <c r="S801" i="31"/>
  <c r="J804" i="31"/>
  <c r="S804" i="31"/>
  <c r="J805" i="31"/>
  <c r="S805" i="31"/>
  <c r="J812" i="31"/>
  <c r="S812" i="31"/>
  <c r="J813" i="31"/>
  <c r="S813" i="31"/>
  <c r="J816" i="31"/>
  <c r="S816" i="31"/>
  <c r="J817" i="31"/>
  <c r="S817" i="31"/>
  <c r="J820" i="31"/>
  <c r="S820" i="31"/>
  <c r="J821" i="31"/>
  <c r="S821" i="31"/>
  <c r="J828" i="31"/>
  <c r="S828" i="31"/>
  <c r="J829" i="31"/>
  <c r="S829" i="31"/>
  <c r="L746" i="31"/>
  <c r="L750" i="31"/>
  <c r="L758" i="31"/>
  <c r="L762" i="31"/>
  <c r="L766" i="31"/>
  <c r="L774" i="31"/>
  <c r="L778" i="31"/>
  <c r="L782" i="31"/>
  <c r="N710" i="31"/>
  <c r="S709" i="31"/>
  <c r="J709" i="31"/>
  <c r="S708" i="31"/>
  <c r="J708" i="31"/>
  <c r="L710" i="31"/>
  <c r="R709" i="31"/>
  <c r="H709" i="31"/>
  <c r="R708" i="31"/>
  <c r="H708" i="31"/>
  <c r="S710" i="31"/>
  <c r="J710" i="31"/>
  <c r="Q709" i="31"/>
  <c r="F709" i="31"/>
  <c r="Q708" i="31"/>
  <c r="F708" i="31"/>
  <c r="R710" i="31"/>
  <c r="H710" i="31"/>
  <c r="D708" i="31"/>
  <c r="Q710" i="31"/>
  <c r="F710" i="31"/>
  <c r="N709" i="31"/>
  <c r="N708" i="31"/>
  <c r="C708" i="31"/>
  <c r="L704" i="31"/>
  <c r="L708" i="31"/>
  <c r="N714" i="31"/>
  <c r="S713" i="31"/>
  <c r="J713" i="31"/>
  <c r="S712" i="31"/>
  <c r="J712" i="31"/>
  <c r="L714" i="31"/>
  <c r="R713" i="31"/>
  <c r="H713" i="31"/>
  <c r="R712" i="31"/>
  <c r="H712" i="31"/>
  <c r="S714" i="31"/>
  <c r="J714" i="31"/>
  <c r="Q713" i="31"/>
  <c r="F713" i="31"/>
  <c r="Q712" i="31"/>
  <c r="F712" i="31"/>
  <c r="R714" i="31"/>
  <c r="H714" i="31"/>
  <c r="D712" i="31"/>
  <c r="L713" i="31"/>
  <c r="Q714" i="31"/>
  <c r="F714" i="31"/>
  <c r="N713" i="31"/>
  <c r="N712" i="31"/>
  <c r="C712" i="31"/>
  <c r="L712" i="31"/>
  <c r="N706" i="31"/>
  <c r="S705" i="31"/>
  <c r="J705" i="31"/>
  <c r="S704" i="31"/>
  <c r="J704" i="31"/>
  <c r="L706" i="31"/>
  <c r="R705" i="31"/>
  <c r="H705" i="31"/>
  <c r="R704" i="31"/>
  <c r="H704" i="31"/>
  <c r="S706" i="31"/>
  <c r="J706" i="31"/>
  <c r="Q705" i="31"/>
  <c r="F705" i="31"/>
  <c r="Q704" i="31"/>
  <c r="F704" i="31"/>
  <c r="R706" i="31"/>
  <c r="H706" i="31"/>
  <c r="D704" i="31"/>
  <c r="Q706" i="31"/>
  <c r="F706" i="31"/>
  <c r="N705" i="31"/>
  <c r="N704" i="31"/>
  <c r="C704" i="31"/>
  <c r="L709" i="31"/>
  <c r="C720" i="31"/>
  <c r="N720" i="31"/>
  <c r="N721" i="31"/>
  <c r="F722" i="31"/>
  <c r="Q722" i="31"/>
  <c r="C724" i="31"/>
  <c r="N724" i="31"/>
  <c r="N725" i="31"/>
  <c r="F726" i="31"/>
  <c r="Q726" i="31"/>
  <c r="C728" i="31"/>
  <c r="N728" i="31"/>
  <c r="N729" i="31"/>
  <c r="F730" i="31"/>
  <c r="Q730" i="31"/>
  <c r="C736" i="31"/>
  <c r="N736" i="31"/>
  <c r="N737" i="31"/>
  <c r="F738" i="31"/>
  <c r="Q738" i="31"/>
  <c r="D720" i="31"/>
  <c r="H722" i="31"/>
  <c r="R722" i="31"/>
  <c r="D724" i="31"/>
  <c r="H726" i="31"/>
  <c r="R726" i="31"/>
  <c r="D728" i="31"/>
  <c r="H730" i="31"/>
  <c r="R730" i="31"/>
  <c r="D736" i="31"/>
  <c r="H738" i="31"/>
  <c r="R738" i="31"/>
  <c r="L724" i="31"/>
  <c r="L725" i="31"/>
  <c r="L737" i="31"/>
  <c r="F720" i="31"/>
  <c r="Q720" i="31"/>
  <c r="F721" i="31"/>
  <c r="Q721" i="31"/>
  <c r="J722" i="31"/>
  <c r="S722" i="31"/>
  <c r="F724" i="31"/>
  <c r="Q724" i="31"/>
  <c r="F725" i="31"/>
  <c r="Q725" i="31"/>
  <c r="J726" i="31"/>
  <c r="S726" i="31"/>
  <c r="F728" i="31"/>
  <c r="Q728" i="31"/>
  <c r="F729" i="31"/>
  <c r="Q729" i="31"/>
  <c r="J730" i="31"/>
  <c r="S730" i="31"/>
  <c r="F736" i="31"/>
  <c r="Q736" i="31"/>
  <c r="F737" i="31"/>
  <c r="Q737" i="31"/>
  <c r="J738" i="31"/>
  <c r="S738" i="31"/>
  <c r="L720" i="31"/>
  <c r="L721" i="31"/>
  <c r="L736" i="31"/>
  <c r="H720" i="31"/>
  <c r="R720" i="31"/>
  <c r="H721" i="31"/>
  <c r="R721" i="31"/>
  <c r="L722" i="31"/>
  <c r="H724" i="31"/>
  <c r="R724" i="31"/>
  <c r="H725" i="31"/>
  <c r="R725" i="31"/>
  <c r="L726" i="31"/>
  <c r="H728" i="31"/>
  <c r="R728" i="31"/>
  <c r="H729" i="31"/>
  <c r="R729" i="31"/>
  <c r="L730" i="31"/>
  <c r="H736" i="31"/>
  <c r="R736" i="31"/>
  <c r="H737" i="31"/>
  <c r="R737" i="31"/>
  <c r="L738" i="31"/>
  <c r="L728" i="31"/>
  <c r="L729" i="31"/>
  <c r="J720" i="31"/>
  <c r="S720" i="31"/>
  <c r="J721" i="31"/>
  <c r="S721" i="31"/>
  <c r="J724" i="31"/>
  <c r="S724" i="31"/>
  <c r="J725" i="31"/>
  <c r="S725" i="31"/>
  <c r="J728" i="31"/>
  <c r="S728" i="31"/>
  <c r="J729" i="31"/>
  <c r="S729" i="31"/>
  <c r="J732" i="31"/>
  <c r="J736" i="31"/>
  <c r="S736" i="31"/>
  <c r="J737" i="31"/>
  <c r="S737" i="31"/>
  <c r="L654" i="31"/>
  <c r="L655" i="31"/>
  <c r="L658" i="31"/>
  <c r="L659" i="31"/>
  <c r="L666" i="31"/>
  <c r="L667" i="31"/>
  <c r="L670" i="31"/>
  <c r="L671" i="31"/>
  <c r="L674" i="31"/>
  <c r="L675" i="31"/>
  <c r="L682" i="31"/>
  <c r="L683" i="31"/>
  <c r="L686" i="31"/>
  <c r="L687" i="31"/>
  <c r="L690" i="31"/>
  <c r="L691" i="31"/>
  <c r="H654" i="31"/>
  <c r="R654" i="31"/>
  <c r="H655" i="31"/>
  <c r="R655" i="31"/>
  <c r="L656" i="31"/>
  <c r="H658" i="31"/>
  <c r="R658" i="31"/>
  <c r="H659" i="31"/>
  <c r="R659" i="31"/>
  <c r="L660" i="31"/>
  <c r="H666" i="31"/>
  <c r="R666" i="31"/>
  <c r="H667" i="31"/>
  <c r="R667" i="31"/>
  <c r="L668" i="31"/>
  <c r="H670" i="31"/>
  <c r="R670" i="31"/>
  <c r="H671" i="31"/>
  <c r="R671" i="31"/>
  <c r="L672" i="31"/>
  <c r="H674" i="31"/>
  <c r="R674" i="31"/>
  <c r="H675" i="31"/>
  <c r="R675" i="31"/>
  <c r="L676" i="31"/>
  <c r="H682" i="31"/>
  <c r="R682" i="31"/>
  <c r="H683" i="31"/>
  <c r="R683" i="31"/>
  <c r="L684" i="31"/>
  <c r="H686" i="31"/>
  <c r="R686" i="31"/>
  <c r="H687" i="31"/>
  <c r="R687" i="31"/>
  <c r="L688" i="31"/>
  <c r="H690" i="31"/>
  <c r="R690" i="31"/>
  <c r="H691" i="31"/>
  <c r="R691" i="31"/>
  <c r="L692" i="31"/>
  <c r="J654" i="31"/>
  <c r="S654" i="31"/>
  <c r="J655" i="31"/>
  <c r="S655" i="31"/>
  <c r="J658" i="31"/>
  <c r="S658" i="31"/>
  <c r="J659" i="31"/>
  <c r="S659" i="31"/>
  <c r="J666" i="31"/>
  <c r="S666" i="31"/>
  <c r="J667" i="31"/>
  <c r="S667" i="31"/>
  <c r="J670" i="31"/>
  <c r="S670" i="31"/>
  <c r="J671" i="31"/>
  <c r="S671" i="31"/>
  <c r="J674" i="31"/>
  <c r="S674" i="31"/>
  <c r="J675" i="31"/>
  <c r="S675" i="31"/>
  <c r="J682" i="31"/>
  <c r="S682" i="31"/>
  <c r="J683" i="31"/>
  <c r="S683" i="31"/>
  <c r="J686" i="31"/>
  <c r="S686" i="31"/>
  <c r="J687" i="31"/>
  <c r="S687" i="31"/>
  <c r="J690" i="31"/>
  <c r="S690" i="31"/>
  <c r="J691" i="31"/>
  <c r="S691" i="31"/>
  <c r="R609" i="31"/>
  <c r="N614" i="31"/>
  <c r="S613" i="31"/>
  <c r="J613" i="31"/>
  <c r="S612" i="31"/>
  <c r="J612" i="31"/>
  <c r="L614" i="31"/>
  <c r="R613" i="31"/>
  <c r="H613" i="31"/>
  <c r="R612" i="31"/>
  <c r="H612" i="31"/>
  <c r="S614" i="31"/>
  <c r="J614" i="31"/>
  <c r="Q613" i="31"/>
  <c r="F613" i="31"/>
  <c r="Q612" i="31"/>
  <c r="F612" i="31"/>
  <c r="R614" i="31"/>
  <c r="H614" i="31"/>
  <c r="D612" i="31"/>
  <c r="Q614" i="31"/>
  <c r="F614" i="31"/>
  <c r="N613" i="31"/>
  <c r="N612" i="31"/>
  <c r="C612" i="31"/>
  <c r="L613" i="31"/>
  <c r="N618" i="31"/>
  <c r="S617" i="31"/>
  <c r="J617" i="31"/>
  <c r="S616" i="31"/>
  <c r="J616" i="31"/>
  <c r="L618" i="31"/>
  <c r="R617" i="31"/>
  <c r="H617" i="31"/>
  <c r="R616" i="31"/>
  <c r="H616" i="31"/>
  <c r="S618" i="31"/>
  <c r="J618" i="31"/>
  <c r="Q617" i="31"/>
  <c r="F617" i="31"/>
  <c r="Q616" i="31"/>
  <c r="F616" i="31"/>
  <c r="R618" i="31"/>
  <c r="H618" i="31"/>
  <c r="D616" i="31"/>
  <c r="Q618" i="31"/>
  <c r="F618" i="31"/>
  <c r="N617" i="31"/>
  <c r="N616" i="31"/>
  <c r="C616" i="31"/>
  <c r="L617" i="31"/>
  <c r="L621" i="31"/>
  <c r="C620" i="31"/>
  <c r="N620" i="31"/>
  <c r="N621" i="31"/>
  <c r="F622" i="31"/>
  <c r="Q622" i="31"/>
  <c r="C628" i="31"/>
  <c r="N628" i="31"/>
  <c r="N629" i="31"/>
  <c r="F630" i="31"/>
  <c r="Q630" i="31"/>
  <c r="C632" i="31"/>
  <c r="N632" i="31"/>
  <c r="N633" i="31"/>
  <c r="F634" i="31"/>
  <c r="Q634" i="31"/>
  <c r="C636" i="31"/>
  <c r="N636" i="31"/>
  <c r="N637" i="31"/>
  <c r="F638" i="31"/>
  <c r="Q638" i="31"/>
  <c r="C644" i="31"/>
  <c r="N644" i="31"/>
  <c r="N645" i="31"/>
  <c r="F646" i="31"/>
  <c r="Q646" i="31"/>
  <c r="D620" i="31"/>
  <c r="H622" i="31"/>
  <c r="R622" i="31"/>
  <c r="R626" i="31"/>
  <c r="D628" i="31"/>
  <c r="H630" i="31"/>
  <c r="R630" i="31"/>
  <c r="D632" i="31"/>
  <c r="H634" i="31"/>
  <c r="R634" i="31"/>
  <c r="D636" i="31"/>
  <c r="H638" i="31"/>
  <c r="R638" i="31"/>
  <c r="D644" i="31"/>
  <c r="H646" i="31"/>
  <c r="R646" i="31"/>
  <c r="L620" i="31"/>
  <c r="L632" i="31"/>
  <c r="L633" i="31"/>
  <c r="L636" i="31"/>
  <c r="L644" i="31"/>
  <c r="F620" i="31"/>
  <c r="Q620" i="31"/>
  <c r="F621" i="31"/>
  <c r="Q621" i="31"/>
  <c r="J622" i="31"/>
  <c r="S622" i="31"/>
  <c r="F628" i="31"/>
  <c r="Q628" i="31"/>
  <c r="F629" i="31"/>
  <c r="Q629" i="31"/>
  <c r="J630" i="31"/>
  <c r="S630" i="31"/>
  <c r="F632" i="31"/>
  <c r="Q632" i="31"/>
  <c r="F633" i="31"/>
  <c r="Q633" i="31"/>
  <c r="J634" i="31"/>
  <c r="S634" i="31"/>
  <c r="F636" i="31"/>
  <c r="Q636" i="31"/>
  <c r="F637" i="31"/>
  <c r="Q637" i="31"/>
  <c r="J638" i="31"/>
  <c r="S638" i="31"/>
  <c r="F644" i="31"/>
  <c r="Q644" i="31"/>
  <c r="F645" i="31"/>
  <c r="Q645" i="31"/>
  <c r="J646" i="31"/>
  <c r="S646" i="31"/>
  <c r="L637" i="31"/>
  <c r="H620" i="31"/>
  <c r="R620" i="31"/>
  <c r="H621" i="31"/>
  <c r="R621" i="31"/>
  <c r="L622" i="31"/>
  <c r="H625" i="31"/>
  <c r="H628" i="31"/>
  <c r="R628" i="31"/>
  <c r="H629" i="31"/>
  <c r="R629" i="31"/>
  <c r="L630" i="31"/>
  <c r="H632" i="31"/>
  <c r="R632" i="31"/>
  <c r="H633" i="31"/>
  <c r="R633" i="31"/>
  <c r="L634" i="31"/>
  <c r="H636" i="31"/>
  <c r="R636" i="31"/>
  <c r="H637" i="31"/>
  <c r="R637" i="31"/>
  <c r="L638" i="31"/>
  <c r="H641" i="31"/>
  <c r="H644" i="31"/>
  <c r="R644" i="31"/>
  <c r="H645" i="31"/>
  <c r="R645" i="31"/>
  <c r="L646" i="31"/>
  <c r="L625" i="31"/>
  <c r="L628" i="31"/>
  <c r="L629" i="31"/>
  <c r="L645" i="31"/>
  <c r="J620" i="31"/>
  <c r="S620" i="31"/>
  <c r="J621" i="31"/>
  <c r="S621" i="31"/>
  <c r="J624" i="31"/>
  <c r="J628" i="31"/>
  <c r="S628" i="31"/>
  <c r="J629" i="31"/>
  <c r="S629" i="31"/>
  <c r="J632" i="31"/>
  <c r="S632" i="31"/>
  <c r="J633" i="31"/>
  <c r="S633" i="31"/>
  <c r="J636" i="31"/>
  <c r="S636" i="31"/>
  <c r="J637" i="31"/>
  <c r="S637" i="31"/>
  <c r="J644" i="31"/>
  <c r="S644" i="31"/>
  <c r="J645" i="31"/>
  <c r="S645" i="31"/>
  <c r="N562" i="31"/>
  <c r="F564" i="31"/>
  <c r="C566" i="31"/>
  <c r="N567" i="31"/>
  <c r="N584" i="31"/>
  <c r="S583" i="31"/>
  <c r="J583" i="31"/>
  <c r="S582" i="31"/>
  <c r="J582" i="31"/>
  <c r="L584" i="31"/>
  <c r="R583" i="31"/>
  <c r="H583" i="31"/>
  <c r="R582" i="31"/>
  <c r="H582" i="31"/>
  <c r="S584" i="31"/>
  <c r="J584" i="31"/>
  <c r="Q583" i="31"/>
  <c r="F583" i="31"/>
  <c r="Q582" i="31"/>
  <c r="F582" i="31"/>
  <c r="F584" i="31"/>
  <c r="C582" i="31"/>
  <c r="R584" i="31"/>
  <c r="H584" i="31"/>
  <c r="D582" i="31"/>
  <c r="Q584" i="31"/>
  <c r="N583" i="31"/>
  <c r="N582" i="31"/>
  <c r="S570" i="31"/>
  <c r="F571" i="31"/>
  <c r="L582" i="31"/>
  <c r="J587" i="31"/>
  <c r="S588" i="31"/>
  <c r="C586" i="31"/>
  <c r="N568" i="31"/>
  <c r="S567" i="31"/>
  <c r="J567" i="31"/>
  <c r="S566" i="31"/>
  <c r="J566" i="31"/>
  <c r="L568" i="31"/>
  <c r="R567" i="31"/>
  <c r="H567" i="31"/>
  <c r="R566" i="31"/>
  <c r="H566" i="31"/>
  <c r="S568" i="31"/>
  <c r="J568" i="31"/>
  <c r="Q567" i="31"/>
  <c r="F567" i="31"/>
  <c r="Q566" i="31"/>
  <c r="F566" i="31"/>
  <c r="R568" i="31"/>
  <c r="H568" i="31"/>
  <c r="D566" i="31"/>
  <c r="L567" i="31"/>
  <c r="N580" i="31"/>
  <c r="S579" i="31"/>
  <c r="J579" i="31"/>
  <c r="S578" i="31"/>
  <c r="J578" i="31"/>
  <c r="L580" i="31"/>
  <c r="R579" i="31"/>
  <c r="H579" i="31"/>
  <c r="R578" i="31"/>
  <c r="H578" i="31"/>
  <c r="S580" i="31"/>
  <c r="J580" i="31"/>
  <c r="Q579" i="31"/>
  <c r="F579" i="31"/>
  <c r="Q578" i="31"/>
  <c r="F578" i="31"/>
  <c r="R580" i="31"/>
  <c r="H580" i="31"/>
  <c r="D578" i="31"/>
  <c r="L579" i="31"/>
  <c r="N574" i="31"/>
  <c r="F576" i="31"/>
  <c r="C578" i="31"/>
  <c r="N579" i="31"/>
  <c r="N566" i="31"/>
  <c r="F568" i="31"/>
  <c r="N578" i="31"/>
  <c r="F580" i="31"/>
  <c r="N592" i="31"/>
  <c r="S591" i="31"/>
  <c r="J591" i="31"/>
  <c r="S590" i="31"/>
  <c r="J590" i="31"/>
  <c r="L592" i="31"/>
  <c r="R591" i="31"/>
  <c r="H591" i="31"/>
  <c r="R590" i="31"/>
  <c r="H590" i="31"/>
  <c r="Q592" i="31"/>
  <c r="S592" i="31"/>
  <c r="J592" i="31"/>
  <c r="Q591" i="31"/>
  <c r="F591" i="31"/>
  <c r="Q590" i="31"/>
  <c r="F590" i="31"/>
  <c r="N591" i="31"/>
  <c r="N590" i="31"/>
  <c r="C590" i="31"/>
  <c r="R592" i="31"/>
  <c r="H592" i="31"/>
  <c r="D590" i="31"/>
  <c r="F592" i="31"/>
  <c r="N564" i="31"/>
  <c r="S563" i="31"/>
  <c r="J563" i="31"/>
  <c r="S562" i="31"/>
  <c r="J562" i="31"/>
  <c r="L564" i="31"/>
  <c r="R563" i="31"/>
  <c r="H563" i="31"/>
  <c r="R562" i="31"/>
  <c r="H562" i="31"/>
  <c r="S564" i="31"/>
  <c r="J564" i="31"/>
  <c r="Q563" i="31"/>
  <c r="F563" i="31"/>
  <c r="Q562" i="31"/>
  <c r="F562" i="31"/>
  <c r="R564" i="31"/>
  <c r="H564" i="31"/>
  <c r="D562" i="31"/>
  <c r="L563" i="31"/>
  <c r="N576" i="31"/>
  <c r="S575" i="31"/>
  <c r="J575" i="31"/>
  <c r="S574" i="31"/>
  <c r="J574" i="31"/>
  <c r="L576" i="31"/>
  <c r="R575" i="31"/>
  <c r="H575" i="31"/>
  <c r="R574" i="31"/>
  <c r="H574" i="31"/>
  <c r="S576" i="31"/>
  <c r="J576" i="31"/>
  <c r="Q575" i="31"/>
  <c r="F575" i="31"/>
  <c r="Q574" i="31"/>
  <c r="F574" i="31"/>
  <c r="R576" i="31"/>
  <c r="H576" i="31"/>
  <c r="D574" i="31"/>
  <c r="L575" i="31"/>
  <c r="N596" i="31"/>
  <c r="S595" i="31"/>
  <c r="J595" i="31"/>
  <c r="S594" i="31"/>
  <c r="J594" i="31"/>
  <c r="L596" i="31"/>
  <c r="R595" i="31"/>
  <c r="H595" i="31"/>
  <c r="R594" i="31"/>
  <c r="H594" i="31"/>
  <c r="F596" i="31"/>
  <c r="C594" i="31"/>
  <c r="S596" i="31"/>
  <c r="J596" i="31"/>
  <c r="Q595" i="31"/>
  <c r="F595" i="31"/>
  <c r="Q594" i="31"/>
  <c r="F594" i="31"/>
  <c r="N595" i="31"/>
  <c r="N594" i="31"/>
  <c r="R596" i="31"/>
  <c r="H596" i="31"/>
  <c r="D594" i="31"/>
  <c r="Q596" i="31"/>
  <c r="C562" i="31"/>
  <c r="N563" i="31"/>
  <c r="Q568" i="31"/>
  <c r="C574" i="31"/>
  <c r="N575" i="31"/>
  <c r="Q580" i="31"/>
  <c r="L594" i="31"/>
  <c r="N600" i="31"/>
  <c r="S599" i="31"/>
  <c r="J599" i="31"/>
  <c r="S598" i="31"/>
  <c r="J598" i="31"/>
  <c r="L600" i="31"/>
  <c r="R599" i="31"/>
  <c r="H599" i="31"/>
  <c r="R598" i="31"/>
  <c r="H598" i="31"/>
  <c r="F600" i="31"/>
  <c r="S600" i="31"/>
  <c r="J600" i="31"/>
  <c r="Q599" i="31"/>
  <c r="F599" i="31"/>
  <c r="Q598" i="31"/>
  <c r="F598" i="31"/>
  <c r="Q600" i="31"/>
  <c r="N599" i="31"/>
  <c r="N598" i="31"/>
  <c r="R600" i="31"/>
  <c r="H600" i="31"/>
  <c r="D598" i="31"/>
  <c r="C598" i="31"/>
  <c r="L520" i="31"/>
  <c r="L521" i="31"/>
  <c r="L524" i="31"/>
  <c r="L525" i="31"/>
  <c r="L528" i="31"/>
  <c r="L529" i="31"/>
  <c r="L533" i="31"/>
  <c r="L536" i="31"/>
  <c r="L537" i="31"/>
  <c r="L540" i="31"/>
  <c r="L541" i="31"/>
  <c r="L544" i="31"/>
  <c r="L545" i="31"/>
  <c r="L549" i="31"/>
  <c r="L552" i="31"/>
  <c r="L553" i="31"/>
  <c r="F517" i="31"/>
  <c r="F520" i="31"/>
  <c r="Q520" i="31"/>
  <c r="F521" i="31"/>
  <c r="Q521" i="31"/>
  <c r="J522" i="31"/>
  <c r="S522" i="31"/>
  <c r="F524" i="31"/>
  <c r="Q524" i="31"/>
  <c r="F525" i="31"/>
  <c r="Q525" i="31"/>
  <c r="J526" i="31"/>
  <c r="S526" i="31"/>
  <c r="F528" i="31"/>
  <c r="Q528" i="31"/>
  <c r="F529" i="31"/>
  <c r="Q529" i="31"/>
  <c r="J530" i="31"/>
  <c r="S530" i="31"/>
  <c r="J534" i="31"/>
  <c r="F536" i="31"/>
  <c r="Q536" i="31"/>
  <c r="F537" i="31"/>
  <c r="Q537" i="31"/>
  <c r="J538" i="31"/>
  <c r="S538" i="31"/>
  <c r="F540" i="31"/>
  <c r="Q540" i="31"/>
  <c r="F541" i="31"/>
  <c r="Q541" i="31"/>
  <c r="J542" i="31"/>
  <c r="S542" i="31"/>
  <c r="F544" i="31"/>
  <c r="Q544" i="31"/>
  <c r="F545" i="31"/>
  <c r="Q545" i="31"/>
  <c r="J546" i="31"/>
  <c r="S546" i="31"/>
  <c r="Q549" i="31"/>
  <c r="J550" i="31"/>
  <c r="F552" i="31"/>
  <c r="Q552" i="31"/>
  <c r="F553" i="31"/>
  <c r="Q553" i="31"/>
  <c r="J554" i="31"/>
  <c r="S554" i="31"/>
  <c r="H516" i="31"/>
  <c r="R517" i="31"/>
  <c r="H520" i="31"/>
  <c r="R520" i="31"/>
  <c r="H521" i="31"/>
  <c r="R521" i="31"/>
  <c r="L522" i="31"/>
  <c r="H524" i="31"/>
  <c r="R524" i="31"/>
  <c r="H525" i="31"/>
  <c r="R525" i="31"/>
  <c r="L526" i="31"/>
  <c r="H528" i="31"/>
  <c r="R528" i="31"/>
  <c r="H529" i="31"/>
  <c r="R529" i="31"/>
  <c r="L530" i="31"/>
  <c r="L534" i="31"/>
  <c r="H536" i="31"/>
  <c r="R536" i="31"/>
  <c r="H537" i="31"/>
  <c r="R537" i="31"/>
  <c r="L538" i="31"/>
  <c r="H540" i="31"/>
  <c r="R540" i="31"/>
  <c r="H541" i="31"/>
  <c r="R541" i="31"/>
  <c r="L542" i="31"/>
  <c r="H544" i="31"/>
  <c r="R544" i="31"/>
  <c r="H545" i="31"/>
  <c r="R545" i="31"/>
  <c r="L546" i="31"/>
  <c r="H548" i="31"/>
  <c r="R549" i="31"/>
  <c r="H552" i="31"/>
  <c r="R552" i="31"/>
  <c r="H553" i="31"/>
  <c r="R553" i="31"/>
  <c r="L554" i="31"/>
  <c r="S516" i="31"/>
  <c r="J517" i="31"/>
  <c r="J520" i="31"/>
  <c r="S520" i="31"/>
  <c r="J521" i="31"/>
  <c r="S521" i="31"/>
  <c r="J524" i="31"/>
  <c r="S524" i="31"/>
  <c r="J525" i="31"/>
  <c r="S525" i="31"/>
  <c r="J528" i="31"/>
  <c r="S528" i="31"/>
  <c r="J529" i="31"/>
  <c r="S529" i="31"/>
  <c r="J536" i="31"/>
  <c r="S536" i="31"/>
  <c r="J537" i="31"/>
  <c r="S537" i="31"/>
  <c r="J540" i="31"/>
  <c r="S540" i="31"/>
  <c r="J541" i="31"/>
  <c r="S541" i="31"/>
  <c r="J544" i="31"/>
  <c r="S544" i="31"/>
  <c r="J545" i="31"/>
  <c r="S545" i="31"/>
  <c r="S548" i="31"/>
  <c r="J549" i="31"/>
  <c r="J552" i="31"/>
  <c r="S552" i="31"/>
  <c r="J553" i="31"/>
  <c r="S553" i="31"/>
  <c r="N484" i="31"/>
  <c r="S483" i="31"/>
  <c r="J483" i="31"/>
  <c r="S482" i="31"/>
  <c r="J482" i="31"/>
  <c r="L484" i="31"/>
  <c r="R483" i="31"/>
  <c r="H483" i="31"/>
  <c r="R482" i="31"/>
  <c r="H482" i="31"/>
  <c r="S484" i="31"/>
  <c r="J484" i="31"/>
  <c r="Q483" i="31"/>
  <c r="F483" i="31"/>
  <c r="Q482" i="31"/>
  <c r="F482" i="31"/>
  <c r="N492" i="31"/>
  <c r="S491" i="31"/>
  <c r="J491" i="31"/>
  <c r="S490" i="31"/>
  <c r="J490" i="31"/>
  <c r="H492" i="31"/>
  <c r="L492" i="31"/>
  <c r="R491" i="31"/>
  <c r="H491" i="31"/>
  <c r="R490" i="31"/>
  <c r="H490" i="31"/>
  <c r="R492" i="31"/>
  <c r="S492" i="31"/>
  <c r="J492" i="31"/>
  <c r="Q491" i="31"/>
  <c r="F491" i="31"/>
  <c r="Q490" i="31"/>
  <c r="F490" i="31"/>
  <c r="C474" i="31"/>
  <c r="F476" i="31"/>
  <c r="C482" i="31"/>
  <c r="F484" i="31"/>
  <c r="C490" i="31"/>
  <c r="N500" i="31"/>
  <c r="S499" i="31"/>
  <c r="J499" i="31"/>
  <c r="S498" i="31"/>
  <c r="J498" i="31"/>
  <c r="R500" i="31"/>
  <c r="H500" i="31"/>
  <c r="D498" i="31"/>
  <c r="L500" i="31"/>
  <c r="R499" i="31"/>
  <c r="H499" i="31"/>
  <c r="R498" i="31"/>
  <c r="H498" i="31"/>
  <c r="S500" i="31"/>
  <c r="J500" i="31"/>
  <c r="Q499" i="31"/>
  <c r="F499" i="31"/>
  <c r="Q498" i="31"/>
  <c r="F498" i="31"/>
  <c r="L499" i="31"/>
  <c r="D474" i="31"/>
  <c r="H476" i="31"/>
  <c r="D482" i="31"/>
  <c r="H484" i="31"/>
  <c r="D490" i="31"/>
  <c r="Q492" i="31"/>
  <c r="C498" i="31"/>
  <c r="N499" i="31"/>
  <c r="N472" i="31"/>
  <c r="S471" i="31"/>
  <c r="J471" i="31"/>
  <c r="S470" i="31"/>
  <c r="J470" i="31"/>
  <c r="L472" i="31"/>
  <c r="R471" i="31"/>
  <c r="H471" i="31"/>
  <c r="R470" i="31"/>
  <c r="H470" i="31"/>
  <c r="S472" i="31"/>
  <c r="J472" i="31"/>
  <c r="Q471" i="31"/>
  <c r="F471" i="31"/>
  <c r="Q470" i="31"/>
  <c r="F470" i="31"/>
  <c r="L474" i="31"/>
  <c r="L480" i="31"/>
  <c r="R479" i="31"/>
  <c r="F479" i="31"/>
  <c r="Q478" i="31"/>
  <c r="L482" i="31"/>
  <c r="L483" i="31"/>
  <c r="N488" i="31"/>
  <c r="S487" i="31"/>
  <c r="J487" i="31"/>
  <c r="S486" i="31"/>
  <c r="J486" i="31"/>
  <c r="L488" i="31"/>
  <c r="R487" i="31"/>
  <c r="H487" i="31"/>
  <c r="R486" i="31"/>
  <c r="H486" i="31"/>
  <c r="S488" i="31"/>
  <c r="J488" i="31"/>
  <c r="Q487" i="31"/>
  <c r="F487" i="31"/>
  <c r="Q486" i="31"/>
  <c r="F486" i="31"/>
  <c r="L490" i="31"/>
  <c r="L491" i="31"/>
  <c r="L498" i="31"/>
  <c r="N504" i="31"/>
  <c r="S503" i="31"/>
  <c r="J503" i="31"/>
  <c r="S502" i="31"/>
  <c r="J502" i="31"/>
  <c r="L504" i="31"/>
  <c r="R503" i="31"/>
  <c r="H503" i="31"/>
  <c r="R502" i="31"/>
  <c r="H502" i="31"/>
  <c r="D502" i="31"/>
  <c r="S504" i="31"/>
  <c r="J504" i="31"/>
  <c r="Q503" i="31"/>
  <c r="F503" i="31"/>
  <c r="Q502" i="31"/>
  <c r="F502" i="31"/>
  <c r="R504" i="31"/>
  <c r="H504" i="31"/>
  <c r="L503" i="31"/>
  <c r="N476" i="31"/>
  <c r="S475" i="31"/>
  <c r="J475" i="31"/>
  <c r="S474" i="31"/>
  <c r="J474" i="31"/>
  <c r="L476" i="31"/>
  <c r="R475" i="31"/>
  <c r="H475" i="31"/>
  <c r="R474" i="31"/>
  <c r="H474" i="31"/>
  <c r="S476" i="31"/>
  <c r="J476" i="31"/>
  <c r="Q475" i="31"/>
  <c r="F475" i="31"/>
  <c r="Q474" i="31"/>
  <c r="F474" i="31"/>
  <c r="N474" i="31"/>
  <c r="N475" i="31"/>
  <c r="Q476" i="31"/>
  <c r="N482" i="31"/>
  <c r="N483" i="31"/>
  <c r="Q484" i="31"/>
  <c r="N490" i="31"/>
  <c r="N491" i="31"/>
  <c r="N498" i="31"/>
  <c r="F500" i="31"/>
  <c r="F492" i="31"/>
  <c r="R476" i="31"/>
  <c r="R484" i="31"/>
  <c r="N496" i="31"/>
  <c r="S494" i="31"/>
  <c r="L496" i="31"/>
  <c r="R495" i="31"/>
  <c r="H494" i="31"/>
  <c r="F495" i="31"/>
  <c r="Q494" i="31"/>
  <c r="L495" i="31"/>
  <c r="N508" i="31"/>
  <c r="S507" i="31"/>
  <c r="J507" i="31"/>
  <c r="S506" i="31"/>
  <c r="J506" i="31"/>
  <c r="H508" i="31"/>
  <c r="D506" i="31"/>
  <c r="L508" i="31"/>
  <c r="R507" i="31"/>
  <c r="H507" i="31"/>
  <c r="R506" i="31"/>
  <c r="H506" i="31"/>
  <c r="R508" i="31"/>
  <c r="S508" i="31"/>
  <c r="J508" i="31"/>
  <c r="Q507" i="31"/>
  <c r="F507" i="31"/>
  <c r="Q506" i="31"/>
  <c r="F506" i="31"/>
  <c r="L507" i="31"/>
  <c r="C428" i="31"/>
  <c r="F430" i="31"/>
  <c r="L450" i="31"/>
  <c r="R449" i="31"/>
  <c r="H449" i="31"/>
  <c r="R448" i="31"/>
  <c r="H448" i="31"/>
  <c r="N448" i="31"/>
  <c r="S450" i="31"/>
  <c r="J450" i="31"/>
  <c r="Q449" i="31"/>
  <c r="F449" i="31"/>
  <c r="Q448" i="31"/>
  <c r="F448" i="31"/>
  <c r="F450" i="31"/>
  <c r="R450" i="31"/>
  <c r="H450" i="31"/>
  <c r="D448" i="31"/>
  <c r="Q450" i="31"/>
  <c r="N449" i="31"/>
  <c r="C448" i="31"/>
  <c r="L449" i="31"/>
  <c r="J428" i="31"/>
  <c r="J429" i="31"/>
  <c r="N430" i="31"/>
  <c r="S432" i="31"/>
  <c r="J436" i="31"/>
  <c r="J437" i="31"/>
  <c r="S444" i="31"/>
  <c r="N446" i="31"/>
  <c r="J448" i="31"/>
  <c r="S449" i="31"/>
  <c r="L438" i="31"/>
  <c r="R437" i="31"/>
  <c r="H437" i="31"/>
  <c r="R436" i="31"/>
  <c r="H436" i="31"/>
  <c r="S438" i="31"/>
  <c r="J438" i="31"/>
  <c r="Q437" i="31"/>
  <c r="F437" i="31"/>
  <c r="Q436" i="31"/>
  <c r="F436" i="31"/>
  <c r="R438" i="31"/>
  <c r="H438" i="31"/>
  <c r="D436" i="31"/>
  <c r="C436" i="31"/>
  <c r="R425" i="31"/>
  <c r="S426" i="31"/>
  <c r="J426" i="31"/>
  <c r="Q424" i="31"/>
  <c r="D424" i="31"/>
  <c r="L428" i="31"/>
  <c r="L434" i="31"/>
  <c r="R433" i="31"/>
  <c r="H433" i="31"/>
  <c r="R432" i="31"/>
  <c r="H432" i="31"/>
  <c r="S434" i="31"/>
  <c r="J434" i="31"/>
  <c r="Q433" i="31"/>
  <c r="F433" i="31"/>
  <c r="Q432" i="31"/>
  <c r="F432" i="31"/>
  <c r="R434" i="31"/>
  <c r="H434" i="31"/>
  <c r="D432" i="31"/>
  <c r="L436" i="31"/>
  <c r="L437" i="31"/>
  <c r="H441" i="31"/>
  <c r="N441" i="31"/>
  <c r="N440" i="31"/>
  <c r="Q441" i="31"/>
  <c r="R442" i="31"/>
  <c r="H442" i="31"/>
  <c r="C440" i="31"/>
  <c r="L448" i="31"/>
  <c r="L454" i="31"/>
  <c r="R453" i="31"/>
  <c r="H453" i="31"/>
  <c r="R452" i="31"/>
  <c r="H452" i="31"/>
  <c r="F454" i="31"/>
  <c r="N452" i="31"/>
  <c r="S454" i="31"/>
  <c r="J454" i="31"/>
  <c r="Q453" i="31"/>
  <c r="F453" i="31"/>
  <c r="Q452" i="31"/>
  <c r="F452" i="31"/>
  <c r="R454" i="31"/>
  <c r="H454" i="31"/>
  <c r="D452" i="31"/>
  <c r="Q454" i="31"/>
  <c r="N453" i="31"/>
  <c r="C452" i="31"/>
  <c r="L453" i="31"/>
  <c r="L430" i="31"/>
  <c r="R429" i="31"/>
  <c r="H429" i="31"/>
  <c r="R428" i="31"/>
  <c r="H428" i="31"/>
  <c r="S430" i="31"/>
  <c r="J430" i="31"/>
  <c r="Q429" i="31"/>
  <c r="F429" i="31"/>
  <c r="Q428" i="31"/>
  <c r="F428" i="31"/>
  <c r="R430" i="31"/>
  <c r="H430" i="31"/>
  <c r="D428" i="31"/>
  <c r="F438" i="31"/>
  <c r="N428" i="31"/>
  <c r="N429" i="31"/>
  <c r="Q430" i="31"/>
  <c r="C432" i="31"/>
  <c r="F434" i="31"/>
  <c r="N436" i="31"/>
  <c r="N437" i="31"/>
  <c r="Q438" i="31"/>
  <c r="J440" i="31"/>
  <c r="S441" i="31"/>
  <c r="S448" i="31"/>
  <c r="N450" i="31"/>
  <c r="J452" i="31"/>
  <c r="S453" i="31"/>
  <c r="S428" i="31"/>
  <c r="S429" i="31"/>
  <c r="S436" i="31"/>
  <c r="S437" i="31"/>
  <c r="L446" i="31"/>
  <c r="R445" i="31"/>
  <c r="H445" i="31"/>
  <c r="R444" i="31"/>
  <c r="H444" i="31"/>
  <c r="Q446" i="31"/>
  <c r="N445" i="31"/>
  <c r="C444" i="31"/>
  <c r="S446" i="31"/>
  <c r="J446" i="31"/>
  <c r="Q445" i="31"/>
  <c r="F445" i="31"/>
  <c r="Q444" i="31"/>
  <c r="F444" i="31"/>
  <c r="F446" i="31"/>
  <c r="N444" i="31"/>
  <c r="R446" i="31"/>
  <c r="H446" i="31"/>
  <c r="D444" i="31"/>
  <c r="L445" i="31"/>
  <c r="H457" i="31"/>
  <c r="J458" i="31"/>
  <c r="Q457" i="31"/>
  <c r="F456" i="31"/>
  <c r="H458" i="31"/>
  <c r="D456" i="31"/>
  <c r="C456" i="31"/>
  <c r="N462" i="31"/>
  <c r="S461" i="31"/>
  <c r="J461" i="31"/>
  <c r="S460" i="31"/>
  <c r="J460" i="31"/>
  <c r="L462" i="31"/>
  <c r="R461" i="31"/>
  <c r="H461" i="31"/>
  <c r="R460" i="31"/>
  <c r="H460" i="31"/>
  <c r="F462" i="31"/>
  <c r="N461" i="31"/>
  <c r="N460" i="31"/>
  <c r="C460" i="31"/>
  <c r="S462" i="31"/>
  <c r="J462" i="31"/>
  <c r="Q461" i="31"/>
  <c r="F461" i="31"/>
  <c r="Q460" i="31"/>
  <c r="F460" i="31"/>
  <c r="Q462" i="31"/>
  <c r="R462" i="31"/>
  <c r="H462" i="31"/>
  <c r="D460" i="31"/>
  <c r="N400" i="31"/>
  <c r="S399" i="31"/>
  <c r="J399" i="31"/>
  <c r="S398" i="31"/>
  <c r="J398" i="31"/>
  <c r="F400" i="31"/>
  <c r="L400" i="31"/>
  <c r="R399" i="31"/>
  <c r="H399" i="31"/>
  <c r="R398" i="31"/>
  <c r="H398" i="31"/>
  <c r="S400" i="31"/>
  <c r="J400" i="31"/>
  <c r="Q399" i="31"/>
  <c r="F399" i="31"/>
  <c r="Q398" i="31"/>
  <c r="F398" i="31"/>
  <c r="N398" i="31"/>
  <c r="R400" i="31"/>
  <c r="H400" i="31"/>
  <c r="D398" i="31"/>
  <c r="Q400" i="31"/>
  <c r="N399" i="31"/>
  <c r="C398" i="31"/>
  <c r="S403" i="31"/>
  <c r="J403" i="31"/>
  <c r="Q404" i="31"/>
  <c r="R402" i="31"/>
  <c r="H402" i="31"/>
  <c r="Q403" i="31"/>
  <c r="F404" i="31"/>
  <c r="N402" i="31"/>
  <c r="D402" i="31"/>
  <c r="N387" i="31"/>
  <c r="L402" i="31"/>
  <c r="N408" i="31"/>
  <c r="S407" i="31"/>
  <c r="J407" i="31"/>
  <c r="S406" i="31"/>
  <c r="J406" i="31"/>
  <c r="N407" i="31"/>
  <c r="L408" i="31"/>
  <c r="R407" i="31"/>
  <c r="H407" i="31"/>
  <c r="R406" i="31"/>
  <c r="H406" i="31"/>
  <c r="S408" i="31"/>
  <c r="J408" i="31"/>
  <c r="Q407" i="31"/>
  <c r="F407" i="31"/>
  <c r="Q406" i="31"/>
  <c r="F406" i="31"/>
  <c r="Q408" i="31"/>
  <c r="C406" i="31"/>
  <c r="R408" i="31"/>
  <c r="H408" i="31"/>
  <c r="D406" i="31"/>
  <c r="F408" i="31"/>
  <c r="N406" i="31"/>
  <c r="N380" i="31"/>
  <c r="S379" i="31"/>
  <c r="J379" i="31"/>
  <c r="S378" i="31"/>
  <c r="J378" i="31"/>
  <c r="L380" i="31"/>
  <c r="R379" i="31"/>
  <c r="H379" i="31"/>
  <c r="R378" i="31"/>
  <c r="H378" i="31"/>
  <c r="S380" i="31"/>
  <c r="J380" i="31"/>
  <c r="Q379" i="31"/>
  <c r="F379" i="31"/>
  <c r="Q378" i="31"/>
  <c r="F378" i="31"/>
  <c r="R380" i="31"/>
  <c r="H380" i="31"/>
  <c r="D378" i="31"/>
  <c r="L379" i="31"/>
  <c r="N392" i="31"/>
  <c r="S391" i="31"/>
  <c r="J391" i="31"/>
  <c r="S390" i="31"/>
  <c r="J390" i="31"/>
  <c r="L392" i="31"/>
  <c r="R391" i="31"/>
  <c r="H391" i="31"/>
  <c r="R390" i="31"/>
  <c r="H390" i="31"/>
  <c r="S392" i="31"/>
  <c r="J392" i="31"/>
  <c r="Q391" i="31"/>
  <c r="F391" i="31"/>
  <c r="Q390" i="31"/>
  <c r="F390" i="31"/>
  <c r="R392" i="31"/>
  <c r="H392" i="31"/>
  <c r="D390" i="31"/>
  <c r="L391" i="31"/>
  <c r="L399" i="31"/>
  <c r="L406" i="31"/>
  <c r="N412" i="31"/>
  <c r="S411" i="31"/>
  <c r="J411" i="31"/>
  <c r="S410" i="31"/>
  <c r="J410" i="31"/>
  <c r="L412" i="31"/>
  <c r="R411" i="31"/>
  <c r="H411" i="31"/>
  <c r="R410" i="31"/>
  <c r="H410" i="31"/>
  <c r="S412" i="31"/>
  <c r="J412" i="31"/>
  <c r="Q411" i="31"/>
  <c r="F411" i="31"/>
  <c r="Q410" i="31"/>
  <c r="F410" i="31"/>
  <c r="N411" i="31"/>
  <c r="N410" i="31"/>
  <c r="C410" i="31"/>
  <c r="R412" i="31"/>
  <c r="H412" i="31"/>
  <c r="D410" i="31"/>
  <c r="Q412" i="31"/>
  <c r="F412" i="31"/>
  <c r="N388" i="31"/>
  <c r="S387" i="31"/>
  <c r="J386" i="31"/>
  <c r="R386" i="31"/>
  <c r="H386" i="31"/>
  <c r="J388" i="31"/>
  <c r="F387" i="31"/>
  <c r="F386" i="31"/>
  <c r="R388" i="31"/>
  <c r="N386" i="31"/>
  <c r="F388" i="31"/>
  <c r="L403" i="31"/>
  <c r="N416" i="31"/>
  <c r="S415" i="31"/>
  <c r="J415" i="31"/>
  <c r="S414" i="31"/>
  <c r="J414" i="31"/>
  <c r="F416" i="31"/>
  <c r="L416" i="31"/>
  <c r="R415" i="31"/>
  <c r="H415" i="31"/>
  <c r="R414" i="31"/>
  <c r="H414" i="31"/>
  <c r="S416" i="31"/>
  <c r="J416" i="31"/>
  <c r="Q415" i="31"/>
  <c r="F415" i="31"/>
  <c r="Q414" i="31"/>
  <c r="F414" i="31"/>
  <c r="Q416" i="31"/>
  <c r="N414" i="31"/>
  <c r="R416" i="31"/>
  <c r="H416" i="31"/>
  <c r="D414" i="31"/>
  <c r="C414" i="31"/>
  <c r="L398" i="31"/>
  <c r="L378" i="31"/>
  <c r="N384" i="31"/>
  <c r="S383" i="31"/>
  <c r="J383" i="31"/>
  <c r="S382" i="31"/>
  <c r="J382" i="31"/>
  <c r="L384" i="31"/>
  <c r="R383" i="31"/>
  <c r="H383" i="31"/>
  <c r="R382" i="31"/>
  <c r="H382" i="31"/>
  <c r="S384" i="31"/>
  <c r="J384" i="31"/>
  <c r="Q383" i="31"/>
  <c r="F383" i="31"/>
  <c r="Q382" i="31"/>
  <c r="F382" i="31"/>
  <c r="R384" i="31"/>
  <c r="H384" i="31"/>
  <c r="D382" i="31"/>
  <c r="L383" i="31"/>
  <c r="L390" i="31"/>
  <c r="N396" i="31"/>
  <c r="S395" i="31"/>
  <c r="J395" i="31"/>
  <c r="S394" i="31"/>
  <c r="J394" i="31"/>
  <c r="L396" i="31"/>
  <c r="R395" i="31"/>
  <c r="H395" i="31"/>
  <c r="R394" i="31"/>
  <c r="H394" i="31"/>
  <c r="S396" i="31"/>
  <c r="J396" i="31"/>
  <c r="Q395" i="31"/>
  <c r="F395" i="31"/>
  <c r="Q394" i="31"/>
  <c r="F394" i="31"/>
  <c r="R396" i="31"/>
  <c r="H396" i="31"/>
  <c r="D394" i="31"/>
  <c r="L395" i="31"/>
  <c r="L407" i="31"/>
  <c r="L414" i="31"/>
  <c r="J333" i="31"/>
  <c r="S332" i="31"/>
  <c r="L334" i="31"/>
  <c r="H333" i="31"/>
  <c r="H332" i="31"/>
  <c r="S334" i="31"/>
  <c r="F333" i="31"/>
  <c r="Q332" i="31"/>
  <c r="F332" i="31"/>
  <c r="D332" i="31"/>
  <c r="C332" i="31"/>
  <c r="C344" i="31"/>
  <c r="N345" i="31"/>
  <c r="N354" i="31"/>
  <c r="S353" i="31"/>
  <c r="J353" i="31"/>
  <c r="S352" i="31"/>
  <c r="J352" i="31"/>
  <c r="L354" i="31"/>
  <c r="R353" i="31"/>
  <c r="H353" i="31"/>
  <c r="R352" i="31"/>
  <c r="H352" i="31"/>
  <c r="F354" i="31"/>
  <c r="S354" i="31"/>
  <c r="J354" i="31"/>
  <c r="Q353" i="31"/>
  <c r="F353" i="31"/>
  <c r="Q352" i="31"/>
  <c r="F352" i="31"/>
  <c r="N352" i="31"/>
  <c r="R354" i="31"/>
  <c r="H354" i="31"/>
  <c r="D352" i="31"/>
  <c r="Q354" i="31"/>
  <c r="N353" i="31"/>
  <c r="C352" i="31"/>
  <c r="L332" i="31"/>
  <c r="N338" i="31"/>
  <c r="S337" i="31"/>
  <c r="J337" i="31"/>
  <c r="S336" i="31"/>
  <c r="J336" i="31"/>
  <c r="L338" i="31"/>
  <c r="R337" i="31"/>
  <c r="H337" i="31"/>
  <c r="R336" i="31"/>
  <c r="H336" i="31"/>
  <c r="S338" i="31"/>
  <c r="J338" i="31"/>
  <c r="Q337" i="31"/>
  <c r="F337" i="31"/>
  <c r="Q336" i="31"/>
  <c r="F336" i="31"/>
  <c r="R338" i="31"/>
  <c r="H338" i="31"/>
  <c r="D336" i="31"/>
  <c r="L337" i="31"/>
  <c r="L344" i="31"/>
  <c r="N350" i="31"/>
  <c r="S349" i="31"/>
  <c r="J349" i="31"/>
  <c r="S348" i="31"/>
  <c r="J348" i="31"/>
  <c r="L350" i="31"/>
  <c r="R349" i="31"/>
  <c r="H349" i="31"/>
  <c r="R348" i="31"/>
  <c r="H348" i="31"/>
  <c r="F350" i="31"/>
  <c r="S350" i="31"/>
  <c r="J350" i="31"/>
  <c r="Q349" i="31"/>
  <c r="F349" i="31"/>
  <c r="Q348" i="31"/>
  <c r="F348" i="31"/>
  <c r="Q350" i="31"/>
  <c r="R350" i="31"/>
  <c r="H350" i="31"/>
  <c r="D348" i="31"/>
  <c r="L349" i="31"/>
  <c r="L352" i="31"/>
  <c r="N358" i="31"/>
  <c r="S357" i="31"/>
  <c r="J357" i="31"/>
  <c r="S356" i="31"/>
  <c r="J356" i="31"/>
  <c r="L358" i="31"/>
  <c r="R357" i="31"/>
  <c r="H357" i="31"/>
  <c r="R356" i="31"/>
  <c r="H356" i="31"/>
  <c r="S358" i="31"/>
  <c r="J358" i="31"/>
  <c r="Q357" i="31"/>
  <c r="F357" i="31"/>
  <c r="Q356" i="31"/>
  <c r="F356" i="31"/>
  <c r="Q358" i="31"/>
  <c r="N357" i="31"/>
  <c r="N356" i="31"/>
  <c r="R358" i="31"/>
  <c r="H358" i="31"/>
  <c r="D356" i="31"/>
  <c r="F358" i="31"/>
  <c r="C356" i="31"/>
  <c r="N332" i="31"/>
  <c r="F334" i="31"/>
  <c r="N344" i="31"/>
  <c r="N362" i="31"/>
  <c r="S361" i="31"/>
  <c r="J361" i="31"/>
  <c r="S360" i="31"/>
  <c r="J360" i="31"/>
  <c r="L362" i="31"/>
  <c r="R361" i="31"/>
  <c r="H361" i="31"/>
  <c r="R360" i="31"/>
  <c r="H360" i="31"/>
  <c r="N360" i="31"/>
  <c r="S362" i="31"/>
  <c r="J362" i="31"/>
  <c r="Q361" i="31"/>
  <c r="F361" i="31"/>
  <c r="Q360" i="31"/>
  <c r="F360" i="31"/>
  <c r="Q362" i="31"/>
  <c r="N361" i="31"/>
  <c r="C360" i="31"/>
  <c r="R362" i="31"/>
  <c r="H362" i="31"/>
  <c r="D360" i="31"/>
  <c r="F362" i="31"/>
  <c r="L333" i="31"/>
  <c r="N346" i="31"/>
  <c r="S345" i="31"/>
  <c r="J345" i="31"/>
  <c r="S344" i="31"/>
  <c r="J344" i="31"/>
  <c r="L346" i="31"/>
  <c r="R345" i="31"/>
  <c r="H345" i="31"/>
  <c r="R344" i="31"/>
  <c r="H344" i="31"/>
  <c r="S346" i="31"/>
  <c r="J346" i="31"/>
  <c r="Q345" i="31"/>
  <c r="F345" i="31"/>
  <c r="Q344" i="31"/>
  <c r="F344" i="31"/>
  <c r="R346" i="31"/>
  <c r="H346" i="31"/>
  <c r="D344" i="31"/>
  <c r="N342" i="31"/>
  <c r="S341" i="31"/>
  <c r="J341" i="31"/>
  <c r="S340" i="31"/>
  <c r="J340" i="31"/>
  <c r="L342" i="31"/>
  <c r="R341" i="31"/>
  <c r="H341" i="31"/>
  <c r="R340" i="31"/>
  <c r="H340" i="31"/>
  <c r="S342" i="31"/>
  <c r="J342" i="31"/>
  <c r="Q341" i="31"/>
  <c r="F341" i="31"/>
  <c r="Q340" i="31"/>
  <c r="F340" i="31"/>
  <c r="R342" i="31"/>
  <c r="H342" i="31"/>
  <c r="D340" i="31"/>
  <c r="L341" i="31"/>
  <c r="L353" i="31"/>
  <c r="N366" i="31"/>
  <c r="S365" i="31"/>
  <c r="J365" i="31"/>
  <c r="S364" i="31"/>
  <c r="J364" i="31"/>
  <c r="L366" i="31"/>
  <c r="R365" i="31"/>
  <c r="H365" i="31"/>
  <c r="R364" i="31"/>
  <c r="H364" i="31"/>
  <c r="S366" i="31"/>
  <c r="J366" i="31"/>
  <c r="Q365" i="31"/>
  <c r="F365" i="31"/>
  <c r="Q364" i="31"/>
  <c r="F364" i="31"/>
  <c r="Q366" i="31"/>
  <c r="F366" i="31"/>
  <c r="R366" i="31"/>
  <c r="H366" i="31"/>
  <c r="D364" i="31"/>
  <c r="N365" i="31"/>
  <c r="N364" i="31"/>
  <c r="C364" i="31"/>
  <c r="L345" i="31"/>
  <c r="Q334" i="31"/>
  <c r="C340" i="31"/>
  <c r="N341" i="31"/>
  <c r="Q346" i="31"/>
  <c r="L364" i="31"/>
  <c r="N370" i="31"/>
  <c r="S369" i="31"/>
  <c r="J369" i="31"/>
  <c r="S368" i="31"/>
  <c r="J368" i="31"/>
  <c r="L370" i="31"/>
  <c r="R369" i="31"/>
  <c r="H369" i="31"/>
  <c r="R368" i="31"/>
  <c r="H368" i="31"/>
  <c r="F370" i="31"/>
  <c r="N368" i="31"/>
  <c r="C368" i="31"/>
  <c r="S370" i="31"/>
  <c r="J370" i="31"/>
  <c r="Q369" i="31"/>
  <c r="F369" i="31"/>
  <c r="Q368" i="31"/>
  <c r="F368" i="31"/>
  <c r="Q370" i="31"/>
  <c r="N369" i="31"/>
  <c r="R370" i="31"/>
  <c r="H370" i="31"/>
  <c r="D368" i="31"/>
  <c r="N296" i="31"/>
  <c r="S295" i="31"/>
  <c r="J295" i="31"/>
  <c r="S294" i="31"/>
  <c r="J294" i="31"/>
  <c r="L296" i="31"/>
  <c r="R295" i="31"/>
  <c r="H295" i="31"/>
  <c r="R294" i="31"/>
  <c r="H294" i="31"/>
  <c r="S296" i="31"/>
  <c r="J296" i="31"/>
  <c r="Q295" i="31"/>
  <c r="F295" i="31"/>
  <c r="Q294" i="31"/>
  <c r="F294" i="31"/>
  <c r="R296" i="31"/>
  <c r="H296" i="31"/>
  <c r="D294" i="31"/>
  <c r="Q296" i="31"/>
  <c r="F296" i="31"/>
  <c r="N295" i="31"/>
  <c r="N294" i="31"/>
  <c r="C294" i="31"/>
  <c r="N300" i="31"/>
  <c r="S299" i="31"/>
  <c r="J299" i="31"/>
  <c r="S298" i="31"/>
  <c r="J298" i="31"/>
  <c r="L300" i="31"/>
  <c r="R299" i="31"/>
  <c r="H299" i="31"/>
  <c r="R298" i="31"/>
  <c r="H298" i="31"/>
  <c r="S300" i="31"/>
  <c r="J300" i="31"/>
  <c r="Q299" i="31"/>
  <c r="F299" i="31"/>
  <c r="Q298" i="31"/>
  <c r="F298" i="31"/>
  <c r="R300" i="31"/>
  <c r="H300" i="31"/>
  <c r="D298" i="31"/>
  <c r="Q300" i="31"/>
  <c r="F300" i="31"/>
  <c r="N299" i="31"/>
  <c r="N298" i="31"/>
  <c r="C298" i="31"/>
  <c r="L298" i="31"/>
  <c r="N288" i="31"/>
  <c r="S287" i="31"/>
  <c r="J287" i="31"/>
  <c r="S286" i="31"/>
  <c r="J286" i="31"/>
  <c r="L288" i="31"/>
  <c r="R287" i="31"/>
  <c r="H287" i="31"/>
  <c r="R286" i="31"/>
  <c r="H286" i="31"/>
  <c r="S288" i="31"/>
  <c r="J288" i="31"/>
  <c r="Q287" i="31"/>
  <c r="F287" i="31"/>
  <c r="Q286" i="31"/>
  <c r="F286" i="31"/>
  <c r="R288" i="31"/>
  <c r="H288" i="31"/>
  <c r="D286" i="31"/>
  <c r="Q288" i="31"/>
  <c r="F288" i="31"/>
  <c r="N287" i="31"/>
  <c r="N286" i="31"/>
  <c r="C286" i="31"/>
  <c r="L299" i="31"/>
  <c r="N292" i="31"/>
  <c r="S291" i="31"/>
  <c r="J291" i="31"/>
  <c r="S290" i="31"/>
  <c r="J290" i="31"/>
  <c r="L292" i="31"/>
  <c r="R291" i="31"/>
  <c r="H291" i="31"/>
  <c r="R290" i="31"/>
  <c r="H290" i="31"/>
  <c r="S292" i="31"/>
  <c r="J292" i="31"/>
  <c r="Q291" i="31"/>
  <c r="F291" i="31"/>
  <c r="Q290" i="31"/>
  <c r="F290" i="31"/>
  <c r="R292" i="31"/>
  <c r="H292" i="31"/>
  <c r="D290" i="31"/>
  <c r="Q292" i="31"/>
  <c r="F292" i="31"/>
  <c r="N291" i="31"/>
  <c r="N290" i="31"/>
  <c r="C290" i="31"/>
  <c r="C302" i="31"/>
  <c r="N302" i="31"/>
  <c r="N303" i="31"/>
  <c r="F304" i="31"/>
  <c r="Q304" i="31"/>
  <c r="C306" i="31"/>
  <c r="N306" i="31"/>
  <c r="N307" i="31"/>
  <c r="F308" i="31"/>
  <c r="Q308" i="31"/>
  <c r="C310" i="31"/>
  <c r="N310" i="31"/>
  <c r="N311" i="31"/>
  <c r="F312" i="31"/>
  <c r="Q312" i="31"/>
  <c r="C314" i="31"/>
  <c r="N314" i="31"/>
  <c r="N315" i="31"/>
  <c r="F316" i="31"/>
  <c r="Q316" i="31"/>
  <c r="C318" i="31"/>
  <c r="N318" i="31"/>
  <c r="N319" i="31"/>
  <c r="F320" i="31"/>
  <c r="Q320" i="31"/>
  <c r="C322" i="31"/>
  <c r="N322" i="31"/>
  <c r="N323" i="31"/>
  <c r="F324" i="31"/>
  <c r="Q324" i="31"/>
  <c r="L302" i="31"/>
  <c r="L314" i="31"/>
  <c r="L315" i="31"/>
  <c r="L318" i="31"/>
  <c r="L319" i="31"/>
  <c r="L322" i="31"/>
  <c r="D302" i="31"/>
  <c r="H304" i="31"/>
  <c r="R304" i="31"/>
  <c r="D306" i="31"/>
  <c r="H308" i="31"/>
  <c r="R308" i="31"/>
  <c r="D310" i="31"/>
  <c r="H312" i="31"/>
  <c r="R312" i="31"/>
  <c r="D314" i="31"/>
  <c r="H316" i="31"/>
  <c r="R316" i="31"/>
  <c r="D318" i="31"/>
  <c r="H320" i="31"/>
  <c r="R320" i="31"/>
  <c r="D322" i="31"/>
  <c r="H324" i="31"/>
  <c r="R324" i="31"/>
  <c r="L306" i="31"/>
  <c r="L307" i="31"/>
  <c r="L311" i="31"/>
  <c r="F302" i="31"/>
  <c r="Q302" i="31"/>
  <c r="F303" i="31"/>
  <c r="Q303" i="31"/>
  <c r="J304" i="31"/>
  <c r="S304" i="31"/>
  <c r="F306" i="31"/>
  <c r="Q306" i="31"/>
  <c r="F307" i="31"/>
  <c r="Q307" i="31"/>
  <c r="J308" i="31"/>
  <c r="S308" i="31"/>
  <c r="F310" i="31"/>
  <c r="Q310" i="31"/>
  <c r="F311" i="31"/>
  <c r="Q311" i="31"/>
  <c r="J312" i="31"/>
  <c r="S312" i="31"/>
  <c r="F314" i="31"/>
  <c r="Q314" i="31"/>
  <c r="F315" i="31"/>
  <c r="Q315" i="31"/>
  <c r="J316" i="31"/>
  <c r="S316" i="31"/>
  <c r="F318" i="31"/>
  <c r="Q318" i="31"/>
  <c r="F319" i="31"/>
  <c r="Q319" i="31"/>
  <c r="J320" i="31"/>
  <c r="S320" i="31"/>
  <c r="F322" i="31"/>
  <c r="Q322" i="31"/>
  <c r="F323" i="31"/>
  <c r="Q323" i="31"/>
  <c r="J324" i="31"/>
  <c r="S324" i="31"/>
  <c r="L303" i="31"/>
  <c r="L310" i="31"/>
  <c r="L323" i="31"/>
  <c r="H302" i="31"/>
  <c r="R302" i="31"/>
  <c r="H303" i="31"/>
  <c r="R303" i="31"/>
  <c r="L304" i="31"/>
  <c r="H306" i="31"/>
  <c r="R306" i="31"/>
  <c r="H307" i="31"/>
  <c r="R307" i="31"/>
  <c r="L308" i="31"/>
  <c r="H310" i="31"/>
  <c r="R310" i="31"/>
  <c r="H311" i="31"/>
  <c r="R311" i="31"/>
  <c r="L312" i="31"/>
  <c r="H314" i="31"/>
  <c r="R314" i="31"/>
  <c r="H315" i="31"/>
  <c r="R315" i="31"/>
  <c r="L316" i="31"/>
  <c r="H318" i="31"/>
  <c r="R318" i="31"/>
  <c r="H319" i="31"/>
  <c r="R319" i="31"/>
  <c r="L320" i="31"/>
  <c r="H322" i="31"/>
  <c r="R322" i="31"/>
  <c r="H323" i="31"/>
  <c r="R323" i="31"/>
  <c r="L324" i="31"/>
  <c r="J302" i="31"/>
  <c r="S302" i="31"/>
  <c r="J303" i="31"/>
  <c r="S303" i="31"/>
  <c r="J306" i="31"/>
  <c r="S306" i="31"/>
  <c r="J307" i="31"/>
  <c r="S307" i="31"/>
  <c r="J310" i="31"/>
  <c r="S310" i="31"/>
  <c r="J311" i="31"/>
  <c r="S311" i="31"/>
  <c r="J314" i="31"/>
  <c r="S314" i="31"/>
  <c r="J315" i="31"/>
  <c r="S315" i="31"/>
  <c r="J318" i="31"/>
  <c r="S318" i="31"/>
  <c r="J319" i="31"/>
  <c r="S319" i="31"/>
  <c r="J322" i="31"/>
  <c r="S322" i="31"/>
  <c r="J323" i="31"/>
  <c r="S323" i="31"/>
  <c r="N254" i="31"/>
  <c r="S253" i="31"/>
  <c r="J253" i="31"/>
  <c r="S252" i="31"/>
  <c r="J252" i="31"/>
  <c r="L254" i="31"/>
  <c r="R253" i="31"/>
  <c r="H253" i="31"/>
  <c r="R252" i="31"/>
  <c r="H252" i="31"/>
  <c r="H254" i="31"/>
  <c r="S254" i="31"/>
  <c r="J254" i="31"/>
  <c r="Q253" i="31"/>
  <c r="F253" i="31"/>
  <c r="Q252" i="31"/>
  <c r="F252" i="31"/>
  <c r="R254" i="31"/>
  <c r="Q254" i="31"/>
  <c r="F254" i="31"/>
  <c r="N253" i="31"/>
  <c r="N252" i="31"/>
  <c r="C252" i="31"/>
  <c r="L253" i="31"/>
  <c r="D240" i="31"/>
  <c r="N266" i="31"/>
  <c r="S265" i="31"/>
  <c r="J265" i="31"/>
  <c r="S264" i="31"/>
  <c r="J264" i="31"/>
  <c r="L266" i="31"/>
  <c r="R265" i="31"/>
  <c r="H265" i="31"/>
  <c r="R264" i="31"/>
  <c r="H264" i="31"/>
  <c r="H266" i="31"/>
  <c r="D264" i="31"/>
  <c r="S266" i="31"/>
  <c r="J266" i="31"/>
  <c r="Q265" i="31"/>
  <c r="F265" i="31"/>
  <c r="Q264" i="31"/>
  <c r="F264" i="31"/>
  <c r="R266" i="31"/>
  <c r="Q266" i="31"/>
  <c r="F266" i="31"/>
  <c r="N265" i="31"/>
  <c r="N264" i="31"/>
  <c r="C264" i="31"/>
  <c r="N246" i="31"/>
  <c r="S245" i="31"/>
  <c r="J245" i="31"/>
  <c r="S244" i="31"/>
  <c r="J244" i="31"/>
  <c r="L246" i="31"/>
  <c r="R245" i="31"/>
  <c r="H245" i="31"/>
  <c r="R244" i="31"/>
  <c r="H244" i="31"/>
  <c r="S246" i="31"/>
  <c r="J246" i="31"/>
  <c r="Q245" i="31"/>
  <c r="F245" i="31"/>
  <c r="Q244" i="31"/>
  <c r="F244" i="31"/>
  <c r="Q246" i="31"/>
  <c r="F246" i="31"/>
  <c r="N245" i="31"/>
  <c r="N244" i="31"/>
  <c r="C244" i="31"/>
  <c r="L245" i="31"/>
  <c r="L252" i="31"/>
  <c r="L264" i="31"/>
  <c r="L244" i="31"/>
  <c r="R242" i="31"/>
  <c r="H246" i="31"/>
  <c r="D248" i="31"/>
  <c r="N258" i="31"/>
  <c r="S257" i="31"/>
  <c r="J257" i="31"/>
  <c r="S256" i="31"/>
  <c r="J256" i="31"/>
  <c r="L258" i="31"/>
  <c r="R257" i="31"/>
  <c r="H257" i="31"/>
  <c r="R256" i="31"/>
  <c r="H256" i="31"/>
  <c r="R258" i="31"/>
  <c r="D256" i="31"/>
  <c r="S258" i="31"/>
  <c r="J258" i="31"/>
  <c r="Q257" i="31"/>
  <c r="F257" i="31"/>
  <c r="Q256" i="31"/>
  <c r="F256" i="31"/>
  <c r="H258" i="31"/>
  <c r="Q258" i="31"/>
  <c r="F258" i="31"/>
  <c r="N257" i="31"/>
  <c r="N256" i="31"/>
  <c r="C256" i="31"/>
  <c r="L241" i="31"/>
  <c r="D252" i="31"/>
  <c r="L260" i="31"/>
  <c r="L240" i="31"/>
  <c r="N270" i="31"/>
  <c r="S269" i="31"/>
  <c r="J269" i="31"/>
  <c r="S268" i="31"/>
  <c r="J268" i="31"/>
  <c r="L270" i="31"/>
  <c r="R269" i="31"/>
  <c r="H269" i="31"/>
  <c r="R268" i="31"/>
  <c r="H268" i="31"/>
  <c r="R270" i="31"/>
  <c r="D268" i="31"/>
  <c r="S270" i="31"/>
  <c r="J270" i="31"/>
  <c r="Q269" i="31"/>
  <c r="F269" i="31"/>
  <c r="Q268" i="31"/>
  <c r="F268" i="31"/>
  <c r="H270" i="31"/>
  <c r="Q270" i="31"/>
  <c r="F270" i="31"/>
  <c r="N269" i="31"/>
  <c r="N268" i="31"/>
  <c r="C268" i="31"/>
  <c r="D244" i="31"/>
  <c r="L268" i="31"/>
  <c r="L271" i="31" s="1"/>
  <c r="N274" i="31"/>
  <c r="S273" i="31"/>
  <c r="J273" i="31"/>
  <c r="S272" i="31"/>
  <c r="J272" i="31"/>
  <c r="D272" i="31"/>
  <c r="L274" i="31"/>
  <c r="R273" i="31"/>
  <c r="H273" i="31"/>
  <c r="R272" i="31"/>
  <c r="H272" i="31"/>
  <c r="S274" i="31"/>
  <c r="J274" i="31"/>
  <c r="Q273" i="31"/>
  <c r="F273" i="31"/>
  <c r="Q272" i="31"/>
  <c r="F272" i="31"/>
  <c r="R274" i="31"/>
  <c r="H274" i="31"/>
  <c r="Q274" i="31"/>
  <c r="F274" i="31"/>
  <c r="N273" i="31"/>
  <c r="N272" i="31"/>
  <c r="C272" i="31"/>
  <c r="N242" i="31"/>
  <c r="S241" i="31"/>
  <c r="J241" i="31"/>
  <c r="S240" i="31"/>
  <c r="J240" i="31"/>
  <c r="L242" i="31"/>
  <c r="R241" i="31"/>
  <c r="H241" i="31"/>
  <c r="R240" i="31"/>
  <c r="H240" i="31"/>
  <c r="S242" i="31"/>
  <c r="J242" i="31"/>
  <c r="Q241" i="31"/>
  <c r="F241" i="31"/>
  <c r="Q240" i="31"/>
  <c r="F240" i="31"/>
  <c r="Q242" i="31"/>
  <c r="F242" i="31"/>
  <c r="N241" i="31"/>
  <c r="N240" i="31"/>
  <c r="C240" i="31"/>
  <c r="N262" i="31"/>
  <c r="S261" i="31"/>
  <c r="J261" i="31"/>
  <c r="S260" i="31"/>
  <c r="J260" i="31"/>
  <c r="H262" i="31"/>
  <c r="L262" i="31"/>
  <c r="R261" i="31"/>
  <c r="H261" i="31"/>
  <c r="R260" i="31"/>
  <c r="H260" i="31"/>
  <c r="R262" i="31"/>
  <c r="D260" i="31"/>
  <c r="S262" i="31"/>
  <c r="J262" i="31"/>
  <c r="Q261" i="31"/>
  <c r="F261" i="31"/>
  <c r="Q260" i="31"/>
  <c r="F260" i="31"/>
  <c r="Q262" i="31"/>
  <c r="F262" i="31"/>
  <c r="N261" i="31"/>
  <c r="N260" i="31"/>
  <c r="C260" i="31"/>
  <c r="N250" i="31"/>
  <c r="S249" i="31"/>
  <c r="J249" i="31"/>
  <c r="S248" i="31"/>
  <c r="J248" i="31"/>
  <c r="L250" i="31"/>
  <c r="R249" i="31"/>
  <c r="H249" i="31"/>
  <c r="R248" i="31"/>
  <c r="H248" i="31"/>
  <c r="S250" i="31"/>
  <c r="J250" i="31"/>
  <c r="Q249" i="31"/>
  <c r="F249" i="31"/>
  <c r="Q248" i="31"/>
  <c r="F248" i="31"/>
  <c r="Q250" i="31"/>
  <c r="F250" i="31"/>
  <c r="N249" i="31"/>
  <c r="N248" i="31"/>
  <c r="C248" i="31"/>
  <c r="L249" i="31"/>
  <c r="L265" i="31"/>
  <c r="L276" i="31"/>
  <c r="L277" i="31"/>
  <c r="C276" i="31"/>
  <c r="N276" i="31"/>
  <c r="N277" i="31"/>
  <c r="F278" i="31"/>
  <c r="Q278" i="31"/>
  <c r="D276" i="31"/>
  <c r="H278" i="31"/>
  <c r="F276" i="31"/>
  <c r="Q276" i="31"/>
  <c r="F277" i="31"/>
  <c r="Q277" i="31"/>
  <c r="J278" i="31"/>
  <c r="S278" i="31"/>
  <c r="R278" i="31"/>
  <c r="H276" i="31"/>
  <c r="R276" i="31"/>
  <c r="H277" i="31"/>
  <c r="R277" i="31"/>
  <c r="L278" i="31"/>
  <c r="J276" i="31"/>
  <c r="S276" i="31"/>
  <c r="J277" i="31"/>
  <c r="S277" i="31"/>
  <c r="N208" i="31"/>
  <c r="S207" i="31"/>
  <c r="J207" i="31"/>
  <c r="S206" i="31"/>
  <c r="J206" i="31"/>
  <c r="L208" i="31"/>
  <c r="R207" i="31"/>
  <c r="H207" i="31"/>
  <c r="R206" i="31"/>
  <c r="H206" i="31"/>
  <c r="S208" i="31"/>
  <c r="J208" i="31"/>
  <c r="Q207" i="31"/>
  <c r="F207" i="31"/>
  <c r="Q206" i="31"/>
  <c r="F206" i="31"/>
  <c r="R208" i="31"/>
  <c r="H208" i="31"/>
  <c r="D206" i="31"/>
  <c r="Q208" i="31"/>
  <c r="F208" i="31"/>
  <c r="N207" i="31"/>
  <c r="N206" i="31"/>
  <c r="C206" i="31"/>
  <c r="N212" i="31"/>
  <c r="S211" i="31"/>
  <c r="J211" i="31"/>
  <c r="S210" i="31"/>
  <c r="J210" i="31"/>
  <c r="L212" i="31"/>
  <c r="R211" i="31"/>
  <c r="H211" i="31"/>
  <c r="R210" i="31"/>
  <c r="H210" i="31"/>
  <c r="L211" i="31"/>
  <c r="S212" i="31"/>
  <c r="J212" i="31"/>
  <c r="Q211" i="31"/>
  <c r="F211" i="31"/>
  <c r="Q210" i="31"/>
  <c r="F210" i="31"/>
  <c r="R212" i="31"/>
  <c r="H212" i="31"/>
  <c r="D210" i="31"/>
  <c r="Q212" i="31"/>
  <c r="F212" i="31"/>
  <c r="N211" i="31"/>
  <c r="N210" i="31"/>
  <c r="C210" i="31"/>
  <c r="L210" i="31"/>
  <c r="N196" i="31"/>
  <c r="S195" i="31"/>
  <c r="J195" i="31"/>
  <c r="S194" i="31"/>
  <c r="J194" i="31"/>
  <c r="L196" i="31"/>
  <c r="R195" i="31"/>
  <c r="H195" i="31"/>
  <c r="R194" i="31"/>
  <c r="H194" i="31"/>
  <c r="S196" i="31"/>
  <c r="J196" i="31"/>
  <c r="Q195" i="31"/>
  <c r="F195" i="31"/>
  <c r="Q194" i="31"/>
  <c r="F194" i="31"/>
  <c r="R196" i="31"/>
  <c r="H196" i="31"/>
  <c r="D194" i="31"/>
  <c r="Q196" i="31"/>
  <c r="F196" i="31"/>
  <c r="N195" i="31"/>
  <c r="N194" i="31"/>
  <c r="C194" i="31"/>
  <c r="L207" i="31"/>
  <c r="L206" i="31"/>
  <c r="L194" i="31"/>
  <c r="N200" i="31"/>
  <c r="S199" i="31"/>
  <c r="J199" i="31"/>
  <c r="S198" i="31"/>
  <c r="J198" i="31"/>
  <c r="L200" i="31"/>
  <c r="R199" i="31"/>
  <c r="H199" i="31"/>
  <c r="R198" i="31"/>
  <c r="H198" i="31"/>
  <c r="S200" i="31"/>
  <c r="J200" i="31"/>
  <c r="Q199" i="31"/>
  <c r="F199" i="31"/>
  <c r="Q198" i="31"/>
  <c r="F198" i="31"/>
  <c r="R200" i="31"/>
  <c r="H200" i="31"/>
  <c r="D198" i="31"/>
  <c r="Q200" i="31"/>
  <c r="F200" i="31"/>
  <c r="N199" i="31"/>
  <c r="N198" i="31"/>
  <c r="C198" i="31"/>
  <c r="N204" i="31"/>
  <c r="S203" i="31"/>
  <c r="J203" i="31"/>
  <c r="S202" i="31"/>
  <c r="J202" i="31"/>
  <c r="L204" i="31"/>
  <c r="R203" i="31"/>
  <c r="H203" i="31"/>
  <c r="R202" i="31"/>
  <c r="H202" i="31"/>
  <c r="S204" i="31"/>
  <c r="J204" i="31"/>
  <c r="Q203" i="31"/>
  <c r="F203" i="31"/>
  <c r="Q202" i="31"/>
  <c r="F202" i="31"/>
  <c r="R204" i="31"/>
  <c r="H204" i="31"/>
  <c r="D202" i="31"/>
  <c r="Q204" i="31"/>
  <c r="F204" i="31"/>
  <c r="N203" i="31"/>
  <c r="N202" i="31"/>
  <c r="C202" i="31"/>
  <c r="L218" i="31"/>
  <c r="L219" i="31"/>
  <c r="L222" i="31"/>
  <c r="L223" i="31"/>
  <c r="L230" i="31"/>
  <c r="L231" i="31"/>
  <c r="C214" i="31"/>
  <c r="N214" i="31"/>
  <c r="N215" i="31"/>
  <c r="F216" i="31"/>
  <c r="Q216" i="31"/>
  <c r="C218" i="31"/>
  <c r="N218" i="31"/>
  <c r="N219" i="31"/>
  <c r="F220" i="31"/>
  <c r="Q220" i="31"/>
  <c r="C222" i="31"/>
  <c r="N222" i="31"/>
  <c r="N223" i="31"/>
  <c r="F224" i="31"/>
  <c r="Q224" i="31"/>
  <c r="C226" i="31"/>
  <c r="N226" i="31"/>
  <c r="N227" i="31"/>
  <c r="F228" i="31"/>
  <c r="Q228" i="31"/>
  <c r="C230" i="31"/>
  <c r="N230" i="31"/>
  <c r="N231" i="31"/>
  <c r="F232" i="31"/>
  <c r="Q232" i="31"/>
  <c r="L226" i="31"/>
  <c r="D214" i="31"/>
  <c r="H216" i="31"/>
  <c r="R216" i="31"/>
  <c r="D218" i="31"/>
  <c r="H220" i="31"/>
  <c r="R220" i="31"/>
  <c r="D222" i="31"/>
  <c r="H224" i="31"/>
  <c r="R224" i="31"/>
  <c r="D226" i="31"/>
  <c r="H228" i="31"/>
  <c r="R228" i="31"/>
  <c r="D230" i="31"/>
  <c r="H232" i="31"/>
  <c r="R232" i="31"/>
  <c r="F214" i="31"/>
  <c r="Q214" i="31"/>
  <c r="F215" i="31"/>
  <c r="Q215" i="31"/>
  <c r="J216" i="31"/>
  <c r="S216" i="31"/>
  <c r="F218" i="31"/>
  <c r="Q218" i="31"/>
  <c r="F219" i="31"/>
  <c r="Q219" i="31"/>
  <c r="J220" i="31"/>
  <c r="S220" i="31"/>
  <c r="F222" i="31"/>
  <c r="Q222" i="31"/>
  <c r="F223" i="31"/>
  <c r="Q223" i="31"/>
  <c r="J224" i="31"/>
  <c r="S224" i="31"/>
  <c r="F226" i="31"/>
  <c r="Q226" i="31"/>
  <c r="F227" i="31"/>
  <c r="Q227" i="31"/>
  <c r="J228" i="31"/>
  <c r="S228" i="31"/>
  <c r="F230" i="31"/>
  <c r="Q230" i="31"/>
  <c r="F231" i="31"/>
  <c r="Q231" i="31"/>
  <c r="J232" i="31"/>
  <c r="S232" i="31"/>
  <c r="L214" i="31"/>
  <c r="L215" i="31"/>
  <c r="L227" i="31"/>
  <c r="H214" i="31"/>
  <c r="R214" i="31"/>
  <c r="H215" i="31"/>
  <c r="R215" i="31"/>
  <c r="L216" i="31"/>
  <c r="H218" i="31"/>
  <c r="R218" i="31"/>
  <c r="H219" i="31"/>
  <c r="R219" i="31"/>
  <c r="L220" i="31"/>
  <c r="H222" i="31"/>
  <c r="R222" i="31"/>
  <c r="H223" i="31"/>
  <c r="R223" i="31"/>
  <c r="L224" i="31"/>
  <c r="H226" i="31"/>
  <c r="R226" i="31"/>
  <c r="H227" i="31"/>
  <c r="R227" i="31"/>
  <c r="L228" i="31"/>
  <c r="H230" i="31"/>
  <c r="R230" i="31"/>
  <c r="H231" i="31"/>
  <c r="R231" i="31"/>
  <c r="L232" i="31"/>
  <c r="J214" i="31"/>
  <c r="S214" i="31"/>
  <c r="J215" i="31"/>
  <c r="S215" i="31"/>
  <c r="J218" i="31"/>
  <c r="S218" i="31"/>
  <c r="J219" i="31"/>
  <c r="S219" i="31"/>
  <c r="J222" i="31"/>
  <c r="S222" i="31"/>
  <c r="J223" i="31"/>
  <c r="S223" i="31"/>
  <c r="J226" i="31"/>
  <c r="S226" i="31"/>
  <c r="J227" i="31"/>
  <c r="S227" i="31"/>
  <c r="J230" i="31"/>
  <c r="S230" i="31"/>
  <c r="J231" i="31"/>
  <c r="S231" i="31"/>
  <c r="L148" i="31"/>
  <c r="L149" i="31"/>
  <c r="L152" i="31"/>
  <c r="L153" i="31"/>
  <c r="L156" i="31"/>
  <c r="L157" i="31"/>
  <c r="L160" i="31"/>
  <c r="L161" i="31"/>
  <c r="L164" i="31"/>
  <c r="L165" i="31"/>
  <c r="L168" i="31"/>
  <c r="L169" i="31"/>
  <c r="L172" i="31"/>
  <c r="L173" i="31"/>
  <c r="L176" i="31"/>
  <c r="L177" i="31"/>
  <c r="L180" i="31"/>
  <c r="L181" i="31"/>
  <c r="L184" i="31"/>
  <c r="L185" i="31"/>
  <c r="F148" i="31"/>
  <c r="Q148" i="31"/>
  <c r="F149" i="31"/>
  <c r="Q149" i="31"/>
  <c r="J150" i="31"/>
  <c r="F152" i="31"/>
  <c r="Q152" i="31"/>
  <c r="F153" i="31"/>
  <c r="Q153" i="31"/>
  <c r="J154" i="31"/>
  <c r="F156" i="31"/>
  <c r="Q156" i="31"/>
  <c r="F157" i="31"/>
  <c r="Q157" i="31"/>
  <c r="J158" i="31"/>
  <c r="F160" i="31"/>
  <c r="Q160" i="31"/>
  <c r="F161" i="31"/>
  <c r="Q161" i="31"/>
  <c r="J162" i="31"/>
  <c r="F164" i="31"/>
  <c r="Q164" i="31"/>
  <c r="F165" i="31"/>
  <c r="Q165" i="31"/>
  <c r="J166" i="31"/>
  <c r="F168" i="31"/>
  <c r="Q168" i="31"/>
  <c r="F169" i="31"/>
  <c r="Q169" i="31"/>
  <c r="J170" i="31"/>
  <c r="F172" i="31"/>
  <c r="Q172" i="31"/>
  <c r="F173" i="31"/>
  <c r="Q173" i="31"/>
  <c r="J174" i="31"/>
  <c r="F176" i="31"/>
  <c r="Q176" i="31"/>
  <c r="F177" i="31"/>
  <c r="Q177" i="31"/>
  <c r="J178" i="31"/>
  <c r="F180" i="31"/>
  <c r="Q180" i="31"/>
  <c r="F181" i="31"/>
  <c r="Q181" i="31"/>
  <c r="J182" i="31"/>
  <c r="F184" i="31"/>
  <c r="Q184" i="31"/>
  <c r="F185" i="31"/>
  <c r="Q185" i="31"/>
  <c r="J186" i="31"/>
  <c r="L102" i="31"/>
  <c r="L106" i="31"/>
  <c r="L110" i="31"/>
  <c r="L114" i="31"/>
  <c r="L118" i="31"/>
  <c r="L122" i="31"/>
  <c r="L126" i="31"/>
  <c r="L130" i="31"/>
  <c r="L134" i="31"/>
  <c r="L138" i="31"/>
  <c r="L56" i="31"/>
  <c r="L60" i="31"/>
  <c r="L64" i="31"/>
  <c r="L68" i="31"/>
  <c r="L72" i="31"/>
  <c r="L76" i="31"/>
  <c r="L80" i="31"/>
  <c r="L84" i="31"/>
  <c r="L88" i="31"/>
  <c r="L92" i="31"/>
  <c r="N18" i="31"/>
  <c r="J19" i="31"/>
  <c r="H20" i="31"/>
  <c r="S20" i="31"/>
  <c r="J43" i="31"/>
  <c r="C18" i="31"/>
  <c r="Q18" i="31"/>
  <c r="N19" i="31"/>
  <c r="J20" i="31"/>
  <c r="C42" i="31"/>
  <c r="N43" i="31"/>
  <c r="J44" i="31"/>
  <c r="L20" i="31"/>
  <c r="N14" i="31"/>
  <c r="J15" i="31"/>
  <c r="H16" i="31"/>
  <c r="S16" i="31"/>
  <c r="H18" i="31"/>
  <c r="F19" i="31"/>
  <c r="S19" i="31"/>
  <c r="Q20" i="31"/>
  <c r="D22" i="31"/>
  <c r="R22" i="31"/>
  <c r="Q23" i="31"/>
  <c r="L24" i="31"/>
  <c r="N26" i="31"/>
  <c r="J27" i="31"/>
  <c r="H28" i="31"/>
  <c r="S28" i="31"/>
  <c r="H30" i="31"/>
  <c r="F31" i="31"/>
  <c r="S31" i="31"/>
  <c r="Q32" i="31"/>
  <c r="D34" i="31"/>
  <c r="R34" i="31"/>
  <c r="Q35" i="31"/>
  <c r="L36" i="31"/>
  <c r="N38" i="31"/>
  <c r="J39" i="31"/>
  <c r="H40" i="31"/>
  <c r="S40" i="31"/>
  <c r="H42" i="31"/>
  <c r="F43" i="31"/>
  <c r="S43" i="31"/>
  <c r="Q44" i="31"/>
  <c r="D46" i="31"/>
  <c r="R46" i="31"/>
  <c r="Q47" i="31"/>
  <c r="L48" i="31"/>
  <c r="N30" i="31"/>
  <c r="J31" i="31"/>
  <c r="H32" i="31"/>
  <c r="S32" i="31"/>
  <c r="N42" i="31"/>
  <c r="S44" i="31"/>
  <c r="C30" i="31"/>
  <c r="Q42" i="31"/>
  <c r="D18" i="31"/>
  <c r="R18" i="31"/>
  <c r="Q19" i="31"/>
  <c r="D30" i="31"/>
  <c r="R30" i="31"/>
  <c r="Q31" i="31"/>
  <c r="L32" i="31"/>
  <c r="J35" i="31"/>
  <c r="S36" i="31"/>
  <c r="N46" i="31"/>
  <c r="J47" i="31"/>
  <c r="H48" i="31"/>
  <c r="S48" i="31"/>
  <c r="Q30" i="31"/>
  <c r="N31" i="31"/>
  <c r="J32" i="31"/>
  <c r="N22" i="31"/>
  <c r="J23" i="31"/>
  <c r="H24" i="31"/>
  <c r="S24" i="31"/>
  <c r="N34" i="31"/>
  <c r="H36" i="31"/>
  <c r="D42" i="31"/>
  <c r="R42" i="31"/>
  <c r="Q43" i="31"/>
  <c r="L44" i="31"/>
  <c r="J14" i="31"/>
  <c r="H15" i="31"/>
  <c r="F16" i="31"/>
  <c r="R16" i="31"/>
  <c r="F18" i="31"/>
  <c r="S18" i="31"/>
  <c r="R19" i="31"/>
  <c r="N20" i="31"/>
  <c r="C22" i="31"/>
  <c r="Q22" i="31"/>
  <c r="N23" i="31"/>
  <c r="J24" i="31"/>
  <c r="J26" i="31"/>
  <c r="H27" i="31"/>
  <c r="F28" i="31"/>
  <c r="R28" i="31"/>
  <c r="F30" i="31"/>
  <c r="S30" i="31"/>
  <c r="R31" i="31"/>
  <c r="N32" i="31"/>
  <c r="C34" i="31"/>
  <c r="Q34" i="31"/>
  <c r="N35" i="31"/>
  <c r="J36" i="31"/>
  <c r="J38" i="31"/>
  <c r="H39" i="31"/>
  <c r="F40" i="31"/>
  <c r="R40" i="31"/>
  <c r="F42" i="31"/>
  <c r="S42" i="31"/>
  <c r="R43" i="31"/>
  <c r="N44" i="31"/>
  <c r="C46" i="31"/>
  <c r="Q46" i="31"/>
  <c r="N47" i="31"/>
  <c r="J48" i="31"/>
  <c r="L14" i="31"/>
  <c r="L18" i="31"/>
  <c r="L22" i="31"/>
  <c r="L26" i="31"/>
  <c r="L30" i="31"/>
  <c r="L34" i="31"/>
  <c r="L38" i="31"/>
  <c r="L42" i="31"/>
  <c r="L46" i="31"/>
  <c r="AI162" i="27"/>
  <c r="AI163" i="27"/>
  <c r="AI164" i="27"/>
  <c r="AK162" i="27"/>
  <c r="AK166" i="27" s="1"/>
  <c r="AY163" i="27"/>
  <c r="AY164" i="27"/>
  <c r="S162" i="27"/>
  <c r="AM161" i="27"/>
  <c r="BA163" i="27"/>
  <c r="BA164" i="27"/>
  <c r="C161" i="27"/>
  <c r="E161" i="27"/>
  <c r="AK123" i="27"/>
  <c r="C122" i="27"/>
  <c r="G124" i="27"/>
  <c r="S123" i="27"/>
  <c r="AI124" i="27"/>
  <c r="AI125" i="27"/>
  <c r="AY124" i="27"/>
  <c r="AY125" i="27"/>
  <c r="W126" i="27"/>
  <c r="AM122" i="27"/>
  <c r="BA124" i="27"/>
  <c r="BA125" i="27"/>
  <c r="E122" i="27"/>
  <c r="AI123" i="27"/>
  <c r="C84" i="27"/>
  <c r="C87" i="27"/>
  <c r="W84" i="27"/>
  <c r="E84" i="27"/>
  <c r="AI85" i="27"/>
  <c r="AK85" i="27"/>
  <c r="AM85" i="27"/>
  <c r="G84" i="27"/>
  <c r="U84" i="27"/>
  <c r="S84" i="27"/>
  <c r="AK86" i="27"/>
  <c r="AM86" i="27"/>
  <c r="AI86" i="27"/>
  <c r="E85" i="27"/>
  <c r="E86" i="27"/>
  <c r="S83" i="27"/>
  <c r="AY84" i="27"/>
  <c r="AY87" i="27"/>
  <c r="S85" i="27"/>
  <c r="S86" i="27"/>
  <c r="BC48" i="27"/>
  <c r="BA48" i="27"/>
  <c r="S51" i="27"/>
  <c r="AK48" i="27"/>
  <c r="BC47" i="27"/>
  <c r="BA47" i="27"/>
  <c r="U46" i="27"/>
  <c r="S46" i="27"/>
  <c r="AM46" i="27"/>
  <c r="AK46" i="27"/>
  <c r="S58" i="27"/>
  <c r="W56" i="27"/>
  <c r="V46" i="27"/>
  <c r="X45" i="27"/>
  <c r="AC51" i="27" s="1"/>
  <c r="W57" i="27"/>
  <c r="U56" i="27"/>
  <c r="X49" i="27"/>
  <c r="AD52" i="27" s="1"/>
  <c r="T48" i="27"/>
  <c r="T47" i="27"/>
  <c r="W52" i="27"/>
  <c r="U57" i="27"/>
  <c r="S56" i="27"/>
  <c r="T46" i="27"/>
  <c r="V45" i="27"/>
  <c r="AC48" i="27" s="1"/>
  <c r="S57" i="27"/>
  <c r="U53" i="27"/>
  <c r="V49" i="27"/>
  <c r="X48" i="27"/>
  <c r="AC52" i="27" s="1"/>
  <c r="X47" i="27"/>
  <c r="AE51" i="27" s="1"/>
  <c r="AK47" i="27"/>
  <c r="G45" i="27"/>
  <c r="E45" i="27"/>
  <c r="AI47" i="27"/>
  <c r="AY49" i="27"/>
  <c r="U58" i="27"/>
  <c r="AI48" i="27"/>
  <c r="C45" i="27"/>
  <c r="G58" i="27"/>
  <c r="W54" i="27"/>
  <c r="AM53" i="27"/>
  <c r="C46" i="27"/>
  <c r="H47" i="27"/>
  <c r="H48" i="27"/>
  <c r="M52" i="27" s="1"/>
  <c r="F49" i="27"/>
  <c r="N49" i="27" s="1"/>
  <c r="G52" i="27"/>
  <c r="E53" i="27"/>
  <c r="G54" i="27"/>
  <c r="C57" i="27"/>
  <c r="S47" i="27"/>
  <c r="S48" i="27"/>
  <c r="W53" i="27"/>
  <c r="AM45" i="27"/>
  <c r="C51" i="27"/>
  <c r="E52" i="27"/>
  <c r="C53" i="27"/>
  <c r="E54" i="27"/>
  <c r="F45" i="27"/>
  <c r="D46" i="27"/>
  <c r="G53" i="27"/>
  <c r="C56" i="27"/>
  <c r="E57" i="27"/>
  <c r="D47" i="27"/>
  <c r="D48" i="27"/>
  <c r="H49" i="27"/>
  <c r="E56" i="27"/>
  <c r="AY5" i="27"/>
  <c r="AY9" i="27"/>
  <c r="AK5" i="27"/>
  <c r="AI9" i="27"/>
  <c r="W9" i="27"/>
  <c r="U7" i="27"/>
  <c r="AD9" i="27"/>
  <c r="S7" i="27"/>
  <c r="S8" i="27"/>
  <c r="S16" i="27"/>
  <c r="U17" i="27"/>
  <c r="S9" i="27"/>
  <c r="AL99" i="30"/>
  <c r="AK99" i="30"/>
  <c r="AJ99" i="30"/>
  <c r="AI98" i="30"/>
  <c r="AH98" i="30"/>
  <c r="AI97" i="30"/>
  <c r="AH97" i="30"/>
  <c r="AP96" i="30"/>
  <c r="AI96" i="30"/>
  <c r="AH96" i="30"/>
  <c r="AP95" i="30"/>
  <c r="AI94" i="30"/>
  <c r="AL94" i="30" s="1"/>
  <c r="AH94" i="30"/>
  <c r="AI93" i="30"/>
  <c r="AJ93" i="30" s="1"/>
  <c r="AH93" i="30"/>
  <c r="AI92" i="30"/>
  <c r="AL92" i="30" s="1"/>
  <c r="AH92" i="30"/>
  <c r="AI91" i="30"/>
  <c r="AH91" i="30"/>
  <c r="AI90" i="30"/>
  <c r="AH90" i="30"/>
  <c r="AA99" i="30"/>
  <c r="Z99" i="30"/>
  <c r="Y99" i="30"/>
  <c r="X98" i="30"/>
  <c r="W98" i="30"/>
  <c r="X97" i="30"/>
  <c r="W97" i="30"/>
  <c r="AE96" i="30"/>
  <c r="X96" i="30"/>
  <c r="W96" i="30"/>
  <c r="AE95" i="30"/>
  <c r="X94" i="30"/>
  <c r="W94" i="30"/>
  <c r="X93" i="30"/>
  <c r="W93" i="30"/>
  <c r="X92" i="30"/>
  <c r="W92" i="30"/>
  <c r="X91" i="30"/>
  <c r="W91" i="30"/>
  <c r="X90" i="30"/>
  <c r="W90" i="30"/>
  <c r="P99" i="30"/>
  <c r="O99" i="30"/>
  <c r="N99" i="30"/>
  <c r="M98" i="30"/>
  <c r="L98" i="30"/>
  <c r="M97" i="30"/>
  <c r="L97" i="30"/>
  <c r="T96" i="30"/>
  <c r="M96" i="30"/>
  <c r="L96" i="30"/>
  <c r="T95" i="30"/>
  <c r="M94" i="30"/>
  <c r="P94" i="30" s="1"/>
  <c r="L94" i="30"/>
  <c r="M93" i="30"/>
  <c r="L93" i="30"/>
  <c r="M92" i="30"/>
  <c r="P92" i="30" s="1"/>
  <c r="L92" i="30"/>
  <c r="M91" i="30"/>
  <c r="L91" i="30"/>
  <c r="M90" i="30"/>
  <c r="L90" i="30"/>
  <c r="J23" i="30"/>
  <c r="J44" i="30" s="1"/>
  <c r="J65" i="30" s="1"/>
  <c r="E99" i="30"/>
  <c r="D99" i="30"/>
  <c r="C99" i="30"/>
  <c r="B98" i="30"/>
  <c r="A98" i="30"/>
  <c r="B97" i="30"/>
  <c r="A97" i="30"/>
  <c r="I96" i="30"/>
  <c r="B96" i="30"/>
  <c r="A96" i="30"/>
  <c r="I95" i="30"/>
  <c r="B94" i="30"/>
  <c r="A94" i="30"/>
  <c r="B93" i="30"/>
  <c r="A93" i="30"/>
  <c r="B92" i="30"/>
  <c r="A92" i="30"/>
  <c r="B91" i="30"/>
  <c r="A91" i="30"/>
  <c r="B90" i="30"/>
  <c r="E90" i="30" s="1"/>
  <c r="A90" i="30"/>
  <c r="AL78" i="30"/>
  <c r="AK78" i="30"/>
  <c r="AJ78" i="30"/>
  <c r="AI77" i="30"/>
  <c r="AH77" i="30"/>
  <c r="AI76" i="30"/>
  <c r="AH76" i="30"/>
  <c r="AP75" i="30"/>
  <c r="AI75" i="30"/>
  <c r="AH75" i="30"/>
  <c r="AP74" i="30"/>
  <c r="AI73" i="30"/>
  <c r="AH73" i="30"/>
  <c r="AI72" i="30"/>
  <c r="AH72" i="30"/>
  <c r="AI71" i="30"/>
  <c r="AL71" i="30" s="1"/>
  <c r="AH71" i="30"/>
  <c r="AI70" i="30"/>
  <c r="AJ70" i="30" s="1"/>
  <c r="AH70" i="30"/>
  <c r="AI69" i="30"/>
  <c r="AL69" i="30" s="1"/>
  <c r="AH69" i="30"/>
  <c r="AA78" i="30"/>
  <c r="Z78" i="30"/>
  <c r="Y78" i="30"/>
  <c r="X77" i="30"/>
  <c r="W77" i="30"/>
  <c r="X76" i="30"/>
  <c r="W76" i="30"/>
  <c r="AE75" i="30"/>
  <c r="X75" i="30"/>
  <c r="W75" i="30"/>
  <c r="AE74" i="30"/>
  <c r="X73" i="30"/>
  <c r="W73" i="30"/>
  <c r="X72" i="30"/>
  <c r="AA72" i="30" s="1"/>
  <c r="W72" i="30"/>
  <c r="X71" i="30"/>
  <c r="W71" i="30"/>
  <c r="X70" i="30"/>
  <c r="W70" i="30"/>
  <c r="X69" i="30"/>
  <c r="W69" i="30"/>
  <c r="P78" i="30"/>
  <c r="O78" i="30"/>
  <c r="N78" i="30"/>
  <c r="M77" i="30"/>
  <c r="L77" i="30"/>
  <c r="M76" i="30"/>
  <c r="L76" i="30"/>
  <c r="T75" i="30"/>
  <c r="M75" i="30"/>
  <c r="L75" i="30"/>
  <c r="T74" i="30"/>
  <c r="M73" i="30"/>
  <c r="L73" i="30"/>
  <c r="M72" i="30"/>
  <c r="L72" i="30"/>
  <c r="M71" i="30"/>
  <c r="L71" i="30"/>
  <c r="M70" i="30"/>
  <c r="P70" i="30" s="1"/>
  <c r="L70" i="30"/>
  <c r="M69" i="30"/>
  <c r="N69" i="30" s="1"/>
  <c r="L69" i="30"/>
  <c r="E78" i="30"/>
  <c r="D78" i="30"/>
  <c r="C78" i="30"/>
  <c r="B77" i="30"/>
  <c r="A77" i="30"/>
  <c r="B76" i="30"/>
  <c r="A76" i="30"/>
  <c r="I75" i="30"/>
  <c r="B75" i="30"/>
  <c r="A75" i="30"/>
  <c r="I74" i="30"/>
  <c r="B73" i="30"/>
  <c r="A73" i="30"/>
  <c r="B72" i="30"/>
  <c r="A72" i="30"/>
  <c r="B71" i="30"/>
  <c r="C71" i="30" s="1"/>
  <c r="A71" i="30"/>
  <c r="B70" i="30"/>
  <c r="E70" i="30" s="1"/>
  <c r="A70" i="30"/>
  <c r="B69" i="30"/>
  <c r="A69" i="30"/>
  <c r="AL57" i="30"/>
  <c r="AK57" i="30"/>
  <c r="AJ57" i="30"/>
  <c r="AI56" i="30"/>
  <c r="AH56" i="30"/>
  <c r="AI55" i="30"/>
  <c r="AH55" i="30"/>
  <c r="AP54" i="30"/>
  <c r="AI54" i="30"/>
  <c r="AH54" i="30"/>
  <c r="AP53" i="30"/>
  <c r="AI52" i="30"/>
  <c r="AL52" i="30" s="1"/>
  <c r="AH52" i="30"/>
  <c r="AI51" i="30"/>
  <c r="AH51" i="30"/>
  <c r="AI50" i="30"/>
  <c r="AL50" i="30" s="1"/>
  <c r="AH50" i="30"/>
  <c r="AI49" i="30"/>
  <c r="AH49" i="30"/>
  <c r="AI48" i="30"/>
  <c r="AH48" i="30"/>
  <c r="AA57" i="30"/>
  <c r="Z57" i="30"/>
  <c r="Y57" i="30"/>
  <c r="X56" i="30"/>
  <c r="W56" i="30"/>
  <c r="X55" i="30"/>
  <c r="W55" i="30"/>
  <c r="AE54" i="30"/>
  <c r="X54" i="30"/>
  <c r="W54" i="30"/>
  <c r="AE53" i="30"/>
  <c r="X52" i="30"/>
  <c r="W52" i="30"/>
  <c r="X51" i="30"/>
  <c r="AA51" i="30" s="1"/>
  <c r="W51" i="30"/>
  <c r="X50" i="30"/>
  <c r="W50" i="30"/>
  <c r="X49" i="30"/>
  <c r="AA49" i="30" s="1"/>
  <c r="W49" i="30"/>
  <c r="X48" i="30"/>
  <c r="AA48" i="30" s="1"/>
  <c r="W48" i="30"/>
  <c r="P57" i="30"/>
  <c r="O57" i="30"/>
  <c r="N57" i="30"/>
  <c r="M56" i="30"/>
  <c r="L56" i="30"/>
  <c r="M55" i="30"/>
  <c r="L55" i="30"/>
  <c r="T54" i="30"/>
  <c r="M54" i="30"/>
  <c r="L54" i="30"/>
  <c r="T53" i="30"/>
  <c r="M52" i="30"/>
  <c r="L52" i="30"/>
  <c r="M51" i="30"/>
  <c r="L51" i="30"/>
  <c r="M50" i="30"/>
  <c r="L50" i="30"/>
  <c r="M49" i="30"/>
  <c r="L49" i="30"/>
  <c r="M48" i="30"/>
  <c r="L48" i="30"/>
  <c r="B52" i="30"/>
  <c r="E57" i="30"/>
  <c r="D57" i="30"/>
  <c r="C57" i="30"/>
  <c r="B56" i="30"/>
  <c r="A56" i="30"/>
  <c r="B55" i="30"/>
  <c r="A55" i="30"/>
  <c r="I54" i="30"/>
  <c r="B54" i="30"/>
  <c r="A54" i="30"/>
  <c r="I53" i="30"/>
  <c r="A52" i="30"/>
  <c r="B51" i="30"/>
  <c r="E51" i="30" s="1"/>
  <c r="A51" i="30"/>
  <c r="B50" i="30"/>
  <c r="A50" i="30"/>
  <c r="B49" i="30"/>
  <c r="A49" i="30"/>
  <c r="B48" i="30"/>
  <c r="E48" i="30" s="1"/>
  <c r="A48" i="30"/>
  <c r="AL36" i="30"/>
  <c r="AK36" i="30"/>
  <c r="AJ36" i="30"/>
  <c r="AI35" i="30"/>
  <c r="AH35" i="30"/>
  <c r="AI34" i="30"/>
  <c r="AH34" i="30"/>
  <c r="AP33" i="30"/>
  <c r="AI33" i="30"/>
  <c r="AH33" i="30"/>
  <c r="AP32" i="30"/>
  <c r="AI31" i="30"/>
  <c r="AH31" i="30"/>
  <c r="AI30" i="30"/>
  <c r="AH30" i="30"/>
  <c r="AI29" i="30"/>
  <c r="AH29" i="30"/>
  <c r="AI28" i="30"/>
  <c r="AH28" i="30"/>
  <c r="AI27" i="30"/>
  <c r="AH27" i="30"/>
  <c r="AA36" i="30"/>
  <c r="Z36" i="30"/>
  <c r="Y36" i="30"/>
  <c r="X35" i="30"/>
  <c r="W35" i="30"/>
  <c r="X34" i="30"/>
  <c r="W34" i="30"/>
  <c r="AE33" i="30"/>
  <c r="X33" i="30"/>
  <c r="W33" i="30"/>
  <c r="AE32" i="30"/>
  <c r="X31" i="30"/>
  <c r="W31" i="30"/>
  <c r="X30" i="30"/>
  <c r="AA30" i="30" s="1"/>
  <c r="W30" i="30"/>
  <c r="X29" i="30"/>
  <c r="W29" i="30"/>
  <c r="X28" i="30"/>
  <c r="W28" i="30"/>
  <c r="X27" i="30"/>
  <c r="W27" i="30"/>
  <c r="P36" i="30"/>
  <c r="O36" i="30"/>
  <c r="N36" i="30"/>
  <c r="M35" i="30"/>
  <c r="L35" i="30"/>
  <c r="M34" i="30"/>
  <c r="L34" i="30"/>
  <c r="T33" i="30"/>
  <c r="M33" i="30"/>
  <c r="L33" i="30"/>
  <c r="T32" i="30"/>
  <c r="M31" i="30"/>
  <c r="L31" i="30"/>
  <c r="M30" i="30"/>
  <c r="P30" i="30" s="1"/>
  <c r="L30" i="30"/>
  <c r="M29" i="30"/>
  <c r="L29" i="30"/>
  <c r="M28" i="30"/>
  <c r="P28" i="30" s="1"/>
  <c r="L28" i="30"/>
  <c r="M27" i="30"/>
  <c r="L27" i="30"/>
  <c r="H36" i="30"/>
  <c r="E34" i="30" s="1"/>
  <c r="E36" i="30"/>
  <c r="D36" i="30"/>
  <c r="C36" i="30"/>
  <c r="B35" i="30"/>
  <c r="A35" i="30"/>
  <c r="B34" i="30"/>
  <c r="A34" i="30"/>
  <c r="I33" i="30"/>
  <c r="B33" i="30"/>
  <c r="A33" i="30"/>
  <c r="I32" i="30"/>
  <c r="B31" i="30"/>
  <c r="A31" i="30"/>
  <c r="B30" i="30"/>
  <c r="A30" i="30"/>
  <c r="B29" i="30"/>
  <c r="A29" i="30"/>
  <c r="B28" i="30"/>
  <c r="C28" i="30" s="1"/>
  <c r="A28" i="30"/>
  <c r="B27" i="30"/>
  <c r="E27" i="30" s="1"/>
  <c r="A27" i="30"/>
  <c r="AL14" i="30"/>
  <c r="AK14" i="30"/>
  <c r="AJ14" i="30"/>
  <c r="AI13" i="30"/>
  <c r="AH13" i="30"/>
  <c r="AI12" i="30"/>
  <c r="AH12" i="30"/>
  <c r="AP11" i="30"/>
  <c r="AI11" i="30"/>
  <c r="AH11" i="30"/>
  <c r="AP10" i="30"/>
  <c r="AI9" i="30"/>
  <c r="AH9" i="30"/>
  <c r="AI8" i="30"/>
  <c r="AH8" i="30"/>
  <c r="AI7" i="30"/>
  <c r="AH7" i="30"/>
  <c r="AI6" i="30"/>
  <c r="AH6" i="30"/>
  <c r="AI5" i="30"/>
  <c r="AH5" i="30"/>
  <c r="AA14" i="30"/>
  <c r="Z14" i="30"/>
  <c r="Y14" i="30"/>
  <c r="X13" i="30"/>
  <c r="W13" i="30"/>
  <c r="X12" i="30"/>
  <c r="W12" i="30"/>
  <c r="AE11" i="30"/>
  <c r="X11" i="30"/>
  <c r="W11" i="30"/>
  <c r="AE10" i="30"/>
  <c r="X9" i="30"/>
  <c r="W9" i="30"/>
  <c r="X8" i="30"/>
  <c r="Y8" i="30" s="1"/>
  <c r="W8" i="30"/>
  <c r="X7" i="30"/>
  <c r="W7" i="30"/>
  <c r="X6" i="30"/>
  <c r="W6" i="30"/>
  <c r="X5" i="30"/>
  <c r="W5" i="30"/>
  <c r="S14" i="30"/>
  <c r="P11" i="30" s="1"/>
  <c r="P14" i="30"/>
  <c r="O14" i="30"/>
  <c r="N14" i="30"/>
  <c r="M13" i="30"/>
  <c r="L13" i="30"/>
  <c r="M12" i="30"/>
  <c r="L12" i="30"/>
  <c r="M11" i="30"/>
  <c r="L11" i="30"/>
  <c r="T10" i="30"/>
  <c r="M9" i="30"/>
  <c r="P9" i="30" s="1"/>
  <c r="L9" i="30"/>
  <c r="M8" i="30"/>
  <c r="L8" i="30"/>
  <c r="M7" i="30"/>
  <c r="L7" i="30"/>
  <c r="M6" i="30"/>
  <c r="L6" i="30"/>
  <c r="M5" i="30"/>
  <c r="N5" i="30" s="1"/>
  <c r="L5" i="30"/>
  <c r="B13" i="30"/>
  <c r="A13" i="30"/>
  <c r="AH8" i="4"/>
  <c r="AH7" i="4"/>
  <c r="X7" i="4"/>
  <c r="AH10" i="4"/>
  <c r="X8" i="4"/>
  <c r="B9" i="35"/>
  <c r="M8" i="35"/>
  <c r="B7" i="35"/>
  <c r="J6" i="35"/>
  <c r="B6" i="35"/>
  <c r="F6" i="31"/>
  <c r="G8" i="31" s="1"/>
  <c r="H6" i="31"/>
  <c r="I8" i="31" s="1"/>
  <c r="J6" i="31"/>
  <c r="K8" i="31" s="1"/>
  <c r="L6" i="31"/>
  <c r="M8" i="31" s="1"/>
  <c r="N6" i="31"/>
  <c r="O7" i="31" s="1"/>
  <c r="N7" i="31"/>
  <c r="J8" i="4"/>
  <c r="T8" i="4" s="1"/>
  <c r="B1162" i="31"/>
  <c r="B1161" i="31" s="1"/>
  <c r="A23" i="35"/>
  <c r="B31" i="35" s="1"/>
  <c r="P1" i="35"/>
  <c r="AE1" i="35" s="1"/>
  <c r="Q422" i="31"/>
  <c r="B421" i="31"/>
  <c r="P420" i="31"/>
  <c r="F420" i="31"/>
  <c r="B420" i="31"/>
  <c r="Q376" i="31"/>
  <c r="B375" i="31"/>
  <c r="P374" i="31"/>
  <c r="F374" i="31"/>
  <c r="B374" i="31"/>
  <c r="Q1158" i="31"/>
  <c r="B1157" i="31"/>
  <c r="P1156" i="31"/>
  <c r="F1156" i="31"/>
  <c r="B1156" i="31"/>
  <c r="Q1112" i="31"/>
  <c r="B1111" i="31"/>
  <c r="P1110" i="31"/>
  <c r="F1110" i="31"/>
  <c r="B1110" i="31"/>
  <c r="Q1066" i="31"/>
  <c r="B1065" i="31"/>
  <c r="P1064" i="31"/>
  <c r="F1064" i="31"/>
  <c r="B1064" i="31"/>
  <c r="Q1020" i="31"/>
  <c r="B1019" i="31"/>
  <c r="P1018" i="31"/>
  <c r="F1018" i="31"/>
  <c r="B1018" i="31"/>
  <c r="Q974" i="31"/>
  <c r="B973" i="31"/>
  <c r="P972" i="31"/>
  <c r="F972" i="31"/>
  <c r="B972" i="31"/>
  <c r="Q928" i="31"/>
  <c r="B927" i="31"/>
  <c r="P926" i="31"/>
  <c r="F926" i="31"/>
  <c r="B926" i="31"/>
  <c r="Q882" i="31"/>
  <c r="B881" i="31"/>
  <c r="P880" i="31"/>
  <c r="F880" i="31"/>
  <c r="B880" i="31"/>
  <c r="Q836" i="31"/>
  <c r="B835" i="31"/>
  <c r="P834" i="31"/>
  <c r="F834" i="31"/>
  <c r="B834" i="31"/>
  <c r="Q790" i="31"/>
  <c r="B789" i="31"/>
  <c r="P788" i="31"/>
  <c r="F788" i="31"/>
  <c r="B788" i="31"/>
  <c r="Q744" i="31"/>
  <c r="B743" i="31"/>
  <c r="P742" i="31"/>
  <c r="F742" i="31"/>
  <c r="B742" i="31"/>
  <c r="Q698" i="31"/>
  <c r="B697" i="31"/>
  <c r="P696" i="31"/>
  <c r="F696" i="31"/>
  <c r="B696" i="31"/>
  <c r="Q652" i="31"/>
  <c r="B651" i="31"/>
  <c r="P650" i="31"/>
  <c r="F650" i="31"/>
  <c r="B650" i="31"/>
  <c r="Q468" i="31"/>
  <c r="B467" i="31"/>
  <c r="P466" i="31"/>
  <c r="F466" i="31"/>
  <c r="B466" i="31"/>
  <c r="Q514" i="31"/>
  <c r="B513" i="31"/>
  <c r="P512" i="31"/>
  <c r="F512" i="31"/>
  <c r="B512" i="31"/>
  <c r="Q560" i="31"/>
  <c r="B559" i="31"/>
  <c r="P558" i="31"/>
  <c r="F558" i="31"/>
  <c r="B558" i="31"/>
  <c r="Q606" i="31"/>
  <c r="B605" i="31"/>
  <c r="P604" i="31"/>
  <c r="F604" i="31"/>
  <c r="B604" i="31"/>
  <c r="Q330" i="31"/>
  <c r="B329" i="31"/>
  <c r="P328" i="31"/>
  <c r="F328" i="31"/>
  <c r="B328" i="31"/>
  <c r="Q284" i="31"/>
  <c r="B283" i="31"/>
  <c r="P282" i="31"/>
  <c r="F282" i="31"/>
  <c r="B282" i="31"/>
  <c r="Q238" i="31"/>
  <c r="B237" i="31"/>
  <c r="P236" i="31"/>
  <c r="F236" i="31"/>
  <c r="B236" i="31"/>
  <c r="P190" i="31"/>
  <c r="P144" i="31"/>
  <c r="P98" i="31"/>
  <c r="P52" i="31"/>
  <c r="AK86" i="30"/>
  <c r="Z86" i="30"/>
  <c r="O86" i="30"/>
  <c r="D86" i="30"/>
  <c r="AK65" i="30"/>
  <c r="Z65" i="30"/>
  <c r="O65" i="30"/>
  <c r="D65" i="30"/>
  <c r="AK44" i="30"/>
  <c r="Z44" i="30"/>
  <c r="O44" i="30"/>
  <c r="D44" i="30"/>
  <c r="AK23" i="30"/>
  <c r="Z23" i="30"/>
  <c r="O23" i="30"/>
  <c r="D23" i="30"/>
  <c r="AK1" i="30"/>
  <c r="Z1" i="30"/>
  <c r="O1" i="30"/>
  <c r="D1" i="30"/>
  <c r="AZ157" i="27"/>
  <c r="AJ157" i="27"/>
  <c r="T157" i="27"/>
  <c r="D157" i="27"/>
  <c r="AZ118" i="27"/>
  <c r="AJ118" i="27"/>
  <c r="T118" i="27"/>
  <c r="D118" i="27"/>
  <c r="AZ79" i="27"/>
  <c r="AJ79" i="27"/>
  <c r="T79" i="27"/>
  <c r="D79" i="27"/>
  <c r="AZ41" i="27"/>
  <c r="AJ41" i="27"/>
  <c r="T41" i="27"/>
  <c r="D41" i="27"/>
  <c r="AZ1" i="27"/>
  <c r="AJ1" i="27"/>
  <c r="T1" i="27"/>
  <c r="D1" i="27"/>
  <c r="T3" i="31"/>
  <c r="AI87" i="30"/>
  <c r="X87" i="30"/>
  <c r="M87" i="30"/>
  <c r="B87" i="30"/>
  <c r="AI66" i="30"/>
  <c r="X66" i="30"/>
  <c r="M66" i="30"/>
  <c r="B66" i="30"/>
  <c r="AI45" i="30"/>
  <c r="X45" i="30"/>
  <c r="M45" i="30"/>
  <c r="B45" i="30"/>
  <c r="AI24" i="30"/>
  <c r="X24" i="30"/>
  <c r="M24" i="30"/>
  <c r="B24" i="30"/>
  <c r="AI2" i="30"/>
  <c r="X2" i="30"/>
  <c r="M2" i="30"/>
  <c r="Q192" i="31"/>
  <c r="B191" i="31"/>
  <c r="F190" i="31"/>
  <c r="B190" i="31"/>
  <c r="Q146" i="31"/>
  <c r="B145" i="31"/>
  <c r="F144" i="31"/>
  <c r="B144" i="31"/>
  <c r="Q100" i="31"/>
  <c r="B99" i="31"/>
  <c r="F98" i="31"/>
  <c r="B98" i="31"/>
  <c r="I8" i="4"/>
  <c r="S8" i="4" s="1"/>
  <c r="H8" i="4"/>
  <c r="R8" i="4" s="1"/>
  <c r="B8" i="35"/>
  <c r="B53" i="31"/>
  <c r="B52" i="31"/>
  <c r="F52" i="31"/>
  <c r="I10" i="30"/>
  <c r="B2" i="30"/>
  <c r="BI177" i="27"/>
  <c r="BG176" i="27"/>
  <c r="AX158" i="27"/>
  <c r="AS177" i="27"/>
  <c r="AQ176" i="27"/>
  <c r="AH158" i="27"/>
  <c r="AC177" i="27"/>
  <c r="AA176" i="27"/>
  <c r="R158" i="27"/>
  <c r="M177" i="27"/>
  <c r="K176" i="27"/>
  <c r="B158" i="27"/>
  <c r="BI138" i="27"/>
  <c r="BG137" i="27"/>
  <c r="AX119" i="27"/>
  <c r="AS138" i="27"/>
  <c r="AQ137" i="27"/>
  <c r="AH119" i="27"/>
  <c r="AC138" i="27"/>
  <c r="AA137" i="27"/>
  <c r="R119" i="27"/>
  <c r="M138" i="27"/>
  <c r="K137" i="27"/>
  <c r="B119" i="27"/>
  <c r="BI99" i="27"/>
  <c r="BG98" i="27"/>
  <c r="AX80" i="27"/>
  <c r="AS99" i="27"/>
  <c r="AQ98" i="27"/>
  <c r="AH80" i="27"/>
  <c r="AC99" i="27"/>
  <c r="AA98" i="27"/>
  <c r="R80" i="27"/>
  <c r="M99" i="27"/>
  <c r="K98" i="27"/>
  <c r="B80" i="27"/>
  <c r="BI61" i="27"/>
  <c r="BG60" i="27"/>
  <c r="AX42" i="27"/>
  <c r="AS61" i="27"/>
  <c r="AQ60" i="27"/>
  <c r="AH42" i="27"/>
  <c r="AC61" i="27"/>
  <c r="AA60" i="27"/>
  <c r="R42" i="27"/>
  <c r="M61" i="27"/>
  <c r="K60" i="27"/>
  <c r="B42" i="27"/>
  <c r="BI22" i="27"/>
  <c r="BG21" i="27"/>
  <c r="AX2" i="27"/>
  <c r="AS22" i="27"/>
  <c r="AQ21" i="27"/>
  <c r="AH2" i="27"/>
  <c r="AC22" i="27"/>
  <c r="AA21" i="27"/>
  <c r="R2" i="27"/>
  <c r="B2" i="27"/>
  <c r="K21" i="27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19" i="4"/>
  <c r="BT120" i="4"/>
  <c r="BT121" i="4"/>
  <c r="BT122" i="4"/>
  <c r="BT123" i="4"/>
  <c r="BT124" i="4"/>
  <c r="BT125" i="4"/>
  <c r="BT126" i="4"/>
  <c r="BT127" i="4"/>
  <c r="BT128" i="4"/>
  <c r="BT129" i="4"/>
  <c r="BT130" i="4"/>
  <c r="BT131" i="4"/>
  <c r="BT132" i="4"/>
  <c r="BT133" i="4"/>
  <c r="BT134" i="4"/>
  <c r="BT135" i="4"/>
  <c r="BT136" i="4"/>
  <c r="BT137" i="4"/>
  <c r="BT138" i="4"/>
  <c r="BT139" i="4"/>
  <c r="BT140" i="4"/>
  <c r="BT141" i="4"/>
  <c r="BT142" i="4"/>
  <c r="BT143" i="4"/>
  <c r="BT144" i="4"/>
  <c r="BT145" i="4"/>
  <c r="BT146" i="4"/>
  <c r="BT147" i="4"/>
  <c r="BT148" i="4"/>
  <c r="BT149" i="4"/>
  <c r="BT150" i="4"/>
  <c r="BT151" i="4"/>
  <c r="BT152" i="4"/>
  <c r="BT153" i="4"/>
  <c r="BT154" i="4"/>
  <c r="BT155" i="4"/>
  <c r="BT156" i="4"/>
  <c r="BT157" i="4"/>
  <c r="BT158" i="4"/>
  <c r="BT159" i="4"/>
  <c r="BS160" i="4"/>
  <c r="BT160" i="4"/>
  <c r="BS161" i="4"/>
  <c r="BT161" i="4"/>
  <c r="BS162" i="4"/>
  <c r="BT162" i="4"/>
  <c r="BS163" i="4"/>
  <c r="BT163" i="4"/>
  <c r="BS164" i="4"/>
  <c r="BT164" i="4"/>
  <c r="BS165" i="4"/>
  <c r="BT165" i="4"/>
  <c r="BS166" i="4"/>
  <c r="BT166" i="4"/>
  <c r="BS167" i="4"/>
  <c r="BT167" i="4"/>
  <c r="BS168" i="4"/>
  <c r="BT168" i="4"/>
  <c r="BS169" i="4"/>
  <c r="BT169" i="4"/>
  <c r="BS170" i="4"/>
  <c r="BT170" i="4"/>
  <c r="BS171" i="4"/>
  <c r="BT171" i="4"/>
  <c r="BS172" i="4"/>
  <c r="BT172" i="4"/>
  <c r="BS173" i="4"/>
  <c r="BT173" i="4"/>
  <c r="BS174" i="4"/>
  <c r="BT174" i="4"/>
  <c r="BS175" i="4"/>
  <c r="BT175" i="4"/>
  <c r="BS176" i="4"/>
  <c r="BT176" i="4"/>
  <c r="BS177" i="4"/>
  <c r="BT177" i="4"/>
  <c r="BP178" i="4"/>
  <c r="BS178" i="4"/>
  <c r="BT178" i="4"/>
  <c r="BP179" i="4"/>
  <c r="BS179" i="4"/>
  <c r="BT179" i="4"/>
  <c r="BP180" i="4"/>
  <c r="BS180" i="4"/>
  <c r="BT180" i="4"/>
  <c r="BP181" i="4"/>
  <c r="BS181" i="4"/>
  <c r="BT181" i="4"/>
  <c r="BP182" i="4"/>
  <c r="BS182" i="4"/>
  <c r="BT182" i="4"/>
  <c r="BP183" i="4"/>
  <c r="BS183" i="4"/>
  <c r="BT183" i="4"/>
  <c r="BP184" i="4"/>
  <c r="BS184" i="4"/>
  <c r="BT184" i="4"/>
  <c r="BP185" i="4"/>
  <c r="BS185" i="4"/>
  <c r="BT185" i="4"/>
  <c r="BP186" i="4"/>
  <c r="BS186" i="4"/>
  <c r="BT186" i="4"/>
  <c r="BP187" i="4"/>
  <c r="BS187" i="4"/>
  <c r="BT187" i="4"/>
  <c r="BP188" i="4"/>
  <c r="BS188" i="4"/>
  <c r="BT188" i="4"/>
  <c r="BP189" i="4"/>
  <c r="BS189" i="4"/>
  <c r="BT189" i="4"/>
  <c r="BP190" i="4"/>
  <c r="BS190" i="4"/>
  <c r="BT190" i="4"/>
  <c r="BP191" i="4"/>
  <c r="BS191" i="4"/>
  <c r="BT191" i="4"/>
  <c r="BP192" i="4"/>
  <c r="BS192" i="4"/>
  <c r="BT192" i="4"/>
  <c r="BP193" i="4"/>
  <c r="BS193" i="4"/>
  <c r="BT193" i="4"/>
  <c r="BP194" i="4"/>
  <c r="BS194" i="4"/>
  <c r="BT194" i="4"/>
  <c r="BP195" i="4"/>
  <c r="BS195" i="4"/>
  <c r="BT195" i="4"/>
  <c r="BP196" i="4"/>
  <c r="BS196" i="4"/>
  <c r="BT196" i="4"/>
  <c r="BP197" i="4"/>
  <c r="BS197" i="4"/>
  <c r="BT197" i="4"/>
  <c r="BP198" i="4"/>
  <c r="BS198" i="4"/>
  <c r="BT198" i="4"/>
  <c r="BV198" i="4"/>
  <c r="BP199" i="4"/>
  <c r="BS199" i="4"/>
  <c r="BT199" i="4"/>
  <c r="BV199" i="4"/>
  <c r="BP200" i="4"/>
  <c r="BS200" i="4"/>
  <c r="BT200" i="4"/>
  <c r="BV200" i="4"/>
  <c r="BN201" i="4"/>
  <c r="BP201" i="4"/>
  <c r="BS201" i="4"/>
  <c r="BT201" i="4"/>
  <c r="BV201" i="4"/>
  <c r="BN202" i="4"/>
  <c r="BP202" i="4"/>
  <c r="BS202" i="4"/>
  <c r="BT202" i="4"/>
  <c r="BV202" i="4"/>
  <c r="BN203" i="4"/>
  <c r="BP203" i="4"/>
  <c r="BS203" i="4"/>
  <c r="BT203" i="4"/>
  <c r="BV203" i="4"/>
  <c r="BN204" i="4"/>
  <c r="BP204" i="4"/>
  <c r="BS204" i="4"/>
  <c r="BT204" i="4"/>
  <c r="BV204" i="4"/>
  <c r="BN205" i="4"/>
  <c r="BP205" i="4"/>
  <c r="BS205" i="4"/>
  <c r="BT205" i="4"/>
  <c r="BV205" i="4"/>
  <c r="BN206" i="4"/>
  <c r="BP206" i="4"/>
  <c r="BS206" i="4"/>
  <c r="BT206" i="4"/>
  <c r="BV206" i="4"/>
  <c r="BN207" i="4"/>
  <c r="BP207" i="4"/>
  <c r="BS207" i="4"/>
  <c r="BT207" i="4"/>
  <c r="BV207" i="4"/>
  <c r="BN208" i="4"/>
  <c r="BP208" i="4"/>
  <c r="BS208" i="4"/>
  <c r="BT208" i="4"/>
  <c r="BV208" i="4"/>
  <c r="BN209" i="4"/>
  <c r="BP209" i="4"/>
  <c r="BS209" i="4"/>
  <c r="BT209" i="4"/>
  <c r="BV209" i="4"/>
  <c r="BN210" i="4"/>
  <c r="BP210" i="4"/>
  <c r="BS210" i="4"/>
  <c r="BT210" i="4"/>
  <c r="BV210" i="4"/>
  <c r="BN211" i="4"/>
  <c r="BP211" i="4"/>
  <c r="BS211" i="4"/>
  <c r="BT211" i="4"/>
  <c r="BV211" i="4"/>
  <c r="BN212" i="4"/>
  <c r="BP212" i="4"/>
  <c r="BS212" i="4"/>
  <c r="BT212" i="4"/>
  <c r="BV212" i="4"/>
  <c r="BN213" i="4"/>
  <c r="BP213" i="4"/>
  <c r="BS213" i="4"/>
  <c r="BT213" i="4"/>
  <c r="BV213" i="4"/>
  <c r="BN214" i="4"/>
  <c r="BP214" i="4"/>
  <c r="BS214" i="4"/>
  <c r="BT214" i="4"/>
  <c r="BV214" i="4"/>
  <c r="BN215" i="4"/>
  <c r="BP215" i="4"/>
  <c r="BS215" i="4"/>
  <c r="BT215" i="4"/>
  <c r="BV215" i="4"/>
  <c r="BN216" i="4"/>
  <c r="BP216" i="4"/>
  <c r="BS216" i="4"/>
  <c r="BT216" i="4"/>
  <c r="BV216" i="4"/>
  <c r="BN217" i="4"/>
  <c r="BP217" i="4"/>
  <c r="BS217" i="4"/>
  <c r="BT217" i="4"/>
  <c r="BV217" i="4"/>
  <c r="BN218" i="4"/>
  <c r="BP218" i="4"/>
  <c r="BS218" i="4"/>
  <c r="BT218" i="4"/>
  <c r="BV218" i="4"/>
  <c r="BN219" i="4"/>
  <c r="BP219" i="4"/>
  <c r="BS219" i="4"/>
  <c r="BT219" i="4"/>
  <c r="BV219" i="4"/>
  <c r="BN220" i="4"/>
  <c r="BP220" i="4"/>
  <c r="BS220" i="4"/>
  <c r="BT220" i="4"/>
  <c r="BV220" i="4"/>
  <c r="BN221" i="4"/>
  <c r="BP221" i="4"/>
  <c r="BS221" i="4"/>
  <c r="BT221" i="4"/>
  <c r="BV221" i="4"/>
  <c r="BN222" i="4"/>
  <c r="BP222" i="4"/>
  <c r="BS222" i="4"/>
  <c r="BT222" i="4"/>
  <c r="BV222" i="4"/>
  <c r="BN223" i="4"/>
  <c r="BP223" i="4"/>
  <c r="BQ223" i="4"/>
  <c r="BS223" i="4"/>
  <c r="BT223" i="4"/>
  <c r="BV223" i="4"/>
  <c r="BN224" i="4"/>
  <c r="BP224" i="4"/>
  <c r="BQ224" i="4"/>
  <c r="BS224" i="4"/>
  <c r="BT224" i="4"/>
  <c r="BV224" i="4"/>
  <c r="BN225" i="4"/>
  <c r="BP225" i="4"/>
  <c r="BQ225" i="4"/>
  <c r="BS225" i="4"/>
  <c r="BT225" i="4"/>
  <c r="BV225" i="4"/>
  <c r="BN226" i="4"/>
  <c r="BP226" i="4"/>
  <c r="BQ226" i="4"/>
  <c r="BS226" i="4"/>
  <c r="BT226" i="4"/>
  <c r="BV226" i="4"/>
  <c r="BN227" i="4"/>
  <c r="BP227" i="4"/>
  <c r="BQ227" i="4"/>
  <c r="BS227" i="4"/>
  <c r="BT227" i="4"/>
  <c r="BV227" i="4"/>
  <c r="BN228" i="4"/>
  <c r="BP228" i="4"/>
  <c r="BQ228" i="4"/>
  <c r="BS228" i="4"/>
  <c r="BT228" i="4"/>
  <c r="BV228" i="4"/>
  <c r="BN229" i="4"/>
  <c r="BP229" i="4"/>
  <c r="BQ229" i="4"/>
  <c r="BS229" i="4"/>
  <c r="BT229" i="4"/>
  <c r="BV229" i="4"/>
  <c r="BN230" i="4"/>
  <c r="BP230" i="4"/>
  <c r="BQ230" i="4"/>
  <c r="BS230" i="4"/>
  <c r="BT230" i="4"/>
  <c r="BV230" i="4"/>
  <c r="BN231" i="4"/>
  <c r="BP231" i="4"/>
  <c r="BQ231" i="4"/>
  <c r="BS231" i="4"/>
  <c r="BT231" i="4"/>
  <c r="BV231" i="4"/>
  <c r="BN232" i="4"/>
  <c r="BP232" i="4"/>
  <c r="BQ232" i="4"/>
  <c r="BS232" i="4"/>
  <c r="BT232" i="4"/>
  <c r="BV232" i="4"/>
  <c r="BN233" i="4"/>
  <c r="BP233" i="4"/>
  <c r="BQ233" i="4"/>
  <c r="BS233" i="4"/>
  <c r="BT233" i="4"/>
  <c r="BV233" i="4"/>
  <c r="BN234" i="4"/>
  <c r="BP234" i="4"/>
  <c r="BQ234" i="4"/>
  <c r="BS234" i="4"/>
  <c r="BT234" i="4"/>
  <c r="BV234" i="4"/>
  <c r="BN235" i="4"/>
  <c r="BP235" i="4"/>
  <c r="BQ235" i="4"/>
  <c r="BS235" i="4"/>
  <c r="BT235" i="4"/>
  <c r="BV235" i="4"/>
  <c r="BN236" i="4"/>
  <c r="BP236" i="4"/>
  <c r="BQ236" i="4"/>
  <c r="BS236" i="4"/>
  <c r="BT236" i="4"/>
  <c r="BV236" i="4"/>
  <c r="BN237" i="4"/>
  <c r="BP237" i="4"/>
  <c r="BQ237" i="4"/>
  <c r="BS237" i="4"/>
  <c r="BT237" i="4"/>
  <c r="BV237" i="4"/>
  <c r="BN238" i="4"/>
  <c r="BP238" i="4"/>
  <c r="BQ238" i="4"/>
  <c r="BS238" i="4"/>
  <c r="BT238" i="4"/>
  <c r="BV238" i="4"/>
  <c r="BN239" i="4"/>
  <c r="BP239" i="4"/>
  <c r="BQ239" i="4"/>
  <c r="BS239" i="4"/>
  <c r="BT239" i="4"/>
  <c r="BV239" i="4"/>
  <c r="BN240" i="4"/>
  <c r="BP240" i="4"/>
  <c r="BQ240" i="4"/>
  <c r="BS240" i="4"/>
  <c r="BT240" i="4"/>
  <c r="BV240" i="4"/>
  <c r="BN241" i="4"/>
  <c r="BP241" i="4"/>
  <c r="BQ241" i="4"/>
  <c r="BS241" i="4"/>
  <c r="BT241" i="4"/>
  <c r="BV241" i="4"/>
  <c r="BN242" i="4"/>
  <c r="BP242" i="4"/>
  <c r="BQ242" i="4"/>
  <c r="BS242" i="4"/>
  <c r="BT242" i="4"/>
  <c r="BV242" i="4"/>
  <c r="BN243" i="4"/>
  <c r="BP243" i="4"/>
  <c r="BQ243" i="4"/>
  <c r="BS243" i="4"/>
  <c r="BT243" i="4"/>
  <c r="BV243" i="4"/>
  <c r="BN244" i="4"/>
  <c r="BP244" i="4"/>
  <c r="BQ244" i="4"/>
  <c r="BS244" i="4"/>
  <c r="BT244" i="4"/>
  <c r="BV244" i="4"/>
  <c r="BN245" i="4"/>
  <c r="BP245" i="4"/>
  <c r="BQ245" i="4"/>
  <c r="BS245" i="4"/>
  <c r="BT245" i="4"/>
  <c r="BV245" i="4"/>
  <c r="BN246" i="4"/>
  <c r="BP246" i="4"/>
  <c r="BQ246" i="4"/>
  <c r="BS246" i="4"/>
  <c r="BT246" i="4"/>
  <c r="BV246" i="4"/>
  <c r="BN247" i="4"/>
  <c r="BP247" i="4"/>
  <c r="BQ247" i="4"/>
  <c r="BS247" i="4"/>
  <c r="BT247" i="4"/>
  <c r="BV247" i="4"/>
  <c r="BN248" i="4"/>
  <c r="BP248" i="4"/>
  <c r="BQ248" i="4"/>
  <c r="BS248" i="4"/>
  <c r="BT248" i="4"/>
  <c r="BV248" i="4"/>
  <c r="BN249" i="4"/>
  <c r="BP249" i="4"/>
  <c r="BQ249" i="4"/>
  <c r="BS249" i="4"/>
  <c r="BT249" i="4"/>
  <c r="BV249" i="4"/>
  <c r="BN250" i="4"/>
  <c r="BP250" i="4"/>
  <c r="BQ250" i="4"/>
  <c r="BS250" i="4"/>
  <c r="BT250" i="4"/>
  <c r="BV250" i="4"/>
  <c r="BN251" i="4"/>
  <c r="BP251" i="4"/>
  <c r="BQ251" i="4"/>
  <c r="BS251" i="4"/>
  <c r="BT251" i="4"/>
  <c r="BV251" i="4"/>
  <c r="BN252" i="4"/>
  <c r="BP252" i="4"/>
  <c r="BQ252" i="4"/>
  <c r="BS252" i="4"/>
  <c r="BT252" i="4"/>
  <c r="BV252" i="4"/>
  <c r="BN253" i="4"/>
  <c r="BP253" i="4"/>
  <c r="BQ253" i="4"/>
  <c r="BS253" i="4"/>
  <c r="BT253" i="4"/>
  <c r="BV253" i="4"/>
  <c r="BN254" i="4"/>
  <c r="BP254" i="4"/>
  <c r="BQ254" i="4"/>
  <c r="BS254" i="4"/>
  <c r="BT254" i="4"/>
  <c r="BV254" i="4"/>
  <c r="BN255" i="4"/>
  <c r="BP255" i="4"/>
  <c r="BQ255" i="4"/>
  <c r="BS255" i="4"/>
  <c r="BT255" i="4"/>
  <c r="BV255" i="4"/>
  <c r="BN256" i="4"/>
  <c r="BP256" i="4"/>
  <c r="BQ256" i="4"/>
  <c r="BS256" i="4"/>
  <c r="BT256" i="4"/>
  <c r="BV256" i="4"/>
  <c r="BN257" i="4"/>
  <c r="BP257" i="4"/>
  <c r="BQ257" i="4"/>
  <c r="BS257" i="4"/>
  <c r="BT257" i="4"/>
  <c r="BV257" i="4"/>
  <c r="BN258" i="4"/>
  <c r="BP258" i="4"/>
  <c r="BQ258" i="4"/>
  <c r="BS258" i="4"/>
  <c r="BT258" i="4"/>
  <c r="BV258" i="4"/>
  <c r="BN259" i="4"/>
  <c r="BP259" i="4"/>
  <c r="BQ259" i="4"/>
  <c r="BS259" i="4"/>
  <c r="BT259" i="4"/>
  <c r="BV259" i="4"/>
  <c r="BN260" i="4"/>
  <c r="BP260" i="4"/>
  <c r="BQ260" i="4"/>
  <c r="BS260" i="4"/>
  <c r="BT260" i="4"/>
  <c r="BV260" i="4"/>
  <c r="BN261" i="4"/>
  <c r="BP261" i="4"/>
  <c r="BQ261" i="4"/>
  <c r="BS261" i="4"/>
  <c r="BT261" i="4"/>
  <c r="BV261" i="4"/>
  <c r="BN262" i="4"/>
  <c r="BP262" i="4"/>
  <c r="BQ262" i="4"/>
  <c r="BS262" i="4"/>
  <c r="BT262" i="4"/>
  <c r="BV262" i="4"/>
  <c r="BN263" i="4"/>
  <c r="BP263" i="4"/>
  <c r="BQ263" i="4"/>
  <c r="BS263" i="4"/>
  <c r="BT263" i="4"/>
  <c r="BV263" i="4"/>
  <c r="BN264" i="4"/>
  <c r="BP264" i="4"/>
  <c r="BQ264" i="4"/>
  <c r="BS264" i="4"/>
  <c r="BT264" i="4"/>
  <c r="BV264" i="4"/>
  <c r="BN265" i="4"/>
  <c r="BP265" i="4"/>
  <c r="BQ265" i="4"/>
  <c r="BS265" i="4"/>
  <c r="BT265" i="4"/>
  <c r="BV265" i="4"/>
  <c r="BN266" i="4"/>
  <c r="BP266" i="4"/>
  <c r="BQ266" i="4"/>
  <c r="BS266" i="4"/>
  <c r="BT266" i="4"/>
  <c r="BV266" i="4"/>
  <c r="BN267" i="4"/>
  <c r="BP267" i="4"/>
  <c r="BQ267" i="4"/>
  <c r="BS267" i="4"/>
  <c r="BT267" i="4"/>
  <c r="BV267" i="4"/>
  <c r="BN268" i="4"/>
  <c r="BP268" i="4"/>
  <c r="BQ268" i="4"/>
  <c r="BS268" i="4"/>
  <c r="BT268" i="4"/>
  <c r="BV268" i="4"/>
  <c r="BN269" i="4"/>
  <c r="BP269" i="4"/>
  <c r="BQ269" i="4"/>
  <c r="BS269" i="4"/>
  <c r="BT269" i="4"/>
  <c r="BV269" i="4"/>
  <c r="BN270" i="4"/>
  <c r="BP270" i="4"/>
  <c r="BQ270" i="4"/>
  <c r="BS270" i="4"/>
  <c r="BT270" i="4"/>
  <c r="BV270" i="4"/>
  <c r="BN271" i="4"/>
  <c r="BP271" i="4"/>
  <c r="BQ271" i="4"/>
  <c r="BS271" i="4"/>
  <c r="BT271" i="4"/>
  <c r="BV271" i="4"/>
  <c r="BN272" i="4"/>
  <c r="BP272" i="4"/>
  <c r="BQ272" i="4"/>
  <c r="BS272" i="4"/>
  <c r="BT272" i="4"/>
  <c r="BV272" i="4"/>
  <c r="BN273" i="4"/>
  <c r="BP273" i="4"/>
  <c r="BQ273" i="4"/>
  <c r="BS273" i="4"/>
  <c r="BT273" i="4"/>
  <c r="BV273" i="4"/>
  <c r="BN274" i="4"/>
  <c r="BP274" i="4"/>
  <c r="BQ274" i="4"/>
  <c r="BS274" i="4"/>
  <c r="BT274" i="4"/>
  <c r="BV274" i="4"/>
  <c r="BN275" i="4"/>
  <c r="BP275" i="4"/>
  <c r="BQ275" i="4"/>
  <c r="BS275" i="4"/>
  <c r="BT275" i="4"/>
  <c r="BV275" i="4"/>
  <c r="BN276" i="4"/>
  <c r="BP276" i="4"/>
  <c r="BQ276" i="4"/>
  <c r="BS276" i="4"/>
  <c r="BT276" i="4"/>
  <c r="BV276" i="4"/>
  <c r="BN277" i="4"/>
  <c r="BP277" i="4"/>
  <c r="BQ277" i="4"/>
  <c r="BS277" i="4"/>
  <c r="BT277" i="4"/>
  <c r="BV277" i="4"/>
  <c r="BN278" i="4"/>
  <c r="BP278" i="4"/>
  <c r="BQ278" i="4"/>
  <c r="BS278" i="4"/>
  <c r="BT278" i="4"/>
  <c r="BV278" i="4"/>
  <c r="BN279" i="4"/>
  <c r="BP279" i="4"/>
  <c r="BQ279" i="4"/>
  <c r="BS279" i="4"/>
  <c r="BT279" i="4"/>
  <c r="BV279" i="4"/>
  <c r="BN280" i="4"/>
  <c r="BP280" i="4"/>
  <c r="BQ280" i="4"/>
  <c r="BS280" i="4"/>
  <c r="BT280" i="4"/>
  <c r="BV280" i="4"/>
  <c r="BN281" i="4"/>
  <c r="BP281" i="4"/>
  <c r="BQ281" i="4"/>
  <c r="BS281" i="4"/>
  <c r="BT281" i="4"/>
  <c r="BV281" i="4"/>
  <c r="BN282" i="4"/>
  <c r="BP282" i="4"/>
  <c r="BQ282" i="4"/>
  <c r="BS282" i="4"/>
  <c r="BT282" i="4"/>
  <c r="BV282" i="4"/>
  <c r="BN283" i="4"/>
  <c r="BP283" i="4"/>
  <c r="BQ283" i="4"/>
  <c r="BS283" i="4"/>
  <c r="BT283" i="4"/>
  <c r="BV283" i="4"/>
  <c r="BN284" i="4"/>
  <c r="BP284" i="4"/>
  <c r="BQ284" i="4"/>
  <c r="BS284" i="4"/>
  <c r="BT284" i="4"/>
  <c r="BV284" i="4"/>
  <c r="BN285" i="4"/>
  <c r="BP285" i="4"/>
  <c r="BQ285" i="4"/>
  <c r="BS285" i="4"/>
  <c r="BT285" i="4"/>
  <c r="BV285" i="4"/>
  <c r="BN286" i="4"/>
  <c r="BP286" i="4"/>
  <c r="BQ286" i="4"/>
  <c r="BS286" i="4"/>
  <c r="BT286" i="4"/>
  <c r="BV286" i="4"/>
  <c r="BN287" i="4"/>
  <c r="BP287" i="4"/>
  <c r="BQ287" i="4"/>
  <c r="BS287" i="4"/>
  <c r="BT287" i="4"/>
  <c r="BV287" i="4"/>
  <c r="BN288" i="4"/>
  <c r="BP288" i="4"/>
  <c r="BQ288" i="4"/>
  <c r="BS288" i="4"/>
  <c r="BT288" i="4"/>
  <c r="BV288" i="4"/>
  <c r="BN289" i="4"/>
  <c r="BP289" i="4"/>
  <c r="BQ289" i="4"/>
  <c r="BS289" i="4"/>
  <c r="BT289" i="4"/>
  <c r="BV289" i="4"/>
  <c r="BN290" i="4"/>
  <c r="BP290" i="4"/>
  <c r="BQ290" i="4"/>
  <c r="BS290" i="4"/>
  <c r="BT290" i="4"/>
  <c r="BV290" i="4"/>
  <c r="BN291" i="4"/>
  <c r="BP291" i="4"/>
  <c r="BQ291" i="4"/>
  <c r="BS291" i="4"/>
  <c r="BT291" i="4"/>
  <c r="BV291" i="4"/>
  <c r="BN292" i="4"/>
  <c r="BP292" i="4"/>
  <c r="BQ292" i="4"/>
  <c r="BS292" i="4"/>
  <c r="BT292" i="4"/>
  <c r="BV292" i="4"/>
  <c r="BN293" i="4"/>
  <c r="BP293" i="4"/>
  <c r="BQ293" i="4"/>
  <c r="BS293" i="4"/>
  <c r="BT293" i="4"/>
  <c r="BV293" i="4"/>
  <c r="BN294" i="4"/>
  <c r="BP294" i="4"/>
  <c r="BQ294" i="4"/>
  <c r="BS294" i="4"/>
  <c r="BT294" i="4"/>
  <c r="BV294" i="4"/>
  <c r="BN295" i="4"/>
  <c r="BP295" i="4"/>
  <c r="BQ295" i="4"/>
  <c r="BS295" i="4"/>
  <c r="BT295" i="4"/>
  <c r="BV295" i="4"/>
  <c r="BN296" i="4"/>
  <c r="BO296" i="4"/>
  <c r="BP296" i="4"/>
  <c r="BQ296" i="4"/>
  <c r="BS296" i="4"/>
  <c r="BT296" i="4"/>
  <c r="BV296" i="4"/>
  <c r="BX296" i="4"/>
  <c r="BN297" i="4"/>
  <c r="BO297" i="4"/>
  <c r="BP297" i="4"/>
  <c r="BQ297" i="4"/>
  <c r="BS297" i="4"/>
  <c r="BT297" i="4"/>
  <c r="BV297" i="4"/>
  <c r="BX297" i="4"/>
  <c r="BN298" i="4"/>
  <c r="BO298" i="4"/>
  <c r="BP298" i="4"/>
  <c r="BQ298" i="4"/>
  <c r="BS298" i="4"/>
  <c r="BT298" i="4"/>
  <c r="BV298" i="4"/>
  <c r="BX298" i="4"/>
  <c r="BN299" i="4"/>
  <c r="BO299" i="4"/>
  <c r="BP299" i="4"/>
  <c r="BQ299" i="4"/>
  <c r="BS299" i="4"/>
  <c r="BT299" i="4"/>
  <c r="BV299" i="4"/>
  <c r="BX299" i="4"/>
  <c r="BN300" i="4"/>
  <c r="BO300" i="4"/>
  <c r="BP300" i="4"/>
  <c r="BQ300" i="4"/>
  <c r="BS300" i="4"/>
  <c r="BT300" i="4"/>
  <c r="BV300" i="4"/>
  <c r="BX300" i="4"/>
  <c r="BN301" i="4"/>
  <c r="BO301" i="4"/>
  <c r="BP301" i="4"/>
  <c r="BQ301" i="4"/>
  <c r="BS301" i="4"/>
  <c r="BT301" i="4"/>
  <c r="BV301" i="4"/>
  <c r="BX301" i="4"/>
  <c r="BN302" i="4"/>
  <c r="BO302" i="4"/>
  <c r="BP302" i="4"/>
  <c r="BQ302" i="4"/>
  <c r="BS302" i="4"/>
  <c r="BT302" i="4"/>
  <c r="BV302" i="4"/>
  <c r="BX302" i="4"/>
  <c r="BN303" i="4"/>
  <c r="BO303" i="4"/>
  <c r="BP303" i="4"/>
  <c r="BQ303" i="4"/>
  <c r="BS303" i="4"/>
  <c r="BT303" i="4"/>
  <c r="BV303" i="4"/>
  <c r="BX303" i="4"/>
  <c r="BN304" i="4"/>
  <c r="BO304" i="4"/>
  <c r="BP304" i="4"/>
  <c r="BQ304" i="4"/>
  <c r="BS304" i="4"/>
  <c r="BT304" i="4"/>
  <c r="BV304" i="4"/>
  <c r="BX304" i="4"/>
  <c r="BN305" i="4"/>
  <c r="BO305" i="4"/>
  <c r="BP305" i="4"/>
  <c r="BQ305" i="4"/>
  <c r="BS305" i="4"/>
  <c r="BT305" i="4"/>
  <c r="BV305" i="4"/>
  <c r="BX305" i="4"/>
  <c r="BN306" i="4"/>
  <c r="BO306" i="4"/>
  <c r="BP306" i="4"/>
  <c r="BQ306" i="4"/>
  <c r="BS306" i="4"/>
  <c r="BT306" i="4"/>
  <c r="BV306" i="4"/>
  <c r="BX306" i="4"/>
  <c r="BN307" i="4"/>
  <c r="BO307" i="4"/>
  <c r="BP307" i="4"/>
  <c r="BQ307" i="4"/>
  <c r="BS307" i="4"/>
  <c r="BT307" i="4"/>
  <c r="BV307" i="4"/>
  <c r="BX307" i="4"/>
  <c r="BN308" i="4"/>
  <c r="BO308" i="4"/>
  <c r="BP308" i="4"/>
  <c r="BQ308" i="4"/>
  <c r="BS308" i="4"/>
  <c r="BT308" i="4"/>
  <c r="BV308" i="4"/>
  <c r="BX308" i="4"/>
  <c r="BN309" i="4"/>
  <c r="BO309" i="4"/>
  <c r="BP309" i="4"/>
  <c r="BQ309" i="4"/>
  <c r="BS309" i="4"/>
  <c r="BT309" i="4"/>
  <c r="BV309" i="4"/>
  <c r="BW309" i="4"/>
  <c r="BX309" i="4"/>
  <c r="BN310" i="4"/>
  <c r="BO310" i="4"/>
  <c r="BP310" i="4"/>
  <c r="BQ310" i="4"/>
  <c r="BS310" i="4"/>
  <c r="BT310" i="4"/>
  <c r="BV310" i="4"/>
  <c r="BW310" i="4"/>
  <c r="BX310" i="4"/>
  <c r="BN311" i="4"/>
  <c r="BO311" i="4"/>
  <c r="BP311" i="4"/>
  <c r="BQ311" i="4"/>
  <c r="BS311" i="4"/>
  <c r="BT311" i="4"/>
  <c r="BV311" i="4"/>
  <c r="BW311" i="4"/>
  <c r="BX311" i="4"/>
  <c r="BN312" i="4"/>
  <c r="BO312" i="4"/>
  <c r="BP312" i="4"/>
  <c r="BQ312" i="4"/>
  <c r="BS312" i="4"/>
  <c r="BT312" i="4"/>
  <c r="BV312" i="4"/>
  <c r="BW312" i="4"/>
  <c r="BX312" i="4"/>
  <c r="BN313" i="4"/>
  <c r="BO313" i="4"/>
  <c r="BP313" i="4"/>
  <c r="BQ313" i="4"/>
  <c r="BS313" i="4"/>
  <c r="BT313" i="4"/>
  <c r="BV313" i="4"/>
  <c r="BW313" i="4"/>
  <c r="BX313" i="4"/>
  <c r="BN314" i="4"/>
  <c r="BO314" i="4"/>
  <c r="BP314" i="4"/>
  <c r="BQ314" i="4"/>
  <c r="BS314" i="4"/>
  <c r="BT314" i="4"/>
  <c r="BV314" i="4"/>
  <c r="BW314" i="4"/>
  <c r="BX314" i="4"/>
  <c r="BN315" i="4"/>
  <c r="BO315" i="4"/>
  <c r="BP315" i="4"/>
  <c r="BQ315" i="4"/>
  <c r="BS315" i="4"/>
  <c r="BT315" i="4"/>
  <c r="BV315" i="4"/>
  <c r="BW315" i="4"/>
  <c r="BX315" i="4"/>
  <c r="BN316" i="4"/>
  <c r="BO316" i="4"/>
  <c r="BP316" i="4"/>
  <c r="BQ316" i="4"/>
  <c r="BS316" i="4"/>
  <c r="BT316" i="4"/>
  <c r="BV316" i="4"/>
  <c r="BW316" i="4"/>
  <c r="BX316" i="4"/>
  <c r="BN317" i="4"/>
  <c r="BO317" i="4"/>
  <c r="BP317" i="4"/>
  <c r="BQ317" i="4"/>
  <c r="BS317" i="4"/>
  <c r="BT317" i="4"/>
  <c r="BV317" i="4"/>
  <c r="BW317" i="4"/>
  <c r="BX317" i="4"/>
  <c r="BN318" i="4"/>
  <c r="BO318" i="4"/>
  <c r="BP318" i="4"/>
  <c r="BQ318" i="4"/>
  <c r="BS318" i="4"/>
  <c r="BT318" i="4"/>
  <c r="BV318" i="4"/>
  <c r="BW318" i="4"/>
  <c r="BX318" i="4"/>
  <c r="BN319" i="4"/>
  <c r="BO319" i="4"/>
  <c r="BP319" i="4"/>
  <c r="BQ319" i="4"/>
  <c r="BS319" i="4"/>
  <c r="BT319" i="4"/>
  <c r="BV319" i="4"/>
  <c r="BW319" i="4"/>
  <c r="BX319" i="4"/>
  <c r="BN320" i="4"/>
  <c r="BO320" i="4"/>
  <c r="BP320" i="4"/>
  <c r="BQ320" i="4"/>
  <c r="BS320" i="4"/>
  <c r="BT320" i="4"/>
  <c r="BV320" i="4"/>
  <c r="BW320" i="4"/>
  <c r="BX320" i="4"/>
  <c r="BN321" i="4"/>
  <c r="BO321" i="4"/>
  <c r="BP321" i="4"/>
  <c r="BQ321" i="4"/>
  <c r="BS321" i="4"/>
  <c r="BT321" i="4"/>
  <c r="BV321" i="4"/>
  <c r="BW321" i="4"/>
  <c r="BX321" i="4"/>
  <c r="BN322" i="4"/>
  <c r="BO322" i="4"/>
  <c r="BP322" i="4"/>
  <c r="BQ322" i="4"/>
  <c r="BS322" i="4"/>
  <c r="BT322" i="4"/>
  <c r="BV322" i="4"/>
  <c r="BW322" i="4"/>
  <c r="BX322" i="4"/>
  <c r="BN323" i="4"/>
  <c r="BO323" i="4"/>
  <c r="BP323" i="4"/>
  <c r="BQ323" i="4"/>
  <c r="BS323" i="4"/>
  <c r="BT323" i="4"/>
  <c r="BV323" i="4"/>
  <c r="BW323" i="4"/>
  <c r="BX323" i="4"/>
  <c r="BN324" i="4"/>
  <c r="BO324" i="4"/>
  <c r="BP324" i="4"/>
  <c r="BQ324" i="4"/>
  <c r="BS324" i="4"/>
  <c r="BT324" i="4"/>
  <c r="BV324" i="4"/>
  <c r="BW324" i="4"/>
  <c r="BX324" i="4"/>
  <c r="BN325" i="4"/>
  <c r="BO325" i="4"/>
  <c r="BP325" i="4"/>
  <c r="BQ325" i="4"/>
  <c r="BS325" i="4"/>
  <c r="BT325" i="4"/>
  <c r="BV325" i="4"/>
  <c r="BW325" i="4"/>
  <c r="BX325" i="4"/>
  <c r="BN326" i="4"/>
  <c r="BO326" i="4"/>
  <c r="BP326" i="4"/>
  <c r="BQ326" i="4"/>
  <c r="BS326" i="4"/>
  <c r="BT326" i="4"/>
  <c r="BV326" i="4"/>
  <c r="BW326" i="4"/>
  <c r="BX326" i="4"/>
  <c r="BN327" i="4"/>
  <c r="BO327" i="4"/>
  <c r="BP327" i="4"/>
  <c r="BQ327" i="4"/>
  <c r="BS327" i="4"/>
  <c r="BT327" i="4"/>
  <c r="BV327" i="4"/>
  <c r="BW327" i="4"/>
  <c r="BX327" i="4"/>
  <c r="BN328" i="4"/>
  <c r="BO328" i="4"/>
  <c r="BP328" i="4"/>
  <c r="BQ328" i="4"/>
  <c r="BS328" i="4"/>
  <c r="BT328" i="4"/>
  <c r="BV328" i="4"/>
  <c r="BW328" i="4"/>
  <c r="BX328" i="4"/>
  <c r="BN329" i="4"/>
  <c r="BO329" i="4"/>
  <c r="BP329" i="4"/>
  <c r="BQ329" i="4"/>
  <c r="BS329" i="4"/>
  <c r="BT329" i="4"/>
  <c r="BV329" i="4"/>
  <c r="BW329" i="4"/>
  <c r="BX329" i="4"/>
  <c r="BN330" i="4"/>
  <c r="BO330" i="4"/>
  <c r="BP330" i="4"/>
  <c r="BQ330" i="4"/>
  <c r="BS330" i="4"/>
  <c r="BT330" i="4"/>
  <c r="BV330" i="4"/>
  <c r="BW330" i="4"/>
  <c r="BX330" i="4"/>
  <c r="BN331" i="4"/>
  <c r="BO331" i="4"/>
  <c r="BP331" i="4"/>
  <c r="BQ331" i="4"/>
  <c r="BR331" i="4"/>
  <c r="BS331" i="4"/>
  <c r="BT331" i="4"/>
  <c r="BV331" i="4"/>
  <c r="BW331" i="4"/>
  <c r="BX331" i="4"/>
  <c r="BN332" i="4"/>
  <c r="BO332" i="4"/>
  <c r="BP332" i="4"/>
  <c r="BQ332" i="4"/>
  <c r="BR332" i="4"/>
  <c r="BS332" i="4"/>
  <c r="BT332" i="4"/>
  <c r="BV332" i="4"/>
  <c r="BW332" i="4"/>
  <c r="BX332" i="4"/>
  <c r="BN333" i="4"/>
  <c r="BO333" i="4"/>
  <c r="BP333" i="4"/>
  <c r="BQ333" i="4"/>
  <c r="BR333" i="4"/>
  <c r="BS333" i="4"/>
  <c r="BT333" i="4"/>
  <c r="BV333" i="4"/>
  <c r="BW333" i="4"/>
  <c r="BX333" i="4"/>
  <c r="BN334" i="4"/>
  <c r="BO334" i="4"/>
  <c r="BP334" i="4"/>
  <c r="BQ334" i="4"/>
  <c r="BR334" i="4"/>
  <c r="BS334" i="4"/>
  <c r="BT334" i="4"/>
  <c r="BV334" i="4"/>
  <c r="BW334" i="4"/>
  <c r="BX334" i="4"/>
  <c r="BN335" i="4"/>
  <c r="BO335" i="4"/>
  <c r="BP335" i="4"/>
  <c r="BQ335" i="4"/>
  <c r="BR335" i="4"/>
  <c r="BS335" i="4"/>
  <c r="BT335" i="4"/>
  <c r="BV335" i="4"/>
  <c r="BW335" i="4"/>
  <c r="BX335" i="4"/>
  <c r="BN336" i="4"/>
  <c r="BO336" i="4"/>
  <c r="BP336" i="4"/>
  <c r="BQ336" i="4"/>
  <c r="BR336" i="4"/>
  <c r="BS336" i="4"/>
  <c r="BT336" i="4"/>
  <c r="BV336" i="4"/>
  <c r="BW336" i="4"/>
  <c r="BX336" i="4"/>
  <c r="BN337" i="4"/>
  <c r="BO337" i="4"/>
  <c r="BP337" i="4"/>
  <c r="BQ337" i="4"/>
  <c r="BR337" i="4"/>
  <c r="BS337" i="4"/>
  <c r="BT337" i="4"/>
  <c r="BV337" i="4"/>
  <c r="BW337" i="4"/>
  <c r="BX337" i="4"/>
  <c r="BN338" i="4"/>
  <c r="BO338" i="4"/>
  <c r="BP338" i="4"/>
  <c r="BQ338" i="4"/>
  <c r="BR338" i="4"/>
  <c r="BS338" i="4"/>
  <c r="BT338" i="4"/>
  <c r="BV338" i="4"/>
  <c r="BW338" i="4"/>
  <c r="BX338" i="4"/>
  <c r="BN339" i="4"/>
  <c r="BO339" i="4"/>
  <c r="BP339" i="4"/>
  <c r="BQ339" i="4"/>
  <c r="BR339" i="4"/>
  <c r="BS339" i="4"/>
  <c r="BT339" i="4"/>
  <c r="BV339" i="4"/>
  <c r="BW339" i="4"/>
  <c r="BX339" i="4"/>
  <c r="BN340" i="4"/>
  <c r="BO340" i="4"/>
  <c r="BP340" i="4"/>
  <c r="BQ340" i="4"/>
  <c r="BR340" i="4"/>
  <c r="BS340" i="4"/>
  <c r="BT340" i="4"/>
  <c r="BV340" i="4"/>
  <c r="BW340" i="4"/>
  <c r="BX340" i="4"/>
  <c r="BN341" i="4"/>
  <c r="BO341" i="4"/>
  <c r="BP341" i="4"/>
  <c r="BQ341" i="4"/>
  <c r="BR341" i="4"/>
  <c r="BS341" i="4"/>
  <c r="BT341" i="4"/>
  <c r="BV341" i="4"/>
  <c r="BW341" i="4"/>
  <c r="BX341" i="4"/>
  <c r="BN342" i="4"/>
  <c r="BO342" i="4"/>
  <c r="BP342" i="4"/>
  <c r="BQ342" i="4"/>
  <c r="BR342" i="4"/>
  <c r="BS342" i="4"/>
  <c r="BT342" i="4"/>
  <c r="BV342" i="4"/>
  <c r="BW342" i="4"/>
  <c r="BX342" i="4"/>
  <c r="BN343" i="4"/>
  <c r="BO343" i="4"/>
  <c r="BP343" i="4"/>
  <c r="BQ343" i="4"/>
  <c r="BR343" i="4"/>
  <c r="BS343" i="4"/>
  <c r="BT343" i="4"/>
  <c r="BV343" i="4"/>
  <c r="BW343" i="4"/>
  <c r="BX343" i="4"/>
  <c r="BN344" i="4"/>
  <c r="BO344" i="4"/>
  <c r="BP344" i="4"/>
  <c r="BQ344" i="4"/>
  <c r="BR344" i="4"/>
  <c r="BS344" i="4"/>
  <c r="BT344" i="4"/>
  <c r="BV344" i="4"/>
  <c r="BW344" i="4"/>
  <c r="BX344" i="4"/>
  <c r="BN345" i="4"/>
  <c r="BO345" i="4"/>
  <c r="BP345" i="4"/>
  <c r="BQ345" i="4"/>
  <c r="BR345" i="4"/>
  <c r="BS345" i="4"/>
  <c r="BT345" i="4"/>
  <c r="BV345" i="4"/>
  <c r="BW345" i="4"/>
  <c r="BX345" i="4"/>
  <c r="BN346" i="4"/>
  <c r="BO346" i="4"/>
  <c r="BP346" i="4"/>
  <c r="BQ346" i="4"/>
  <c r="BR346" i="4"/>
  <c r="BS346" i="4"/>
  <c r="BT346" i="4"/>
  <c r="BV346" i="4"/>
  <c r="BW346" i="4"/>
  <c r="BX346" i="4"/>
  <c r="BN347" i="4"/>
  <c r="BO347" i="4"/>
  <c r="BP347" i="4"/>
  <c r="BQ347" i="4"/>
  <c r="BR347" i="4"/>
  <c r="BS347" i="4"/>
  <c r="BT347" i="4"/>
  <c r="BV347" i="4"/>
  <c r="BW347" i="4"/>
  <c r="BX347" i="4"/>
  <c r="BN348" i="4"/>
  <c r="BO348" i="4"/>
  <c r="BP348" i="4"/>
  <c r="BQ348" i="4"/>
  <c r="BR348" i="4"/>
  <c r="BS348" i="4"/>
  <c r="BT348" i="4"/>
  <c r="BV348" i="4"/>
  <c r="BW348" i="4"/>
  <c r="BX348" i="4"/>
  <c r="BN349" i="4"/>
  <c r="BO349" i="4"/>
  <c r="BP349" i="4"/>
  <c r="BQ349" i="4"/>
  <c r="BR349" i="4"/>
  <c r="BS349" i="4"/>
  <c r="BT349" i="4"/>
  <c r="BV349" i="4"/>
  <c r="BW349" i="4"/>
  <c r="BX349" i="4"/>
  <c r="BN350" i="4"/>
  <c r="BO350" i="4"/>
  <c r="BP350" i="4"/>
  <c r="BQ350" i="4"/>
  <c r="BR350" i="4"/>
  <c r="BS350" i="4"/>
  <c r="BT350" i="4"/>
  <c r="BV350" i="4"/>
  <c r="BW350" i="4"/>
  <c r="BX350" i="4"/>
  <c r="BN351" i="4"/>
  <c r="BO351" i="4"/>
  <c r="BP351" i="4"/>
  <c r="BQ351" i="4"/>
  <c r="BR351" i="4"/>
  <c r="BS351" i="4"/>
  <c r="BT351" i="4"/>
  <c r="BV351" i="4"/>
  <c r="BW351" i="4"/>
  <c r="BX351" i="4"/>
  <c r="BN352" i="4"/>
  <c r="BO352" i="4"/>
  <c r="BP352" i="4"/>
  <c r="BQ352" i="4"/>
  <c r="BR352" i="4"/>
  <c r="BS352" i="4"/>
  <c r="BT352" i="4"/>
  <c r="BV352" i="4"/>
  <c r="BW352" i="4"/>
  <c r="BX352" i="4"/>
  <c r="BN353" i="4"/>
  <c r="BO353" i="4"/>
  <c r="BP353" i="4"/>
  <c r="BQ353" i="4"/>
  <c r="BR353" i="4"/>
  <c r="BS353" i="4"/>
  <c r="BT353" i="4"/>
  <c r="BV353" i="4"/>
  <c r="BW353" i="4"/>
  <c r="BX353" i="4"/>
  <c r="BN354" i="4"/>
  <c r="BO354" i="4"/>
  <c r="BP354" i="4"/>
  <c r="BQ354" i="4"/>
  <c r="BR354" i="4"/>
  <c r="BS354" i="4"/>
  <c r="BT354" i="4"/>
  <c r="BV354" i="4"/>
  <c r="BW354" i="4"/>
  <c r="BX354" i="4"/>
  <c r="BN355" i="4"/>
  <c r="BO355" i="4"/>
  <c r="BP355" i="4"/>
  <c r="BQ355" i="4"/>
  <c r="BR355" i="4"/>
  <c r="BS355" i="4"/>
  <c r="BT355" i="4"/>
  <c r="BV355" i="4"/>
  <c r="BW355" i="4"/>
  <c r="BX355" i="4"/>
  <c r="BN356" i="4"/>
  <c r="BO356" i="4"/>
  <c r="BP356" i="4"/>
  <c r="BQ356" i="4"/>
  <c r="BR356" i="4"/>
  <c r="BS356" i="4"/>
  <c r="BT356" i="4"/>
  <c r="BV356" i="4"/>
  <c r="BW356" i="4"/>
  <c r="BX356" i="4"/>
  <c r="BN357" i="4"/>
  <c r="BO357" i="4"/>
  <c r="BP357" i="4"/>
  <c r="BQ357" i="4"/>
  <c r="BR357" i="4"/>
  <c r="BS357" i="4"/>
  <c r="BT357" i="4"/>
  <c r="BV357" i="4"/>
  <c r="BW357" i="4"/>
  <c r="BX357" i="4"/>
  <c r="BN358" i="4"/>
  <c r="BO358" i="4"/>
  <c r="BP358" i="4"/>
  <c r="BQ358" i="4"/>
  <c r="BR358" i="4"/>
  <c r="BS358" i="4"/>
  <c r="BT358" i="4"/>
  <c r="BV358" i="4"/>
  <c r="BW358" i="4"/>
  <c r="BX358" i="4"/>
  <c r="BN359" i="4"/>
  <c r="BO359" i="4"/>
  <c r="BP359" i="4"/>
  <c r="BQ359" i="4"/>
  <c r="BR359" i="4"/>
  <c r="BS359" i="4"/>
  <c r="BT359" i="4"/>
  <c r="BV359" i="4"/>
  <c r="BW359" i="4"/>
  <c r="BX359" i="4"/>
  <c r="BN360" i="4"/>
  <c r="BO360" i="4"/>
  <c r="BP360" i="4"/>
  <c r="BQ360" i="4"/>
  <c r="BR360" i="4"/>
  <c r="BS360" i="4"/>
  <c r="BT360" i="4"/>
  <c r="BV360" i="4"/>
  <c r="BW360" i="4"/>
  <c r="BX360" i="4"/>
  <c r="BN361" i="4"/>
  <c r="BO361" i="4"/>
  <c r="BP361" i="4"/>
  <c r="BQ361" i="4"/>
  <c r="BR361" i="4"/>
  <c r="BS361" i="4"/>
  <c r="BT361" i="4"/>
  <c r="BV361" i="4"/>
  <c r="BW361" i="4"/>
  <c r="BX361" i="4"/>
  <c r="BN362" i="4"/>
  <c r="BO362" i="4"/>
  <c r="BP362" i="4"/>
  <c r="BQ362" i="4"/>
  <c r="BR362" i="4"/>
  <c r="BS362" i="4"/>
  <c r="BT362" i="4"/>
  <c r="BV362" i="4"/>
  <c r="BW362" i="4"/>
  <c r="BX362" i="4"/>
  <c r="BN363" i="4"/>
  <c r="BO363" i="4"/>
  <c r="BP363" i="4"/>
  <c r="BQ363" i="4"/>
  <c r="BR363" i="4"/>
  <c r="BS363" i="4"/>
  <c r="BT363" i="4"/>
  <c r="BV363" i="4"/>
  <c r="BW363" i="4"/>
  <c r="BX363" i="4"/>
  <c r="BN364" i="4"/>
  <c r="BO364" i="4"/>
  <c r="BP364" i="4"/>
  <c r="BQ364" i="4"/>
  <c r="BR364" i="4"/>
  <c r="BS364" i="4"/>
  <c r="BT364" i="4"/>
  <c r="BV364" i="4"/>
  <c r="BW364" i="4"/>
  <c r="BX364" i="4"/>
  <c r="BN365" i="4"/>
  <c r="BO365" i="4"/>
  <c r="BP365" i="4"/>
  <c r="BQ365" i="4"/>
  <c r="BR365" i="4"/>
  <c r="BS365" i="4"/>
  <c r="BT365" i="4"/>
  <c r="BV365" i="4"/>
  <c r="BW365" i="4"/>
  <c r="BX365" i="4"/>
  <c r="BN366" i="4"/>
  <c r="BO366" i="4"/>
  <c r="BP366" i="4"/>
  <c r="BQ366" i="4"/>
  <c r="BR366" i="4"/>
  <c r="BS366" i="4"/>
  <c r="BT366" i="4"/>
  <c r="BV366" i="4"/>
  <c r="BW366" i="4"/>
  <c r="BX366" i="4"/>
  <c r="BN367" i="4"/>
  <c r="BO367" i="4"/>
  <c r="BP367" i="4"/>
  <c r="BQ367" i="4"/>
  <c r="BR367" i="4"/>
  <c r="BS367" i="4"/>
  <c r="BT367" i="4"/>
  <c r="BV367" i="4"/>
  <c r="BW367" i="4"/>
  <c r="BX367" i="4"/>
  <c r="BN368" i="4"/>
  <c r="BO368" i="4"/>
  <c r="BP368" i="4"/>
  <c r="BQ368" i="4"/>
  <c r="BR368" i="4"/>
  <c r="BS368" i="4"/>
  <c r="BT368" i="4"/>
  <c r="BV368" i="4"/>
  <c r="BW368" i="4"/>
  <c r="BX368" i="4"/>
  <c r="BN369" i="4"/>
  <c r="BO369" i="4"/>
  <c r="BP369" i="4"/>
  <c r="BQ369" i="4"/>
  <c r="BR369" i="4"/>
  <c r="BS369" i="4"/>
  <c r="BT369" i="4"/>
  <c r="BV369" i="4"/>
  <c r="BW369" i="4"/>
  <c r="BX369" i="4"/>
  <c r="BN370" i="4"/>
  <c r="BO370" i="4"/>
  <c r="BP370" i="4"/>
  <c r="BQ370" i="4"/>
  <c r="BR370" i="4"/>
  <c r="BS370" i="4"/>
  <c r="BT370" i="4"/>
  <c r="BV370" i="4"/>
  <c r="BW370" i="4"/>
  <c r="BX370" i="4"/>
  <c r="BN371" i="4"/>
  <c r="BO371" i="4"/>
  <c r="BP371" i="4"/>
  <c r="BQ371" i="4"/>
  <c r="BR371" i="4"/>
  <c r="BS371" i="4"/>
  <c r="BT371" i="4"/>
  <c r="BV371" i="4"/>
  <c r="BW371" i="4"/>
  <c r="BX371" i="4"/>
  <c r="BN372" i="4"/>
  <c r="BO372" i="4"/>
  <c r="BP372" i="4"/>
  <c r="BQ372" i="4"/>
  <c r="BR372" i="4"/>
  <c r="BS372" i="4"/>
  <c r="BT372" i="4"/>
  <c r="BV372" i="4"/>
  <c r="BW372" i="4"/>
  <c r="BX372" i="4"/>
  <c r="BN373" i="4"/>
  <c r="BO373" i="4"/>
  <c r="BP373" i="4"/>
  <c r="BQ373" i="4"/>
  <c r="BR373" i="4"/>
  <c r="BS373" i="4"/>
  <c r="BT373" i="4"/>
  <c r="BV373" i="4"/>
  <c r="BW373" i="4"/>
  <c r="BX373" i="4"/>
  <c r="BN374" i="4"/>
  <c r="BO374" i="4"/>
  <c r="BP374" i="4"/>
  <c r="BQ374" i="4"/>
  <c r="BR374" i="4"/>
  <c r="BS374" i="4"/>
  <c r="BT374" i="4"/>
  <c r="BV374" i="4"/>
  <c r="BW374" i="4"/>
  <c r="BX374" i="4"/>
  <c r="BN375" i="4"/>
  <c r="BO375" i="4"/>
  <c r="BP375" i="4"/>
  <c r="BQ375" i="4"/>
  <c r="BR375" i="4"/>
  <c r="BS375" i="4"/>
  <c r="BT375" i="4"/>
  <c r="BV375" i="4"/>
  <c r="BW375" i="4"/>
  <c r="BX375" i="4"/>
  <c r="BN376" i="4"/>
  <c r="BO376" i="4"/>
  <c r="BP376" i="4"/>
  <c r="BQ376" i="4"/>
  <c r="BR376" i="4"/>
  <c r="BS376" i="4"/>
  <c r="BT376" i="4"/>
  <c r="BU376" i="4"/>
  <c r="BV376" i="4"/>
  <c r="BW376" i="4"/>
  <c r="BX376" i="4"/>
  <c r="BN377" i="4"/>
  <c r="BO377" i="4"/>
  <c r="BP377" i="4"/>
  <c r="BQ377" i="4"/>
  <c r="BR377" i="4"/>
  <c r="BS377" i="4"/>
  <c r="BT377" i="4"/>
  <c r="BU377" i="4"/>
  <c r="BV377" i="4"/>
  <c r="BW377" i="4"/>
  <c r="BX377" i="4"/>
  <c r="BN378" i="4"/>
  <c r="BO378" i="4"/>
  <c r="BP378" i="4"/>
  <c r="BQ378" i="4"/>
  <c r="BR378" i="4"/>
  <c r="BS378" i="4"/>
  <c r="BT378" i="4"/>
  <c r="BU378" i="4"/>
  <c r="BV378" i="4"/>
  <c r="BW378" i="4"/>
  <c r="BX378" i="4"/>
  <c r="BN379" i="4"/>
  <c r="BO379" i="4"/>
  <c r="BP379" i="4"/>
  <c r="BQ379" i="4"/>
  <c r="BR379" i="4"/>
  <c r="BS379" i="4"/>
  <c r="BT379" i="4"/>
  <c r="BU379" i="4"/>
  <c r="BV379" i="4"/>
  <c r="BW379" i="4"/>
  <c r="BX379" i="4"/>
  <c r="BN380" i="4"/>
  <c r="BO380" i="4"/>
  <c r="BP380" i="4"/>
  <c r="BQ380" i="4"/>
  <c r="BR380" i="4"/>
  <c r="BS380" i="4"/>
  <c r="BT380" i="4"/>
  <c r="BU380" i="4"/>
  <c r="BV380" i="4"/>
  <c r="BW380" i="4"/>
  <c r="BX380" i="4"/>
  <c r="BN381" i="4"/>
  <c r="BO381" i="4"/>
  <c r="BP381" i="4"/>
  <c r="BQ381" i="4"/>
  <c r="BR381" i="4"/>
  <c r="BS381" i="4"/>
  <c r="BT381" i="4"/>
  <c r="BU381" i="4"/>
  <c r="BV381" i="4"/>
  <c r="BW381" i="4"/>
  <c r="BX381" i="4"/>
  <c r="BN382" i="4"/>
  <c r="BO382" i="4"/>
  <c r="BP382" i="4"/>
  <c r="BQ382" i="4"/>
  <c r="BR382" i="4"/>
  <c r="BS382" i="4"/>
  <c r="BT382" i="4"/>
  <c r="BU382" i="4"/>
  <c r="BV382" i="4"/>
  <c r="BW382" i="4"/>
  <c r="BX382" i="4"/>
  <c r="BN383" i="4"/>
  <c r="BO383" i="4"/>
  <c r="BP383" i="4"/>
  <c r="BQ383" i="4"/>
  <c r="BR383" i="4"/>
  <c r="BS383" i="4"/>
  <c r="BT383" i="4"/>
  <c r="BU383" i="4"/>
  <c r="BV383" i="4"/>
  <c r="BW383" i="4"/>
  <c r="BX383" i="4"/>
  <c r="BN384" i="4"/>
  <c r="BO384" i="4"/>
  <c r="BP384" i="4"/>
  <c r="BQ384" i="4"/>
  <c r="BR384" i="4"/>
  <c r="BS384" i="4"/>
  <c r="BT384" i="4"/>
  <c r="BU384" i="4"/>
  <c r="BV384" i="4"/>
  <c r="BW384" i="4"/>
  <c r="BX384" i="4"/>
  <c r="BN385" i="4"/>
  <c r="BO385" i="4"/>
  <c r="BP385" i="4"/>
  <c r="BQ385" i="4"/>
  <c r="BR385" i="4"/>
  <c r="BS385" i="4"/>
  <c r="BT385" i="4"/>
  <c r="BU385" i="4"/>
  <c r="BV385" i="4"/>
  <c r="BW385" i="4"/>
  <c r="BX385" i="4"/>
  <c r="BM386" i="4"/>
  <c r="BN386" i="4"/>
  <c r="BO386" i="4"/>
  <c r="BP386" i="4"/>
  <c r="BQ386" i="4"/>
  <c r="BR386" i="4"/>
  <c r="BS386" i="4"/>
  <c r="BT386" i="4"/>
  <c r="BU386" i="4"/>
  <c r="BV386" i="4"/>
  <c r="BW386" i="4"/>
  <c r="BX386" i="4"/>
  <c r="BM387" i="4"/>
  <c r="BN387" i="4"/>
  <c r="BO387" i="4"/>
  <c r="BP387" i="4"/>
  <c r="BQ387" i="4"/>
  <c r="BR387" i="4"/>
  <c r="BS387" i="4"/>
  <c r="BT387" i="4"/>
  <c r="BU387" i="4"/>
  <c r="BV387" i="4"/>
  <c r="BW387" i="4"/>
  <c r="BX387" i="4"/>
  <c r="BM388" i="4"/>
  <c r="BN388" i="4"/>
  <c r="BO388" i="4"/>
  <c r="BP388" i="4"/>
  <c r="BQ388" i="4"/>
  <c r="BR388" i="4"/>
  <c r="BS388" i="4"/>
  <c r="BT388" i="4"/>
  <c r="BU388" i="4"/>
  <c r="BV388" i="4"/>
  <c r="BW388" i="4"/>
  <c r="BX388" i="4"/>
  <c r="BM389" i="4"/>
  <c r="BN389" i="4"/>
  <c r="BO389" i="4"/>
  <c r="BP389" i="4"/>
  <c r="BQ389" i="4"/>
  <c r="BR389" i="4"/>
  <c r="BS389" i="4"/>
  <c r="BT389" i="4"/>
  <c r="BU389" i="4"/>
  <c r="BV389" i="4"/>
  <c r="BW389" i="4"/>
  <c r="BX389" i="4"/>
  <c r="BM390" i="4"/>
  <c r="BN390" i="4"/>
  <c r="BO390" i="4"/>
  <c r="BP390" i="4"/>
  <c r="BQ390" i="4"/>
  <c r="BR390" i="4"/>
  <c r="BS390" i="4"/>
  <c r="BT390" i="4"/>
  <c r="BU390" i="4"/>
  <c r="BV390" i="4"/>
  <c r="BW390" i="4"/>
  <c r="BX390" i="4"/>
  <c r="BM391" i="4"/>
  <c r="BN391" i="4"/>
  <c r="BO391" i="4"/>
  <c r="BP391" i="4"/>
  <c r="BQ391" i="4"/>
  <c r="BR391" i="4"/>
  <c r="BS391" i="4"/>
  <c r="BT391" i="4"/>
  <c r="BU391" i="4"/>
  <c r="BV391" i="4"/>
  <c r="BW391" i="4"/>
  <c r="BX391" i="4"/>
  <c r="BM392" i="4"/>
  <c r="BN392" i="4"/>
  <c r="BO392" i="4"/>
  <c r="BP392" i="4"/>
  <c r="BQ392" i="4"/>
  <c r="BR392" i="4"/>
  <c r="BS392" i="4"/>
  <c r="BT392" i="4"/>
  <c r="BU392" i="4"/>
  <c r="BV392" i="4"/>
  <c r="BW392" i="4"/>
  <c r="BX392" i="4"/>
  <c r="BM393" i="4"/>
  <c r="BN393" i="4"/>
  <c r="BO393" i="4"/>
  <c r="BP393" i="4"/>
  <c r="BQ393" i="4"/>
  <c r="BR393" i="4"/>
  <c r="BS393" i="4"/>
  <c r="BT393" i="4"/>
  <c r="BU393" i="4"/>
  <c r="BV393" i="4"/>
  <c r="BW393" i="4"/>
  <c r="BX393" i="4"/>
  <c r="BM394" i="4"/>
  <c r="BN394" i="4"/>
  <c r="BO394" i="4"/>
  <c r="BP394" i="4"/>
  <c r="BQ394" i="4"/>
  <c r="BR394" i="4"/>
  <c r="BS394" i="4"/>
  <c r="BT394" i="4"/>
  <c r="BU394" i="4"/>
  <c r="BV394" i="4"/>
  <c r="BW394" i="4"/>
  <c r="BX394" i="4"/>
  <c r="BM395" i="4"/>
  <c r="BN395" i="4"/>
  <c r="BO395" i="4"/>
  <c r="BP395" i="4"/>
  <c r="BQ395" i="4"/>
  <c r="BR395" i="4"/>
  <c r="BS395" i="4"/>
  <c r="BT395" i="4"/>
  <c r="BU395" i="4"/>
  <c r="BV395" i="4"/>
  <c r="BW395" i="4"/>
  <c r="BX395" i="4"/>
  <c r="AS12" i="4"/>
  <c r="AY12" i="4" s="1"/>
  <c r="BD12" i="4" s="1"/>
  <c r="AS13" i="4"/>
  <c r="AY13" i="4" s="1"/>
  <c r="BD13" i="4" s="1"/>
  <c r="AS14" i="4"/>
  <c r="AY14" i="4" s="1"/>
  <c r="BD14" i="4" s="1"/>
  <c r="AS15" i="4"/>
  <c r="AY15" i="4" s="1"/>
  <c r="BD15" i="4" s="1"/>
  <c r="AS16" i="4"/>
  <c r="AY16" i="4" s="1"/>
  <c r="BD16" i="4" s="1"/>
  <c r="AS17" i="4"/>
  <c r="AY17" i="4" s="1"/>
  <c r="BD17" i="4" s="1"/>
  <c r="AS18" i="4"/>
  <c r="AY18" i="4" s="1"/>
  <c r="BD18" i="4" s="1"/>
  <c r="AS19" i="4"/>
  <c r="AY19" i="4" s="1"/>
  <c r="BD19" i="4" s="1"/>
  <c r="AS21" i="4"/>
  <c r="AY21" i="4" s="1"/>
  <c r="BD21" i="4" s="1"/>
  <c r="AS22" i="4"/>
  <c r="AY22" i="4" s="1"/>
  <c r="BD22" i="4" s="1"/>
  <c r="AS23" i="4"/>
  <c r="AY23" i="4" s="1"/>
  <c r="BD23" i="4" s="1"/>
  <c r="AS24" i="4"/>
  <c r="AY24" i="4" s="1"/>
  <c r="BD24" i="4" s="1"/>
  <c r="AS25" i="4"/>
  <c r="AY25" i="4" s="1"/>
  <c r="BD25" i="4" s="1"/>
  <c r="AS20" i="4"/>
  <c r="AY20" i="4" s="1"/>
  <c r="BD20" i="4" s="1"/>
  <c r="AS26" i="4"/>
  <c r="AY26" i="4" s="1"/>
  <c r="BD26" i="4" s="1"/>
  <c r="AS27" i="4"/>
  <c r="AY27" i="4" s="1"/>
  <c r="BD27" i="4" s="1"/>
  <c r="AS28" i="4"/>
  <c r="AY28" i="4" s="1"/>
  <c r="BD28" i="4" s="1"/>
  <c r="AS29" i="4"/>
  <c r="AY29" i="4" s="1"/>
  <c r="BD29" i="4" s="1"/>
  <c r="AS30" i="4"/>
  <c r="AY30" i="4" s="1"/>
  <c r="BD30" i="4" s="1"/>
  <c r="AS31" i="4"/>
  <c r="AY31" i="4" s="1"/>
  <c r="BD31" i="4" s="1"/>
  <c r="AS32" i="4"/>
  <c r="AY32" i="4" s="1"/>
  <c r="BD32" i="4" s="1"/>
  <c r="AS33" i="4"/>
  <c r="AY33" i="4" s="1"/>
  <c r="BD33" i="4" s="1"/>
  <c r="AS34" i="4"/>
  <c r="AY34" i="4" s="1"/>
  <c r="BD34" i="4" s="1"/>
  <c r="AS35" i="4"/>
  <c r="AY35" i="4" s="1"/>
  <c r="BD35" i="4" s="1"/>
  <c r="AS36" i="4"/>
  <c r="AY36" i="4" s="1"/>
  <c r="BD36" i="4" s="1"/>
  <c r="AS37" i="4"/>
  <c r="AY37" i="4" s="1"/>
  <c r="BD37" i="4" s="1"/>
  <c r="AS38" i="4"/>
  <c r="AY38" i="4" s="1"/>
  <c r="BD38" i="4" s="1"/>
  <c r="AS39" i="4"/>
  <c r="AY39" i="4" s="1"/>
  <c r="BD39" i="4" s="1"/>
  <c r="AS40" i="4"/>
  <c r="AY40" i="4" s="1"/>
  <c r="BD40" i="4" s="1"/>
  <c r="AS41" i="4"/>
  <c r="AY41" i="4" s="1"/>
  <c r="BD41" i="4" s="1"/>
  <c r="AS42" i="4"/>
  <c r="AY42" i="4" s="1"/>
  <c r="BD42" i="4" s="1"/>
  <c r="AS43" i="4"/>
  <c r="AY43" i="4" s="1"/>
  <c r="BD43" i="4" s="1"/>
  <c r="AS44" i="4"/>
  <c r="AY44" i="4" s="1"/>
  <c r="BD44" i="4" s="1"/>
  <c r="AS45" i="4"/>
  <c r="AY45" i="4" s="1"/>
  <c r="BD45" i="4" s="1"/>
  <c r="AS46" i="4"/>
  <c r="AY46" i="4" s="1"/>
  <c r="BD46" i="4" s="1"/>
  <c r="AS47" i="4"/>
  <c r="AY47" i="4" s="1"/>
  <c r="BD47" i="4" s="1"/>
  <c r="AS48" i="4"/>
  <c r="AY48" i="4" s="1"/>
  <c r="BD48" i="4" s="1"/>
  <c r="AS49" i="4"/>
  <c r="AY49" i="4" s="1"/>
  <c r="BD49" i="4" s="1"/>
  <c r="AS50" i="4"/>
  <c r="AY50" i="4" s="1"/>
  <c r="BD50" i="4" s="1"/>
  <c r="AS51" i="4"/>
  <c r="AY51" i="4" s="1"/>
  <c r="BD51" i="4" s="1"/>
  <c r="AS52" i="4"/>
  <c r="AY52" i="4" s="1"/>
  <c r="BD52" i="4" s="1"/>
  <c r="AS53" i="4"/>
  <c r="AY53" i="4" s="1"/>
  <c r="BD53" i="4" s="1"/>
  <c r="AS54" i="4"/>
  <c r="AY54" i="4" s="1"/>
  <c r="BD54" i="4" s="1"/>
  <c r="AS55" i="4"/>
  <c r="AY55" i="4" s="1"/>
  <c r="BD55" i="4" s="1"/>
  <c r="AS56" i="4"/>
  <c r="AY56" i="4" s="1"/>
  <c r="BD56" i="4" s="1"/>
  <c r="AS57" i="4"/>
  <c r="AY57" i="4" s="1"/>
  <c r="BD57" i="4" s="1"/>
  <c r="AS58" i="4"/>
  <c r="AY58" i="4" s="1"/>
  <c r="BD58" i="4" s="1"/>
  <c r="AS59" i="4"/>
  <c r="AY59" i="4" s="1"/>
  <c r="BD59" i="4" s="1"/>
  <c r="AS60" i="4"/>
  <c r="AY60" i="4" s="1"/>
  <c r="BD60" i="4" s="1"/>
  <c r="AS61" i="4"/>
  <c r="AY61" i="4" s="1"/>
  <c r="BD61" i="4" s="1"/>
  <c r="AS62" i="4"/>
  <c r="AY62" i="4" s="1"/>
  <c r="BD62" i="4" s="1"/>
  <c r="AS63" i="4"/>
  <c r="AY63" i="4" s="1"/>
  <c r="BD63" i="4" s="1"/>
  <c r="AS64" i="4"/>
  <c r="AY64" i="4" s="1"/>
  <c r="BD64" i="4" s="1"/>
  <c r="AS65" i="4"/>
  <c r="AY65" i="4" s="1"/>
  <c r="BD65" i="4" s="1"/>
  <c r="AS66" i="4"/>
  <c r="AY66" i="4" s="1"/>
  <c r="BD66" i="4" s="1"/>
  <c r="AS67" i="4"/>
  <c r="AY67" i="4" s="1"/>
  <c r="BD67" i="4" s="1"/>
  <c r="AS68" i="4"/>
  <c r="AY68" i="4" s="1"/>
  <c r="BD68" i="4" s="1"/>
  <c r="AS69" i="4"/>
  <c r="AY69" i="4" s="1"/>
  <c r="BD69" i="4" s="1"/>
  <c r="AS70" i="4"/>
  <c r="AY70" i="4" s="1"/>
  <c r="BD70" i="4" s="1"/>
  <c r="AS71" i="4"/>
  <c r="AY71" i="4" s="1"/>
  <c r="BD71" i="4" s="1"/>
  <c r="AS72" i="4"/>
  <c r="AY72" i="4" s="1"/>
  <c r="BD72" i="4" s="1"/>
  <c r="AS73" i="4"/>
  <c r="AY73" i="4" s="1"/>
  <c r="BD73" i="4" s="1"/>
  <c r="AS74" i="4"/>
  <c r="AY74" i="4" s="1"/>
  <c r="BD74" i="4" s="1"/>
  <c r="AS75" i="4"/>
  <c r="AY75" i="4" s="1"/>
  <c r="BD75" i="4" s="1"/>
  <c r="AS76" i="4"/>
  <c r="AY76" i="4" s="1"/>
  <c r="BD76" i="4" s="1"/>
  <c r="AS77" i="4"/>
  <c r="AY77" i="4" s="1"/>
  <c r="BD77" i="4" s="1"/>
  <c r="AS78" i="4"/>
  <c r="AY78" i="4" s="1"/>
  <c r="BD78" i="4" s="1"/>
  <c r="AS79" i="4"/>
  <c r="AY79" i="4" s="1"/>
  <c r="BD79" i="4" s="1"/>
  <c r="AS80" i="4"/>
  <c r="AY80" i="4" s="1"/>
  <c r="BD80" i="4" s="1"/>
  <c r="AS81" i="4"/>
  <c r="AY81" i="4" s="1"/>
  <c r="BD81" i="4" s="1"/>
  <c r="AS82" i="4"/>
  <c r="AY82" i="4" s="1"/>
  <c r="BD82" i="4" s="1"/>
  <c r="AS83" i="4"/>
  <c r="AY83" i="4" s="1"/>
  <c r="BD83" i="4" s="1"/>
  <c r="AS84" i="4"/>
  <c r="AY84" i="4" s="1"/>
  <c r="BD84" i="4" s="1"/>
  <c r="AS85" i="4"/>
  <c r="AY85" i="4" s="1"/>
  <c r="BD85" i="4" s="1"/>
  <c r="AS86" i="4"/>
  <c r="AY86" i="4" s="1"/>
  <c r="BD86" i="4" s="1"/>
  <c r="AS87" i="4"/>
  <c r="AY87" i="4" s="1"/>
  <c r="BD87" i="4" s="1"/>
  <c r="AS88" i="4"/>
  <c r="AY88" i="4" s="1"/>
  <c r="BD88" i="4" s="1"/>
  <c r="AS89" i="4"/>
  <c r="AY89" i="4" s="1"/>
  <c r="BD89" i="4" s="1"/>
  <c r="AS90" i="4"/>
  <c r="AY90" i="4" s="1"/>
  <c r="BD90" i="4" s="1"/>
  <c r="AS91" i="4"/>
  <c r="AY91" i="4" s="1"/>
  <c r="BD91" i="4" s="1"/>
  <c r="AS92" i="4"/>
  <c r="AY92" i="4" s="1"/>
  <c r="BD92" i="4" s="1"/>
  <c r="AS93" i="4"/>
  <c r="AY93" i="4" s="1"/>
  <c r="BD93" i="4" s="1"/>
  <c r="AS94" i="4"/>
  <c r="AY94" i="4" s="1"/>
  <c r="BD94" i="4" s="1"/>
  <c r="AS95" i="4"/>
  <c r="AY95" i="4" s="1"/>
  <c r="BD95" i="4" s="1"/>
  <c r="AS96" i="4"/>
  <c r="AY96" i="4" s="1"/>
  <c r="BD96" i="4" s="1"/>
  <c r="AS97" i="4"/>
  <c r="AY97" i="4" s="1"/>
  <c r="BD97" i="4" s="1"/>
  <c r="AS98" i="4"/>
  <c r="AY98" i="4" s="1"/>
  <c r="BD98" i="4" s="1"/>
  <c r="AS99" i="4"/>
  <c r="AY99" i="4" s="1"/>
  <c r="BD99" i="4" s="1"/>
  <c r="AS100" i="4"/>
  <c r="AY100" i="4" s="1"/>
  <c r="BD100" i="4" s="1"/>
  <c r="AS101" i="4"/>
  <c r="AY101" i="4" s="1"/>
  <c r="BD101" i="4" s="1"/>
  <c r="AS102" i="4"/>
  <c r="AY102" i="4" s="1"/>
  <c r="BD102" i="4" s="1"/>
  <c r="AS103" i="4"/>
  <c r="AY103" i="4" s="1"/>
  <c r="BD103" i="4" s="1"/>
  <c r="AS104" i="4"/>
  <c r="AY104" i="4" s="1"/>
  <c r="BD104" i="4" s="1"/>
  <c r="AS105" i="4"/>
  <c r="AY105" i="4" s="1"/>
  <c r="BD105" i="4" s="1"/>
  <c r="AS106" i="4"/>
  <c r="AY106" i="4" s="1"/>
  <c r="BD106" i="4" s="1"/>
  <c r="AS107" i="4"/>
  <c r="AY107" i="4" s="1"/>
  <c r="BD107" i="4" s="1"/>
  <c r="AS108" i="4"/>
  <c r="AY108" i="4" s="1"/>
  <c r="BD108" i="4" s="1"/>
  <c r="AS109" i="4"/>
  <c r="AY109" i="4" s="1"/>
  <c r="BD109" i="4" s="1"/>
  <c r="AS110" i="4"/>
  <c r="AY110" i="4" s="1"/>
  <c r="BD110" i="4" s="1"/>
  <c r="AS111" i="4"/>
  <c r="AY111" i="4" s="1"/>
  <c r="BD111" i="4" s="1"/>
  <c r="AS112" i="4"/>
  <c r="AY112" i="4" s="1"/>
  <c r="BD112" i="4" s="1"/>
  <c r="AS113" i="4"/>
  <c r="AY113" i="4" s="1"/>
  <c r="BD113" i="4" s="1"/>
  <c r="AS114" i="4"/>
  <c r="AY114" i="4" s="1"/>
  <c r="BD114" i="4" s="1"/>
  <c r="AS115" i="4"/>
  <c r="AY115" i="4" s="1"/>
  <c r="BD115" i="4" s="1"/>
  <c r="AS116" i="4"/>
  <c r="AY116" i="4" s="1"/>
  <c r="BD116" i="4" s="1"/>
  <c r="AS117" i="4"/>
  <c r="AY117" i="4" s="1"/>
  <c r="BD117" i="4" s="1"/>
  <c r="AS118" i="4"/>
  <c r="AY118" i="4" s="1"/>
  <c r="BD118" i="4" s="1"/>
  <c r="AS119" i="4"/>
  <c r="AY119" i="4" s="1"/>
  <c r="BD119" i="4" s="1"/>
  <c r="AS120" i="4"/>
  <c r="AY120" i="4" s="1"/>
  <c r="BD120" i="4" s="1"/>
  <c r="AS121" i="4"/>
  <c r="AY121" i="4" s="1"/>
  <c r="BD121" i="4" s="1"/>
  <c r="AS122" i="4"/>
  <c r="AY122" i="4" s="1"/>
  <c r="BD122" i="4" s="1"/>
  <c r="AS123" i="4"/>
  <c r="AY123" i="4" s="1"/>
  <c r="BD123" i="4" s="1"/>
  <c r="AS124" i="4"/>
  <c r="AY124" i="4" s="1"/>
  <c r="BD124" i="4" s="1"/>
  <c r="AS125" i="4"/>
  <c r="AY125" i="4" s="1"/>
  <c r="BD125" i="4" s="1"/>
  <c r="AS126" i="4"/>
  <c r="AY126" i="4" s="1"/>
  <c r="BD126" i="4" s="1"/>
  <c r="AS127" i="4"/>
  <c r="AY127" i="4" s="1"/>
  <c r="BD127" i="4" s="1"/>
  <c r="AS128" i="4"/>
  <c r="AY128" i="4" s="1"/>
  <c r="BD128" i="4" s="1"/>
  <c r="AS129" i="4"/>
  <c r="AY129" i="4" s="1"/>
  <c r="BD129" i="4" s="1"/>
  <c r="AS130" i="4"/>
  <c r="AY130" i="4" s="1"/>
  <c r="BD130" i="4" s="1"/>
  <c r="AS131" i="4"/>
  <c r="AY131" i="4" s="1"/>
  <c r="BD131" i="4" s="1"/>
  <c r="AS132" i="4"/>
  <c r="AY132" i="4" s="1"/>
  <c r="BD132" i="4" s="1"/>
  <c r="AS133" i="4"/>
  <c r="AY133" i="4" s="1"/>
  <c r="BD133" i="4" s="1"/>
  <c r="AS134" i="4"/>
  <c r="AY134" i="4" s="1"/>
  <c r="BD134" i="4" s="1"/>
  <c r="AS135" i="4"/>
  <c r="AY135" i="4" s="1"/>
  <c r="BD135" i="4" s="1"/>
  <c r="AS136" i="4"/>
  <c r="AY136" i="4" s="1"/>
  <c r="BD136" i="4" s="1"/>
  <c r="AS137" i="4"/>
  <c r="AY137" i="4" s="1"/>
  <c r="BD137" i="4" s="1"/>
  <c r="AS138" i="4"/>
  <c r="AY138" i="4" s="1"/>
  <c r="BD138" i="4" s="1"/>
  <c r="AS139" i="4"/>
  <c r="AY139" i="4" s="1"/>
  <c r="BD139" i="4" s="1"/>
  <c r="AS140" i="4"/>
  <c r="AY140" i="4" s="1"/>
  <c r="BD140" i="4" s="1"/>
  <c r="AS141" i="4"/>
  <c r="AY141" i="4" s="1"/>
  <c r="BD141" i="4" s="1"/>
  <c r="AS142" i="4"/>
  <c r="AY142" i="4" s="1"/>
  <c r="BD142" i="4" s="1"/>
  <c r="AS143" i="4"/>
  <c r="AY143" i="4" s="1"/>
  <c r="BD143" i="4" s="1"/>
  <c r="AS144" i="4"/>
  <c r="AY144" i="4" s="1"/>
  <c r="BD144" i="4" s="1"/>
  <c r="AS145" i="4"/>
  <c r="AY145" i="4" s="1"/>
  <c r="BD145" i="4" s="1"/>
  <c r="AS146" i="4"/>
  <c r="AY146" i="4" s="1"/>
  <c r="BD146" i="4" s="1"/>
  <c r="AS147" i="4"/>
  <c r="AY147" i="4" s="1"/>
  <c r="BD147" i="4" s="1"/>
  <c r="AS148" i="4"/>
  <c r="AY148" i="4" s="1"/>
  <c r="BD148" i="4" s="1"/>
  <c r="AS149" i="4"/>
  <c r="AY149" i="4" s="1"/>
  <c r="BD149" i="4" s="1"/>
  <c r="AS150" i="4"/>
  <c r="AY150" i="4" s="1"/>
  <c r="BD150" i="4" s="1"/>
  <c r="AS151" i="4"/>
  <c r="AY151" i="4" s="1"/>
  <c r="BD151" i="4" s="1"/>
  <c r="AS152" i="4"/>
  <c r="AY152" i="4" s="1"/>
  <c r="BD152" i="4" s="1"/>
  <c r="AS153" i="4"/>
  <c r="AY153" i="4" s="1"/>
  <c r="BD153" i="4" s="1"/>
  <c r="AS154" i="4"/>
  <c r="AY154" i="4" s="1"/>
  <c r="BD154" i="4" s="1"/>
  <c r="AS155" i="4"/>
  <c r="AY155" i="4" s="1"/>
  <c r="BD155" i="4" s="1"/>
  <c r="AS156" i="4"/>
  <c r="AY156" i="4" s="1"/>
  <c r="BD156" i="4" s="1"/>
  <c r="AS157" i="4"/>
  <c r="AY157" i="4" s="1"/>
  <c r="BD157" i="4" s="1"/>
  <c r="AS158" i="4"/>
  <c r="AY158" i="4" s="1"/>
  <c r="BD158" i="4" s="1"/>
  <c r="AS159" i="4"/>
  <c r="AY159" i="4" s="1"/>
  <c r="BD159" i="4" s="1"/>
  <c r="AS160" i="4"/>
  <c r="AY160" i="4" s="1"/>
  <c r="BD160" i="4" s="1"/>
  <c r="AS161" i="4"/>
  <c r="AY161" i="4" s="1"/>
  <c r="BD161" i="4" s="1"/>
  <c r="AS162" i="4"/>
  <c r="AY162" i="4" s="1"/>
  <c r="BD162" i="4" s="1"/>
  <c r="AS163" i="4"/>
  <c r="AY163" i="4" s="1"/>
  <c r="BD163" i="4" s="1"/>
  <c r="AS164" i="4"/>
  <c r="AY164" i="4" s="1"/>
  <c r="BD164" i="4" s="1"/>
  <c r="AS165" i="4"/>
  <c r="AY165" i="4" s="1"/>
  <c r="BD165" i="4" s="1"/>
  <c r="AS166" i="4"/>
  <c r="AY166" i="4" s="1"/>
  <c r="BD166" i="4" s="1"/>
  <c r="AS167" i="4"/>
  <c r="AY167" i="4" s="1"/>
  <c r="BD167" i="4" s="1"/>
  <c r="AS168" i="4"/>
  <c r="AY168" i="4" s="1"/>
  <c r="BD168" i="4" s="1"/>
  <c r="AS169" i="4"/>
  <c r="AY169" i="4" s="1"/>
  <c r="BD169" i="4" s="1"/>
  <c r="AS170" i="4"/>
  <c r="AY170" i="4" s="1"/>
  <c r="BD170" i="4" s="1"/>
  <c r="AS171" i="4"/>
  <c r="AY171" i="4" s="1"/>
  <c r="BD171" i="4" s="1"/>
  <c r="AS172" i="4"/>
  <c r="AY172" i="4" s="1"/>
  <c r="BD172" i="4" s="1"/>
  <c r="AS173" i="4"/>
  <c r="AY173" i="4" s="1"/>
  <c r="BD173" i="4" s="1"/>
  <c r="AS174" i="4"/>
  <c r="AY174" i="4" s="1"/>
  <c r="BD174" i="4" s="1"/>
  <c r="AS175" i="4"/>
  <c r="AY175" i="4" s="1"/>
  <c r="BD175" i="4" s="1"/>
  <c r="AS176" i="4"/>
  <c r="AY176" i="4" s="1"/>
  <c r="BD176" i="4" s="1"/>
  <c r="AS177" i="4"/>
  <c r="AY177" i="4" s="1"/>
  <c r="BD177" i="4" s="1"/>
  <c r="AS178" i="4"/>
  <c r="AY178" i="4" s="1"/>
  <c r="BD178" i="4" s="1"/>
  <c r="AS179" i="4"/>
  <c r="AY179" i="4" s="1"/>
  <c r="BD179" i="4" s="1"/>
  <c r="AS180" i="4"/>
  <c r="AY180" i="4" s="1"/>
  <c r="BD180" i="4" s="1"/>
  <c r="AS181" i="4"/>
  <c r="AY181" i="4" s="1"/>
  <c r="BD181" i="4" s="1"/>
  <c r="AS182" i="4"/>
  <c r="AY182" i="4" s="1"/>
  <c r="BD182" i="4" s="1"/>
  <c r="AS183" i="4"/>
  <c r="AY183" i="4" s="1"/>
  <c r="BD183" i="4" s="1"/>
  <c r="AS184" i="4"/>
  <c r="AY184" i="4" s="1"/>
  <c r="BD184" i="4" s="1"/>
  <c r="AS185" i="4"/>
  <c r="AY185" i="4" s="1"/>
  <c r="BD185" i="4" s="1"/>
  <c r="AS186" i="4"/>
  <c r="AY186" i="4" s="1"/>
  <c r="BD186" i="4" s="1"/>
  <c r="AS187" i="4"/>
  <c r="AY187" i="4" s="1"/>
  <c r="BD187" i="4" s="1"/>
  <c r="AS188" i="4"/>
  <c r="AY188" i="4" s="1"/>
  <c r="BD188" i="4" s="1"/>
  <c r="AS189" i="4"/>
  <c r="AY189" i="4" s="1"/>
  <c r="BD189" i="4" s="1"/>
  <c r="AS190" i="4"/>
  <c r="AY190" i="4" s="1"/>
  <c r="BD190" i="4" s="1"/>
  <c r="AS191" i="4"/>
  <c r="AY191" i="4" s="1"/>
  <c r="BD191" i="4" s="1"/>
  <c r="AS192" i="4"/>
  <c r="AY192" i="4" s="1"/>
  <c r="BD192" i="4" s="1"/>
  <c r="AS193" i="4"/>
  <c r="AY193" i="4" s="1"/>
  <c r="BD193" i="4" s="1"/>
  <c r="AS194" i="4"/>
  <c r="AY194" i="4" s="1"/>
  <c r="BD194" i="4" s="1"/>
  <c r="AS195" i="4"/>
  <c r="AY195" i="4" s="1"/>
  <c r="BD195" i="4" s="1"/>
  <c r="AS196" i="4"/>
  <c r="AY196" i="4" s="1"/>
  <c r="BD196" i="4" s="1"/>
  <c r="AS197" i="4"/>
  <c r="AY197" i="4" s="1"/>
  <c r="BD197" i="4" s="1"/>
  <c r="AS198" i="4"/>
  <c r="AY198" i="4" s="1"/>
  <c r="BD198" i="4" s="1"/>
  <c r="AS199" i="4"/>
  <c r="AY199" i="4" s="1"/>
  <c r="BD199" i="4" s="1"/>
  <c r="AS200" i="4"/>
  <c r="AY200" i="4" s="1"/>
  <c r="BD200" i="4" s="1"/>
  <c r="AS201" i="4"/>
  <c r="AY201" i="4" s="1"/>
  <c r="BD201" i="4" s="1"/>
  <c r="AS202" i="4"/>
  <c r="AY202" i="4" s="1"/>
  <c r="BD202" i="4" s="1"/>
  <c r="AS203" i="4"/>
  <c r="AY203" i="4" s="1"/>
  <c r="BD203" i="4" s="1"/>
  <c r="AS204" i="4"/>
  <c r="AY204" i="4" s="1"/>
  <c r="BD204" i="4" s="1"/>
  <c r="AS205" i="4"/>
  <c r="AY205" i="4" s="1"/>
  <c r="BD205" i="4" s="1"/>
  <c r="AS206" i="4"/>
  <c r="AY206" i="4" s="1"/>
  <c r="BD206" i="4" s="1"/>
  <c r="AS207" i="4"/>
  <c r="AY207" i="4" s="1"/>
  <c r="BD207" i="4" s="1"/>
  <c r="AS208" i="4"/>
  <c r="AY208" i="4" s="1"/>
  <c r="BD208" i="4" s="1"/>
  <c r="AS209" i="4"/>
  <c r="AY209" i="4" s="1"/>
  <c r="BD209" i="4" s="1"/>
  <c r="AS210" i="4"/>
  <c r="AY210" i="4" s="1"/>
  <c r="BD210" i="4" s="1"/>
  <c r="AS211" i="4"/>
  <c r="AY211" i="4" s="1"/>
  <c r="BD211" i="4" s="1"/>
  <c r="AS212" i="4"/>
  <c r="AY212" i="4" s="1"/>
  <c r="BD212" i="4" s="1"/>
  <c r="AS213" i="4"/>
  <c r="AY213" i="4" s="1"/>
  <c r="BD213" i="4" s="1"/>
  <c r="AS214" i="4"/>
  <c r="AY214" i="4" s="1"/>
  <c r="BD214" i="4" s="1"/>
  <c r="AS215" i="4"/>
  <c r="AY215" i="4" s="1"/>
  <c r="BD215" i="4" s="1"/>
  <c r="AS216" i="4"/>
  <c r="AY216" i="4" s="1"/>
  <c r="BD216" i="4" s="1"/>
  <c r="AS217" i="4"/>
  <c r="AY217" i="4" s="1"/>
  <c r="BD217" i="4" s="1"/>
  <c r="AS218" i="4"/>
  <c r="AY218" i="4" s="1"/>
  <c r="BD218" i="4" s="1"/>
  <c r="AS219" i="4"/>
  <c r="AY219" i="4" s="1"/>
  <c r="BD219" i="4" s="1"/>
  <c r="AS220" i="4"/>
  <c r="AY220" i="4" s="1"/>
  <c r="BD220" i="4" s="1"/>
  <c r="AS221" i="4"/>
  <c r="AY221" i="4" s="1"/>
  <c r="BD221" i="4" s="1"/>
  <c r="AS222" i="4"/>
  <c r="AY222" i="4" s="1"/>
  <c r="BD222" i="4" s="1"/>
  <c r="AS223" i="4"/>
  <c r="AY223" i="4" s="1"/>
  <c r="BD223" i="4" s="1"/>
  <c r="AS224" i="4"/>
  <c r="AY224" i="4" s="1"/>
  <c r="BD224" i="4" s="1"/>
  <c r="AS225" i="4"/>
  <c r="AY225" i="4" s="1"/>
  <c r="BD225" i="4" s="1"/>
  <c r="AS226" i="4"/>
  <c r="AY226" i="4" s="1"/>
  <c r="BD226" i="4" s="1"/>
  <c r="AS227" i="4"/>
  <c r="AY227" i="4" s="1"/>
  <c r="BD227" i="4" s="1"/>
  <c r="AS228" i="4"/>
  <c r="AY228" i="4" s="1"/>
  <c r="BD228" i="4" s="1"/>
  <c r="AS229" i="4"/>
  <c r="AY229" i="4" s="1"/>
  <c r="BD229" i="4" s="1"/>
  <c r="AS230" i="4"/>
  <c r="AY230" i="4" s="1"/>
  <c r="BD230" i="4" s="1"/>
  <c r="AS231" i="4"/>
  <c r="AY231" i="4" s="1"/>
  <c r="BD231" i="4" s="1"/>
  <c r="AS232" i="4"/>
  <c r="AY232" i="4" s="1"/>
  <c r="BD232" i="4" s="1"/>
  <c r="AS233" i="4"/>
  <c r="AY233" i="4" s="1"/>
  <c r="BD233" i="4" s="1"/>
  <c r="AS234" i="4"/>
  <c r="AY234" i="4" s="1"/>
  <c r="BD234" i="4" s="1"/>
  <c r="AS235" i="4"/>
  <c r="AY235" i="4" s="1"/>
  <c r="BD235" i="4" s="1"/>
  <c r="AS236" i="4"/>
  <c r="AY236" i="4" s="1"/>
  <c r="BD236" i="4" s="1"/>
  <c r="AS237" i="4"/>
  <c r="AY237" i="4" s="1"/>
  <c r="BD237" i="4" s="1"/>
  <c r="AS238" i="4"/>
  <c r="AY238" i="4" s="1"/>
  <c r="BD238" i="4" s="1"/>
  <c r="AS239" i="4"/>
  <c r="AY239" i="4" s="1"/>
  <c r="BD239" i="4" s="1"/>
  <c r="AS240" i="4"/>
  <c r="AY240" i="4" s="1"/>
  <c r="BD240" i="4" s="1"/>
  <c r="AS241" i="4"/>
  <c r="AY241" i="4" s="1"/>
  <c r="BD241" i="4" s="1"/>
  <c r="AS242" i="4"/>
  <c r="AY242" i="4" s="1"/>
  <c r="BD242" i="4" s="1"/>
  <c r="AS243" i="4"/>
  <c r="AY243" i="4" s="1"/>
  <c r="BD243" i="4" s="1"/>
  <c r="AS244" i="4"/>
  <c r="AY244" i="4" s="1"/>
  <c r="BD244" i="4" s="1"/>
  <c r="AS245" i="4"/>
  <c r="AY245" i="4" s="1"/>
  <c r="BD245" i="4" s="1"/>
  <c r="AS246" i="4"/>
  <c r="AY246" i="4" s="1"/>
  <c r="BD246" i="4" s="1"/>
  <c r="AS247" i="4"/>
  <c r="AY247" i="4" s="1"/>
  <c r="BD247" i="4" s="1"/>
  <c r="AS248" i="4"/>
  <c r="AY248" i="4" s="1"/>
  <c r="BD248" i="4" s="1"/>
  <c r="AS249" i="4"/>
  <c r="AY249" i="4" s="1"/>
  <c r="BD249" i="4" s="1"/>
  <c r="AS250" i="4"/>
  <c r="AY250" i="4" s="1"/>
  <c r="BD250" i="4" s="1"/>
  <c r="AS251" i="4"/>
  <c r="AY251" i="4" s="1"/>
  <c r="BD251" i="4" s="1"/>
  <c r="AS252" i="4"/>
  <c r="AY252" i="4" s="1"/>
  <c r="BD252" i="4" s="1"/>
  <c r="AS253" i="4"/>
  <c r="AY253" i="4" s="1"/>
  <c r="BD253" i="4" s="1"/>
  <c r="AS254" i="4"/>
  <c r="AY254" i="4" s="1"/>
  <c r="BD254" i="4" s="1"/>
  <c r="AS255" i="4"/>
  <c r="AY255" i="4" s="1"/>
  <c r="BD255" i="4" s="1"/>
  <c r="AS256" i="4"/>
  <c r="AY256" i="4" s="1"/>
  <c r="BD256" i="4" s="1"/>
  <c r="AS257" i="4"/>
  <c r="AY257" i="4" s="1"/>
  <c r="BD257" i="4" s="1"/>
  <c r="AS258" i="4"/>
  <c r="AY258" i="4" s="1"/>
  <c r="BD258" i="4" s="1"/>
  <c r="AS259" i="4"/>
  <c r="AY259" i="4" s="1"/>
  <c r="BD259" i="4" s="1"/>
  <c r="AS260" i="4"/>
  <c r="AY260" i="4" s="1"/>
  <c r="BD260" i="4" s="1"/>
  <c r="AS261" i="4"/>
  <c r="AY261" i="4" s="1"/>
  <c r="BD261" i="4" s="1"/>
  <c r="AS262" i="4"/>
  <c r="AY262" i="4" s="1"/>
  <c r="BD262" i="4" s="1"/>
  <c r="AS263" i="4"/>
  <c r="AY263" i="4" s="1"/>
  <c r="BD263" i="4" s="1"/>
  <c r="AS264" i="4"/>
  <c r="AY264" i="4" s="1"/>
  <c r="BD264" i="4" s="1"/>
  <c r="AS265" i="4"/>
  <c r="AY265" i="4" s="1"/>
  <c r="BD265" i="4" s="1"/>
  <c r="AS266" i="4"/>
  <c r="AY266" i="4" s="1"/>
  <c r="BD266" i="4" s="1"/>
  <c r="AS267" i="4"/>
  <c r="AY267" i="4" s="1"/>
  <c r="BD267" i="4" s="1"/>
  <c r="AS268" i="4"/>
  <c r="AY268" i="4" s="1"/>
  <c r="BD268" i="4" s="1"/>
  <c r="AS269" i="4"/>
  <c r="AY269" i="4" s="1"/>
  <c r="BD269" i="4" s="1"/>
  <c r="AS270" i="4"/>
  <c r="AY270" i="4" s="1"/>
  <c r="BD270" i="4" s="1"/>
  <c r="AS271" i="4"/>
  <c r="AY271" i="4" s="1"/>
  <c r="BD271" i="4" s="1"/>
  <c r="AS272" i="4"/>
  <c r="AY272" i="4" s="1"/>
  <c r="BD272" i="4" s="1"/>
  <c r="AS273" i="4"/>
  <c r="AY273" i="4" s="1"/>
  <c r="BD273" i="4" s="1"/>
  <c r="AS274" i="4"/>
  <c r="AY274" i="4" s="1"/>
  <c r="BD274" i="4" s="1"/>
  <c r="AS275" i="4"/>
  <c r="AY275" i="4" s="1"/>
  <c r="BD275" i="4" s="1"/>
  <c r="AS276" i="4"/>
  <c r="AY276" i="4" s="1"/>
  <c r="BD276" i="4" s="1"/>
  <c r="AS277" i="4"/>
  <c r="AY277" i="4" s="1"/>
  <c r="BD277" i="4" s="1"/>
  <c r="AS278" i="4"/>
  <c r="AY278" i="4" s="1"/>
  <c r="BD278" i="4" s="1"/>
  <c r="AS279" i="4"/>
  <c r="AY279" i="4" s="1"/>
  <c r="BD279" i="4" s="1"/>
  <c r="AS280" i="4"/>
  <c r="AY280" i="4" s="1"/>
  <c r="BD280" i="4" s="1"/>
  <c r="AS281" i="4"/>
  <c r="AY281" i="4" s="1"/>
  <c r="BD281" i="4" s="1"/>
  <c r="AS282" i="4"/>
  <c r="AY282" i="4" s="1"/>
  <c r="BD282" i="4" s="1"/>
  <c r="AS283" i="4"/>
  <c r="AY283" i="4" s="1"/>
  <c r="BD283" i="4" s="1"/>
  <c r="AS284" i="4"/>
  <c r="AY284" i="4" s="1"/>
  <c r="BD284" i="4" s="1"/>
  <c r="AS285" i="4"/>
  <c r="AY285" i="4" s="1"/>
  <c r="BD285" i="4" s="1"/>
  <c r="AS286" i="4"/>
  <c r="AY286" i="4" s="1"/>
  <c r="BD286" i="4" s="1"/>
  <c r="AS287" i="4"/>
  <c r="AY287" i="4" s="1"/>
  <c r="BD287" i="4" s="1"/>
  <c r="AS288" i="4"/>
  <c r="AY288" i="4" s="1"/>
  <c r="BD288" i="4" s="1"/>
  <c r="AS289" i="4"/>
  <c r="AY289" i="4" s="1"/>
  <c r="BD289" i="4" s="1"/>
  <c r="AS290" i="4"/>
  <c r="AY290" i="4" s="1"/>
  <c r="BD290" i="4" s="1"/>
  <c r="AS291" i="4"/>
  <c r="AY291" i="4" s="1"/>
  <c r="BD291" i="4" s="1"/>
  <c r="AS292" i="4"/>
  <c r="AY292" i="4" s="1"/>
  <c r="BD292" i="4" s="1"/>
  <c r="AS293" i="4"/>
  <c r="AY293" i="4" s="1"/>
  <c r="BD293" i="4" s="1"/>
  <c r="AS294" i="4"/>
  <c r="AY294" i="4" s="1"/>
  <c r="BD294" i="4" s="1"/>
  <c r="AS295" i="4"/>
  <c r="AY295" i="4" s="1"/>
  <c r="BD295" i="4" s="1"/>
  <c r="AS296" i="4"/>
  <c r="AY296" i="4" s="1"/>
  <c r="BD296" i="4" s="1"/>
  <c r="AS297" i="4"/>
  <c r="AY297" i="4" s="1"/>
  <c r="BD297" i="4" s="1"/>
  <c r="AS298" i="4"/>
  <c r="AY298" i="4" s="1"/>
  <c r="BD298" i="4" s="1"/>
  <c r="AS299" i="4"/>
  <c r="AY299" i="4" s="1"/>
  <c r="BD299" i="4" s="1"/>
  <c r="AS300" i="4"/>
  <c r="AY300" i="4" s="1"/>
  <c r="BD300" i="4" s="1"/>
  <c r="AS301" i="4"/>
  <c r="AY301" i="4" s="1"/>
  <c r="BD301" i="4" s="1"/>
  <c r="AS302" i="4"/>
  <c r="AY302" i="4" s="1"/>
  <c r="BD302" i="4" s="1"/>
  <c r="AS303" i="4"/>
  <c r="AY303" i="4" s="1"/>
  <c r="BD303" i="4" s="1"/>
  <c r="AS304" i="4"/>
  <c r="AY304" i="4" s="1"/>
  <c r="BD304" i="4" s="1"/>
  <c r="AS305" i="4"/>
  <c r="AY305" i="4" s="1"/>
  <c r="BD305" i="4" s="1"/>
  <c r="AS306" i="4"/>
  <c r="AY306" i="4" s="1"/>
  <c r="BD306" i="4" s="1"/>
  <c r="AS307" i="4"/>
  <c r="AY307" i="4" s="1"/>
  <c r="BD307" i="4" s="1"/>
  <c r="AS308" i="4"/>
  <c r="AY308" i="4" s="1"/>
  <c r="BD308" i="4" s="1"/>
  <c r="AS309" i="4"/>
  <c r="AY309" i="4" s="1"/>
  <c r="BD309" i="4" s="1"/>
  <c r="AS310" i="4"/>
  <c r="AY310" i="4" s="1"/>
  <c r="BD310" i="4" s="1"/>
  <c r="AS311" i="4"/>
  <c r="AY311" i="4" s="1"/>
  <c r="BD311" i="4" s="1"/>
  <c r="AS312" i="4"/>
  <c r="AY312" i="4" s="1"/>
  <c r="BD312" i="4" s="1"/>
  <c r="AS313" i="4"/>
  <c r="AY313" i="4" s="1"/>
  <c r="BD313" i="4" s="1"/>
  <c r="AS314" i="4"/>
  <c r="AY314" i="4" s="1"/>
  <c r="BD314" i="4" s="1"/>
  <c r="AS315" i="4"/>
  <c r="AY315" i="4" s="1"/>
  <c r="BD315" i="4" s="1"/>
  <c r="AS316" i="4"/>
  <c r="AY316" i="4" s="1"/>
  <c r="BD316" i="4" s="1"/>
  <c r="AS317" i="4"/>
  <c r="AY317" i="4" s="1"/>
  <c r="BD317" i="4" s="1"/>
  <c r="AS318" i="4"/>
  <c r="AY318" i="4" s="1"/>
  <c r="BD318" i="4" s="1"/>
  <c r="AS319" i="4"/>
  <c r="AY319" i="4" s="1"/>
  <c r="BD319" i="4" s="1"/>
  <c r="AS320" i="4"/>
  <c r="AY320" i="4" s="1"/>
  <c r="BD320" i="4" s="1"/>
  <c r="AS321" i="4"/>
  <c r="AY321" i="4" s="1"/>
  <c r="BD321" i="4" s="1"/>
  <c r="AS322" i="4"/>
  <c r="AY322" i="4" s="1"/>
  <c r="BD322" i="4" s="1"/>
  <c r="AS323" i="4"/>
  <c r="AY323" i="4" s="1"/>
  <c r="BD323" i="4" s="1"/>
  <c r="AS324" i="4"/>
  <c r="AY324" i="4" s="1"/>
  <c r="BD324" i="4" s="1"/>
  <c r="AS325" i="4"/>
  <c r="AY325" i="4" s="1"/>
  <c r="BD325" i="4" s="1"/>
  <c r="AS326" i="4"/>
  <c r="AY326" i="4" s="1"/>
  <c r="BD326" i="4" s="1"/>
  <c r="AS327" i="4"/>
  <c r="AY327" i="4" s="1"/>
  <c r="BD327" i="4" s="1"/>
  <c r="AS328" i="4"/>
  <c r="AY328" i="4" s="1"/>
  <c r="BD328" i="4" s="1"/>
  <c r="AS329" i="4"/>
  <c r="AY329" i="4" s="1"/>
  <c r="BD329" i="4" s="1"/>
  <c r="AS330" i="4"/>
  <c r="AY330" i="4" s="1"/>
  <c r="BD330" i="4" s="1"/>
  <c r="AS331" i="4"/>
  <c r="AY331" i="4" s="1"/>
  <c r="BD331" i="4" s="1"/>
  <c r="AS332" i="4"/>
  <c r="AY332" i="4" s="1"/>
  <c r="BD332" i="4" s="1"/>
  <c r="AS333" i="4"/>
  <c r="AY333" i="4" s="1"/>
  <c r="BD333" i="4" s="1"/>
  <c r="AS334" i="4"/>
  <c r="AY334" i="4" s="1"/>
  <c r="BD334" i="4" s="1"/>
  <c r="AS335" i="4"/>
  <c r="AY335" i="4" s="1"/>
  <c r="BD335" i="4" s="1"/>
  <c r="AS336" i="4"/>
  <c r="AY336" i="4" s="1"/>
  <c r="BD336" i="4" s="1"/>
  <c r="AS337" i="4"/>
  <c r="AY337" i="4" s="1"/>
  <c r="BD337" i="4" s="1"/>
  <c r="AS338" i="4"/>
  <c r="AY338" i="4" s="1"/>
  <c r="BD338" i="4" s="1"/>
  <c r="AS339" i="4"/>
  <c r="AY339" i="4" s="1"/>
  <c r="BD339" i="4" s="1"/>
  <c r="AS340" i="4"/>
  <c r="AY340" i="4" s="1"/>
  <c r="BD340" i="4" s="1"/>
  <c r="AS341" i="4"/>
  <c r="AY341" i="4" s="1"/>
  <c r="BD341" i="4" s="1"/>
  <c r="AS342" i="4"/>
  <c r="AY342" i="4" s="1"/>
  <c r="BD342" i="4" s="1"/>
  <c r="AS343" i="4"/>
  <c r="AY343" i="4" s="1"/>
  <c r="BD343" i="4" s="1"/>
  <c r="AS344" i="4"/>
  <c r="AY344" i="4" s="1"/>
  <c r="BD344" i="4" s="1"/>
  <c r="AS345" i="4"/>
  <c r="AY345" i="4" s="1"/>
  <c r="BD345" i="4" s="1"/>
  <c r="AS346" i="4"/>
  <c r="AY346" i="4" s="1"/>
  <c r="BD346" i="4" s="1"/>
  <c r="AS347" i="4"/>
  <c r="AY347" i="4" s="1"/>
  <c r="BD347" i="4" s="1"/>
  <c r="AS348" i="4"/>
  <c r="AY348" i="4" s="1"/>
  <c r="BD348" i="4" s="1"/>
  <c r="AS349" i="4"/>
  <c r="AY349" i="4" s="1"/>
  <c r="BD349" i="4" s="1"/>
  <c r="AS350" i="4"/>
  <c r="AY350" i="4" s="1"/>
  <c r="BD350" i="4" s="1"/>
  <c r="AS351" i="4"/>
  <c r="AY351" i="4" s="1"/>
  <c r="BD351" i="4" s="1"/>
  <c r="AS352" i="4"/>
  <c r="AY352" i="4" s="1"/>
  <c r="BD352" i="4" s="1"/>
  <c r="AS353" i="4"/>
  <c r="AY353" i="4" s="1"/>
  <c r="BD353" i="4" s="1"/>
  <c r="AS354" i="4"/>
  <c r="AY354" i="4" s="1"/>
  <c r="BD354" i="4" s="1"/>
  <c r="AS355" i="4"/>
  <c r="AY355" i="4" s="1"/>
  <c r="BD355" i="4" s="1"/>
  <c r="AS356" i="4"/>
  <c r="AY356" i="4" s="1"/>
  <c r="BD356" i="4" s="1"/>
  <c r="AS357" i="4"/>
  <c r="AY357" i="4" s="1"/>
  <c r="BD357" i="4" s="1"/>
  <c r="AS358" i="4"/>
  <c r="AY358" i="4" s="1"/>
  <c r="BD358" i="4" s="1"/>
  <c r="AS359" i="4"/>
  <c r="AY359" i="4" s="1"/>
  <c r="BD359" i="4" s="1"/>
  <c r="AS360" i="4"/>
  <c r="AY360" i="4" s="1"/>
  <c r="BD360" i="4" s="1"/>
  <c r="AS361" i="4"/>
  <c r="AY361" i="4" s="1"/>
  <c r="BD361" i="4" s="1"/>
  <c r="AS362" i="4"/>
  <c r="AY362" i="4" s="1"/>
  <c r="BD362" i="4" s="1"/>
  <c r="AS363" i="4"/>
  <c r="AY363" i="4" s="1"/>
  <c r="BD363" i="4" s="1"/>
  <c r="AS364" i="4"/>
  <c r="AY364" i="4" s="1"/>
  <c r="BD364" i="4" s="1"/>
  <c r="AS365" i="4"/>
  <c r="AY365" i="4" s="1"/>
  <c r="BD365" i="4" s="1"/>
  <c r="AS366" i="4"/>
  <c r="AY366" i="4" s="1"/>
  <c r="BD366" i="4" s="1"/>
  <c r="AS367" i="4"/>
  <c r="AY367" i="4" s="1"/>
  <c r="BD367" i="4" s="1"/>
  <c r="AS368" i="4"/>
  <c r="AY368" i="4" s="1"/>
  <c r="BD368" i="4" s="1"/>
  <c r="AS369" i="4"/>
  <c r="AY369" i="4" s="1"/>
  <c r="BD369" i="4" s="1"/>
  <c r="AS370" i="4"/>
  <c r="AY370" i="4" s="1"/>
  <c r="BD370" i="4" s="1"/>
  <c r="AS371" i="4"/>
  <c r="AY371" i="4" s="1"/>
  <c r="BD371" i="4" s="1"/>
  <c r="AS372" i="4"/>
  <c r="AY372" i="4" s="1"/>
  <c r="BD372" i="4" s="1"/>
  <c r="AS373" i="4"/>
  <c r="AY373" i="4" s="1"/>
  <c r="BD373" i="4" s="1"/>
  <c r="AS374" i="4"/>
  <c r="AY374" i="4" s="1"/>
  <c r="BD374" i="4" s="1"/>
  <c r="AS375" i="4"/>
  <c r="AY375" i="4" s="1"/>
  <c r="BD375" i="4" s="1"/>
  <c r="AS376" i="4"/>
  <c r="AY376" i="4" s="1"/>
  <c r="BD376" i="4" s="1"/>
  <c r="AS377" i="4"/>
  <c r="AY377" i="4" s="1"/>
  <c r="BD377" i="4" s="1"/>
  <c r="AS378" i="4"/>
  <c r="AY378" i="4" s="1"/>
  <c r="BD378" i="4" s="1"/>
  <c r="AS379" i="4"/>
  <c r="AY379" i="4" s="1"/>
  <c r="BD379" i="4" s="1"/>
  <c r="AS380" i="4"/>
  <c r="AY380" i="4" s="1"/>
  <c r="BD380" i="4" s="1"/>
  <c r="AS381" i="4"/>
  <c r="AY381" i="4" s="1"/>
  <c r="BD381" i="4" s="1"/>
  <c r="AS382" i="4"/>
  <c r="AY382" i="4" s="1"/>
  <c r="BD382" i="4" s="1"/>
  <c r="AS383" i="4"/>
  <c r="AY383" i="4" s="1"/>
  <c r="BD383" i="4" s="1"/>
  <c r="AS384" i="4"/>
  <c r="AY384" i="4" s="1"/>
  <c r="BD384" i="4" s="1"/>
  <c r="AS385" i="4"/>
  <c r="AY385" i="4" s="1"/>
  <c r="BD385" i="4" s="1"/>
  <c r="AS386" i="4"/>
  <c r="AY386" i="4" s="1"/>
  <c r="BD386" i="4" s="1"/>
  <c r="AS387" i="4"/>
  <c r="AY387" i="4" s="1"/>
  <c r="BD387" i="4" s="1"/>
  <c r="AS388" i="4"/>
  <c r="AY388" i="4" s="1"/>
  <c r="BD388" i="4" s="1"/>
  <c r="AS389" i="4"/>
  <c r="AY389" i="4" s="1"/>
  <c r="BD389" i="4" s="1"/>
  <c r="AS390" i="4"/>
  <c r="AY390" i="4" s="1"/>
  <c r="BD390" i="4" s="1"/>
  <c r="AS391" i="4"/>
  <c r="AY391" i="4" s="1"/>
  <c r="BD391" i="4" s="1"/>
  <c r="AS392" i="4"/>
  <c r="AY392" i="4" s="1"/>
  <c r="BD392" i="4" s="1"/>
  <c r="AS393" i="4"/>
  <c r="AY393" i="4" s="1"/>
  <c r="BD393" i="4" s="1"/>
  <c r="AS394" i="4"/>
  <c r="AY394" i="4" s="1"/>
  <c r="BD394" i="4" s="1"/>
  <c r="AS395" i="4"/>
  <c r="AY395" i="4" s="1"/>
  <c r="BD395" i="4" s="1"/>
  <c r="AS396" i="4"/>
  <c r="AS11" i="4"/>
  <c r="AX11" i="4"/>
  <c r="AR396" i="4"/>
  <c r="Z7" i="4"/>
  <c r="Z8" i="4" s="1"/>
  <c r="AA7" i="4"/>
  <c r="AA8" i="4" s="1"/>
  <c r="AB7" i="4"/>
  <c r="AB8" i="4" s="1"/>
  <c r="AC7" i="4"/>
  <c r="AC8" i="4" s="1"/>
  <c r="AD7" i="4"/>
  <c r="AD8" i="4" s="1"/>
  <c r="AF7" i="4"/>
  <c r="AG7" i="4"/>
  <c r="AF8" i="4"/>
  <c r="AG8" i="4"/>
  <c r="Z9" i="4"/>
  <c r="AA9" i="4"/>
  <c r="AB9" i="4"/>
  <c r="AC9" i="4"/>
  <c r="AD9" i="4"/>
  <c r="AF10" i="4"/>
  <c r="AG10" i="4"/>
  <c r="P7" i="4"/>
  <c r="Q7" i="4"/>
  <c r="R7" i="4"/>
  <c r="S7" i="4"/>
  <c r="T7" i="4"/>
  <c r="V7" i="4"/>
  <c r="W7" i="4"/>
  <c r="V8" i="4"/>
  <c r="W8" i="4"/>
  <c r="P9" i="4"/>
  <c r="Q9" i="4"/>
  <c r="R9" i="4"/>
  <c r="S9" i="4"/>
  <c r="T9" i="4"/>
  <c r="V10" i="4"/>
  <c r="W10" i="4"/>
  <c r="AE4" i="4"/>
  <c r="AD4" i="4"/>
  <c r="AC4" i="4"/>
  <c r="AB4" i="4"/>
  <c r="AA4" i="4"/>
  <c r="Z4" i="4"/>
  <c r="Y4" i="4"/>
  <c r="U396" i="4"/>
  <c r="AX396" i="4" s="1"/>
  <c r="U395" i="4"/>
  <c r="AX395" i="4" s="1"/>
  <c r="U394" i="4"/>
  <c r="AX394" i="4" s="1"/>
  <c r="U393" i="4"/>
  <c r="AX393" i="4" s="1"/>
  <c r="U392" i="4"/>
  <c r="AX392" i="4" s="1"/>
  <c r="U391" i="4"/>
  <c r="AX391" i="4" s="1"/>
  <c r="U390" i="4"/>
  <c r="AX390" i="4" s="1"/>
  <c r="U389" i="4"/>
  <c r="AX389" i="4" s="1"/>
  <c r="U388" i="4"/>
  <c r="AX388" i="4" s="1"/>
  <c r="U387" i="4"/>
  <c r="AX387" i="4" s="1"/>
  <c r="U386" i="4"/>
  <c r="AX386" i="4" s="1"/>
  <c r="U385" i="4"/>
  <c r="AX385" i="4" s="1"/>
  <c r="U384" i="4"/>
  <c r="AX384" i="4" s="1"/>
  <c r="U383" i="4"/>
  <c r="AX383" i="4" s="1"/>
  <c r="U382" i="4"/>
  <c r="AX382" i="4" s="1"/>
  <c r="U381" i="4"/>
  <c r="AX381" i="4" s="1"/>
  <c r="U380" i="4"/>
  <c r="AX380" i="4" s="1"/>
  <c r="U379" i="4"/>
  <c r="AX379" i="4" s="1"/>
  <c r="U378" i="4"/>
  <c r="AX378" i="4" s="1"/>
  <c r="U377" i="4"/>
  <c r="AX377" i="4" s="1"/>
  <c r="U376" i="4"/>
  <c r="AX376" i="4" s="1"/>
  <c r="U375" i="4"/>
  <c r="AX375" i="4" s="1"/>
  <c r="U374" i="4"/>
  <c r="AX374" i="4" s="1"/>
  <c r="U373" i="4"/>
  <c r="AX373" i="4" s="1"/>
  <c r="U372" i="4"/>
  <c r="AX372" i="4" s="1"/>
  <c r="U371" i="4"/>
  <c r="AX371" i="4" s="1"/>
  <c r="U370" i="4"/>
  <c r="AX370" i="4" s="1"/>
  <c r="U369" i="4"/>
  <c r="AX369" i="4" s="1"/>
  <c r="U368" i="4"/>
  <c r="AX368" i="4" s="1"/>
  <c r="U367" i="4"/>
  <c r="AX367" i="4" s="1"/>
  <c r="U366" i="4"/>
  <c r="AX366" i="4" s="1"/>
  <c r="U365" i="4"/>
  <c r="AX365" i="4" s="1"/>
  <c r="U364" i="4"/>
  <c r="AX364" i="4" s="1"/>
  <c r="U363" i="4"/>
  <c r="AX363" i="4" s="1"/>
  <c r="U362" i="4"/>
  <c r="AX362" i="4" s="1"/>
  <c r="U361" i="4"/>
  <c r="AX361" i="4" s="1"/>
  <c r="U360" i="4"/>
  <c r="AX360" i="4" s="1"/>
  <c r="U359" i="4"/>
  <c r="AX359" i="4" s="1"/>
  <c r="U358" i="4"/>
  <c r="AX358" i="4" s="1"/>
  <c r="U357" i="4"/>
  <c r="AX357" i="4" s="1"/>
  <c r="U356" i="4"/>
  <c r="AX356" i="4" s="1"/>
  <c r="U355" i="4"/>
  <c r="AX355" i="4" s="1"/>
  <c r="U354" i="4"/>
  <c r="AX354" i="4" s="1"/>
  <c r="U353" i="4"/>
  <c r="AX353" i="4" s="1"/>
  <c r="U352" i="4"/>
  <c r="AX352" i="4" s="1"/>
  <c r="U351" i="4"/>
  <c r="AX351" i="4" s="1"/>
  <c r="U350" i="4"/>
  <c r="AX350" i="4" s="1"/>
  <c r="U349" i="4"/>
  <c r="AX349" i="4" s="1"/>
  <c r="U348" i="4"/>
  <c r="AX348" i="4" s="1"/>
  <c r="U347" i="4"/>
  <c r="AX347" i="4" s="1"/>
  <c r="U346" i="4"/>
  <c r="AX346" i="4" s="1"/>
  <c r="U345" i="4"/>
  <c r="AX345" i="4" s="1"/>
  <c r="U344" i="4"/>
  <c r="AX344" i="4" s="1"/>
  <c r="U343" i="4"/>
  <c r="AX343" i="4" s="1"/>
  <c r="U342" i="4"/>
  <c r="AX342" i="4" s="1"/>
  <c r="U341" i="4"/>
  <c r="AX341" i="4" s="1"/>
  <c r="U340" i="4"/>
  <c r="AX340" i="4" s="1"/>
  <c r="U339" i="4"/>
  <c r="AX339" i="4" s="1"/>
  <c r="U338" i="4"/>
  <c r="AX338" i="4" s="1"/>
  <c r="U337" i="4"/>
  <c r="AX337" i="4" s="1"/>
  <c r="U336" i="4"/>
  <c r="AX336" i="4" s="1"/>
  <c r="U335" i="4"/>
  <c r="AX335" i="4" s="1"/>
  <c r="U334" i="4"/>
  <c r="AX334" i="4" s="1"/>
  <c r="U333" i="4"/>
  <c r="AX333" i="4" s="1"/>
  <c r="U332" i="4"/>
  <c r="AX332" i="4" s="1"/>
  <c r="U331" i="4"/>
  <c r="AX331" i="4" s="1"/>
  <c r="U330" i="4"/>
  <c r="AX330" i="4" s="1"/>
  <c r="U329" i="4"/>
  <c r="AX329" i="4" s="1"/>
  <c r="U328" i="4"/>
  <c r="AX328" i="4" s="1"/>
  <c r="U327" i="4"/>
  <c r="AX327" i="4" s="1"/>
  <c r="U326" i="4"/>
  <c r="AX326" i="4" s="1"/>
  <c r="U325" i="4"/>
  <c r="AX325" i="4" s="1"/>
  <c r="U324" i="4"/>
  <c r="AX324" i="4" s="1"/>
  <c r="U323" i="4"/>
  <c r="AX323" i="4" s="1"/>
  <c r="U322" i="4"/>
  <c r="AX322" i="4" s="1"/>
  <c r="U321" i="4"/>
  <c r="AX321" i="4" s="1"/>
  <c r="U320" i="4"/>
  <c r="AX320" i="4" s="1"/>
  <c r="U319" i="4"/>
  <c r="AX319" i="4" s="1"/>
  <c r="U318" i="4"/>
  <c r="AX318" i="4" s="1"/>
  <c r="U317" i="4"/>
  <c r="AX317" i="4" s="1"/>
  <c r="U316" i="4"/>
  <c r="AX316" i="4" s="1"/>
  <c r="U315" i="4"/>
  <c r="AX315" i="4" s="1"/>
  <c r="U314" i="4"/>
  <c r="AX314" i="4" s="1"/>
  <c r="U313" i="4"/>
  <c r="AX313" i="4" s="1"/>
  <c r="U312" i="4"/>
  <c r="AX312" i="4" s="1"/>
  <c r="U311" i="4"/>
  <c r="AX311" i="4" s="1"/>
  <c r="U310" i="4"/>
  <c r="AX310" i="4" s="1"/>
  <c r="U309" i="4"/>
  <c r="AX309" i="4" s="1"/>
  <c r="U308" i="4"/>
  <c r="AX308" i="4" s="1"/>
  <c r="U307" i="4"/>
  <c r="AX307" i="4" s="1"/>
  <c r="U306" i="4"/>
  <c r="AX306" i="4" s="1"/>
  <c r="U305" i="4"/>
  <c r="AX305" i="4" s="1"/>
  <c r="U304" i="4"/>
  <c r="AX304" i="4" s="1"/>
  <c r="U303" i="4"/>
  <c r="AX303" i="4" s="1"/>
  <c r="U302" i="4"/>
  <c r="AX302" i="4" s="1"/>
  <c r="U301" i="4"/>
  <c r="AX301" i="4" s="1"/>
  <c r="U300" i="4"/>
  <c r="AX300" i="4" s="1"/>
  <c r="U299" i="4"/>
  <c r="AX299" i="4" s="1"/>
  <c r="U298" i="4"/>
  <c r="AX298" i="4" s="1"/>
  <c r="U297" i="4"/>
  <c r="AX297" i="4" s="1"/>
  <c r="U296" i="4"/>
  <c r="AX296" i="4" s="1"/>
  <c r="U295" i="4"/>
  <c r="AX295" i="4" s="1"/>
  <c r="U294" i="4"/>
  <c r="AX294" i="4" s="1"/>
  <c r="U293" i="4"/>
  <c r="AX293" i="4" s="1"/>
  <c r="U292" i="4"/>
  <c r="AX292" i="4" s="1"/>
  <c r="U291" i="4"/>
  <c r="AX291" i="4" s="1"/>
  <c r="U290" i="4"/>
  <c r="AX290" i="4" s="1"/>
  <c r="U289" i="4"/>
  <c r="AX289" i="4" s="1"/>
  <c r="U288" i="4"/>
  <c r="AX288" i="4" s="1"/>
  <c r="U287" i="4"/>
  <c r="AX287" i="4" s="1"/>
  <c r="U286" i="4"/>
  <c r="AX286" i="4" s="1"/>
  <c r="U285" i="4"/>
  <c r="AX285" i="4" s="1"/>
  <c r="U284" i="4"/>
  <c r="AX284" i="4" s="1"/>
  <c r="U283" i="4"/>
  <c r="AX283" i="4" s="1"/>
  <c r="U282" i="4"/>
  <c r="AX282" i="4" s="1"/>
  <c r="U281" i="4"/>
  <c r="AX281" i="4" s="1"/>
  <c r="U280" i="4"/>
  <c r="AX280" i="4" s="1"/>
  <c r="U279" i="4"/>
  <c r="AX279" i="4" s="1"/>
  <c r="U278" i="4"/>
  <c r="AX278" i="4" s="1"/>
  <c r="U277" i="4"/>
  <c r="AX277" i="4" s="1"/>
  <c r="U276" i="4"/>
  <c r="AX276" i="4" s="1"/>
  <c r="U275" i="4"/>
  <c r="AX275" i="4" s="1"/>
  <c r="U274" i="4"/>
  <c r="AX274" i="4" s="1"/>
  <c r="U273" i="4"/>
  <c r="AX273" i="4" s="1"/>
  <c r="U272" i="4"/>
  <c r="AX272" i="4" s="1"/>
  <c r="U271" i="4"/>
  <c r="AX271" i="4" s="1"/>
  <c r="U270" i="4"/>
  <c r="AX270" i="4" s="1"/>
  <c r="U269" i="4"/>
  <c r="AX269" i="4" s="1"/>
  <c r="U268" i="4"/>
  <c r="AX268" i="4" s="1"/>
  <c r="U267" i="4"/>
  <c r="AX267" i="4" s="1"/>
  <c r="U266" i="4"/>
  <c r="AX266" i="4" s="1"/>
  <c r="U265" i="4"/>
  <c r="AX265" i="4" s="1"/>
  <c r="U264" i="4"/>
  <c r="AX264" i="4" s="1"/>
  <c r="U263" i="4"/>
  <c r="AX263" i="4" s="1"/>
  <c r="U262" i="4"/>
  <c r="AX262" i="4" s="1"/>
  <c r="U261" i="4"/>
  <c r="AX261" i="4" s="1"/>
  <c r="U260" i="4"/>
  <c r="AX260" i="4" s="1"/>
  <c r="U259" i="4"/>
  <c r="AX259" i="4" s="1"/>
  <c r="U258" i="4"/>
  <c r="AX258" i="4" s="1"/>
  <c r="U257" i="4"/>
  <c r="AX257" i="4" s="1"/>
  <c r="U256" i="4"/>
  <c r="AX256" i="4" s="1"/>
  <c r="U255" i="4"/>
  <c r="AX255" i="4" s="1"/>
  <c r="U254" i="4"/>
  <c r="AX254" i="4" s="1"/>
  <c r="U253" i="4"/>
  <c r="AX253" i="4" s="1"/>
  <c r="U252" i="4"/>
  <c r="AX252" i="4" s="1"/>
  <c r="U251" i="4"/>
  <c r="AX251" i="4" s="1"/>
  <c r="U250" i="4"/>
  <c r="AX250" i="4" s="1"/>
  <c r="U249" i="4"/>
  <c r="AX249" i="4" s="1"/>
  <c r="U248" i="4"/>
  <c r="AX248" i="4" s="1"/>
  <c r="U247" i="4"/>
  <c r="AX247" i="4" s="1"/>
  <c r="U246" i="4"/>
  <c r="AX246" i="4" s="1"/>
  <c r="U245" i="4"/>
  <c r="AX245" i="4" s="1"/>
  <c r="U244" i="4"/>
  <c r="AX244" i="4" s="1"/>
  <c r="U243" i="4"/>
  <c r="AX243" i="4" s="1"/>
  <c r="U242" i="4"/>
  <c r="AX242" i="4" s="1"/>
  <c r="U241" i="4"/>
  <c r="AX241" i="4" s="1"/>
  <c r="U240" i="4"/>
  <c r="AX240" i="4" s="1"/>
  <c r="U239" i="4"/>
  <c r="AX239" i="4" s="1"/>
  <c r="U238" i="4"/>
  <c r="AX238" i="4" s="1"/>
  <c r="U237" i="4"/>
  <c r="AX237" i="4" s="1"/>
  <c r="U236" i="4"/>
  <c r="AX236" i="4" s="1"/>
  <c r="U235" i="4"/>
  <c r="AX235" i="4" s="1"/>
  <c r="U234" i="4"/>
  <c r="AX234" i="4" s="1"/>
  <c r="U233" i="4"/>
  <c r="AX233" i="4" s="1"/>
  <c r="U232" i="4"/>
  <c r="AX232" i="4" s="1"/>
  <c r="U231" i="4"/>
  <c r="AX231" i="4" s="1"/>
  <c r="U230" i="4"/>
  <c r="AX230" i="4" s="1"/>
  <c r="U229" i="4"/>
  <c r="AX229" i="4" s="1"/>
  <c r="U228" i="4"/>
  <c r="AX228" i="4" s="1"/>
  <c r="U227" i="4"/>
  <c r="AX227" i="4" s="1"/>
  <c r="U226" i="4"/>
  <c r="AX226" i="4" s="1"/>
  <c r="U225" i="4"/>
  <c r="AX225" i="4" s="1"/>
  <c r="U224" i="4"/>
  <c r="AX224" i="4" s="1"/>
  <c r="U223" i="4"/>
  <c r="AX223" i="4" s="1"/>
  <c r="U222" i="4"/>
  <c r="AX222" i="4" s="1"/>
  <c r="U221" i="4"/>
  <c r="AX221" i="4" s="1"/>
  <c r="U220" i="4"/>
  <c r="AX220" i="4" s="1"/>
  <c r="U219" i="4"/>
  <c r="AX219" i="4" s="1"/>
  <c r="U218" i="4"/>
  <c r="AX218" i="4" s="1"/>
  <c r="U217" i="4"/>
  <c r="AX217" i="4" s="1"/>
  <c r="U216" i="4"/>
  <c r="AX216" i="4" s="1"/>
  <c r="U215" i="4"/>
  <c r="AX215" i="4" s="1"/>
  <c r="U214" i="4"/>
  <c r="AX214" i="4" s="1"/>
  <c r="U213" i="4"/>
  <c r="AX213" i="4" s="1"/>
  <c r="U212" i="4"/>
  <c r="AX212" i="4" s="1"/>
  <c r="U211" i="4"/>
  <c r="AX211" i="4" s="1"/>
  <c r="U210" i="4"/>
  <c r="AX210" i="4" s="1"/>
  <c r="U209" i="4"/>
  <c r="AX209" i="4" s="1"/>
  <c r="U208" i="4"/>
  <c r="AX208" i="4" s="1"/>
  <c r="U207" i="4"/>
  <c r="AX207" i="4" s="1"/>
  <c r="U206" i="4"/>
  <c r="AX206" i="4" s="1"/>
  <c r="U205" i="4"/>
  <c r="AX205" i="4" s="1"/>
  <c r="U204" i="4"/>
  <c r="AX204" i="4" s="1"/>
  <c r="U203" i="4"/>
  <c r="AX203" i="4" s="1"/>
  <c r="U202" i="4"/>
  <c r="AX202" i="4" s="1"/>
  <c r="U201" i="4"/>
  <c r="AX201" i="4" s="1"/>
  <c r="U200" i="4"/>
  <c r="AX200" i="4" s="1"/>
  <c r="U199" i="4"/>
  <c r="AX199" i="4" s="1"/>
  <c r="U198" i="4"/>
  <c r="AX198" i="4" s="1"/>
  <c r="U197" i="4"/>
  <c r="AX197" i="4" s="1"/>
  <c r="U196" i="4"/>
  <c r="AX196" i="4" s="1"/>
  <c r="U195" i="4"/>
  <c r="AX195" i="4" s="1"/>
  <c r="U194" i="4"/>
  <c r="AX194" i="4" s="1"/>
  <c r="U193" i="4"/>
  <c r="AX193" i="4" s="1"/>
  <c r="U192" i="4"/>
  <c r="AX192" i="4" s="1"/>
  <c r="U191" i="4"/>
  <c r="AX191" i="4" s="1"/>
  <c r="U190" i="4"/>
  <c r="AX190" i="4" s="1"/>
  <c r="U189" i="4"/>
  <c r="AX189" i="4" s="1"/>
  <c r="U188" i="4"/>
  <c r="AX188" i="4" s="1"/>
  <c r="U187" i="4"/>
  <c r="AX187" i="4" s="1"/>
  <c r="U186" i="4"/>
  <c r="AX186" i="4" s="1"/>
  <c r="U185" i="4"/>
  <c r="AX185" i="4" s="1"/>
  <c r="U184" i="4"/>
  <c r="AX184" i="4" s="1"/>
  <c r="U183" i="4"/>
  <c r="AX183" i="4" s="1"/>
  <c r="U182" i="4"/>
  <c r="AX182" i="4" s="1"/>
  <c r="U181" i="4"/>
  <c r="AX181" i="4" s="1"/>
  <c r="U180" i="4"/>
  <c r="AX180" i="4" s="1"/>
  <c r="U179" i="4"/>
  <c r="AX179" i="4" s="1"/>
  <c r="U178" i="4"/>
  <c r="AX178" i="4" s="1"/>
  <c r="U177" i="4"/>
  <c r="AX177" i="4" s="1"/>
  <c r="U176" i="4"/>
  <c r="AX176" i="4" s="1"/>
  <c r="U175" i="4"/>
  <c r="AX175" i="4" s="1"/>
  <c r="U174" i="4"/>
  <c r="AX174" i="4" s="1"/>
  <c r="U173" i="4"/>
  <c r="AX173" i="4" s="1"/>
  <c r="U172" i="4"/>
  <c r="AX172" i="4" s="1"/>
  <c r="U171" i="4"/>
  <c r="AX171" i="4" s="1"/>
  <c r="U170" i="4"/>
  <c r="AX170" i="4" s="1"/>
  <c r="U169" i="4"/>
  <c r="AX169" i="4" s="1"/>
  <c r="U168" i="4"/>
  <c r="AX168" i="4" s="1"/>
  <c r="U167" i="4"/>
  <c r="AX167" i="4" s="1"/>
  <c r="U166" i="4"/>
  <c r="AX166" i="4" s="1"/>
  <c r="U165" i="4"/>
  <c r="AX165" i="4" s="1"/>
  <c r="U164" i="4"/>
  <c r="AX164" i="4" s="1"/>
  <c r="U163" i="4"/>
  <c r="AX163" i="4" s="1"/>
  <c r="U162" i="4"/>
  <c r="AX162" i="4" s="1"/>
  <c r="U161" i="4"/>
  <c r="AX161" i="4" s="1"/>
  <c r="U160" i="4"/>
  <c r="AX160" i="4" s="1"/>
  <c r="U159" i="4"/>
  <c r="AX159" i="4" s="1"/>
  <c r="U158" i="4"/>
  <c r="AX158" i="4" s="1"/>
  <c r="U157" i="4"/>
  <c r="AX157" i="4" s="1"/>
  <c r="U156" i="4"/>
  <c r="AX156" i="4" s="1"/>
  <c r="U155" i="4"/>
  <c r="AX155" i="4" s="1"/>
  <c r="U154" i="4"/>
  <c r="AX154" i="4" s="1"/>
  <c r="U153" i="4"/>
  <c r="AX153" i="4" s="1"/>
  <c r="U152" i="4"/>
  <c r="AX152" i="4" s="1"/>
  <c r="U151" i="4"/>
  <c r="AX151" i="4" s="1"/>
  <c r="U150" i="4"/>
  <c r="AX150" i="4" s="1"/>
  <c r="U149" i="4"/>
  <c r="AX149" i="4" s="1"/>
  <c r="U148" i="4"/>
  <c r="AX148" i="4" s="1"/>
  <c r="U147" i="4"/>
  <c r="AX147" i="4" s="1"/>
  <c r="U146" i="4"/>
  <c r="AX146" i="4" s="1"/>
  <c r="U145" i="4"/>
  <c r="AX145" i="4" s="1"/>
  <c r="U144" i="4"/>
  <c r="AX144" i="4" s="1"/>
  <c r="U143" i="4"/>
  <c r="AX143" i="4" s="1"/>
  <c r="U142" i="4"/>
  <c r="AX142" i="4" s="1"/>
  <c r="U141" i="4"/>
  <c r="AX141" i="4" s="1"/>
  <c r="U140" i="4"/>
  <c r="AX140" i="4" s="1"/>
  <c r="U139" i="4"/>
  <c r="AX139" i="4" s="1"/>
  <c r="U138" i="4"/>
  <c r="AX138" i="4" s="1"/>
  <c r="U137" i="4"/>
  <c r="AX137" i="4" s="1"/>
  <c r="U136" i="4"/>
  <c r="AX136" i="4" s="1"/>
  <c r="U135" i="4"/>
  <c r="AX135" i="4" s="1"/>
  <c r="U134" i="4"/>
  <c r="AX134" i="4" s="1"/>
  <c r="U133" i="4"/>
  <c r="AX133" i="4" s="1"/>
  <c r="U132" i="4"/>
  <c r="AX132" i="4" s="1"/>
  <c r="U131" i="4"/>
  <c r="AX131" i="4" s="1"/>
  <c r="U130" i="4"/>
  <c r="AX130" i="4" s="1"/>
  <c r="U129" i="4"/>
  <c r="AX129" i="4" s="1"/>
  <c r="U128" i="4"/>
  <c r="AX128" i="4" s="1"/>
  <c r="U127" i="4"/>
  <c r="AX127" i="4" s="1"/>
  <c r="U126" i="4"/>
  <c r="AX126" i="4" s="1"/>
  <c r="U125" i="4"/>
  <c r="AX125" i="4" s="1"/>
  <c r="U124" i="4"/>
  <c r="AX124" i="4" s="1"/>
  <c r="U123" i="4"/>
  <c r="AX123" i="4" s="1"/>
  <c r="U122" i="4"/>
  <c r="AX122" i="4" s="1"/>
  <c r="U121" i="4"/>
  <c r="AX121" i="4" s="1"/>
  <c r="U120" i="4"/>
  <c r="AX120" i="4" s="1"/>
  <c r="U119" i="4"/>
  <c r="AX119" i="4" s="1"/>
  <c r="U118" i="4"/>
  <c r="AX118" i="4" s="1"/>
  <c r="U117" i="4"/>
  <c r="AX117" i="4" s="1"/>
  <c r="U116" i="4"/>
  <c r="AX116" i="4" s="1"/>
  <c r="U115" i="4"/>
  <c r="AX115" i="4" s="1"/>
  <c r="U114" i="4"/>
  <c r="AX114" i="4" s="1"/>
  <c r="U113" i="4"/>
  <c r="AX113" i="4" s="1"/>
  <c r="U112" i="4"/>
  <c r="AX112" i="4" s="1"/>
  <c r="U111" i="4"/>
  <c r="AX111" i="4" s="1"/>
  <c r="U110" i="4"/>
  <c r="AX110" i="4" s="1"/>
  <c r="U109" i="4"/>
  <c r="AX109" i="4" s="1"/>
  <c r="U108" i="4"/>
  <c r="AX108" i="4" s="1"/>
  <c r="U107" i="4"/>
  <c r="AX107" i="4" s="1"/>
  <c r="U106" i="4"/>
  <c r="AX106" i="4" s="1"/>
  <c r="U105" i="4"/>
  <c r="AX105" i="4" s="1"/>
  <c r="U104" i="4"/>
  <c r="AX104" i="4" s="1"/>
  <c r="U103" i="4"/>
  <c r="AX103" i="4" s="1"/>
  <c r="U102" i="4"/>
  <c r="AX102" i="4" s="1"/>
  <c r="U101" i="4"/>
  <c r="AX101" i="4" s="1"/>
  <c r="U100" i="4"/>
  <c r="AX100" i="4" s="1"/>
  <c r="U99" i="4"/>
  <c r="AX99" i="4" s="1"/>
  <c r="U98" i="4"/>
  <c r="AX98" i="4" s="1"/>
  <c r="U97" i="4"/>
  <c r="AX97" i="4" s="1"/>
  <c r="U96" i="4"/>
  <c r="AX96" i="4" s="1"/>
  <c r="U95" i="4"/>
  <c r="AX95" i="4" s="1"/>
  <c r="U94" i="4"/>
  <c r="AX94" i="4" s="1"/>
  <c r="U93" i="4"/>
  <c r="AX93" i="4" s="1"/>
  <c r="U92" i="4"/>
  <c r="AX92" i="4" s="1"/>
  <c r="U91" i="4"/>
  <c r="AX91" i="4" s="1"/>
  <c r="U90" i="4"/>
  <c r="AX90" i="4" s="1"/>
  <c r="U89" i="4"/>
  <c r="AX89" i="4" s="1"/>
  <c r="U88" i="4"/>
  <c r="AX88" i="4" s="1"/>
  <c r="U87" i="4"/>
  <c r="AX87" i="4" s="1"/>
  <c r="U86" i="4"/>
  <c r="AX86" i="4" s="1"/>
  <c r="U85" i="4"/>
  <c r="AX85" i="4" s="1"/>
  <c r="U84" i="4"/>
  <c r="AX84" i="4" s="1"/>
  <c r="U83" i="4"/>
  <c r="AX83" i="4" s="1"/>
  <c r="U82" i="4"/>
  <c r="AX82" i="4" s="1"/>
  <c r="U81" i="4"/>
  <c r="AX81" i="4" s="1"/>
  <c r="U80" i="4"/>
  <c r="AX80" i="4" s="1"/>
  <c r="U79" i="4"/>
  <c r="AX79" i="4" s="1"/>
  <c r="U78" i="4"/>
  <c r="AX78" i="4" s="1"/>
  <c r="U77" i="4"/>
  <c r="AX77" i="4" s="1"/>
  <c r="U76" i="4"/>
  <c r="AX76" i="4" s="1"/>
  <c r="U75" i="4"/>
  <c r="AX75" i="4" s="1"/>
  <c r="U74" i="4"/>
  <c r="AX74" i="4" s="1"/>
  <c r="U73" i="4"/>
  <c r="AX73" i="4" s="1"/>
  <c r="U72" i="4"/>
  <c r="AX72" i="4" s="1"/>
  <c r="U71" i="4"/>
  <c r="AX71" i="4" s="1"/>
  <c r="U70" i="4"/>
  <c r="AX70" i="4" s="1"/>
  <c r="U69" i="4"/>
  <c r="AX69" i="4" s="1"/>
  <c r="U68" i="4"/>
  <c r="AX68" i="4" s="1"/>
  <c r="U67" i="4"/>
  <c r="AX67" i="4" s="1"/>
  <c r="U66" i="4"/>
  <c r="AX66" i="4" s="1"/>
  <c r="U65" i="4"/>
  <c r="AX65" i="4" s="1"/>
  <c r="U64" i="4"/>
  <c r="AX64" i="4" s="1"/>
  <c r="U63" i="4"/>
  <c r="AX63" i="4" s="1"/>
  <c r="U62" i="4"/>
  <c r="AX62" i="4" s="1"/>
  <c r="U61" i="4"/>
  <c r="AX61" i="4" s="1"/>
  <c r="U60" i="4"/>
  <c r="AX60" i="4" s="1"/>
  <c r="U59" i="4"/>
  <c r="AX59" i="4" s="1"/>
  <c r="U58" i="4"/>
  <c r="AX58" i="4" s="1"/>
  <c r="U57" i="4"/>
  <c r="AX57" i="4" s="1"/>
  <c r="U56" i="4"/>
  <c r="AX56" i="4" s="1"/>
  <c r="U55" i="4"/>
  <c r="AX55" i="4" s="1"/>
  <c r="U54" i="4"/>
  <c r="AX54" i="4" s="1"/>
  <c r="U53" i="4"/>
  <c r="AX53" i="4" s="1"/>
  <c r="U52" i="4"/>
  <c r="AX52" i="4" s="1"/>
  <c r="U51" i="4"/>
  <c r="AX51" i="4" s="1"/>
  <c r="U50" i="4"/>
  <c r="AX50" i="4" s="1"/>
  <c r="U49" i="4"/>
  <c r="AX49" i="4" s="1"/>
  <c r="U48" i="4"/>
  <c r="AX48" i="4" s="1"/>
  <c r="U47" i="4"/>
  <c r="AX47" i="4" s="1"/>
  <c r="U46" i="4"/>
  <c r="AX46" i="4" s="1"/>
  <c r="U45" i="4"/>
  <c r="AX45" i="4" s="1"/>
  <c r="U44" i="4"/>
  <c r="AX44" i="4" s="1"/>
  <c r="U43" i="4"/>
  <c r="AX43" i="4" s="1"/>
  <c r="U42" i="4"/>
  <c r="AX42" i="4" s="1"/>
  <c r="U41" i="4"/>
  <c r="AX41" i="4" s="1"/>
  <c r="U40" i="4"/>
  <c r="AX40" i="4" s="1"/>
  <c r="U39" i="4"/>
  <c r="AX39" i="4" s="1"/>
  <c r="U38" i="4"/>
  <c r="AX38" i="4" s="1"/>
  <c r="U37" i="4"/>
  <c r="AX37" i="4" s="1"/>
  <c r="U36" i="4"/>
  <c r="AX36" i="4" s="1"/>
  <c r="U35" i="4"/>
  <c r="AX35" i="4" s="1"/>
  <c r="U34" i="4"/>
  <c r="AX34" i="4" s="1"/>
  <c r="U33" i="4"/>
  <c r="AX33" i="4" s="1"/>
  <c r="U32" i="4"/>
  <c r="AX32" i="4" s="1"/>
  <c r="U31" i="4"/>
  <c r="AX31" i="4" s="1"/>
  <c r="U30" i="4"/>
  <c r="AX30" i="4" s="1"/>
  <c r="U29" i="4"/>
  <c r="AX29" i="4" s="1"/>
  <c r="U28" i="4"/>
  <c r="AX28" i="4" s="1"/>
  <c r="U27" i="4"/>
  <c r="AX27" i="4" s="1"/>
  <c r="U26" i="4"/>
  <c r="AX26" i="4" s="1"/>
  <c r="U20" i="4"/>
  <c r="AX20" i="4" s="1"/>
  <c r="U25" i="4"/>
  <c r="AX25" i="4" s="1"/>
  <c r="U24" i="4"/>
  <c r="AX24" i="4" s="1"/>
  <c r="U23" i="4"/>
  <c r="AX23" i="4" s="1"/>
  <c r="U22" i="4"/>
  <c r="AX22" i="4" s="1"/>
  <c r="U21" i="4"/>
  <c r="AX21" i="4" s="1"/>
  <c r="U19" i="4"/>
  <c r="AX19" i="4" s="1"/>
  <c r="U18" i="4"/>
  <c r="AX18" i="4" s="1"/>
  <c r="U17" i="4"/>
  <c r="AX17" i="4" s="1"/>
  <c r="U16" i="4"/>
  <c r="AX16" i="4" s="1"/>
  <c r="U15" i="4"/>
  <c r="AX15" i="4" s="1"/>
  <c r="U14" i="4"/>
  <c r="AX14" i="4" s="1"/>
  <c r="U13" i="4"/>
  <c r="AX13" i="4" s="1"/>
  <c r="U12" i="4"/>
  <c r="AX12" i="4" s="1"/>
  <c r="U4" i="4"/>
  <c r="T4" i="4"/>
  <c r="S4" i="4"/>
  <c r="R4" i="4"/>
  <c r="Q4" i="4"/>
  <c r="P4" i="4"/>
  <c r="O4" i="4"/>
  <c r="AR12" i="4"/>
  <c r="AR13" i="4"/>
  <c r="AR14" i="4"/>
  <c r="AR15" i="4"/>
  <c r="AR16" i="4"/>
  <c r="AR17" i="4"/>
  <c r="AR18" i="4"/>
  <c r="AR19" i="4"/>
  <c r="AR21" i="4"/>
  <c r="AR22" i="4"/>
  <c r="AR23" i="4"/>
  <c r="AR24" i="4"/>
  <c r="AR25" i="4"/>
  <c r="AR20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K61" i="4"/>
  <c r="AR61" i="4" s="1"/>
  <c r="K62" i="4"/>
  <c r="AR62" i="4" s="1"/>
  <c r="K63" i="4"/>
  <c r="AR63" i="4" s="1"/>
  <c r="K64" i="4"/>
  <c r="AR64" i="4" s="1"/>
  <c r="K65" i="4"/>
  <c r="AR65" i="4" s="1"/>
  <c r="K66" i="4"/>
  <c r="AR66" i="4" s="1"/>
  <c r="K67" i="4"/>
  <c r="AR67" i="4" s="1"/>
  <c r="K68" i="4"/>
  <c r="AR68" i="4" s="1"/>
  <c r="K69" i="4"/>
  <c r="AR69" i="4" s="1"/>
  <c r="K70" i="4"/>
  <c r="AR70" i="4" s="1"/>
  <c r="K71" i="4"/>
  <c r="AR71" i="4" s="1"/>
  <c r="K72" i="4"/>
  <c r="AR72" i="4" s="1"/>
  <c r="K73" i="4"/>
  <c r="AR73" i="4" s="1"/>
  <c r="K74" i="4"/>
  <c r="AR74" i="4" s="1"/>
  <c r="K75" i="4"/>
  <c r="AR75" i="4" s="1"/>
  <c r="K76" i="4"/>
  <c r="AR76" i="4" s="1"/>
  <c r="K77" i="4"/>
  <c r="AR77" i="4" s="1"/>
  <c r="K78" i="4"/>
  <c r="AR78" i="4" s="1"/>
  <c r="K79" i="4"/>
  <c r="AR79" i="4" s="1"/>
  <c r="K80" i="4"/>
  <c r="AR80" i="4" s="1"/>
  <c r="K81" i="4"/>
  <c r="AR81" i="4" s="1"/>
  <c r="K82" i="4"/>
  <c r="AR82" i="4" s="1"/>
  <c r="K83" i="4"/>
  <c r="AR83" i="4" s="1"/>
  <c r="K84" i="4"/>
  <c r="AR84" i="4" s="1"/>
  <c r="K85" i="4"/>
  <c r="AR85" i="4" s="1"/>
  <c r="K86" i="4"/>
  <c r="AR86" i="4" s="1"/>
  <c r="K87" i="4"/>
  <c r="AR87" i="4" s="1"/>
  <c r="K88" i="4"/>
  <c r="AR88" i="4" s="1"/>
  <c r="K89" i="4"/>
  <c r="AR89" i="4" s="1"/>
  <c r="K90" i="4"/>
  <c r="AR90" i="4" s="1"/>
  <c r="K91" i="4"/>
  <c r="AR91" i="4" s="1"/>
  <c r="K92" i="4"/>
  <c r="AR92" i="4" s="1"/>
  <c r="K93" i="4"/>
  <c r="AR93" i="4" s="1"/>
  <c r="K94" i="4"/>
  <c r="AR94" i="4" s="1"/>
  <c r="K95" i="4"/>
  <c r="AR95" i="4" s="1"/>
  <c r="K96" i="4"/>
  <c r="AR96" i="4" s="1"/>
  <c r="K97" i="4"/>
  <c r="AR97" i="4" s="1"/>
  <c r="K98" i="4"/>
  <c r="AR98" i="4" s="1"/>
  <c r="K99" i="4"/>
  <c r="AR99" i="4" s="1"/>
  <c r="K100" i="4"/>
  <c r="AR100" i="4" s="1"/>
  <c r="K101" i="4"/>
  <c r="AR101" i="4" s="1"/>
  <c r="K102" i="4"/>
  <c r="AR102" i="4" s="1"/>
  <c r="K103" i="4"/>
  <c r="AR103" i="4" s="1"/>
  <c r="K104" i="4"/>
  <c r="AR104" i="4" s="1"/>
  <c r="K105" i="4"/>
  <c r="AR105" i="4" s="1"/>
  <c r="K106" i="4"/>
  <c r="AR106" i="4" s="1"/>
  <c r="K107" i="4"/>
  <c r="AR107" i="4" s="1"/>
  <c r="K108" i="4"/>
  <c r="AR108" i="4" s="1"/>
  <c r="K109" i="4"/>
  <c r="AR109" i="4" s="1"/>
  <c r="K110" i="4"/>
  <c r="AR110" i="4" s="1"/>
  <c r="K111" i="4"/>
  <c r="AR111" i="4" s="1"/>
  <c r="K112" i="4"/>
  <c r="AR112" i="4" s="1"/>
  <c r="K113" i="4"/>
  <c r="AR113" i="4" s="1"/>
  <c r="K114" i="4"/>
  <c r="AR114" i="4" s="1"/>
  <c r="K115" i="4"/>
  <c r="AR115" i="4" s="1"/>
  <c r="K116" i="4"/>
  <c r="AR116" i="4" s="1"/>
  <c r="K117" i="4"/>
  <c r="AR117" i="4" s="1"/>
  <c r="K118" i="4"/>
  <c r="AR118" i="4" s="1"/>
  <c r="K119" i="4"/>
  <c r="AR119" i="4" s="1"/>
  <c r="K120" i="4"/>
  <c r="AR120" i="4" s="1"/>
  <c r="K121" i="4"/>
  <c r="AR121" i="4" s="1"/>
  <c r="K122" i="4"/>
  <c r="AR122" i="4" s="1"/>
  <c r="K123" i="4"/>
  <c r="AR123" i="4" s="1"/>
  <c r="K124" i="4"/>
  <c r="AR124" i="4" s="1"/>
  <c r="K125" i="4"/>
  <c r="AR125" i="4" s="1"/>
  <c r="K126" i="4"/>
  <c r="AR126" i="4" s="1"/>
  <c r="K127" i="4"/>
  <c r="AR127" i="4" s="1"/>
  <c r="K128" i="4"/>
  <c r="AR128" i="4" s="1"/>
  <c r="K129" i="4"/>
  <c r="AR129" i="4" s="1"/>
  <c r="K130" i="4"/>
  <c r="AR130" i="4" s="1"/>
  <c r="K131" i="4"/>
  <c r="AR131" i="4" s="1"/>
  <c r="K132" i="4"/>
  <c r="AR132" i="4" s="1"/>
  <c r="K133" i="4"/>
  <c r="AR133" i="4" s="1"/>
  <c r="K134" i="4"/>
  <c r="AR134" i="4" s="1"/>
  <c r="K135" i="4"/>
  <c r="AR135" i="4" s="1"/>
  <c r="K136" i="4"/>
  <c r="AR136" i="4" s="1"/>
  <c r="K137" i="4"/>
  <c r="AR137" i="4" s="1"/>
  <c r="K138" i="4"/>
  <c r="AR138" i="4" s="1"/>
  <c r="K139" i="4"/>
  <c r="AR139" i="4" s="1"/>
  <c r="K140" i="4"/>
  <c r="AR140" i="4" s="1"/>
  <c r="K141" i="4"/>
  <c r="AR141" i="4" s="1"/>
  <c r="K142" i="4"/>
  <c r="AR142" i="4" s="1"/>
  <c r="K143" i="4"/>
  <c r="AR143" i="4" s="1"/>
  <c r="K144" i="4"/>
  <c r="AR144" i="4" s="1"/>
  <c r="K145" i="4"/>
  <c r="AR145" i="4" s="1"/>
  <c r="K146" i="4"/>
  <c r="AR146" i="4" s="1"/>
  <c r="K147" i="4"/>
  <c r="AR147" i="4" s="1"/>
  <c r="K148" i="4"/>
  <c r="AR148" i="4" s="1"/>
  <c r="K149" i="4"/>
  <c r="AR149" i="4" s="1"/>
  <c r="K150" i="4"/>
  <c r="AR150" i="4" s="1"/>
  <c r="K151" i="4"/>
  <c r="AR151" i="4" s="1"/>
  <c r="K152" i="4"/>
  <c r="AR152" i="4" s="1"/>
  <c r="K153" i="4"/>
  <c r="AR153" i="4" s="1"/>
  <c r="K154" i="4"/>
  <c r="AR154" i="4" s="1"/>
  <c r="K155" i="4"/>
  <c r="AR155" i="4" s="1"/>
  <c r="K156" i="4"/>
  <c r="AR156" i="4" s="1"/>
  <c r="K157" i="4"/>
  <c r="AR157" i="4" s="1"/>
  <c r="K158" i="4"/>
  <c r="AR158" i="4" s="1"/>
  <c r="K159" i="4"/>
  <c r="AR159" i="4" s="1"/>
  <c r="K160" i="4"/>
  <c r="AR160" i="4" s="1"/>
  <c r="K161" i="4"/>
  <c r="AR161" i="4" s="1"/>
  <c r="K162" i="4"/>
  <c r="AR162" i="4" s="1"/>
  <c r="K163" i="4"/>
  <c r="AR163" i="4" s="1"/>
  <c r="K164" i="4"/>
  <c r="AR164" i="4" s="1"/>
  <c r="K165" i="4"/>
  <c r="AR165" i="4" s="1"/>
  <c r="K166" i="4"/>
  <c r="AR166" i="4" s="1"/>
  <c r="K167" i="4"/>
  <c r="AR167" i="4" s="1"/>
  <c r="K168" i="4"/>
  <c r="AR168" i="4" s="1"/>
  <c r="K169" i="4"/>
  <c r="AR169" i="4" s="1"/>
  <c r="K170" i="4"/>
  <c r="AR170" i="4" s="1"/>
  <c r="K171" i="4"/>
  <c r="AR171" i="4" s="1"/>
  <c r="K172" i="4"/>
  <c r="AR172" i="4" s="1"/>
  <c r="K173" i="4"/>
  <c r="AR173" i="4" s="1"/>
  <c r="K174" i="4"/>
  <c r="AR174" i="4" s="1"/>
  <c r="K175" i="4"/>
  <c r="AR175" i="4" s="1"/>
  <c r="K176" i="4"/>
  <c r="AR176" i="4" s="1"/>
  <c r="K177" i="4"/>
  <c r="AR177" i="4" s="1"/>
  <c r="K178" i="4"/>
  <c r="AR178" i="4" s="1"/>
  <c r="K179" i="4"/>
  <c r="AR179" i="4" s="1"/>
  <c r="K180" i="4"/>
  <c r="AR180" i="4" s="1"/>
  <c r="K181" i="4"/>
  <c r="AR181" i="4" s="1"/>
  <c r="K182" i="4"/>
  <c r="AR182" i="4" s="1"/>
  <c r="K183" i="4"/>
  <c r="AR183" i="4" s="1"/>
  <c r="K184" i="4"/>
  <c r="AR184" i="4" s="1"/>
  <c r="K185" i="4"/>
  <c r="AR185" i="4" s="1"/>
  <c r="K186" i="4"/>
  <c r="AR186" i="4" s="1"/>
  <c r="K187" i="4"/>
  <c r="AR187" i="4" s="1"/>
  <c r="K188" i="4"/>
  <c r="AR188" i="4" s="1"/>
  <c r="K189" i="4"/>
  <c r="AR189" i="4" s="1"/>
  <c r="K190" i="4"/>
  <c r="AR190" i="4" s="1"/>
  <c r="K191" i="4"/>
  <c r="AR191" i="4" s="1"/>
  <c r="K192" i="4"/>
  <c r="AR192" i="4" s="1"/>
  <c r="K193" i="4"/>
  <c r="AR193" i="4" s="1"/>
  <c r="K194" i="4"/>
  <c r="AR194" i="4" s="1"/>
  <c r="K195" i="4"/>
  <c r="AR195" i="4" s="1"/>
  <c r="K196" i="4"/>
  <c r="AR196" i="4" s="1"/>
  <c r="K197" i="4"/>
  <c r="AR197" i="4" s="1"/>
  <c r="K198" i="4"/>
  <c r="AR198" i="4" s="1"/>
  <c r="K199" i="4"/>
  <c r="AR199" i="4" s="1"/>
  <c r="K200" i="4"/>
  <c r="AR200" i="4" s="1"/>
  <c r="K201" i="4"/>
  <c r="AR201" i="4" s="1"/>
  <c r="K202" i="4"/>
  <c r="AR202" i="4" s="1"/>
  <c r="K203" i="4"/>
  <c r="AR203" i="4" s="1"/>
  <c r="K204" i="4"/>
  <c r="AR204" i="4" s="1"/>
  <c r="K205" i="4"/>
  <c r="AR205" i="4" s="1"/>
  <c r="K206" i="4"/>
  <c r="AR206" i="4" s="1"/>
  <c r="K207" i="4"/>
  <c r="AR207" i="4" s="1"/>
  <c r="K208" i="4"/>
  <c r="AR208" i="4" s="1"/>
  <c r="K209" i="4"/>
  <c r="AR209" i="4" s="1"/>
  <c r="K210" i="4"/>
  <c r="AR210" i="4" s="1"/>
  <c r="K211" i="4"/>
  <c r="AR211" i="4" s="1"/>
  <c r="K212" i="4"/>
  <c r="AR212" i="4" s="1"/>
  <c r="K213" i="4"/>
  <c r="AR213" i="4" s="1"/>
  <c r="K214" i="4"/>
  <c r="AR214" i="4" s="1"/>
  <c r="K215" i="4"/>
  <c r="AR215" i="4" s="1"/>
  <c r="K216" i="4"/>
  <c r="AR216" i="4" s="1"/>
  <c r="K217" i="4"/>
  <c r="AR217" i="4" s="1"/>
  <c r="K218" i="4"/>
  <c r="AR218" i="4" s="1"/>
  <c r="K219" i="4"/>
  <c r="AR219" i="4" s="1"/>
  <c r="K220" i="4"/>
  <c r="AR220" i="4" s="1"/>
  <c r="K221" i="4"/>
  <c r="AR221" i="4" s="1"/>
  <c r="K222" i="4"/>
  <c r="AR222" i="4" s="1"/>
  <c r="K223" i="4"/>
  <c r="AR223" i="4" s="1"/>
  <c r="K224" i="4"/>
  <c r="AR224" i="4" s="1"/>
  <c r="K225" i="4"/>
  <c r="AR225" i="4" s="1"/>
  <c r="K226" i="4"/>
  <c r="AR226" i="4" s="1"/>
  <c r="K227" i="4"/>
  <c r="AR227" i="4" s="1"/>
  <c r="K228" i="4"/>
  <c r="AR228" i="4" s="1"/>
  <c r="K229" i="4"/>
  <c r="AR229" i="4" s="1"/>
  <c r="K230" i="4"/>
  <c r="AR230" i="4" s="1"/>
  <c r="K231" i="4"/>
  <c r="AR231" i="4" s="1"/>
  <c r="K232" i="4"/>
  <c r="AR232" i="4" s="1"/>
  <c r="K233" i="4"/>
  <c r="AR233" i="4" s="1"/>
  <c r="K234" i="4"/>
  <c r="AR234" i="4" s="1"/>
  <c r="K235" i="4"/>
  <c r="AR235" i="4" s="1"/>
  <c r="K236" i="4"/>
  <c r="AR236" i="4" s="1"/>
  <c r="K237" i="4"/>
  <c r="AR237" i="4" s="1"/>
  <c r="K238" i="4"/>
  <c r="AR238" i="4" s="1"/>
  <c r="K239" i="4"/>
  <c r="AR239" i="4" s="1"/>
  <c r="K240" i="4"/>
  <c r="AR240" i="4" s="1"/>
  <c r="K241" i="4"/>
  <c r="AR241" i="4" s="1"/>
  <c r="K242" i="4"/>
  <c r="AR242" i="4" s="1"/>
  <c r="K243" i="4"/>
  <c r="AR243" i="4" s="1"/>
  <c r="K244" i="4"/>
  <c r="AR244" i="4" s="1"/>
  <c r="K245" i="4"/>
  <c r="AR245" i="4" s="1"/>
  <c r="K246" i="4"/>
  <c r="AR246" i="4" s="1"/>
  <c r="K247" i="4"/>
  <c r="AR247" i="4" s="1"/>
  <c r="K248" i="4"/>
  <c r="AR248" i="4" s="1"/>
  <c r="K249" i="4"/>
  <c r="AR249" i="4" s="1"/>
  <c r="K250" i="4"/>
  <c r="AR250" i="4" s="1"/>
  <c r="K251" i="4"/>
  <c r="AR251" i="4" s="1"/>
  <c r="K252" i="4"/>
  <c r="AR252" i="4" s="1"/>
  <c r="K253" i="4"/>
  <c r="AR253" i="4" s="1"/>
  <c r="K254" i="4"/>
  <c r="AR254" i="4" s="1"/>
  <c r="K255" i="4"/>
  <c r="AR255" i="4" s="1"/>
  <c r="K256" i="4"/>
  <c r="AR256" i="4" s="1"/>
  <c r="K257" i="4"/>
  <c r="AR257" i="4" s="1"/>
  <c r="K258" i="4"/>
  <c r="AR258" i="4" s="1"/>
  <c r="K259" i="4"/>
  <c r="AR259" i="4" s="1"/>
  <c r="K260" i="4"/>
  <c r="AR260" i="4" s="1"/>
  <c r="K261" i="4"/>
  <c r="AR261" i="4" s="1"/>
  <c r="K262" i="4"/>
  <c r="AR262" i="4" s="1"/>
  <c r="K263" i="4"/>
  <c r="AR263" i="4" s="1"/>
  <c r="K264" i="4"/>
  <c r="AR264" i="4" s="1"/>
  <c r="K265" i="4"/>
  <c r="AR265" i="4" s="1"/>
  <c r="K266" i="4"/>
  <c r="AR266" i="4" s="1"/>
  <c r="K267" i="4"/>
  <c r="AR267" i="4" s="1"/>
  <c r="K268" i="4"/>
  <c r="AR268" i="4" s="1"/>
  <c r="K269" i="4"/>
  <c r="AR269" i="4" s="1"/>
  <c r="K270" i="4"/>
  <c r="AR270" i="4" s="1"/>
  <c r="K271" i="4"/>
  <c r="AR271" i="4" s="1"/>
  <c r="K272" i="4"/>
  <c r="AR272" i="4" s="1"/>
  <c r="K273" i="4"/>
  <c r="AR273" i="4" s="1"/>
  <c r="K274" i="4"/>
  <c r="AR274" i="4" s="1"/>
  <c r="K275" i="4"/>
  <c r="AR275" i="4" s="1"/>
  <c r="K276" i="4"/>
  <c r="AR276" i="4" s="1"/>
  <c r="K277" i="4"/>
  <c r="AR277" i="4" s="1"/>
  <c r="K278" i="4"/>
  <c r="AR278" i="4" s="1"/>
  <c r="K279" i="4"/>
  <c r="AR279" i="4" s="1"/>
  <c r="K280" i="4"/>
  <c r="AR280" i="4" s="1"/>
  <c r="K281" i="4"/>
  <c r="AR281" i="4" s="1"/>
  <c r="K282" i="4"/>
  <c r="AR282" i="4" s="1"/>
  <c r="K283" i="4"/>
  <c r="AR283" i="4" s="1"/>
  <c r="K284" i="4"/>
  <c r="AR284" i="4" s="1"/>
  <c r="K285" i="4"/>
  <c r="AR285" i="4" s="1"/>
  <c r="K286" i="4"/>
  <c r="AR286" i="4" s="1"/>
  <c r="K287" i="4"/>
  <c r="AR287" i="4" s="1"/>
  <c r="K288" i="4"/>
  <c r="AR288" i="4" s="1"/>
  <c r="K289" i="4"/>
  <c r="AR289" i="4" s="1"/>
  <c r="K290" i="4"/>
  <c r="AR290" i="4" s="1"/>
  <c r="K291" i="4"/>
  <c r="AR291" i="4" s="1"/>
  <c r="K292" i="4"/>
  <c r="AR292" i="4" s="1"/>
  <c r="K293" i="4"/>
  <c r="AR293" i="4" s="1"/>
  <c r="K294" i="4"/>
  <c r="AR294" i="4" s="1"/>
  <c r="K295" i="4"/>
  <c r="AR295" i="4" s="1"/>
  <c r="K296" i="4"/>
  <c r="AR296" i="4" s="1"/>
  <c r="K297" i="4"/>
  <c r="AR297" i="4" s="1"/>
  <c r="K298" i="4"/>
  <c r="AR298" i="4" s="1"/>
  <c r="K299" i="4"/>
  <c r="AR299" i="4" s="1"/>
  <c r="K300" i="4"/>
  <c r="AR300" i="4" s="1"/>
  <c r="K301" i="4"/>
  <c r="AR301" i="4" s="1"/>
  <c r="K302" i="4"/>
  <c r="AR302" i="4" s="1"/>
  <c r="K303" i="4"/>
  <c r="AR303" i="4" s="1"/>
  <c r="K304" i="4"/>
  <c r="AR304" i="4" s="1"/>
  <c r="K305" i="4"/>
  <c r="AR305" i="4" s="1"/>
  <c r="K306" i="4"/>
  <c r="AR306" i="4" s="1"/>
  <c r="K307" i="4"/>
  <c r="AR307" i="4" s="1"/>
  <c r="K308" i="4"/>
  <c r="AR308" i="4" s="1"/>
  <c r="K309" i="4"/>
  <c r="AR309" i="4" s="1"/>
  <c r="K310" i="4"/>
  <c r="AR310" i="4" s="1"/>
  <c r="K311" i="4"/>
  <c r="AR311" i="4" s="1"/>
  <c r="K312" i="4"/>
  <c r="AR312" i="4" s="1"/>
  <c r="K313" i="4"/>
  <c r="AR313" i="4" s="1"/>
  <c r="K314" i="4"/>
  <c r="AR314" i="4" s="1"/>
  <c r="K315" i="4"/>
  <c r="AR315" i="4" s="1"/>
  <c r="K316" i="4"/>
  <c r="AR316" i="4" s="1"/>
  <c r="K317" i="4"/>
  <c r="AR317" i="4" s="1"/>
  <c r="K318" i="4"/>
  <c r="AR318" i="4" s="1"/>
  <c r="K319" i="4"/>
  <c r="AR319" i="4" s="1"/>
  <c r="K320" i="4"/>
  <c r="AR320" i="4" s="1"/>
  <c r="K321" i="4"/>
  <c r="AR321" i="4" s="1"/>
  <c r="K322" i="4"/>
  <c r="AR322" i="4" s="1"/>
  <c r="K323" i="4"/>
  <c r="AR323" i="4" s="1"/>
  <c r="K324" i="4"/>
  <c r="AR324" i="4" s="1"/>
  <c r="K325" i="4"/>
  <c r="AR325" i="4" s="1"/>
  <c r="K326" i="4"/>
  <c r="AR326" i="4" s="1"/>
  <c r="K327" i="4"/>
  <c r="AR327" i="4" s="1"/>
  <c r="K328" i="4"/>
  <c r="AR328" i="4" s="1"/>
  <c r="K329" i="4"/>
  <c r="AR329" i="4" s="1"/>
  <c r="K330" i="4"/>
  <c r="AR330" i="4" s="1"/>
  <c r="K331" i="4"/>
  <c r="AR331" i="4" s="1"/>
  <c r="K332" i="4"/>
  <c r="AR332" i="4" s="1"/>
  <c r="K333" i="4"/>
  <c r="AR333" i="4" s="1"/>
  <c r="K334" i="4"/>
  <c r="AR334" i="4" s="1"/>
  <c r="K335" i="4"/>
  <c r="AR335" i="4" s="1"/>
  <c r="K336" i="4"/>
  <c r="AR336" i="4" s="1"/>
  <c r="K337" i="4"/>
  <c r="AR337" i="4" s="1"/>
  <c r="K338" i="4"/>
  <c r="AR338" i="4" s="1"/>
  <c r="K339" i="4"/>
  <c r="AR339" i="4" s="1"/>
  <c r="K340" i="4"/>
  <c r="AR340" i="4" s="1"/>
  <c r="K341" i="4"/>
  <c r="AR341" i="4" s="1"/>
  <c r="K342" i="4"/>
  <c r="AR342" i="4" s="1"/>
  <c r="K343" i="4"/>
  <c r="AR343" i="4" s="1"/>
  <c r="K344" i="4"/>
  <c r="AR344" i="4" s="1"/>
  <c r="K345" i="4"/>
  <c r="AR345" i="4" s="1"/>
  <c r="K346" i="4"/>
  <c r="AR346" i="4" s="1"/>
  <c r="K347" i="4"/>
  <c r="AR347" i="4" s="1"/>
  <c r="K348" i="4"/>
  <c r="AR348" i="4" s="1"/>
  <c r="K349" i="4"/>
  <c r="AR349" i="4" s="1"/>
  <c r="K350" i="4"/>
  <c r="AR350" i="4" s="1"/>
  <c r="K351" i="4"/>
  <c r="AR351" i="4" s="1"/>
  <c r="K352" i="4"/>
  <c r="AR352" i="4" s="1"/>
  <c r="K353" i="4"/>
  <c r="AR353" i="4" s="1"/>
  <c r="K354" i="4"/>
  <c r="AR354" i="4" s="1"/>
  <c r="K355" i="4"/>
  <c r="AR355" i="4" s="1"/>
  <c r="K356" i="4"/>
  <c r="AR356" i="4" s="1"/>
  <c r="K357" i="4"/>
  <c r="AR357" i="4" s="1"/>
  <c r="K358" i="4"/>
  <c r="AR358" i="4" s="1"/>
  <c r="K359" i="4"/>
  <c r="AR359" i="4" s="1"/>
  <c r="K360" i="4"/>
  <c r="AR360" i="4" s="1"/>
  <c r="K361" i="4"/>
  <c r="AR361" i="4" s="1"/>
  <c r="K362" i="4"/>
  <c r="AR362" i="4" s="1"/>
  <c r="K363" i="4"/>
  <c r="AR363" i="4" s="1"/>
  <c r="K364" i="4"/>
  <c r="AR364" i="4" s="1"/>
  <c r="K365" i="4"/>
  <c r="AR365" i="4" s="1"/>
  <c r="K366" i="4"/>
  <c r="AR366" i="4" s="1"/>
  <c r="K367" i="4"/>
  <c r="AR367" i="4" s="1"/>
  <c r="K368" i="4"/>
  <c r="AR368" i="4" s="1"/>
  <c r="K369" i="4"/>
  <c r="AR369" i="4" s="1"/>
  <c r="K370" i="4"/>
  <c r="AR370" i="4" s="1"/>
  <c r="K371" i="4"/>
  <c r="AR371" i="4" s="1"/>
  <c r="K372" i="4"/>
  <c r="AR372" i="4" s="1"/>
  <c r="K373" i="4"/>
  <c r="AR373" i="4" s="1"/>
  <c r="K374" i="4"/>
  <c r="AR374" i="4" s="1"/>
  <c r="K375" i="4"/>
  <c r="AR375" i="4" s="1"/>
  <c r="K376" i="4"/>
  <c r="AR376" i="4" s="1"/>
  <c r="K377" i="4"/>
  <c r="AR377" i="4" s="1"/>
  <c r="K378" i="4"/>
  <c r="AR378" i="4" s="1"/>
  <c r="K379" i="4"/>
  <c r="AR379" i="4" s="1"/>
  <c r="K380" i="4"/>
  <c r="AR380" i="4" s="1"/>
  <c r="K381" i="4"/>
  <c r="AR381" i="4" s="1"/>
  <c r="K382" i="4"/>
  <c r="AR382" i="4" s="1"/>
  <c r="K383" i="4"/>
  <c r="AR383" i="4" s="1"/>
  <c r="K384" i="4"/>
  <c r="AR384" i="4" s="1"/>
  <c r="K385" i="4"/>
  <c r="AR385" i="4" s="1"/>
  <c r="K386" i="4"/>
  <c r="AR386" i="4" s="1"/>
  <c r="K387" i="4"/>
  <c r="AR387" i="4" s="1"/>
  <c r="K388" i="4"/>
  <c r="AR388" i="4" s="1"/>
  <c r="K389" i="4"/>
  <c r="AR389" i="4" s="1"/>
  <c r="K390" i="4"/>
  <c r="AR390" i="4" s="1"/>
  <c r="K391" i="4"/>
  <c r="AR391" i="4" s="1"/>
  <c r="K392" i="4"/>
  <c r="AR392" i="4" s="1"/>
  <c r="K393" i="4"/>
  <c r="AR393" i="4" s="1"/>
  <c r="K394" i="4"/>
  <c r="AR394" i="4" s="1"/>
  <c r="K395" i="4"/>
  <c r="AR395" i="4" s="1"/>
  <c r="AR11" i="4"/>
  <c r="G11" i="27"/>
  <c r="F11" i="27"/>
  <c r="E11" i="27"/>
  <c r="D11" i="27"/>
  <c r="E14" i="30"/>
  <c r="D14" i="30"/>
  <c r="C14" i="30"/>
  <c r="Q54" i="31"/>
  <c r="AZ93" i="35"/>
  <c r="AK93" i="35"/>
  <c r="V93" i="35"/>
  <c r="G93" i="35"/>
  <c r="BD92" i="35"/>
  <c r="AO92" i="35"/>
  <c r="Z92" i="35"/>
  <c r="K92" i="35"/>
  <c r="AZ71" i="35"/>
  <c r="AK71" i="35"/>
  <c r="V71" i="35"/>
  <c r="G71" i="35"/>
  <c r="BD70" i="35"/>
  <c r="AO70" i="35"/>
  <c r="Z70" i="35"/>
  <c r="K70" i="35"/>
  <c r="AZ49" i="35"/>
  <c r="AK49" i="35"/>
  <c r="V49" i="35"/>
  <c r="G49" i="35"/>
  <c r="BD48" i="35"/>
  <c r="AO48" i="35"/>
  <c r="Z48" i="35"/>
  <c r="K48" i="35"/>
  <c r="AZ27" i="35"/>
  <c r="AK27" i="35"/>
  <c r="V27" i="35"/>
  <c r="G27" i="35"/>
  <c r="BD26" i="35"/>
  <c r="AO26" i="35"/>
  <c r="Z26" i="35"/>
  <c r="K26" i="35"/>
  <c r="AZ5" i="35"/>
  <c r="AK5" i="35"/>
  <c r="V5" i="35"/>
  <c r="G5" i="35"/>
  <c r="BD4" i="35"/>
  <c r="AO4" i="35"/>
  <c r="Z4" i="35"/>
  <c r="K4" i="35"/>
  <c r="A5" i="27"/>
  <c r="B5" i="27"/>
  <c r="G5" i="27" s="1"/>
  <c r="A6" i="27"/>
  <c r="B6" i="27"/>
  <c r="C6" i="27" s="1"/>
  <c r="A7" i="27"/>
  <c r="B7" i="27"/>
  <c r="G7" i="27" s="1"/>
  <c r="A8" i="27"/>
  <c r="B8" i="27"/>
  <c r="E8" i="27" s="1"/>
  <c r="A9" i="27"/>
  <c r="B9" i="27"/>
  <c r="C9" i="27" s="1"/>
  <c r="A12" i="27"/>
  <c r="B12" i="27"/>
  <c r="A13" i="27"/>
  <c r="B13" i="27"/>
  <c r="C11" i="27"/>
  <c r="C13" i="27"/>
  <c r="I16" i="27"/>
  <c r="C12" i="27"/>
  <c r="D6" i="27"/>
  <c r="D5" i="27"/>
  <c r="D9" i="27"/>
  <c r="D8" i="27"/>
  <c r="D7" i="27"/>
  <c r="P6" i="31"/>
  <c r="Q6" i="31"/>
  <c r="Q7" i="31"/>
  <c r="Q9" i="31"/>
  <c r="F8" i="4"/>
  <c r="P8" i="4" s="1"/>
  <c r="G8" i="4"/>
  <c r="Q8" i="4" s="1"/>
  <c r="AE25" i="4"/>
  <c r="BC25" i="4" s="1"/>
  <c r="AE41" i="4"/>
  <c r="BC41" i="4" s="1"/>
  <c r="AE59" i="4"/>
  <c r="BC59" i="4" s="1"/>
  <c r="AE77" i="4"/>
  <c r="BC77" i="4" s="1"/>
  <c r="AE95" i="4"/>
  <c r="BC95" i="4" s="1"/>
  <c r="AE131" i="4"/>
  <c r="BC131" i="4" s="1"/>
  <c r="AE149" i="4"/>
  <c r="BC149" i="4" s="1"/>
  <c r="AE167" i="4"/>
  <c r="BC167" i="4" s="1"/>
  <c r="AE203" i="4"/>
  <c r="BC203" i="4" s="1"/>
  <c r="AE221" i="4"/>
  <c r="BC221" i="4" s="1"/>
  <c r="AE239" i="4"/>
  <c r="BC239" i="4" s="1"/>
  <c r="AE112" i="4"/>
  <c r="BC112" i="4" s="1"/>
  <c r="AE166" i="4"/>
  <c r="BC166" i="4" s="1"/>
  <c r="AE21" i="4"/>
  <c r="BC21" i="4" s="1"/>
  <c r="AE73" i="4"/>
  <c r="BC73" i="4" s="1"/>
  <c r="AE127" i="4"/>
  <c r="BC127" i="4" s="1"/>
  <c r="AE181" i="4"/>
  <c r="BC181" i="4" s="1"/>
  <c r="AE235" i="4"/>
  <c r="BC235" i="4" s="1"/>
  <c r="AE283" i="4"/>
  <c r="BC283" i="4" s="1"/>
  <c r="AE301" i="4"/>
  <c r="BC301" i="4" s="1"/>
  <c r="AE355" i="4"/>
  <c r="BC355" i="4" s="1"/>
  <c r="AE70" i="4"/>
  <c r="BC70" i="4" s="1"/>
  <c r="AE15" i="4"/>
  <c r="BC15" i="4" s="1"/>
  <c r="AE66" i="4"/>
  <c r="BC66" i="4" s="1"/>
  <c r="AE120" i="4"/>
  <c r="BC120" i="4" s="1"/>
  <c r="AE228" i="4"/>
  <c r="BC228" i="4" s="1"/>
  <c r="AE263" i="4"/>
  <c r="BC263" i="4" s="1"/>
  <c r="AE281" i="4"/>
  <c r="BC281" i="4" s="1"/>
  <c r="AE299" i="4"/>
  <c r="BC299" i="4" s="1"/>
  <c r="AE317" i="4"/>
  <c r="BC317" i="4" s="1"/>
  <c r="AE335" i="4"/>
  <c r="BC335" i="4" s="1"/>
  <c r="AE353" i="4"/>
  <c r="BC353" i="4" s="1"/>
  <c r="AE371" i="4"/>
  <c r="BC371" i="4" s="1"/>
  <c r="AE389" i="4"/>
  <c r="BC389" i="4" s="1"/>
  <c r="AE39" i="4"/>
  <c r="BC39" i="4" s="1"/>
  <c r="AE46" i="4"/>
  <c r="BC46" i="4" s="1"/>
  <c r="AE162" i="4"/>
  <c r="BC162" i="4" s="1"/>
  <c r="AE216" i="4"/>
  <c r="BC216" i="4" s="1"/>
  <c r="AE270" i="4"/>
  <c r="BC270" i="4" s="1"/>
  <c r="AE147" i="4"/>
  <c r="BC147" i="4" s="1"/>
  <c r="AE381" i="4"/>
  <c r="BC381" i="4" s="1"/>
  <c r="AE231" i="4"/>
  <c r="BC231" i="4" s="1"/>
  <c r="AE121" i="4"/>
  <c r="BC121" i="4" s="1"/>
  <c r="AE226" i="4"/>
  <c r="BC226" i="4" s="1"/>
  <c r="AE294" i="4"/>
  <c r="BC294" i="4" s="1"/>
  <c r="AE348" i="4"/>
  <c r="BC348" i="4" s="1"/>
  <c r="AE69" i="4"/>
  <c r="BC69" i="4" s="1"/>
  <c r="AE309" i="4"/>
  <c r="BC309" i="4" s="1"/>
  <c r="AE232" i="4"/>
  <c r="BC232" i="4" s="1"/>
  <c r="AE64" i="4"/>
  <c r="BC64" i="4" s="1"/>
  <c r="AE318" i="4"/>
  <c r="BC318" i="4" s="1"/>
  <c r="AE104" i="4"/>
  <c r="BC104" i="4" s="1"/>
  <c r="AE230" i="4"/>
  <c r="BC230" i="4" s="1"/>
  <c r="AE81" i="4"/>
  <c r="BC81" i="4" s="1"/>
  <c r="AE243" i="4"/>
  <c r="BC243" i="4" s="1"/>
  <c r="AE96" i="4"/>
  <c r="BC96" i="4" s="1"/>
  <c r="AE364" i="4"/>
  <c r="BC364" i="4" s="1"/>
  <c r="AE151" i="4"/>
  <c r="BC151" i="4" s="1"/>
  <c r="AE272" i="4"/>
  <c r="BC272" i="4" s="1"/>
  <c r="AE326" i="4"/>
  <c r="BC326" i="4" s="1"/>
  <c r="AE362" i="4"/>
  <c r="BC362" i="4" s="1"/>
  <c r="AE26" i="4"/>
  <c r="BC26" i="4" s="1"/>
  <c r="AE44" i="4"/>
  <c r="BC44" i="4" s="1"/>
  <c r="AE62" i="4"/>
  <c r="BC62" i="4" s="1"/>
  <c r="AE80" i="4"/>
  <c r="BC80" i="4" s="1"/>
  <c r="AE116" i="4"/>
  <c r="BC116" i="4" s="1"/>
  <c r="AE134" i="4"/>
  <c r="BC134" i="4" s="1"/>
  <c r="AE152" i="4"/>
  <c r="BC152" i="4" s="1"/>
  <c r="AE170" i="4"/>
  <c r="BC170" i="4" s="1"/>
  <c r="AE206" i="4"/>
  <c r="BC206" i="4" s="1"/>
  <c r="AE224" i="4"/>
  <c r="BC224" i="4" s="1"/>
  <c r="AE242" i="4"/>
  <c r="BC242" i="4" s="1"/>
  <c r="AE63" i="4"/>
  <c r="BC63" i="4" s="1"/>
  <c r="AE171" i="4"/>
  <c r="BC171" i="4" s="1"/>
  <c r="AE225" i="4"/>
  <c r="BC225" i="4" s="1"/>
  <c r="AE78" i="4"/>
  <c r="BC78" i="4" s="1"/>
  <c r="AE132" i="4"/>
  <c r="BC132" i="4" s="1"/>
  <c r="AE186" i="4"/>
  <c r="BC186" i="4" s="1"/>
  <c r="AE240" i="4"/>
  <c r="BC240" i="4" s="1"/>
  <c r="AE268" i="4"/>
  <c r="BC268" i="4" s="1"/>
  <c r="AE286" i="4"/>
  <c r="BC286" i="4" s="1"/>
  <c r="AE304" i="4"/>
  <c r="BC304" i="4" s="1"/>
  <c r="AE322" i="4"/>
  <c r="BC322" i="4" s="1"/>
  <c r="AE340" i="4"/>
  <c r="BC340" i="4" s="1"/>
  <c r="AE358" i="4"/>
  <c r="BC358" i="4" s="1"/>
  <c r="AE376" i="4"/>
  <c r="BC376" i="4" s="1"/>
  <c r="AE394" i="4"/>
  <c r="BC394" i="4" s="1"/>
  <c r="AE75" i="4"/>
  <c r="BC75" i="4" s="1"/>
  <c r="AE133" i="4"/>
  <c r="BC133" i="4" s="1"/>
  <c r="AE187" i="4"/>
  <c r="BC187" i="4" s="1"/>
  <c r="AE266" i="4"/>
  <c r="BC266" i="4" s="1"/>
  <c r="AE284" i="4"/>
  <c r="BC284" i="4" s="1"/>
  <c r="AE320" i="4"/>
  <c r="BC320" i="4" s="1"/>
  <c r="AE338" i="4"/>
  <c r="BC338" i="4" s="1"/>
  <c r="AE392" i="4"/>
  <c r="BC392" i="4" s="1"/>
  <c r="AE57" i="4"/>
  <c r="BC57" i="4" s="1"/>
  <c r="AE175" i="4"/>
  <c r="BC175" i="4" s="1"/>
  <c r="AE229" i="4"/>
  <c r="BC229" i="4" s="1"/>
  <c r="AE279" i="4"/>
  <c r="BC279" i="4" s="1"/>
  <c r="AE333" i="4"/>
  <c r="BC333" i="4" s="1"/>
  <c r="AE387" i="4"/>
  <c r="BC387" i="4" s="1"/>
  <c r="AE390" i="4"/>
  <c r="BC390" i="4" s="1"/>
  <c r="AE141" i="4"/>
  <c r="BC141" i="4" s="1"/>
  <c r="AE249" i="4"/>
  <c r="BC249" i="4" s="1"/>
  <c r="AE136" i="4"/>
  <c r="BC136" i="4" s="1"/>
  <c r="AE244" i="4"/>
  <c r="BC244" i="4" s="1"/>
  <c r="AE303" i="4"/>
  <c r="BC303" i="4" s="1"/>
  <c r="AE357" i="4"/>
  <c r="BC357" i="4" s="1"/>
  <c r="AE345" i="4"/>
  <c r="BC345" i="4" s="1"/>
  <c r="AE142" i="4"/>
  <c r="BC142" i="4" s="1"/>
  <c r="AE250" i="4"/>
  <c r="BC250" i="4" s="1"/>
  <c r="AE103" i="4"/>
  <c r="BC103" i="4" s="1"/>
  <c r="AE336" i="4"/>
  <c r="BC336" i="4" s="1"/>
  <c r="AE86" i="4"/>
  <c r="BC86" i="4" s="1"/>
  <c r="AE140" i="4"/>
  <c r="BC140" i="4" s="1"/>
  <c r="AE194" i="4"/>
  <c r="BC194" i="4" s="1"/>
  <c r="AE135" i="4"/>
  <c r="BC135" i="4" s="1"/>
  <c r="AE42" i="4"/>
  <c r="BC42" i="4" s="1"/>
  <c r="AE204" i="4"/>
  <c r="BC204" i="4" s="1"/>
  <c r="AE254" i="4"/>
  <c r="BC254" i="4" s="1"/>
  <c r="AE14" i="4"/>
  <c r="BC14" i="4" s="1"/>
  <c r="AE29" i="4"/>
  <c r="BC29" i="4" s="1"/>
  <c r="AE65" i="4"/>
  <c r="BC65" i="4" s="1"/>
  <c r="AE83" i="4"/>
  <c r="BC83" i="4" s="1"/>
  <c r="AE101" i="4"/>
  <c r="BC101" i="4" s="1"/>
  <c r="AE137" i="4"/>
  <c r="BC137" i="4" s="1"/>
  <c r="AE155" i="4"/>
  <c r="BC155" i="4" s="1"/>
  <c r="AE173" i="4"/>
  <c r="BC173" i="4" s="1"/>
  <c r="AE191" i="4"/>
  <c r="BC191" i="4" s="1"/>
  <c r="AE209" i="4"/>
  <c r="BC209" i="4" s="1"/>
  <c r="AE227" i="4"/>
  <c r="BC227" i="4" s="1"/>
  <c r="AE245" i="4"/>
  <c r="BC245" i="4" s="1"/>
  <c r="AE24" i="4"/>
  <c r="BC24" i="4" s="1"/>
  <c r="AE130" i="4"/>
  <c r="BC130" i="4" s="1"/>
  <c r="AE238" i="4"/>
  <c r="BC238" i="4" s="1"/>
  <c r="AE37" i="4"/>
  <c r="BC37" i="4" s="1"/>
  <c r="AE91" i="4"/>
  <c r="BC91" i="4" s="1"/>
  <c r="AE145" i="4"/>
  <c r="BC145" i="4" s="1"/>
  <c r="AE199" i="4"/>
  <c r="BC199" i="4" s="1"/>
  <c r="AE253" i="4"/>
  <c r="BC253" i="4" s="1"/>
  <c r="AE271" i="4"/>
  <c r="BC271" i="4" s="1"/>
  <c r="AE289" i="4"/>
  <c r="BC289" i="4" s="1"/>
  <c r="AE307" i="4"/>
  <c r="BC307" i="4" s="1"/>
  <c r="AE325" i="4"/>
  <c r="BC325" i="4" s="1"/>
  <c r="AE343" i="4"/>
  <c r="BC343" i="4" s="1"/>
  <c r="AE361" i="4"/>
  <c r="BC361" i="4" s="1"/>
  <c r="AE379" i="4"/>
  <c r="BC379" i="4" s="1"/>
  <c r="AE93" i="4"/>
  <c r="BC93" i="4" s="1"/>
  <c r="AE30" i="4"/>
  <c r="BC30" i="4" s="1"/>
  <c r="AE84" i="4"/>
  <c r="BC84" i="4" s="1"/>
  <c r="AE138" i="4"/>
  <c r="BC138" i="4" s="1"/>
  <c r="AE246" i="4"/>
  <c r="BC246" i="4" s="1"/>
  <c r="AE269" i="4"/>
  <c r="BC269" i="4" s="1"/>
  <c r="AE287" i="4"/>
  <c r="BC287" i="4" s="1"/>
  <c r="AE305" i="4"/>
  <c r="BC305" i="4" s="1"/>
  <c r="AE323" i="4"/>
  <c r="BC323" i="4" s="1"/>
  <c r="AE395" i="4"/>
  <c r="BC395" i="4" s="1"/>
  <c r="AE88" i="4"/>
  <c r="BC88" i="4" s="1"/>
  <c r="AE100" i="4"/>
  <c r="BC100" i="4" s="1"/>
  <c r="AE180" i="4"/>
  <c r="BC180" i="4" s="1"/>
  <c r="AE288" i="4"/>
  <c r="BC288" i="4" s="1"/>
  <c r="AE396" i="4"/>
  <c r="BC396" i="4" s="1"/>
  <c r="AE159" i="4"/>
  <c r="BC159" i="4" s="1"/>
  <c r="AE16" i="4"/>
  <c r="BC16" i="4" s="1"/>
  <c r="AE154" i="4"/>
  <c r="BC154" i="4" s="1"/>
  <c r="AE258" i="4"/>
  <c r="BC258" i="4" s="1"/>
  <c r="AE312" i="4"/>
  <c r="BC312" i="4" s="1"/>
  <c r="AE366" i="4"/>
  <c r="BC366" i="4" s="1"/>
  <c r="AE165" i="4"/>
  <c r="BC165" i="4" s="1"/>
  <c r="AE160" i="4"/>
  <c r="BC160" i="4" s="1"/>
  <c r="AE183" i="4"/>
  <c r="BC183" i="4" s="1"/>
  <c r="AE363" i="4"/>
  <c r="BC363" i="4" s="1"/>
  <c r="AE122" i="4"/>
  <c r="BC122" i="4" s="1"/>
  <c r="AE176" i="4"/>
  <c r="BC176" i="4" s="1"/>
  <c r="AE189" i="4"/>
  <c r="BC189" i="4" s="1"/>
  <c r="AE150" i="4"/>
  <c r="BC150" i="4" s="1"/>
  <c r="AE292" i="4"/>
  <c r="BC292" i="4" s="1"/>
  <c r="AE346" i="4"/>
  <c r="BC346" i="4" s="1"/>
  <c r="AE18" i="4"/>
  <c r="BC18" i="4" s="1"/>
  <c r="AE97" i="4"/>
  <c r="BC97" i="4" s="1"/>
  <c r="AE205" i="4"/>
  <c r="BC205" i="4" s="1"/>
  <c r="AE344" i="4"/>
  <c r="BC344" i="4" s="1"/>
  <c r="AE19" i="4"/>
  <c r="BC19" i="4" s="1"/>
  <c r="AE71" i="4"/>
  <c r="BC71" i="4" s="1"/>
  <c r="AE125" i="4"/>
  <c r="BC125" i="4" s="1"/>
  <c r="AE179" i="4"/>
  <c r="BC179" i="4" s="1"/>
  <c r="AE94" i="4"/>
  <c r="BC94" i="4" s="1"/>
  <c r="AE277" i="4"/>
  <c r="BC277" i="4" s="1"/>
  <c r="AE331" i="4"/>
  <c r="BC331" i="4" s="1"/>
  <c r="AE385" i="4"/>
  <c r="BC385" i="4" s="1"/>
  <c r="AE48" i="4"/>
  <c r="BC48" i="4" s="1"/>
  <c r="AE210" i="4"/>
  <c r="BC210" i="4" s="1"/>
  <c r="AE293" i="4"/>
  <c r="BC293" i="4" s="1"/>
  <c r="AE347" i="4"/>
  <c r="BC347" i="4" s="1"/>
  <c r="AE386" i="4"/>
  <c r="BC386" i="4" s="1"/>
  <c r="AE31" i="4"/>
  <c r="BC31" i="4" s="1"/>
  <c r="AE211" i="4"/>
  <c r="BC211" i="4" s="1"/>
  <c r="AE315" i="4"/>
  <c r="BC315" i="4" s="1"/>
  <c r="AE118" i="4"/>
  <c r="BC118" i="4" s="1"/>
  <c r="AE87" i="4"/>
  <c r="BC87" i="4" s="1"/>
  <c r="AE90" i="4"/>
  <c r="BC90" i="4" s="1"/>
  <c r="AE38" i="4"/>
  <c r="BC38" i="4" s="1"/>
  <c r="BC11" i="4"/>
  <c r="AE352" i="4"/>
  <c r="BC352" i="4" s="1"/>
  <c r="AE115" i="4"/>
  <c r="BC115" i="4" s="1"/>
  <c r="AE314" i="4"/>
  <c r="BC314" i="4" s="1"/>
  <c r="AE23" i="4"/>
  <c r="BC23" i="4" s="1"/>
  <c r="AE261" i="4"/>
  <c r="BC261" i="4" s="1"/>
  <c r="AE213" i="4"/>
  <c r="BC213" i="4" s="1"/>
  <c r="AE214" i="4"/>
  <c r="BC214" i="4" s="1"/>
  <c r="AE53" i="4"/>
  <c r="BC53" i="4" s="1"/>
  <c r="AE40" i="4"/>
  <c r="BC40" i="4" s="1"/>
  <c r="AE109" i="4"/>
  <c r="BC109" i="4" s="1"/>
  <c r="AE313" i="4"/>
  <c r="BC313" i="4" s="1"/>
  <c r="AE156" i="4"/>
  <c r="BC156" i="4" s="1"/>
  <c r="AE275" i="4"/>
  <c r="BC275" i="4" s="1"/>
  <c r="AE111" i="4"/>
  <c r="BC111" i="4" s="1"/>
  <c r="AE297" i="4"/>
  <c r="BC297" i="4" s="1"/>
  <c r="AE33" i="4"/>
  <c r="BC33" i="4" s="1"/>
  <c r="AE375" i="4"/>
  <c r="BC375" i="4" s="1"/>
  <c r="AE17" i="4"/>
  <c r="BC17" i="4" s="1"/>
  <c r="AE56" i="4"/>
  <c r="BC56" i="4" s="1"/>
  <c r="AE207" i="4"/>
  <c r="BC207" i="4" s="1"/>
  <c r="AE262" i="4"/>
  <c r="BC262" i="4" s="1"/>
  <c r="AE332" i="4"/>
  <c r="BC332" i="4" s="1"/>
  <c r="AE198" i="4"/>
  <c r="BC198" i="4" s="1"/>
  <c r="AE72" i="4"/>
  <c r="BC72" i="4" s="1"/>
  <c r="AE384" i="4"/>
  <c r="BC384" i="4" s="1"/>
  <c r="AE22" i="4"/>
  <c r="BC22" i="4" s="1"/>
  <c r="AE74" i="4"/>
  <c r="BC74" i="4" s="1"/>
  <c r="AE128" i="4"/>
  <c r="BC128" i="4" s="1"/>
  <c r="AE182" i="4"/>
  <c r="BC182" i="4" s="1"/>
  <c r="AE99" i="4"/>
  <c r="BC99" i="4" s="1"/>
  <c r="AE168" i="4"/>
  <c r="BC168" i="4" s="1"/>
  <c r="AE280" i="4"/>
  <c r="BC280" i="4" s="1"/>
  <c r="AE334" i="4"/>
  <c r="BC334" i="4" s="1"/>
  <c r="AE388" i="4"/>
  <c r="BC388" i="4" s="1"/>
  <c r="AE61" i="4"/>
  <c r="BC61" i="4" s="1"/>
  <c r="AE296" i="4"/>
  <c r="BC296" i="4" s="1"/>
  <c r="AE350" i="4"/>
  <c r="BC350" i="4" s="1"/>
  <c r="AE139" i="4"/>
  <c r="BC139" i="4" s="1"/>
  <c r="AE247" i="4"/>
  <c r="BC247" i="4" s="1"/>
  <c r="AE351" i="4"/>
  <c r="BC351" i="4" s="1"/>
  <c r="AE300" i="4"/>
  <c r="BC300" i="4" s="1"/>
  <c r="AE177" i="4"/>
  <c r="BC177" i="4" s="1"/>
  <c r="AE172" i="4"/>
  <c r="BC172" i="4" s="1"/>
  <c r="AE321" i="4"/>
  <c r="BC321" i="4" s="1"/>
  <c r="AE219" i="4"/>
  <c r="BC219" i="4" s="1"/>
  <c r="AE178" i="4"/>
  <c r="BC178" i="4" s="1"/>
  <c r="AE201" i="4"/>
  <c r="BC201" i="4" s="1"/>
  <c r="AE92" i="4"/>
  <c r="BC92" i="4" s="1"/>
  <c r="AE200" i="4"/>
  <c r="BC200" i="4" s="1"/>
  <c r="AE222" i="4"/>
  <c r="BC222" i="4" s="1"/>
  <c r="AE298" i="4"/>
  <c r="BC298" i="4" s="1"/>
  <c r="AE52" i="4"/>
  <c r="BC52" i="4" s="1"/>
  <c r="AE260" i="4"/>
  <c r="BC260" i="4" s="1"/>
  <c r="AE157" i="4"/>
  <c r="BC157" i="4" s="1"/>
  <c r="AE369" i="4"/>
  <c r="BC369" i="4" s="1"/>
  <c r="AE354" i="4"/>
  <c r="BC354" i="4" s="1"/>
  <c r="AE208" i="4"/>
  <c r="BC208" i="4" s="1"/>
  <c r="AE291" i="4"/>
  <c r="BC291" i="4" s="1"/>
  <c r="AE282" i="4"/>
  <c r="BC282" i="4" s="1"/>
  <c r="AE215" i="4"/>
  <c r="BC215" i="4" s="1"/>
  <c r="AE259" i="4"/>
  <c r="BC259" i="4" s="1"/>
  <c r="AE367" i="4"/>
  <c r="BC367" i="4" s="1"/>
  <c r="AE124" i="4"/>
  <c r="BC124" i="4" s="1"/>
  <c r="AE380" i="4"/>
  <c r="BC380" i="4" s="1"/>
  <c r="AE193" i="4"/>
  <c r="BC193" i="4" s="1"/>
  <c r="AE36" i="4"/>
  <c r="BC36" i="4" s="1"/>
  <c r="AE110" i="4"/>
  <c r="BC110" i="4" s="1"/>
  <c r="AE218" i="4"/>
  <c r="BC218" i="4" s="1"/>
  <c r="AE316" i="4"/>
  <c r="BC316" i="4" s="1"/>
  <c r="AE67" i="4"/>
  <c r="BC67" i="4" s="1"/>
  <c r="AE108" i="4"/>
  <c r="BC108" i="4" s="1"/>
  <c r="AE35" i="4"/>
  <c r="BC35" i="4" s="1"/>
  <c r="AE89" i="4"/>
  <c r="BC89" i="4" s="1"/>
  <c r="AE143" i="4"/>
  <c r="BC143" i="4" s="1"/>
  <c r="AE197" i="4"/>
  <c r="BC197" i="4" s="1"/>
  <c r="AE251" i="4"/>
  <c r="BC251" i="4" s="1"/>
  <c r="AE148" i="4"/>
  <c r="BC148" i="4" s="1"/>
  <c r="AE55" i="4"/>
  <c r="BC55" i="4" s="1"/>
  <c r="AE217" i="4"/>
  <c r="BC217" i="4" s="1"/>
  <c r="AE295" i="4"/>
  <c r="BC295" i="4" s="1"/>
  <c r="AE349" i="4"/>
  <c r="BC349" i="4" s="1"/>
  <c r="AE34" i="4"/>
  <c r="BC34" i="4" s="1"/>
  <c r="AE102" i="4"/>
  <c r="BC102" i="4" s="1"/>
  <c r="AE257" i="4"/>
  <c r="BC257" i="4" s="1"/>
  <c r="AE311" i="4"/>
  <c r="BC311" i="4" s="1"/>
  <c r="AE365" i="4"/>
  <c r="BC365" i="4" s="1"/>
  <c r="AE144" i="4"/>
  <c r="BC144" i="4" s="1"/>
  <c r="AE252" i="4"/>
  <c r="BC252" i="4" s="1"/>
  <c r="AE360" i="4"/>
  <c r="BC360" i="4" s="1"/>
  <c r="AE327" i="4"/>
  <c r="BC327" i="4" s="1"/>
  <c r="AE195" i="4"/>
  <c r="BC195" i="4" s="1"/>
  <c r="AE190" i="4"/>
  <c r="BC190" i="4" s="1"/>
  <c r="AE330" i="4"/>
  <c r="BC330" i="4" s="1"/>
  <c r="AE237" i="4"/>
  <c r="BC237" i="4" s="1"/>
  <c r="AE196" i="4"/>
  <c r="BC196" i="4" s="1"/>
  <c r="AE273" i="4"/>
  <c r="BC273" i="4" s="1"/>
  <c r="AE146" i="4"/>
  <c r="BC146" i="4" s="1"/>
  <c r="AE107" i="4"/>
  <c r="BC107" i="4" s="1"/>
  <c r="AE329" i="4"/>
  <c r="BC329" i="4" s="1"/>
  <c r="AE54" i="4"/>
  <c r="BC54" i="4" s="1"/>
  <c r="AE12" i="4"/>
  <c r="BC12" i="4" s="1"/>
  <c r="AE45" i="4"/>
  <c r="BC45" i="4" s="1"/>
  <c r="AE114" i="4"/>
  <c r="BC114" i="4" s="1"/>
  <c r="AE370" i="4"/>
  <c r="BC370" i="4" s="1"/>
  <c r="AE278" i="4"/>
  <c r="BC278" i="4" s="1"/>
  <c r="AE129" i="4"/>
  <c r="BC129" i="4" s="1"/>
  <c r="AE123" i="4"/>
  <c r="BC123" i="4" s="1"/>
  <c r="AE276" i="4"/>
  <c r="BC276" i="4" s="1"/>
  <c r="AE51" i="4"/>
  <c r="BC51" i="4" s="1"/>
  <c r="A9" i="30"/>
  <c r="A8" i="30"/>
  <c r="A7" i="30"/>
  <c r="A6" i="30"/>
  <c r="A5" i="30"/>
  <c r="AE267" i="4"/>
  <c r="BC267" i="4" s="1"/>
  <c r="AE236" i="4"/>
  <c r="BC236" i="4" s="1"/>
  <c r="AE164" i="4"/>
  <c r="BC164" i="4" s="1"/>
  <c r="AE341" i="4"/>
  <c r="BC341" i="4" s="1"/>
  <c r="AE192" i="4"/>
  <c r="BC192" i="4" s="1"/>
  <c r="AE119" i="4"/>
  <c r="BC119" i="4" s="1"/>
  <c r="AE368" i="4"/>
  <c r="BC368" i="4" s="1"/>
  <c r="AE163" i="4"/>
  <c r="BC163" i="4" s="1"/>
  <c r="AE212" i="4"/>
  <c r="BC212" i="4" s="1"/>
  <c r="AE264" i="4"/>
  <c r="BC264" i="4" s="1"/>
  <c r="AE184" i="4"/>
  <c r="BC184" i="4" s="1"/>
  <c r="AE308" i="4"/>
  <c r="BC308" i="4" s="1"/>
  <c r="AE32" i="4"/>
  <c r="BC32" i="4" s="1"/>
  <c r="AE49" i="4"/>
  <c r="BC49" i="4" s="1"/>
  <c r="AE356" i="4"/>
  <c r="BC356" i="4" s="1"/>
  <c r="AE241" i="4"/>
  <c r="BC241" i="4" s="1"/>
  <c r="AE106" i="4"/>
  <c r="BC106" i="4" s="1"/>
  <c r="AE174" i="4"/>
  <c r="BC174" i="4" s="1"/>
  <c r="AE373" i="4"/>
  <c r="BC373" i="4" s="1"/>
  <c r="AE265" i="4"/>
  <c r="BC265" i="4" s="1"/>
  <c r="AE220" i="4"/>
  <c r="BC220" i="4" s="1"/>
  <c r="AE113" i="4"/>
  <c r="BC113" i="4" s="1"/>
  <c r="AE306" i="4"/>
  <c r="BC306" i="4" s="1"/>
  <c r="AE169" i="4"/>
  <c r="BC169" i="4" s="1"/>
  <c r="AE339" i="4"/>
  <c r="BC339" i="4" s="1"/>
  <c r="AE393" i="4"/>
  <c r="BC393" i="4" s="1"/>
  <c r="AE342" i="4"/>
  <c r="BC342" i="4" s="1"/>
  <c r="AE76" i="4"/>
  <c r="BC76" i="4" s="1"/>
  <c r="AE43" i="4"/>
  <c r="BC43" i="4" s="1"/>
  <c r="AE248" i="4"/>
  <c r="BC248" i="4" s="1"/>
  <c r="AE255" i="4"/>
  <c r="BC255" i="4" s="1"/>
  <c r="AE85" i="4"/>
  <c r="BC85" i="4" s="1"/>
  <c r="AE98" i="4"/>
  <c r="BC98" i="4" s="1"/>
  <c r="AE328" i="4"/>
  <c r="BC328" i="4" s="1"/>
  <c r="AE378" i="4"/>
  <c r="BC378" i="4" s="1"/>
  <c r="AE337" i="4"/>
  <c r="BC337" i="4" s="1"/>
  <c r="AE185" i="4"/>
  <c r="BC185" i="4" s="1"/>
  <c r="AE383" i="4"/>
  <c r="BC383" i="4" s="1"/>
  <c r="AE28" i="4"/>
  <c r="BC28" i="4" s="1"/>
  <c r="AE202" i="4"/>
  <c r="BC202" i="4" s="1"/>
  <c r="AE223" i="4"/>
  <c r="BC223" i="4" s="1"/>
  <c r="AE60" i="4"/>
  <c r="BC60" i="4" s="1"/>
  <c r="AE285" i="4"/>
  <c r="BC285" i="4" s="1"/>
  <c r="AE233" i="4"/>
  <c r="BC233" i="4" s="1"/>
  <c r="AE290" i="4"/>
  <c r="BC290" i="4" s="1"/>
  <c r="AE68" i="4"/>
  <c r="BC68" i="4" s="1"/>
  <c r="AE372" i="4"/>
  <c r="BC372" i="4" s="1"/>
  <c r="AE377" i="4"/>
  <c r="BC377" i="4" s="1"/>
  <c r="AE47" i="4"/>
  <c r="BC47" i="4" s="1"/>
  <c r="AE382" i="4"/>
  <c r="BC382" i="4" s="1"/>
  <c r="AE302" i="4"/>
  <c r="BC302" i="4" s="1"/>
  <c r="AE79" i="4"/>
  <c r="BC79" i="4" s="1"/>
  <c r="AE117" i="4"/>
  <c r="BC117" i="4" s="1"/>
  <c r="AE188" i="4"/>
  <c r="BC188" i="4" s="1"/>
  <c r="AE274" i="4"/>
  <c r="BC274" i="4" s="1"/>
  <c r="AE158" i="4"/>
  <c r="BC158" i="4" s="1"/>
  <c r="AE105" i="4"/>
  <c r="BC105" i="4" s="1"/>
  <c r="AE324" i="4"/>
  <c r="BC324" i="4" s="1"/>
  <c r="AE319" i="4"/>
  <c r="BC319" i="4" s="1"/>
  <c r="AE58" i="4"/>
  <c r="BC58" i="4" s="1"/>
  <c r="AE82" i="4"/>
  <c r="BC82" i="4" s="1"/>
  <c r="AE234" i="4"/>
  <c r="BC234" i="4" s="1"/>
  <c r="AE359" i="4"/>
  <c r="BC359" i="4" s="1"/>
  <c r="AE310" i="4"/>
  <c r="BC310" i="4" s="1"/>
  <c r="AE20" i="4"/>
  <c r="BC20" i="4" s="1"/>
  <c r="AE256" i="4"/>
  <c r="BC256" i="4" s="1"/>
  <c r="AE153" i="4"/>
  <c r="BC153" i="4" s="1"/>
  <c r="AE161" i="4"/>
  <c r="BC161" i="4" s="1"/>
  <c r="AE27" i="4"/>
  <c r="BC27" i="4" s="1"/>
  <c r="AE374" i="4"/>
  <c r="BC374" i="4" s="1"/>
  <c r="AE13" i="4"/>
  <c r="BC13" i="4" s="1"/>
  <c r="AE50" i="4"/>
  <c r="BC50" i="4" s="1"/>
  <c r="AE126" i="4"/>
  <c r="BC126" i="4" s="1"/>
  <c r="AE391" i="4"/>
  <c r="BC391" i="4" s="1"/>
  <c r="H14" i="30"/>
  <c r="J42" i="27"/>
  <c r="Z2" i="27"/>
  <c r="L7" i="31"/>
  <c r="J7" i="31"/>
  <c r="H7" i="31"/>
  <c r="F7" i="31"/>
  <c r="X10" i="31"/>
  <c r="S12" i="31"/>
  <c r="S10" i="31"/>
  <c r="Q11" i="31"/>
  <c r="R11" i="31"/>
  <c r="Q12" i="31"/>
  <c r="S11" i="31"/>
  <c r="R12" i="31"/>
  <c r="X18" i="31"/>
  <c r="X34" i="31"/>
  <c r="X30" i="31"/>
  <c r="X22" i="31"/>
  <c r="X38" i="31"/>
  <c r="X46" i="31"/>
  <c r="X26" i="31"/>
  <c r="X42" i="31"/>
  <c r="R10" i="31"/>
  <c r="Q10" i="31"/>
  <c r="Z42" i="27"/>
  <c r="J80" i="27"/>
  <c r="AJ22" i="31"/>
  <c r="AJ26" i="31"/>
  <c r="AJ42" i="31"/>
  <c r="AJ18" i="31"/>
  <c r="AJ34" i="31"/>
  <c r="AJ14" i="31"/>
  <c r="AJ10" i="31"/>
  <c r="AJ38" i="31"/>
  <c r="AJ30" i="31"/>
  <c r="AJ46" i="31"/>
  <c r="P12" i="31"/>
  <c r="P11" i="31"/>
  <c r="P10" i="31"/>
  <c r="N13" i="31"/>
  <c r="AP42" i="27"/>
  <c r="Z80" i="27"/>
  <c r="AP80" i="27"/>
  <c r="J119" i="27"/>
  <c r="J13" i="31"/>
  <c r="H13" i="31"/>
  <c r="F13" i="31"/>
  <c r="L13" i="31"/>
  <c r="BF42" i="27"/>
  <c r="AP119" i="27"/>
  <c r="J158" i="27"/>
  <c r="Z119" i="27"/>
  <c r="BF80" i="27"/>
  <c r="BF119" i="27"/>
  <c r="Z158" i="27"/>
  <c r="A1" i="31"/>
  <c r="D1" i="31"/>
  <c r="A2" i="31"/>
  <c r="D2" i="31"/>
  <c r="E2" i="31"/>
  <c r="F2" i="31"/>
  <c r="Q2" i="31"/>
  <c r="A3" i="31"/>
  <c r="D3" i="31"/>
  <c r="F3" i="31"/>
  <c r="J3" i="31"/>
  <c r="A4" i="31"/>
  <c r="B4" i="31"/>
  <c r="E4" i="31"/>
  <c r="R6" i="31"/>
  <c r="R7" i="31"/>
  <c r="R9" i="31"/>
  <c r="AP158" i="27"/>
  <c r="BF158" i="27"/>
  <c r="X1146" i="31"/>
  <c r="X1076" i="31"/>
  <c r="X1022" i="31"/>
  <c r="X962" i="31"/>
  <c r="X908" i="31"/>
  <c r="X854" i="31"/>
  <c r="X800" i="31"/>
  <c r="X762" i="31"/>
  <c r="X708" i="31"/>
  <c r="X654" i="31"/>
  <c r="X594" i="31"/>
  <c r="X540" i="31"/>
  <c r="X486" i="31"/>
  <c r="X432" i="31"/>
  <c r="X378" i="31"/>
  <c r="X318" i="31"/>
  <c r="X264" i="31"/>
  <c r="X210" i="31"/>
  <c r="X118" i="31"/>
  <c r="X64" i="31"/>
  <c r="X1150" i="31"/>
  <c r="X1134" i="31"/>
  <c r="X1118" i="31"/>
  <c r="X1096" i="31"/>
  <c r="X1080" i="31"/>
  <c r="X1058" i="31"/>
  <c r="X1042" i="31"/>
  <c r="X1026" i="31"/>
  <c r="X1004" i="31"/>
  <c r="X988" i="31"/>
  <c r="X966" i="31"/>
  <c r="X950" i="31"/>
  <c r="X934" i="31"/>
  <c r="X912" i="31"/>
  <c r="X896" i="31"/>
  <c r="X874" i="31"/>
  <c r="X858" i="31"/>
  <c r="X842" i="31"/>
  <c r="X820" i="31"/>
  <c r="X804" i="31"/>
  <c r="X782" i="31"/>
  <c r="X766" i="31"/>
  <c r="X750" i="31"/>
  <c r="X728" i="31"/>
  <c r="X712" i="31"/>
  <c r="X690" i="31"/>
  <c r="X674" i="31"/>
  <c r="X658" i="31"/>
  <c r="X636" i="31"/>
  <c r="X620" i="31"/>
  <c r="X598" i="31"/>
  <c r="X582" i="31"/>
  <c r="X566" i="31"/>
  <c r="X544" i="31"/>
  <c r="X528" i="31"/>
  <c r="X506" i="31"/>
  <c r="X490" i="31"/>
  <c r="X474" i="31"/>
  <c r="X452" i="31"/>
  <c r="X436" i="31"/>
  <c r="X414" i="31"/>
  <c r="X398" i="31"/>
  <c r="X382" i="31"/>
  <c r="X360" i="31"/>
  <c r="X344" i="31"/>
  <c r="X322" i="31"/>
  <c r="X306" i="31"/>
  <c r="X290" i="31"/>
  <c r="X268" i="31"/>
  <c r="X252" i="31"/>
  <c r="X230" i="31"/>
  <c r="X214" i="31"/>
  <c r="X198" i="31"/>
  <c r="X176" i="31"/>
  <c r="X160" i="31"/>
  <c r="X138" i="31"/>
  <c r="X122" i="31"/>
  <c r="X106" i="31"/>
  <c r="X84" i="31"/>
  <c r="X68" i="31"/>
  <c r="X1130" i="31"/>
  <c r="X1092" i="31"/>
  <c r="X1038" i="31"/>
  <c r="X984" i="31"/>
  <c r="X930" i="31"/>
  <c r="X870" i="31"/>
  <c r="X816" i="31"/>
  <c r="X746" i="31"/>
  <c r="X670" i="31"/>
  <c r="X616" i="31"/>
  <c r="X562" i="31"/>
  <c r="X502" i="31"/>
  <c r="X448" i="31"/>
  <c r="X394" i="31"/>
  <c r="X340" i="31"/>
  <c r="X302" i="31"/>
  <c r="X226" i="31"/>
  <c r="X172" i="31"/>
  <c r="X134" i="31"/>
  <c r="X102" i="31"/>
  <c r="X1142" i="31"/>
  <c r="X1126" i="31"/>
  <c r="X1104" i="31"/>
  <c r="X1088" i="31"/>
  <c r="X1072" i="31"/>
  <c r="X1050" i="31"/>
  <c r="X1034" i="31"/>
  <c r="X1012" i="31"/>
  <c r="X996" i="31"/>
  <c r="X980" i="31"/>
  <c r="X958" i="31"/>
  <c r="X942" i="31"/>
  <c r="X920" i="31"/>
  <c r="X904" i="31"/>
  <c r="X888" i="31"/>
  <c r="X866" i="31"/>
  <c r="X850" i="31"/>
  <c r="X828" i="31"/>
  <c r="X812" i="31"/>
  <c r="X796" i="31"/>
  <c r="X774" i="31"/>
  <c r="X758" i="31"/>
  <c r="X736" i="31"/>
  <c r="X720" i="31"/>
  <c r="X704" i="31"/>
  <c r="X682" i="31"/>
  <c r="X666" i="31"/>
  <c r="X644" i="31"/>
  <c r="X628" i="31"/>
  <c r="X612" i="31"/>
  <c r="X590" i="31"/>
  <c r="X574" i="31"/>
  <c r="X552" i="31"/>
  <c r="X536" i="31"/>
  <c r="X520" i="31"/>
  <c r="X498" i="31"/>
  <c r="X482" i="31"/>
  <c r="X460" i="31"/>
  <c r="X444" i="31"/>
  <c r="X428" i="31"/>
  <c r="X406" i="31"/>
  <c r="X390" i="31"/>
  <c r="X368" i="31"/>
  <c r="X352" i="31"/>
  <c r="X336" i="31"/>
  <c r="X314" i="31"/>
  <c r="X298" i="31"/>
  <c r="X276" i="31"/>
  <c r="X260" i="31"/>
  <c r="X244" i="31"/>
  <c r="X222" i="31"/>
  <c r="X206" i="31"/>
  <c r="X184" i="31"/>
  <c r="X168" i="31"/>
  <c r="X152" i="31"/>
  <c r="X130" i="31"/>
  <c r="X114" i="31"/>
  <c r="X92" i="31"/>
  <c r="X76" i="31"/>
  <c r="X60" i="31"/>
  <c r="X1114" i="31"/>
  <c r="X1054" i="31"/>
  <c r="X1000" i="31"/>
  <c r="X946" i="31"/>
  <c r="X892" i="31"/>
  <c r="X838" i="31"/>
  <c r="X778" i="31"/>
  <c r="X724" i="31"/>
  <c r="X686" i="31"/>
  <c r="X632" i="31"/>
  <c r="X578" i="31"/>
  <c r="X524" i="31"/>
  <c r="X470" i="31"/>
  <c r="X410" i="31"/>
  <c r="X356" i="31"/>
  <c r="X286" i="31"/>
  <c r="X248" i="31"/>
  <c r="X194" i="31"/>
  <c r="X156" i="31"/>
  <c r="X80" i="31"/>
  <c r="X1138" i="31"/>
  <c r="X1122" i="31"/>
  <c r="X1100" i="31"/>
  <c r="X1084" i="31"/>
  <c r="X1068" i="31"/>
  <c r="X1046" i="31"/>
  <c r="X1030" i="31"/>
  <c r="X1008" i="31"/>
  <c r="X992" i="31"/>
  <c r="X976" i="31"/>
  <c r="X954" i="31"/>
  <c r="X938" i="31"/>
  <c r="X916" i="31"/>
  <c r="X900" i="31"/>
  <c r="X884" i="31"/>
  <c r="X862" i="31"/>
  <c r="X846" i="31"/>
  <c r="X824" i="31"/>
  <c r="X808" i="31"/>
  <c r="X792" i="31"/>
  <c r="X770" i="31"/>
  <c r="X754" i="31"/>
  <c r="X732" i="31"/>
  <c r="X716" i="31"/>
  <c r="X700" i="31"/>
  <c r="X678" i="31"/>
  <c r="X662" i="31"/>
  <c r="X640" i="31"/>
  <c r="X624" i="31"/>
  <c r="X608" i="31"/>
  <c r="X586" i="31"/>
  <c r="X570" i="31"/>
  <c r="X548" i="31"/>
  <c r="X532" i="31"/>
  <c r="X516" i="31"/>
  <c r="X494" i="31"/>
  <c r="X478" i="31"/>
  <c r="X456" i="31"/>
  <c r="X440" i="31"/>
  <c r="X424" i="31"/>
  <c r="X402" i="31"/>
  <c r="X386" i="31"/>
  <c r="X364" i="31"/>
  <c r="X348" i="31"/>
  <c r="X332" i="31"/>
  <c r="X310" i="31"/>
  <c r="X294" i="31"/>
  <c r="X272" i="31"/>
  <c r="X256" i="31"/>
  <c r="X240" i="31"/>
  <c r="X218" i="31"/>
  <c r="X202" i="31"/>
  <c r="X180" i="31"/>
  <c r="X164" i="31"/>
  <c r="X148" i="31"/>
  <c r="X126" i="31"/>
  <c r="X110" i="31"/>
  <c r="X88" i="31"/>
  <c r="X72" i="31"/>
  <c r="X56" i="31"/>
  <c r="AJ1138" i="31"/>
  <c r="AJ1084" i="31"/>
  <c r="AJ1030" i="31"/>
  <c r="AJ976" i="31"/>
  <c r="AJ916" i="31"/>
  <c r="AJ862" i="31"/>
  <c r="AJ808" i="31"/>
  <c r="AJ754" i="31"/>
  <c r="AJ700" i="31"/>
  <c r="AJ640" i="31"/>
  <c r="AJ586" i="31"/>
  <c r="AJ532" i="31"/>
  <c r="AJ478" i="31"/>
  <c r="AJ424" i="31"/>
  <c r="AJ386" i="31"/>
  <c r="AJ332" i="31"/>
  <c r="AJ256" i="31"/>
  <c r="AJ202" i="31"/>
  <c r="AJ148" i="31"/>
  <c r="AJ72" i="31"/>
  <c r="AJ1142" i="31"/>
  <c r="AJ1126" i="31"/>
  <c r="AJ1104" i="31"/>
  <c r="AJ1088" i="31"/>
  <c r="AJ1072" i="31"/>
  <c r="AJ1050" i="31"/>
  <c r="AJ1034" i="31"/>
  <c r="AJ1012" i="31"/>
  <c r="AJ996" i="31"/>
  <c r="AJ980" i="31"/>
  <c r="AJ958" i="31"/>
  <c r="AJ942" i="31"/>
  <c r="AJ920" i="31"/>
  <c r="AJ904" i="31"/>
  <c r="AJ888" i="31"/>
  <c r="AJ866" i="31"/>
  <c r="AJ850" i="31"/>
  <c r="AJ828" i="31"/>
  <c r="AJ812" i="31"/>
  <c r="AJ796" i="31"/>
  <c r="AJ774" i="31"/>
  <c r="AJ758" i="31"/>
  <c r="AJ736" i="31"/>
  <c r="AJ720" i="31"/>
  <c r="AJ704" i="31"/>
  <c r="AJ682" i="31"/>
  <c r="AJ666" i="31"/>
  <c r="AJ644" i="31"/>
  <c r="AJ628" i="31"/>
  <c r="AJ612" i="31"/>
  <c r="AJ590" i="31"/>
  <c r="AJ574" i="31"/>
  <c r="AJ552" i="31"/>
  <c r="AJ536" i="31"/>
  <c r="AJ520" i="31"/>
  <c r="AJ498" i="31"/>
  <c r="AJ482" i="31"/>
  <c r="AJ460" i="31"/>
  <c r="AJ444" i="31"/>
  <c r="AJ428" i="31"/>
  <c r="AJ406" i="31"/>
  <c r="AJ390" i="31"/>
  <c r="AJ368" i="31"/>
  <c r="AJ352" i="31"/>
  <c r="AJ336" i="31"/>
  <c r="AJ314" i="31"/>
  <c r="AJ298" i="31"/>
  <c r="AJ276" i="31"/>
  <c r="AJ260" i="31"/>
  <c r="AJ244" i="31"/>
  <c r="AJ222" i="31"/>
  <c r="AJ206" i="31"/>
  <c r="AJ184" i="31"/>
  <c r="AJ168" i="31"/>
  <c r="AJ152" i="31"/>
  <c r="AJ130" i="31"/>
  <c r="AJ114" i="31"/>
  <c r="AJ92" i="31"/>
  <c r="AJ76" i="31"/>
  <c r="AJ60" i="31"/>
  <c r="AJ1122" i="31"/>
  <c r="AJ1068" i="31"/>
  <c r="AJ1008" i="31"/>
  <c r="AJ954" i="31"/>
  <c r="AJ900" i="31"/>
  <c r="AJ846" i="31"/>
  <c r="AJ770" i="31"/>
  <c r="AJ716" i="31"/>
  <c r="AJ662" i="31"/>
  <c r="AJ608" i="31"/>
  <c r="AJ548" i="31"/>
  <c r="AJ494" i="31"/>
  <c r="AJ440" i="31"/>
  <c r="AJ364" i="31"/>
  <c r="AJ310" i="31"/>
  <c r="AJ272" i="31"/>
  <c r="AJ218" i="31"/>
  <c r="AJ164" i="31"/>
  <c r="AJ110" i="31"/>
  <c r="AJ56" i="31"/>
  <c r="AJ1150" i="31"/>
  <c r="AJ1134" i="31"/>
  <c r="AJ1118" i="31"/>
  <c r="AJ1096" i="31"/>
  <c r="AJ1080" i="31"/>
  <c r="AJ1058" i="31"/>
  <c r="AJ1042" i="31"/>
  <c r="AJ1026" i="31"/>
  <c r="AJ1004" i="31"/>
  <c r="AJ988" i="31"/>
  <c r="AJ966" i="31"/>
  <c r="AJ950" i="31"/>
  <c r="AJ934" i="31"/>
  <c r="AJ912" i="31"/>
  <c r="AJ896" i="31"/>
  <c r="AJ874" i="31"/>
  <c r="AJ858" i="31"/>
  <c r="AJ842" i="31"/>
  <c r="AJ820" i="31"/>
  <c r="AJ804" i="31"/>
  <c r="AJ782" i="31"/>
  <c r="AJ766" i="31"/>
  <c r="AJ750" i="31"/>
  <c r="AJ728" i="31"/>
  <c r="AJ712" i="31"/>
  <c r="AJ690" i="31"/>
  <c r="AJ674" i="31"/>
  <c r="AJ658" i="31"/>
  <c r="AJ636" i="31"/>
  <c r="AJ620" i="31"/>
  <c r="AJ598" i="31"/>
  <c r="AJ582" i="31"/>
  <c r="AJ566" i="31"/>
  <c r="AJ544" i="31"/>
  <c r="AJ528" i="31"/>
  <c r="AJ506" i="31"/>
  <c r="AJ490" i="31"/>
  <c r="AJ474" i="31"/>
  <c r="AJ452" i="31"/>
  <c r="AJ436" i="31"/>
  <c r="AJ414" i="31"/>
  <c r="AJ398" i="31"/>
  <c r="AJ382" i="31"/>
  <c r="AJ360" i="31"/>
  <c r="AJ344" i="31"/>
  <c r="AJ322" i="31"/>
  <c r="AJ306" i="31"/>
  <c r="AJ290" i="31"/>
  <c r="AJ268" i="31"/>
  <c r="AJ252" i="31"/>
  <c r="AJ230" i="31"/>
  <c r="AJ214" i="31"/>
  <c r="AJ198" i="31"/>
  <c r="AJ176" i="31"/>
  <c r="AJ160" i="31"/>
  <c r="AJ138" i="31"/>
  <c r="AJ122" i="31"/>
  <c r="AJ106" i="31"/>
  <c r="AJ84" i="31"/>
  <c r="AJ68" i="31"/>
  <c r="AJ1100" i="31"/>
  <c r="AJ1046" i="31"/>
  <c r="AJ992" i="31"/>
  <c r="AJ938" i="31"/>
  <c r="AJ884" i="31"/>
  <c r="AJ824" i="31"/>
  <c r="AJ792" i="31"/>
  <c r="AJ732" i="31"/>
  <c r="AJ678" i="31"/>
  <c r="AJ624" i="31"/>
  <c r="AJ570" i="31"/>
  <c r="AJ516" i="31"/>
  <c r="AJ456" i="31"/>
  <c r="AJ402" i="31"/>
  <c r="AJ348" i="31"/>
  <c r="AJ294" i="31"/>
  <c r="AJ240" i="31"/>
  <c r="AJ180" i="31"/>
  <c r="AJ126" i="31"/>
  <c r="AJ88" i="31"/>
  <c r="AJ1146" i="31"/>
  <c r="AJ1130" i="31"/>
  <c r="AJ1114" i="31"/>
  <c r="AJ1092" i="31"/>
  <c r="AJ1076" i="31"/>
  <c r="AJ1054" i="31"/>
  <c r="AJ1038" i="31"/>
  <c r="AJ1022" i="31"/>
  <c r="AJ1000" i="31"/>
  <c r="AJ984" i="31"/>
  <c r="AJ962" i="31"/>
  <c r="AJ946" i="31"/>
  <c r="AJ930" i="31"/>
  <c r="AJ908" i="31"/>
  <c r="AJ892" i="31"/>
  <c r="AJ870" i="31"/>
  <c r="AJ854" i="31"/>
  <c r="AJ838" i="31"/>
  <c r="AJ816" i="31"/>
  <c r="AJ800" i="31"/>
  <c r="AJ778" i="31"/>
  <c r="AJ762" i="31"/>
  <c r="AJ746" i="31"/>
  <c r="AJ724" i="31"/>
  <c r="AJ708" i="31"/>
  <c r="AJ686" i="31"/>
  <c r="AJ670" i="31"/>
  <c r="AJ654" i="31"/>
  <c r="AJ632" i="31"/>
  <c r="AJ616" i="31"/>
  <c r="AJ594" i="31"/>
  <c r="AJ578" i="31"/>
  <c r="AJ562" i="31"/>
  <c r="AJ540" i="31"/>
  <c r="AJ524" i="31"/>
  <c r="AJ502" i="31"/>
  <c r="AJ486" i="31"/>
  <c r="AJ470" i="31"/>
  <c r="AJ448" i="31"/>
  <c r="AJ432" i="31"/>
  <c r="AJ410" i="31"/>
  <c r="AJ394" i="31"/>
  <c r="AJ378" i="31"/>
  <c r="AJ356" i="31"/>
  <c r="AJ340" i="31"/>
  <c r="AJ318" i="31"/>
  <c r="AJ302" i="31"/>
  <c r="AJ286" i="31"/>
  <c r="AJ264" i="31"/>
  <c r="AJ248" i="31"/>
  <c r="AJ226" i="31"/>
  <c r="AJ210" i="31"/>
  <c r="AJ194" i="31"/>
  <c r="AJ172" i="31"/>
  <c r="AJ156" i="31"/>
  <c r="AJ134" i="31"/>
  <c r="AJ118" i="31"/>
  <c r="AJ102" i="31"/>
  <c r="AJ80" i="31"/>
  <c r="AJ64" i="31"/>
  <c r="U23" i="30"/>
  <c r="S36" i="30" s="1"/>
  <c r="P38" i="30" s="1"/>
  <c r="AF1" i="30"/>
  <c r="AD14" i="30" s="1"/>
  <c r="AA12" i="30" s="1"/>
  <c r="U44" i="30"/>
  <c r="S57" i="30" s="1"/>
  <c r="P60" i="30" s="1"/>
  <c r="B12" i="30"/>
  <c r="B11" i="30"/>
  <c r="A12" i="30"/>
  <c r="A11" i="30"/>
  <c r="B9" i="30"/>
  <c r="C9" i="30" s="1"/>
  <c r="B8" i="30"/>
  <c r="C8" i="30" s="1"/>
  <c r="B6" i="30"/>
  <c r="E6" i="30" s="1"/>
  <c r="B7" i="30"/>
  <c r="C7" i="30" s="1"/>
  <c r="B5" i="30"/>
  <c r="C5" i="30" s="1"/>
  <c r="J2" i="27"/>
  <c r="D56" i="31" l="1"/>
  <c r="C184" i="31"/>
  <c r="S74" i="31"/>
  <c r="L57" i="31"/>
  <c r="N131" i="31"/>
  <c r="H889" i="31"/>
  <c r="J888" i="31"/>
  <c r="N537" i="31"/>
  <c r="P537" i="31" s="1"/>
  <c r="J1074" i="31"/>
  <c r="S904" i="31"/>
  <c r="R905" i="31"/>
  <c r="Q904" i="31"/>
  <c r="J34" i="31"/>
  <c r="F889" i="31"/>
  <c r="C758" i="31"/>
  <c r="Q186" i="31"/>
  <c r="N1126" i="31"/>
  <c r="L1036" i="31"/>
  <c r="H1117" i="31"/>
  <c r="H154" i="31"/>
  <c r="J115" i="31"/>
  <c r="Q92" i="31"/>
  <c r="J76" i="31"/>
  <c r="R132" i="31"/>
  <c r="R169" i="31"/>
  <c r="S170" i="31"/>
  <c r="C76" i="31"/>
  <c r="Q77" i="31"/>
  <c r="N77" i="31"/>
  <c r="N132" i="31"/>
  <c r="N116" i="31"/>
  <c r="C84" i="31"/>
  <c r="R140" i="31"/>
  <c r="N139" i="31"/>
  <c r="S138" i="31"/>
  <c r="Q85" i="31"/>
  <c r="N85" i="31"/>
  <c r="L85" i="31"/>
  <c r="R123" i="31"/>
  <c r="D152" i="31"/>
  <c r="R154" i="31"/>
  <c r="J153" i="31"/>
  <c r="Q131" i="31"/>
  <c r="L94" i="31"/>
  <c r="F76" i="31"/>
  <c r="H169" i="31"/>
  <c r="J131" i="31"/>
  <c r="L77" i="31"/>
  <c r="L79" i="31" s="1"/>
  <c r="F132" i="31"/>
  <c r="C92" i="31"/>
  <c r="J176" i="31"/>
  <c r="D160" i="31"/>
  <c r="Q86" i="31"/>
  <c r="N86" i="31"/>
  <c r="H84" i="31"/>
  <c r="J140" i="31"/>
  <c r="R138" i="31"/>
  <c r="Q139" i="31"/>
  <c r="F86" i="31"/>
  <c r="S84" i="31"/>
  <c r="J122" i="31"/>
  <c r="R152" i="31"/>
  <c r="H152" i="31"/>
  <c r="N130" i="31"/>
  <c r="J77" i="31"/>
  <c r="D76" i="31"/>
  <c r="R76" i="31"/>
  <c r="Q130" i="31"/>
  <c r="N543" i="31"/>
  <c r="J58" i="31"/>
  <c r="J1145" i="31"/>
  <c r="J1137" i="31"/>
  <c r="J1129" i="31"/>
  <c r="P1135" i="31"/>
  <c r="F1121" i="31"/>
  <c r="P784" i="31"/>
  <c r="J87" i="31"/>
  <c r="N5" i="27"/>
  <c r="L19" i="31"/>
  <c r="S56" i="31"/>
  <c r="N162" i="31"/>
  <c r="L199" i="31"/>
  <c r="L201" i="31" s="1"/>
  <c r="S176" i="31"/>
  <c r="R84" i="31"/>
  <c r="H139" i="31"/>
  <c r="Q138" i="31"/>
  <c r="R85" i="31"/>
  <c r="F139" i="31"/>
  <c r="F141" i="31" s="1"/>
  <c r="Q140" i="31"/>
  <c r="D138" i="31"/>
  <c r="N140" i="31"/>
  <c r="F85" i="31"/>
  <c r="P85" i="31" s="1"/>
  <c r="L86" i="31"/>
  <c r="R86" i="31"/>
  <c r="R177" i="31"/>
  <c r="N343" i="31"/>
  <c r="F58" i="31"/>
  <c r="C72" i="31"/>
  <c r="J57" i="31"/>
  <c r="F72" i="31"/>
  <c r="L999" i="31"/>
  <c r="J1133" i="31"/>
  <c r="H1149" i="31"/>
  <c r="H911" i="31"/>
  <c r="N531" i="31"/>
  <c r="H109" i="31"/>
  <c r="P1097" i="31"/>
  <c r="N765" i="31"/>
  <c r="F137" i="31"/>
  <c r="N869" i="31"/>
  <c r="N1091" i="31"/>
  <c r="F1045" i="31"/>
  <c r="P1147" i="31"/>
  <c r="P1093" i="31"/>
  <c r="N109" i="31"/>
  <c r="J109" i="31"/>
  <c r="L1061" i="31"/>
  <c r="L1053" i="31"/>
  <c r="P1131" i="31"/>
  <c r="L1129" i="31"/>
  <c r="N1079" i="31"/>
  <c r="F1057" i="31"/>
  <c r="F1149" i="31"/>
  <c r="N673" i="31"/>
  <c r="F661" i="31"/>
  <c r="F693" i="31"/>
  <c r="P1128" i="31"/>
  <c r="N1145" i="31"/>
  <c r="H74" i="31"/>
  <c r="Q58" i="31"/>
  <c r="R56" i="31"/>
  <c r="H19" i="31"/>
  <c r="H57" i="31"/>
  <c r="C56" i="31"/>
  <c r="F36" i="31"/>
  <c r="N74" i="31"/>
  <c r="N57" i="31"/>
  <c r="N56" i="31"/>
  <c r="F57" i="31"/>
  <c r="H58" i="31"/>
  <c r="J74" i="31"/>
  <c r="J73" i="31"/>
  <c r="R57" i="31"/>
  <c r="Q57" i="31"/>
  <c r="F20" i="31"/>
  <c r="H56" i="31"/>
  <c r="R58" i="31"/>
  <c r="L35" i="31"/>
  <c r="L37" i="31" s="1"/>
  <c r="Q73" i="31"/>
  <c r="S58" i="31"/>
  <c r="C14" i="31"/>
  <c r="S72" i="31"/>
  <c r="F73" i="31"/>
  <c r="N72" i="31"/>
  <c r="Q56" i="31"/>
  <c r="L58" i="31"/>
  <c r="J18" i="31"/>
  <c r="S57" i="31"/>
  <c r="R35" i="31"/>
  <c r="Q72" i="31"/>
  <c r="J56" i="31"/>
  <c r="F56" i="31"/>
  <c r="S73" i="31"/>
  <c r="R73" i="31"/>
  <c r="R74" i="31"/>
  <c r="N73" i="31"/>
  <c r="N334" i="31"/>
  <c r="J332" i="31"/>
  <c r="R332" i="31"/>
  <c r="Q333" i="31"/>
  <c r="R334" i="31"/>
  <c r="N333" i="31"/>
  <c r="P333" i="31" s="1"/>
  <c r="L386" i="31"/>
  <c r="L387" i="31"/>
  <c r="J387" i="31"/>
  <c r="R387" i="31"/>
  <c r="S388" i="31"/>
  <c r="Q386" i="31"/>
  <c r="D386" i="31"/>
  <c r="C386" i="31"/>
  <c r="S386" i="31"/>
  <c r="H387" i="31"/>
  <c r="S402" i="31"/>
  <c r="R403" i="31"/>
  <c r="S404" i="31"/>
  <c r="Q402" i="31"/>
  <c r="R404" i="31"/>
  <c r="C402" i="31"/>
  <c r="N404" i="31"/>
  <c r="J402" i="31"/>
  <c r="H403" i="31"/>
  <c r="J404" i="31"/>
  <c r="F402" i="31"/>
  <c r="H404" i="31"/>
  <c r="N425" i="31"/>
  <c r="R424" i="31"/>
  <c r="Q425" i="31"/>
  <c r="R426" i="31"/>
  <c r="C424" i="31"/>
  <c r="S424" i="31"/>
  <c r="L426" i="31"/>
  <c r="H424" i="31"/>
  <c r="F425" i="31"/>
  <c r="H426" i="31"/>
  <c r="F426" i="31"/>
  <c r="L440" i="31"/>
  <c r="L442" i="31"/>
  <c r="H440" i="31"/>
  <c r="H443" i="31" s="1"/>
  <c r="S442" i="31"/>
  <c r="Q440" i="31"/>
  <c r="D440" i="31"/>
  <c r="R441" i="31"/>
  <c r="Q442" i="31"/>
  <c r="J442" i="31"/>
  <c r="F440" i="31"/>
  <c r="F442" i="31"/>
  <c r="L456" i="31"/>
  <c r="S456" i="31"/>
  <c r="L458" i="31"/>
  <c r="H456" i="31"/>
  <c r="H459" i="31" s="1"/>
  <c r="F457" i="31"/>
  <c r="N457" i="31"/>
  <c r="F458" i="31"/>
  <c r="N458" i="31"/>
  <c r="R457" i="31"/>
  <c r="S458" i="31"/>
  <c r="Q456" i="31"/>
  <c r="R458" i="31"/>
  <c r="N456" i="31"/>
  <c r="R480" i="31"/>
  <c r="S478" i="31"/>
  <c r="H479" i="31"/>
  <c r="J480" i="31"/>
  <c r="F478" i="31"/>
  <c r="N480" i="31"/>
  <c r="J478" i="31"/>
  <c r="R478" i="31"/>
  <c r="Q479" i="31"/>
  <c r="C494" i="31"/>
  <c r="S495" i="31"/>
  <c r="R496" i="31"/>
  <c r="H495" i="31"/>
  <c r="J496" i="31"/>
  <c r="F494" i="31"/>
  <c r="J495" i="31"/>
  <c r="D494" i="31"/>
  <c r="R494" i="31"/>
  <c r="Q495" i="31"/>
  <c r="H496" i="31"/>
  <c r="C516" i="31"/>
  <c r="Q517" i="31"/>
  <c r="J518" i="31"/>
  <c r="R516" i="31"/>
  <c r="S517" i="31"/>
  <c r="L516" i="31"/>
  <c r="F516" i="31"/>
  <c r="S518" i="31"/>
  <c r="H517" i="31"/>
  <c r="J516" i="31"/>
  <c r="C532" i="31"/>
  <c r="Q533" i="31"/>
  <c r="F532" i="31"/>
  <c r="S534" i="31"/>
  <c r="R532" i="31"/>
  <c r="S533" i="31"/>
  <c r="L532" i="31"/>
  <c r="Q532" i="31"/>
  <c r="H533" i="31"/>
  <c r="J532" i="31"/>
  <c r="Q550" i="31"/>
  <c r="Q548" i="31"/>
  <c r="S550" i="31"/>
  <c r="R548" i="31"/>
  <c r="S549" i="31"/>
  <c r="L548" i="31"/>
  <c r="F549" i="31"/>
  <c r="H549" i="31"/>
  <c r="J548" i="31"/>
  <c r="J551" i="31" s="1"/>
  <c r="L570" i="31"/>
  <c r="J571" i="31"/>
  <c r="R571" i="31"/>
  <c r="S572" i="31"/>
  <c r="Q570" i="31"/>
  <c r="D570" i="31"/>
  <c r="J570" i="31"/>
  <c r="H570" i="31"/>
  <c r="F570" i="31"/>
  <c r="N572" i="31"/>
  <c r="L572" i="31"/>
  <c r="J572" i="31"/>
  <c r="R572" i="31"/>
  <c r="C570" i="31"/>
  <c r="L587" i="31"/>
  <c r="S587" i="31"/>
  <c r="L588" i="31"/>
  <c r="H586" i="31"/>
  <c r="J588" i="31"/>
  <c r="F586" i="31"/>
  <c r="D586" i="31"/>
  <c r="J586" i="31"/>
  <c r="F588" i="31"/>
  <c r="F587" i="31"/>
  <c r="H588" i="31"/>
  <c r="N588" i="31"/>
  <c r="R587" i="31"/>
  <c r="N586" i="31"/>
  <c r="Q586" i="31"/>
  <c r="N587" i="31"/>
  <c r="L586" i="31"/>
  <c r="L608" i="31"/>
  <c r="S608" i="31"/>
  <c r="H609" i="31"/>
  <c r="J610" i="31"/>
  <c r="F608" i="31"/>
  <c r="Q610" i="31"/>
  <c r="C608" i="31"/>
  <c r="S609" i="31"/>
  <c r="L610" i="31"/>
  <c r="H608" i="31"/>
  <c r="F609" i="31"/>
  <c r="H610" i="31"/>
  <c r="N609" i="31"/>
  <c r="N610" i="31"/>
  <c r="R608" i="31"/>
  <c r="R610" i="31"/>
  <c r="J609" i="31"/>
  <c r="S610" i="31"/>
  <c r="D608" i="31"/>
  <c r="J608" i="31"/>
  <c r="Q609" i="31"/>
  <c r="F610" i="31"/>
  <c r="N626" i="31"/>
  <c r="F626" i="31"/>
  <c r="H626" i="31"/>
  <c r="F624" i="31"/>
  <c r="J626" i="31"/>
  <c r="R624" i="31"/>
  <c r="J625" i="31"/>
  <c r="N624" i="31"/>
  <c r="F625" i="31"/>
  <c r="C624" i="31"/>
  <c r="R625" i="31"/>
  <c r="S624" i="31"/>
  <c r="N625" i="31"/>
  <c r="Q624" i="31"/>
  <c r="L626" i="31"/>
  <c r="S625" i="31"/>
  <c r="Q626" i="31"/>
  <c r="N642" i="31"/>
  <c r="F642" i="31"/>
  <c r="H642" i="31"/>
  <c r="F640" i="31"/>
  <c r="J642" i="31"/>
  <c r="R640" i="31"/>
  <c r="J641" i="31"/>
  <c r="N640" i="31"/>
  <c r="F641" i="31"/>
  <c r="Q642" i="31"/>
  <c r="S642" i="31"/>
  <c r="L640" i="31"/>
  <c r="L642" i="31"/>
  <c r="S641" i="31"/>
  <c r="D640" i="31"/>
  <c r="H640" i="31"/>
  <c r="C640" i="31"/>
  <c r="L641" i="31"/>
  <c r="L663" i="31"/>
  <c r="R663" i="31"/>
  <c r="S663" i="31"/>
  <c r="R662" i="31"/>
  <c r="S662" i="31"/>
  <c r="L662" i="31"/>
  <c r="H662" i="31"/>
  <c r="J662" i="31"/>
  <c r="H663" i="31"/>
  <c r="J663" i="31"/>
  <c r="L664" i="31"/>
  <c r="Q680" i="31"/>
  <c r="L679" i="31"/>
  <c r="R679" i="31"/>
  <c r="S679" i="31"/>
  <c r="R678" i="31"/>
  <c r="S678" i="31"/>
  <c r="L680" i="31"/>
  <c r="H678" i="31"/>
  <c r="J678" i="31"/>
  <c r="L700" i="31"/>
  <c r="S701" i="31"/>
  <c r="L702" i="31"/>
  <c r="H700" i="31"/>
  <c r="F701" i="31"/>
  <c r="H702" i="31"/>
  <c r="N701" i="31"/>
  <c r="L701" i="31"/>
  <c r="J701" i="31"/>
  <c r="R701" i="31"/>
  <c r="S702" i="31"/>
  <c r="Q700" i="31"/>
  <c r="D700" i="31"/>
  <c r="N700" i="31"/>
  <c r="S700" i="31"/>
  <c r="H701" i="31"/>
  <c r="J702" i="31"/>
  <c r="F700" i="31"/>
  <c r="Q702" i="31"/>
  <c r="C700" i="31"/>
  <c r="J700" i="31"/>
  <c r="F702" i="31"/>
  <c r="R700" i="31"/>
  <c r="Q701" i="31"/>
  <c r="N718" i="31"/>
  <c r="F718" i="31"/>
  <c r="H718" i="31"/>
  <c r="Q716" i="31"/>
  <c r="S718" i="31"/>
  <c r="R716" i="31"/>
  <c r="S716" i="31"/>
  <c r="C716" i="31"/>
  <c r="Q718" i="31"/>
  <c r="R718" i="31"/>
  <c r="L716" i="31"/>
  <c r="F717" i="31"/>
  <c r="H717" i="31"/>
  <c r="J717" i="31"/>
  <c r="N716" i="31"/>
  <c r="L717" i="31"/>
  <c r="Q717" i="31"/>
  <c r="R717" i="31"/>
  <c r="S717" i="31"/>
  <c r="D716" i="31"/>
  <c r="H716" i="31"/>
  <c r="F716" i="31"/>
  <c r="L718" i="31"/>
  <c r="N717" i="31"/>
  <c r="J718" i="31"/>
  <c r="J716" i="31"/>
  <c r="N734" i="31"/>
  <c r="F734" i="31"/>
  <c r="H734" i="31"/>
  <c r="Q732" i="31"/>
  <c r="S734" i="31"/>
  <c r="R732" i="31"/>
  <c r="S732" i="31"/>
  <c r="C732" i="31"/>
  <c r="Q734" i="31"/>
  <c r="R734" i="31"/>
  <c r="L733" i="31"/>
  <c r="F733" i="31"/>
  <c r="L732" i="31"/>
  <c r="H733" i="31"/>
  <c r="J733" i="31"/>
  <c r="N732" i="31"/>
  <c r="Q733" i="31"/>
  <c r="R733" i="31"/>
  <c r="S733" i="31"/>
  <c r="F732" i="31"/>
  <c r="H732" i="31"/>
  <c r="N733" i="31"/>
  <c r="D732" i="31"/>
  <c r="J734" i="31"/>
  <c r="L734" i="31"/>
  <c r="L756" i="31"/>
  <c r="Q755" i="31"/>
  <c r="R793" i="31"/>
  <c r="F793" i="31"/>
  <c r="F794" i="31"/>
  <c r="S793" i="31"/>
  <c r="R792" i="31"/>
  <c r="Q792" i="31"/>
  <c r="N792" i="31"/>
  <c r="J793" i="31"/>
  <c r="H792" i="31"/>
  <c r="H794" i="31"/>
  <c r="L792" i="31"/>
  <c r="L793" i="31"/>
  <c r="J792" i="31"/>
  <c r="Q793" i="31"/>
  <c r="N808" i="31"/>
  <c r="Q808" i="31"/>
  <c r="H808" i="31"/>
  <c r="J809" i="31"/>
  <c r="F810" i="31"/>
  <c r="D808" i="31"/>
  <c r="Q809" i="31"/>
  <c r="R808" i="31"/>
  <c r="S809" i="31"/>
  <c r="L808" i="31"/>
  <c r="Q810" i="31"/>
  <c r="H810" i="31"/>
  <c r="J810" i="31"/>
  <c r="H809" i="31"/>
  <c r="F808" i="31"/>
  <c r="S810" i="31"/>
  <c r="F826" i="31"/>
  <c r="D824" i="31"/>
  <c r="Q825" i="31"/>
  <c r="R824" i="31"/>
  <c r="S825" i="31"/>
  <c r="Q826" i="31"/>
  <c r="H826" i="31"/>
  <c r="J826" i="31"/>
  <c r="H825" i="31"/>
  <c r="L825" i="31"/>
  <c r="C824" i="31"/>
  <c r="F824" i="31"/>
  <c r="S826" i="31"/>
  <c r="L826" i="31"/>
  <c r="J824" i="31"/>
  <c r="J825" i="31"/>
  <c r="Q824" i="31"/>
  <c r="S847" i="31"/>
  <c r="R846" i="31"/>
  <c r="Q846" i="31"/>
  <c r="J847" i="31"/>
  <c r="H846" i="31"/>
  <c r="C846" i="31"/>
  <c r="J846" i="31"/>
  <c r="Q847" i="31"/>
  <c r="F847" i="31"/>
  <c r="J863" i="31"/>
  <c r="R862" i="31"/>
  <c r="F863" i="31"/>
  <c r="S862" i="31"/>
  <c r="H862" i="31"/>
  <c r="H864" i="31"/>
  <c r="R864" i="31"/>
  <c r="J864" i="31"/>
  <c r="L863" i="31"/>
  <c r="R863" i="31"/>
  <c r="Q863" i="31"/>
  <c r="N885" i="31"/>
  <c r="L885" i="31"/>
  <c r="N884" i="31"/>
  <c r="Q884" i="31"/>
  <c r="L901" i="31"/>
  <c r="C900" i="31"/>
  <c r="N901" i="31"/>
  <c r="L917" i="31"/>
  <c r="N916" i="31"/>
  <c r="C916" i="31"/>
  <c r="S918" i="31"/>
  <c r="R938" i="31"/>
  <c r="N938" i="31"/>
  <c r="F938" i="31"/>
  <c r="N940" i="31"/>
  <c r="R940" i="31"/>
  <c r="H939" i="31"/>
  <c r="F940" i="31"/>
  <c r="F956" i="31"/>
  <c r="L955" i="31"/>
  <c r="Q954" i="31"/>
  <c r="S954" i="31"/>
  <c r="Q956" i="31"/>
  <c r="D954" i="31"/>
  <c r="S956" i="31"/>
  <c r="J955" i="31"/>
  <c r="R954" i="31"/>
  <c r="F954" i="31"/>
  <c r="L954" i="31"/>
  <c r="J954" i="31"/>
  <c r="H992" i="31"/>
  <c r="S993" i="31"/>
  <c r="F994" i="31"/>
  <c r="H994" i="31"/>
  <c r="S1010" i="31"/>
  <c r="H1009" i="31"/>
  <c r="F1009" i="31"/>
  <c r="F1010" i="31"/>
  <c r="J1008" i="31"/>
  <c r="C1008" i="31"/>
  <c r="S1032" i="31"/>
  <c r="D1030" i="31"/>
  <c r="S1046" i="31"/>
  <c r="L1047" i="31"/>
  <c r="S1048" i="31"/>
  <c r="R1069" i="31"/>
  <c r="D1068" i="31"/>
  <c r="N571" i="31"/>
  <c r="R588" i="31"/>
  <c r="R586" i="31"/>
  <c r="Q571" i="31"/>
  <c r="S571" i="31"/>
  <c r="L624" i="31"/>
  <c r="H624" i="31"/>
  <c r="D624" i="31"/>
  <c r="J679" i="31"/>
  <c r="H679" i="31"/>
  <c r="L678" i="31"/>
  <c r="L681" i="31" s="1"/>
  <c r="F848" i="31"/>
  <c r="S480" i="31"/>
  <c r="J479" i="31"/>
  <c r="J533" i="31"/>
  <c r="R533" i="31"/>
  <c r="F548" i="31"/>
  <c r="F533" i="31"/>
  <c r="Q516" i="31"/>
  <c r="Q588" i="31"/>
  <c r="H587" i="31"/>
  <c r="L571" i="31"/>
  <c r="R570" i="31"/>
  <c r="S640" i="31"/>
  <c r="Q641" i="31"/>
  <c r="S626" i="31"/>
  <c r="R642" i="31"/>
  <c r="N641" i="31"/>
  <c r="N608" i="31"/>
  <c r="R702" i="31"/>
  <c r="J808" i="31"/>
  <c r="H824" i="31"/>
  <c r="L810" i="31"/>
  <c r="D792" i="31"/>
  <c r="H334" i="31"/>
  <c r="H335" i="31" s="1"/>
  <c r="J334" i="31"/>
  <c r="R333" i="31"/>
  <c r="S333" i="31"/>
  <c r="H388" i="31"/>
  <c r="Q387" i="31"/>
  <c r="L388" i="31"/>
  <c r="N403" i="31"/>
  <c r="F403" i="31"/>
  <c r="L404" i="31"/>
  <c r="L457" i="31"/>
  <c r="Q458" i="31"/>
  <c r="R456" i="31"/>
  <c r="L441" i="31"/>
  <c r="F441" i="31"/>
  <c r="R440" i="31"/>
  <c r="F424" i="31"/>
  <c r="H425" i="31"/>
  <c r="S496" i="31"/>
  <c r="J494" i="31"/>
  <c r="H478" i="31"/>
  <c r="S479" i="31"/>
  <c r="S532" i="31"/>
  <c r="L550" i="31"/>
  <c r="H532" i="31"/>
  <c r="L518" i="31"/>
  <c r="L517" i="31"/>
  <c r="Q587" i="31"/>
  <c r="S586" i="31"/>
  <c r="H572" i="31"/>
  <c r="H571" i="31"/>
  <c r="J640" i="31"/>
  <c r="R641" i="31"/>
  <c r="Q640" i="31"/>
  <c r="Q625" i="31"/>
  <c r="Q608" i="31"/>
  <c r="N702" i="31"/>
  <c r="L770" i="31"/>
  <c r="L754" i="31"/>
  <c r="N824" i="31"/>
  <c r="C808" i="31"/>
  <c r="L809" i="31"/>
  <c r="R847" i="31"/>
  <c r="J781" i="31"/>
  <c r="L16" i="31"/>
  <c r="H1153" i="31"/>
  <c r="L1045" i="31"/>
  <c r="N1117" i="31"/>
  <c r="J777" i="31"/>
  <c r="L1003" i="31"/>
  <c r="L1153" i="31"/>
  <c r="F1117" i="31"/>
  <c r="H1029" i="31"/>
  <c r="L987" i="31"/>
  <c r="J899" i="31"/>
  <c r="H933" i="31"/>
  <c r="H945" i="31"/>
  <c r="H1007" i="31"/>
  <c r="H1075" i="31"/>
  <c r="P1081" i="31"/>
  <c r="N769" i="31"/>
  <c r="F777" i="31"/>
  <c r="N669" i="31"/>
  <c r="L351" i="31"/>
  <c r="N397" i="31"/>
  <c r="L509" i="31"/>
  <c r="N845" i="31"/>
  <c r="N1003" i="31"/>
  <c r="P988" i="31"/>
  <c r="H1133" i="31"/>
  <c r="P1142" i="31"/>
  <c r="P1116" i="31"/>
  <c r="L1145" i="31"/>
  <c r="P1115" i="31"/>
  <c r="L781" i="31"/>
  <c r="L765" i="31"/>
  <c r="S1100" i="31"/>
  <c r="F1139" i="31"/>
  <c r="F1124" i="31"/>
  <c r="N173" i="31"/>
  <c r="N175" i="31" s="1"/>
  <c r="N102" i="31"/>
  <c r="N134" i="31"/>
  <c r="C118" i="31"/>
  <c r="Q82" i="31"/>
  <c r="R80" i="31"/>
  <c r="Q68" i="31"/>
  <c r="L70" i="31"/>
  <c r="N433" i="31"/>
  <c r="L433" i="31"/>
  <c r="L435" i="31" s="1"/>
  <c r="R136" i="31"/>
  <c r="R118" i="31"/>
  <c r="F118" i="31"/>
  <c r="H135" i="31"/>
  <c r="H80" i="31"/>
  <c r="H83" i="31" s="1"/>
  <c r="H31" i="31"/>
  <c r="P31" i="31" s="1"/>
  <c r="L136" i="31"/>
  <c r="N156" i="31"/>
  <c r="N159" i="31" s="1"/>
  <c r="F158" i="31"/>
  <c r="F159" i="31" s="1"/>
  <c r="D118" i="31"/>
  <c r="R82" i="31"/>
  <c r="R70" i="31"/>
  <c r="J46" i="31"/>
  <c r="H136" i="31"/>
  <c r="R1056" i="31"/>
  <c r="Q748" i="31"/>
  <c r="F1078" i="31"/>
  <c r="P1078" i="31" s="1"/>
  <c r="N839" i="31"/>
  <c r="N841" i="31" s="1"/>
  <c r="H762" i="31"/>
  <c r="P762" i="31" s="1"/>
  <c r="H746" i="31"/>
  <c r="H749" i="31" s="1"/>
  <c r="Q1093" i="31"/>
  <c r="H1040" i="31"/>
  <c r="P1040" i="31" s="1"/>
  <c r="S778" i="31"/>
  <c r="F747" i="31"/>
  <c r="F749" i="31" s="1"/>
  <c r="F1077" i="31"/>
  <c r="P1077" i="31" s="1"/>
  <c r="H1039" i="31"/>
  <c r="P1039" i="31" s="1"/>
  <c r="R778" i="31"/>
  <c r="S746" i="31"/>
  <c r="R250" i="31"/>
  <c r="Q526" i="31"/>
  <c r="J156" i="31"/>
  <c r="Q504" i="31"/>
  <c r="F542" i="31"/>
  <c r="F543" i="31" s="1"/>
  <c r="N104" i="31"/>
  <c r="S14" i="31"/>
  <c r="N80" i="31"/>
  <c r="N83" i="31" s="1"/>
  <c r="D892" i="31"/>
  <c r="H892" i="31"/>
  <c r="H894" i="31"/>
  <c r="P894" i="31" s="1"/>
  <c r="F342" i="31"/>
  <c r="F343" i="31" s="1"/>
  <c r="J80" i="31"/>
  <c r="J83" i="31" s="1"/>
  <c r="F82" i="31"/>
  <c r="L15" i="31"/>
  <c r="R780" i="31"/>
  <c r="Q909" i="31"/>
  <c r="H778" i="31"/>
  <c r="H764" i="31"/>
  <c r="P764" i="31" s="1"/>
  <c r="Q1038" i="31"/>
  <c r="R120" i="31"/>
  <c r="C394" i="31"/>
  <c r="F174" i="31"/>
  <c r="F175" i="31" s="1"/>
  <c r="H472" i="31"/>
  <c r="H473" i="31" s="1"/>
  <c r="S173" i="31"/>
  <c r="F670" i="31"/>
  <c r="P670" i="31" s="1"/>
  <c r="F654" i="31"/>
  <c r="P654" i="31" s="1"/>
  <c r="D540" i="31"/>
  <c r="R526" i="31"/>
  <c r="F396" i="31"/>
  <c r="P396" i="31" s="1"/>
  <c r="H104" i="31"/>
  <c r="S136" i="31"/>
  <c r="J120" i="31"/>
  <c r="Q80" i="31"/>
  <c r="L82" i="31"/>
  <c r="L83" i="31" s="1"/>
  <c r="Q70" i="31"/>
  <c r="R68" i="31"/>
  <c r="N432" i="31"/>
  <c r="J134" i="31"/>
  <c r="F119" i="31"/>
  <c r="N120" i="31"/>
  <c r="Q136" i="31"/>
  <c r="Q118" i="31"/>
  <c r="Q119" i="31"/>
  <c r="R134" i="31"/>
  <c r="N135" i="31"/>
  <c r="D156" i="31"/>
  <c r="C156" i="31"/>
  <c r="C80" i="31"/>
  <c r="C68" i="31"/>
  <c r="R747" i="31"/>
  <c r="J746" i="31"/>
  <c r="J749" i="31" s="1"/>
  <c r="F779" i="31"/>
  <c r="N748" i="31"/>
  <c r="P748" i="31" s="1"/>
  <c r="D470" i="31"/>
  <c r="R1054" i="31"/>
  <c r="Q1054" i="31"/>
  <c r="N524" i="31"/>
  <c r="N527" i="31" s="1"/>
  <c r="N486" i="31"/>
  <c r="N489" i="31" s="1"/>
  <c r="L502" i="31"/>
  <c r="L505" i="31" s="1"/>
  <c r="N378" i="31"/>
  <c r="L411" i="31"/>
  <c r="L413" i="31" s="1"/>
  <c r="J70" i="31"/>
  <c r="N69" i="31"/>
  <c r="N71" i="31" s="1"/>
  <c r="F892" i="31"/>
  <c r="F895" i="31" s="1"/>
  <c r="L340" i="31"/>
  <c r="P340" i="31" s="1"/>
  <c r="F81" i="31"/>
  <c r="P81" i="31" s="1"/>
  <c r="F70" i="31"/>
  <c r="R1040" i="31"/>
  <c r="Q1023" i="31"/>
  <c r="F380" i="31"/>
  <c r="F381" i="31" s="1"/>
  <c r="F1038" i="31"/>
  <c r="F1041" i="31" s="1"/>
  <c r="J30" i="31"/>
  <c r="S1056" i="31"/>
  <c r="L991" i="31"/>
  <c r="N877" i="31"/>
  <c r="N664" i="31"/>
  <c r="H664" i="31"/>
  <c r="S792" i="31"/>
  <c r="H793" i="31"/>
  <c r="J794" i="31"/>
  <c r="F792" i="31"/>
  <c r="Q794" i="31"/>
  <c r="C792" i="31"/>
  <c r="N810" i="31"/>
  <c r="N809" i="31"/>
  <c r="R810" i="31"/>
  <c r="F809" i="31"/>
  <c r="R809" i="31"/>
  <c r="S808" i="31"/>
  <c r="N826" i="31"/>
  <c r="N825" i="31"/>
  <c r="R826" i="31"/>
  <c r="F825" i="31"/>
  <c r="R825" i="31"/>
  <c r="L824" i="31"/>
  <c r="S824" i="31"/>
  <c r="R848" i="31"/>
  <c r="S846" i="31"/>
  <c r="H847" i="31"/>
  <c r="J848" i="31"/>
  <c r="F846" i="31"/>
  <c r="Q864" i="31"/>
  <c r="N864" i="31"/>
  <c r="J862" i="31"/>
  <c r="H863" i="31"/>
  <c r="S864" i="31"/>
  <c r="Q862" i="31"/>
  <c r="S885" i="31"/>
  <c r="F886" i="31"/>
  <c r="Q902" i="31"/>
  <c r="F902" i="31"/>
  <c r="H917" i="31"/>
  <c r="F918" i="31"/>
  <c r="L939" i="31"/>
  <c r="S939" i="31"/>
  <c r="L940" i="31"/>
  <c r="H938" i="31"/>
  <c r="F939" i="31"/>
  <c r="H940" i="31"/>
  <c r="N939" i="31"/>
  <c r="J939" i="31"/>
  <c r="R939" i="31"/>
  <c r="S940" i="31"/>
  <c r="Q938" i="31"/>
  <c r="N956" i="31"/>
  <c r="N955" i="31"/>
  <c r="R956" i="31"/>
  <c r="F955" i="31"/>
  <c r="H954" i="31"/>
  <c r="L956" i="31"/>
  <c r="S955" i="31"/>
  <c r="L976" i="31"/>
  <c r="J977" i="31"/>
  <c r="R977" i="31"/>
  <c r="S978" i="31"/>
  <c r="Q976" i="31"/>
  <c r="N977" i="31"/>
  <c r="S976" i="31"/>
  <c r="H977" i="31"/>
  <c r="J978" i="31"/>
  <c r="F976" i="31"/>
  <c r="N976" i="31"/>
  <c r="N978" i="31"/>
  <c r="J976" i="31"/>
  <c r="R976" i="31"/>
  <c r="Q977" i="31"/>
  <c r="Q978" i="31"/>
  <c r="C976" i="31"/>
  <c r="D992" i="31"/>
  <c r="S992" i="31"/>
  <c r="H993" i="31"/>
  <c r="J994" i="31"/>
  <c r="F992" i="31"/>
  <c r="N992" i="31"/>
  <c r="N994" i="31"/>
  <c r="J992" i="31"/>
  <c r="R992" i="31"/>
  <c r="Q993" i="31"/>
  <c r="Q994" i="31"/>
  <c r="C992" i="31"/>
  <c r="L992" i="31"/>
  <c r="L1009" i="31"/>
  <c r="S1009" i="31"/>
  <c r="L1010" i="31"/>
  <c r="H1008" i="31"/>
  <c r="J1010" i="31"/>
  <c r="F1008" i="31"/>
  <c r="N1009" i="31"/>
  <c r="J1009" i="31"/>
  <c r="R1009" i="31"/>
  <c r="R1010" i="31"/>
  <c r="Q1009" i="31"/>
  <c r="H1010" i="31"/>
  <c r="N1008" i="31"/>
  <c r="L1008" i="31"/>
  <c r="R1031" i="31"/>
  <c r="H1031" i="31"/>
  <c r="J1031" i="31"/>
  <c r="F1030" i="31"/>
  <c r="S1031" i="31"/>
  <c r="Q1032" i="31"/>
  <c r="N1031" i="31"/>
  <c r="L1030" i="31"/>
  <c r="J1030" i="31"/>
  <c r="N1048" i="31"/>
  <c r="R1047" i="31"/>
  <c r="J1047" i="31"/>
  <c r="C1046" i="31"/>
  <c r="F1046" i="31"/>
  <c r="S1047" i="31"/>
  <c r="R1046" i="31"/>
  <c r="J1048" i="31"/>
  <c r="L1046" i="31"/>
  <c r="J1046" i="31"/>
  <c r="Q1069" i="31"/>
  <c r="N1068" i="31"/>
  <c r="L1068" i="31"/>
  <c r="H1068" i="31"/>
  <c r="L1070" i="31"/>
  <c r="J1069" i="31"/>
  <c r="R1070" i="31"/>
  <c r="F1069" i="31"/>
  <c r="L1069" i="31"/>
  <c r="R1068" i="31"/>
  <c r="S1069" i="31"/>
  <c r="J1070" i="31"/>
  <c r="H1069" i="31"/>
  <c r="J1068" i="31"/>
  <c r="Q1085" i="31"/>
  <c r="H1086" i="31"/>
  <c r="S1086" i="31"/>
  <c r="L1084" i="31"/>
  <c r="H1084" i="31"/>
  <c r="L1086" i="31"/>
  <c r="J1085" i="31"/>
  <c r="N1084" i="31"/>
  <c r="L1085" i="31"/>
  <c r="R1084" i="31"/>
  <c r="S1085" i="31"/>
  <c r="C1084" i="31"/>
  <c r="H1085" i="31"/>
  <c r="J1084" i="31"/>
  <c r="Q1101" i="31"/>
  <c r="N1102" i="31"/>
  <c r="C1100" i="31"/>
  <c r="L1100" i="31"/>
  <c r="H1100" i="31"/>
  <c r="L1102" i="31"/>
  <c r="J1101" i="31"/>
  <c r="H1102" i="31"/>
  <c r="Q1100" i="31"/>
  <c r="D1100" i="31"/>
  <c r="F1100" i="31"/>
  <c r="L1101" i="31"/>
  <c r="R1100" i="31"/>
  <c r="S1101" i="31"/>
  <c r="R1102" i="31"/>
  <c r="Q1102" i="31"/>
  <c r="F1101" i="31"/>
  <c r="H1101" i="31"/>
  <c r="J1100" i="31"/>
  <c r="H1124" i="31"/>
  <c r="R1124" i="31"/>
  <c r="Q1123" i="31"/>
  <c r="R1122" i="31"/>
  <c r="S1123" i="31"/>
  <c r="Q1124" i="31"/>
  <c r="F1122" i="31"/>
  <c r="J1124" i="31"/>
  <c r="H1123" i="31"/>
  <c r="J1122" i="31"/>
  <c r="N1124" i="31"/>
  <c r="C1122" i="31"/>
  <c r="L1122" i="31"/>
  <c r="Q1122" i="31"/>
  <c r="S1124" i="31"/>
  <c r="R1123" i="31"/>
  <c r="S1122" i="31"/>
  <c r="N1139" i="31"/>
  <c r="D1138" i="31"/>
  <c r="Q1139" i="31"/>
  <c r="R1138" i="31"/>
  <c r="S1139" i="31"/>
  <c r="N1140" i="31"/>
  <c r="C1138" i="31"/>
  <c r="F1138" i="31"/>
  <c r="J1140" i="31"/>
  <c r="H1139" i="31"/>
  <c r="J1138" i="31"/>
  <c r="N1138" i="31"/>
  <c r="F1140" i="31"/>
  <c r="L1138" i="31"/>
  <c r="Q1138" i="31"/>
  <c r="S1140" i="31"/>
  <c r="R1139" i="31"/>
  <c r="S1138" i="31"/>
  <c r="N793" i="31"/>
  <c r="R794" i="31"/>
  <c r="S794" i="31"/>
  <c r="L794" i="31"/>
  <c r="N794" i="31"/>
  <c r="S848" i="31"/>
  <c r="L848" i="31"/>
  <c r="N848" i="31"/>
  <c r="F862" i="31"/>
  <c r="D862" i="31"/>
  <c r="L864" i="31"/>
  <c r="S863" i="31"/>
  <c r="N917" i="31"/>
  <c r="N900" i="31"/>
  <c r="C884" i="31"/>
  <c r="L916" i="31"/>
  <c r="L900" i="31"/>
  <c r="L884" i="31"/>
  <c r="R955" i="31"/>
  <c r="J956" i="31"/>
  <c r="N954" i="31"/>
  <c r="Q940" i="31"/>
  <c r="Q939" i="31"/>
  <c r="J938" i="31"/>
  <c r="Q1010" i="31"/>
  <c r="D1008" i="31"/>
  <c r="S1008" i="31"/>
  <c r="Q992" i="31"/>
  <c r="R993" i="31"/>
  <c r="H976" i="31"/>
  <c r="S1030" i="31"/>
  <c r="S1084" i="31"/>
  <c r="L1140" i="31"/>
  <c r="L1139" i="31"/>
  <c r="N1101" i="31"/>
  <c r="N1123" i="31"/>
  <c r="H955" i="31"/>
  <c r="Q955" i="31"/>
  <c r="H956" i="31"/>
  <c r="C954" i="31"/>
  <c r="C938" i="31"/>
  <c r="D938" i="31"/>
  <c r="J940" i="31"/>
  <c r="S938" i="31"/>
  <c r="L993" i="31"/>
  <c r="Q1008" i="31"/>
  <c r="R1008" i="31"/>
  <c r="N1010" i="31"/>
  <c r="F993" i="31"/>
  <c r="L994" i="31"/>
  <c r="L977" i="31"/>
  <c r="L978" i="31"/>
  <c r="S1068" i="31"/>
  <c r="J1139" i="31"/>
  <c r="H1138" i="31"/>
  <c r="L1124" i="31"/>
  <c r="Q1046" i="31"/>
  <c r="H1140" i="31"/>
  <c r="J1086" i="31"/>
  <c r="N993" i="31"/>
  <c r="S994" i="31"/>
  <c r="J993" i="31"/>
  <c r="F978" i="31"/>
  <c r="S977" i="31"/>
  <c r="L1031" i="31"/>
  <c r="J1123" i="31"/>
  <c r="H1122" i="31"/>
  <c r="F1123" i="31"/>
  <c r="Q1031" i="31"/>
  <c r="Q1068" i="31"/>
  <c r="R26" i="31"/>
  <c r="H26" i="31"/>
  <c r="N28" i="31"/>
  <c r="H43" i="31"/>
  <c r="J42" i="31"/>
  <c r="L43" i="31"/>
  <c r="L45" i="31" s="1"/>
  <c r="L66" i="31"/>
  <c r="F64" i="31"/>
  <c r="L65" i="31"/>
  <c r="Q64" i="31"/>
  <c r="R64" i="31"/>
  <c r="S64" i="31"/>
  <c r="N76" i="31"/>
  <c r="S77" i="31"/>
  <c r="R78" i="31"/>
  <c r="S76" i="31"/>
  <c r="N94" i="31"/>
  <c r="R94" i="31"/>
  <c r="H93" i="31"/>
  <c r="L115" i="31"/>
  <c r="N115" i="31"/>
  <c r="F114" i="31"/>
  <c r="S130" i="31"/>
  <c r="S131" i="31"/>
  <c r="J132" i="31"/>
  <c r="D130" i="31"/>
  <c r="R130" i="31"/>
  <c r="J130" i="31"/>
  <c r="H168" i="31"/>
  <c r="N169" i="31"/>
  <c r="D168" i="31"/>
  <c r="Q170" i="31"/>
  <c r="N337" i="31"/>
  <c r="Q338" i="31"/>
  <c r="N391" i="31"/>
  <c r="N393" i="31" s="1"/>
  <c r="C390" i="31"/>
  <c r="Q392" i="31"/>
  <c r="D520" i="31"/>
  <c r="N520" i="31"/>
  <c r="H538" i="31"/>
  <c r="H539" i="31" s="1"/>
  <c r="D536" i="31"/>
  <c r="D552" i="31"/>
  <c r="H554" i="31"/>
  <c r="P554" i="31" s="1"/>
  <c r="J668" i="31"/>
  <c r="J669" i="31" s="1"/>
  <c r="F666" i="31"/>
  <c r="P666" i="31" s="1"/>
  <c r="D758" i="31"/>
  <c r="N758" i="31"/>
  <c r="S758" i="31"/>
  <c r="Q890" i="31"/>
  <c r="J890" i="31"/>
  <c r="L890" i="31"/>
  <c r="L891" i="31" s="1"/>
  <c r="Q906" i="31"/>
  <c r="N906" i="31"/>
  <c r="N907" i="31" s="1"/>
  <c r="R904" i="31"/>
  <c r="F904" i="31"/>
  <c r="P904" i="31" s="1"/>
  <c r="J906" i="31"/>
  <c r="J907" i="31" s="1"/>
  <c r="Q921" i="31"/>
  <c r="F920" i="31"/>
  <c r="H920" i="31"/>
  <c r="H923" i="31" s="1"/>
  <c r="F921" i="31"/>
  <c r="P921" i="31" s="1"/>
  <c r="R922" i="31"/>
  <c r="Q1035" i="31"/>
  <c r="H1034" i="31"/>
  <c r="N1034" i="31"/>
  <c r="N1037" i="31" s="1"/>
  <c r="Q1104" i="31"/>
  <c r="F1105" i="31"/>
  <c r="S116" i="31"/>
  <c r="D92" i="31"/>
  <c r="L93" i="31"/>
  <c r="L95" i="31" s="1"/>
  <c r="J66" i="31"/>
  <c r="R170" i="31"/>
  <c r="S168" i="31"/>
  <c r="J168" i="31"/>
  <c r="S78" i="31"/>
  <c r="F66" i="31"/>
  <c r="H131" i="31"/>
  <c r="Q76" i="31"/>
  <c r="Q65" i="31"/>
  <c r="J169" i="31"/>
  <c r="J28" i="31"/>
  <c r="J29" i="31" s="1"/>
  <c r="H132" i="31"/>
  <c r="S920" i="31"/>
  <c r="Q889" i="31"/>
  <c r="N552" i="31"/>
  <c r="P552" i="31" s="1"/>
  <c r="Q116" i="31"/>
  <c r="J92" i="31"/>
  <c r="F1106" i="31"/>
  <c r="P1106" i="31" s="1"/>
  <c r="F1073" i="31"/>
  <c r="N922" i="31"/>
  <c r="N923" i="31" s="1"/>
  <c r="N759" i="31"/>
  <c r="H115" i="31"/>
  <c r="F1035" i="31"/>
  <c r="P1035" i="31" s="1"/>
  <c r="F1090" i="31"/>
  <c r="F684" i="31"/>
  <c r="P684" i="31" s="1"/>
  <c r="R15" i="31"/>
  <c r="J16" i="31"/>
  <c r="N16" i="31"/>
  <c r="H14" i="31"/>
  <c r="H17" i="31" s="1"/>
  <c r="F15" i="31"/>
  <c r="N48" i="31"/>
  <c r="N49" i="31" s="1"/>
  <c r="S46" i="31"/>
  <c r="R47" i="31"/>
  <c r="S153" i="31"/>
  <c r="Q554" i="31"/>
  <c r="Q538" i="31"/>
  <c r="Q522" i="31"/>
  <c r="F186" i="31"/>
  <c r="F187" i="31" s="1"/>
  <c r="L154" i="31"/>
  <c r="L155" i="31" s="1"/>
  <c r="H116" i="31"/>
  <c r="R168" i="31"/>
  <c r="S132" i="31"/>
  <c r="Q94" i="31"/>
  <c r="R92" i="31"/>
  <c r="J78" i="31"/>
  <c r="J65" i="31"/>
  <c r="H78" i="31"/>
  <c r="F44" i="31"/>
  <c r="F45" i="31" s="1"/>
  <c r="N168" i="31"/>
  <c r="F170" i="31"/>
  <c r="F171" i="31" s="1"/>
  <c r="N170" i="31"/>
  <c r="L132" i="31"/>
  <c r="F78" i="31"/>
  <c r="D64" i="31"/>
  <c r="C130" i="31"/>
  <c r="R77" i="31"/>
  <c r="R66" i="31"/>
  <c r="H76" i="31"/>
  <c r="H64" i="31"/>
  <c r="P64" i="31" s="1"/>
  <c r="H65" i="31"/>
  <c r="Q132" i="31"/>
  <c r="N890" i="31"/>
  <c r="N891" i="31" s="1"/>
  <c r="H888" i="31"/>
  <c r="H891" i="31" s="1"/>
  <c r="S760" i="31"/>
  <c r="N536" i="31"/>
  <c r="L461" i="31"/>
  <c r="P461" i="31" s="1"/>
  <c r="N336" i="31"/>
  <c r="P336" i="31" s="1"/>
  <c r="N521" i="31"/>
  <c r="P521" i="31" s="1"/>
  <c r="N553" i="31"/>
  <c r="P553" i="31" s="1"/>
  <c r="C114" i="31"/>
  <c r="F1089" i="31"/>
  <c r="P1089" i="31" s="1"/>
  <c r="F1074" i="31"/>
  <c r="P1074" i="31" s="1"/>
  <c r="H1036" i="31"/>
  <c r="P1036" i="31" s="1"/>
  <c r="J922" i="31"/>
  <c r="J923" i="31" s="1"/>
  <c r="D920" i="31"/>
  <c r="J1090" i="31"/>
  <c r="J1091" i="31" s="1"/>
  <c r="L574" i="31"/>
  <c r="L577" i="31" s="1"/>
  <c r="D1034" i="31"/>
  <c r="H120" i="31"/>
  <c r="H121" i="31" s="1"/>
  <c r="S119" i="31"/>
  <c r="R119" i="31"/>
  <c r="J135" i="31"/>
  <c r="N118" i="31"/>
  <c r="H69" i="31"/>
  <c r="D134" i="31"/>
  <c r="C134" i="31"/>
  <c r="L135" i="31"/>
  <c r="L137" i="31" s="1"/>
  <c r="H157" i="31"/>
  <c r="H159" i="31" s="1"/>
  <c r="Q158" i="31"/>
  <c r="S158" i="31"/>
  <c r="J119" i="31"/>
  <c r="S80" i="31"/>
  <c r="S69" i="31"/>
  <c r="H250" i="31"/>
  <c r="P250" i="31" s="1"/>
  <c r="R158" i="31"/>
  <c r="C378" i="31"/>
  <c r="H542" i="31"/>
  <c r="H543" i="31" s="1"/>
  <c r="R156" i="31"/>
  <c r="Q103" i="31"/>
  <c r="S82" i="31"/>
  <c r="J68" i="31"/>
  <c r="H779" i="31"/>
  <c r="H781" i="31" s="1"/>
  <c r="R908" i="31"/>
  <c r="L562" i="31"/>
  <c r="L565" i="31" s="1"/>
  <c r="L293" i="31"/>
  <c r="H999" i="31"/>
  <c r="P982" i="31"/>
  <c r="H983" i="31"/>
  <c r="F1003" i="31"/>
  <c r="P1059" i="31"/>
  <c r="P958" i="31"/>
  <c r="H937" i="31"/>
  <c r="F991" i="31"/>
  <c r="P1050" i="31"/>
  <c r="L251" i="31"/>
  <c r="P1090" i="31"/>
  <c r="H877" i="31"/>
  <c r="L923" i="31"/>
  <c r="P968" i="31"/>
  <c r="L769" i="31"/>
  <c r="L869" i="31"/>
  <c r="P910" i="31"/>
  <c r="P822" i="31"/>
  <c r="L933" i="31"/>
  <c r="J1003" i="31"/>
  <c r="H1091" i="31"/>
  <c r="H1083" i="31"/>
  <c r="J1121" i="31"/>
  <c r="J1117" i="31"/>
  <c r="N1095" i="31"/>
  <c r="F1053" i="31"/>
  <c r="P806" i="31"/>
  <c r="N853" i="31"/>
  <c r="P913" i="31"/>
  <c r="L907" i="31"/>
  <c r="L949" i="31"/>
  <c r="F945" i="31"/>
  <c r="L953" i="31"/>
  <c r="H531" i="31"/>
  <c r="J593" i="31"/>
  <c r="J647" i="31"/>
  <c r="J635" i="31"/>
  <c r="H615" i="31"/>
  <c r="H831" i="31"/>
  <c r="H823" i="31"/>
  <c r="H807" i="31"/>
  <c r="F831" i="31"/>
  <c r="F823" i="31"/>
  <c r="F815" i="31"/>
  <c r="F807" i="31"/>
  <c r="F857" i="31"/>
  <c r="H857" i="31"/>
  <c r="F841" i="31"/>
  <c r="H841" i="31"/>
  <c r="F853" i="31"/>
  <c r="F861" i="31"/>
  <c r="F969" i="31"/>
  <c r="F953" i="31"/>
  <c r="J1053" i="31"/>
  <c r="J1029" i="31"/>
  <c r="J1107" i="31"/>
  <c r="J1075" i="31"/>
  <c r="H1095" i="31"/>
  <c r="H1079" i="31"/>
  <c r="H1129" i="31"/>
  <c r="N1057" i="31"/>
  <c r="N1045" i="31"/>
  <c r="N1121" i="31"/>
  <c r="N1041" i="31"/>
  <c r="N1053" i="31"/>
  <c r="J769" i="31"/>
  <c r="J785" i="31"/>
  <c r="H777" i="31"/>
  <c r="N777" i="31"/>
  <c r="N689" i="31"/>
  <c r="F677" i="31"/>
  <c r="N815" i="31"/>
  <c r="P870" i="31"/>
  <c r="J961" i="31"/>
  <c r="P948" i="31"/>
  <c r="J1015" i="31"/>
  <c r="P1006" i="31"/>
  <c r="F1007" i="31"/>
  <c r="F1137" i="31"/>
  <c r="F1129" i="31"/>
  <c r="N1133" i="31"/>
  <c r="P768" i="31"/>
  <c r="L841" i="31"/>
  <c r="P776" i="31"/>
  <c r="H685" i="31"/>
  <c r="L661" i="31"/>
  <c r="H731" i="31"/>
  <c r="P720" i="31"/>
  <c r="N739" i="31"/>
  <c r="P774" i="31"/>
  <c r="L815" i="31"/>
  <c r="F803" i="31"/>
  <c r="N819" i="31"/>
  <c r="N803" i="31"/>
  <c r="J877" i="31"/>
  <c r="N873" i="31"/>
  <c r="L911" i="31"/>
  <c r="L895" i="31"/>
  <c r="L965" i="31"/>
  <c r="H965" i="31"/>
  <c r="N965" i="31"/>
  <c r="N937" i="31"/>
  <c r="H1015" i="31"/>
  <c r="L1007" i="31"/>
  <c r="J999" i="31"/>
  <c r="P985" i="31"/>
  <c r="L983" i="31"/>
  <c r="N1007" i="31"/>
  <c r="H1003" i="31"/>
  <c r="J1061" i="31"/>
  <c r="J1057" i="31"/>
  <c r="J1045" i="31"/>
  <c r="J1025" i="31"/>
  <c r="J1079" i="31"/>
  <c r="L1095" i="31"/>
  <c r="L1079" i="31"/>
  <c r="J1153" i="31"/>
  <c r="L1121" i="31"/>
  <c r="L1149" i="31"/>
  <c r="P1130" i="31"/>
  <c r="P1114" i="31"/>
  <c r="N1153" i="31"/>
  <c r="P1060" i="31"/>
  <c r="H899" i="31"/>
  <c r="P1052" i="31"/>
  <c r="J765" i="31"/>
  <c r="H785" i="31"/>
  <c r="H179" i="31"/>
  <c r="N693" i="31"/>
  <c r="N677" i="31"/>
  <c r="N661" i="31"/>
  <c r="P108" i="31"/>
  <c r="F109" i="31"/>
  <c r="P658" i="31"/>
  <c r="N707" i="31"/>
  <c r="N823" i="31"/>
  <c r="N807" i="31"/>
  <c r="H1053" i="31"/>
  <c r="J895" i="31"/>
  <c r="N1025" i="31"/>
  <c r="N685" i="31"/>
  <c r="N1029" i="31"/>
  <c r="H125" i="31"/>
  <c r="J915" i="31"/>
  <c r="F799" i="31"/>
  <c r="P796" i="31"/>
  <c r="P856" i="31"/>
  <c r="J845" i="31"/>
  <c r="J853" i="31"/>
  <c r="P860" i="31"/>
  <c r="H869" i="31"/>
  <c r="N861" i="31"/>
  <c r="N911" i="31"/>
  <c r="P896" i="31"/>
  <c r="L969" i="31"/>
  <c r="F965" i="31"/>
  <c r="P959" i="31"/>
  <c r="H961" i="31"/>
  <c r="N969" i="31"/>
  <c r="J937" i="31"/>
  <c r="P930" i="31"/>
  <c r="J933" i="31"/>
  <c r="P946" i="31"/>
  <c r="J949" i="31"/>
  <c r="P943" i="31"/>
  <c r="N953" i="31"/>
  <c r="J953" i="31"/>
  <c r="P1014" i="31"/>
  <c r="F1015" i="31"/>
  <c r="N999" i="31"/>
  <c r="P998" i="31"/>
  <c r="J987" i="31"/>
  <c r="N983" i="31"/>
  <c r="J983" i="31"/>
  <c r="P1005" i="31"/>
  <c r="N991" i="31"/>
  <c r="J991" i="31"/>
  <c r="L1057" i="31"/>
  <c r="L1041" i="31"/>
  <c r="L1025" i="31"/>
  <c r="J1099" i="31"/>
  <c r="J1095" i="31"/>
  <c r="P1080" i="31"/>
  <c r="L1107" i="31"/>
  <c r="L1099" i="31"/>
  <c r="L1091" i="31"/>
  <c r="L1083" i="31"/>
  <c r="L1075" i="31"/>
  <c r="P1143" i="31"/>
  <c r="P1136" i="31"/>
  <c r="P1134" i="31"/>
  <c r="P1118" i="31"/>
  <c r="F1153" i="31"/>
  <c r="F1133" i="31"/>
  <c r="P1055" i="31"/>
  <c r="H1107" i="31"/>
  <c r="N1107" i="31"/>
  <c r="N1075" i="31"/>
  <c r="P1043" i="31"/>
  <c r="P1148" i="31"/>
  <c r="N1149" i="31"/>
  <c r="F1099" i="31"/>
  <c r="P1098" i="31"/>
  <c r="N1099" i="31"/>
  <c r="F1083" i="31"/>
  <c r="N1083" i="31"/>
  <c r="J911" i="31"/>
  <c r="P905" i="31"/>
  <c r="P1152" i="31"/>
  <c r="F769" i="31"/>
  <c r="J141" i="31"/>
  <c r="P1151" i="31"/>
  <c r="P775" i="31"/>
  <c r="J1037" i="31"/>
  <c r="P1026" i="31"/>
  <c r="L1117" i="31"/>
  <c r="P960" i="31"/>
  <c r="N1129" i="31"/>
  <c r="P814" i="31"/>
  <c r="P1001" i="31"/>
  <c r="P996" i="31"/>
  <c r="J1083" i="31"/>
  <c r="L1133" i="31"/>
  <c r="P1027" i="31"/>
  <c r="F1061" i="31"/>
  <c r="P660" i="31"/>
  <c r="P1022" i="31"/>
  <c r="P934" i="31"/>
  <c r="H1099" i="31"/>
  <c r="P1088" i="31"/>
  <c r="P1127" i="31"/>
  <c r="P1150" i="31"/>
  <c r="P107" i="31"/>
  <c r="N547" i="31"/>
  <c r="H141" i="31"/>
  <c r="F581" i="31"/>
  <c r="P851" i="31"/>
  <c r="L1015" i="31"/>
  <c r="P984" i="31"/>
  <c r="P989" i="31"/>
  <c r="P1120" i="31"/>
  <c r="H1045" i="31"/>
  <c r="F899" i="31"/>
  <c r="P1051" i="31"/>
  <c r="F911" i="31"/>
  <c r="L899" i="31"/>
  <c r="P1024" i="31"/>
  <c r="L785" i="31"/>
  <c r="L601" i="31"/>
  <c r="L1029" i="31"/>
  <c r="P1028" i="31"/>
  <c r="N125" i="31"/>
  <c r="P123" i="31"/>
  <c r="P1094" i="31"/>
  <c r="P1126" i="31"/>
  <c r="H769" i="31"/>
  <c r="P767" i="31"/>
  <c r="P893" i="31"/>
  <c r="F1145" i="31"/>
  <c r="L1037" i="31"/>
  <c r="P804" i="31"/>
  <c r="P908" i="31"/>
  <c r="N895" i="31"/>
  <c r="P981" i="31"/>
  <c r="P1042" i="31"/>
  <c r="P1104" i="31"/>
  <c r="P1072" i="31"/>
  <c r="P1092" i="31"/>
  <c r="L1137" i="31"/>
  <c r="J1007" i="31"/>
  <c r="P952" i="31"/>
  <c r="H853" i="31"/>
  <c r="P1144" i="31"/>
  <c r="H1121" i="31"/>
  <c r="P852" i="31"/>
  <c r="P766" i="31"/>
  <c r="F1029" i="31"/>
  <c r="P1082" i="31"/>
  <c r="J125" i="31"/>
  <c r="N657" i="31"/>
  <c r="P1044" i="31"/>
  <c r="P1056" i="31"/>
  <c r="F765" i="31"/>
  <c r="L367" i="31"/>
  <c r="P838" i="31"/>
  <c r="P897" i="31"/>
  <c r="P963" i="31"/>
  <c r="F961" i="31"/>
  <c r="P986" i="31"/>
  <c r="P980" i="31"/>
  <c r="J1041" i="31"/>
  <c r="H1137" i="31"/>
  <c r="P1119" i="31"/>
  <c r="P1146" i="31"/>
  <c r="H987" i="31"/>
  <c r="J1149" i="31"/>
  <c r="H1145" i="31"/>
  <c r="H1025" i="31"/>
  <c r="H907" i="31"/>
  <c r="F1095" i="31"/>
  <c r="P1132" i="31"/>
  <c r="L489" i="31"/>
  <c r="P830" i="31"/>
  <c r="P962" i="31"/>
  <c r="H661" i="31"/>
  <c r="P854" i="31"/>
  <c r="J945" i="31"/>
  <c r="F987" i="31"/>
  <c r="P1096" i="31"/>
  <c r="P997" i="31"/>
  <c r="P138" i="31"/>
  <c r="P909" i="31"/>
  <c r="P1012" i="31"/>
  <c r="J857" i="31"/>
  <c r="L937" i="31"/>
  <c r="U65" i="30"/>
  <c r="BI56" i="27"/>
  <c r="AY56" i="27" s="1"/>
  <c r="BK79" i="27"/>
  <c r="AD45" i="27"/>
  <c r="O118" i="27"/>
  <c r="M94" i="27"/>
  <c r="I94" i="27" s="1"/>
  <c r="AS56" i="27"/>
  <c r="AU79" i="27"/>
  <c r="AQ1" i="30"/>
  <c r="AF23" i="30"/>
  <c r="N6" i="27"/>
  <c r="AE157" i="27"/>
  <c r="AC172" i="27" s="1"/>
  <c r="AC133" i="27"/>
  <c r="AC94" i="27"/>
  <c r="N180" i="31"/>
  <c r="J425" i="31"/>
  <c r="N78" i="31"/>
  <c r="F77" i="31"/>
  <c r="N66" i="31"/>
  <c r="F65" i="31"/>
  <c r="S93" i="31"/>
  <c r="F27" i="31"/>
  <c r="L27" i="31"/>
  <c r="H44" i="31"/>
  <c r="H130" i="31"/>
  <c r="F130" i="31"/>
  <c r="L131" i="31"/>
  <c r="J185" i="31"/>
  <c r="Q115" i="31"/>
  <c r="C336" i="31"/>
  <c r="F338" i="31"/>
  <c r="P338" i="31" s="1"/>
  <c r="F116" i="31"/>
  <c r="R115" i="31"/>
  <c r="J94" i="31"/>
  <c r="F94" i="31"/>
  <c r="R116" i="31"/>
  <c r="AS16" i="27"/>
  <c r="AI13" i="27" s="1"/>
  <c r="C148" i="31"/>
  <c r="S92" i="31"/>
  <c r="N65" i="31"/>
  <c r="C26" i="31"/>
  <c r="H66" i="31"/>
  <c r="F131" i="31"/>
  <c r="J444" i="31"/>
  <c r="J447" i="31" s="1"/>
  <c r="R153" i="31"/>
  <c r="Q114" i="31"/>
  <c r="F115" i="31"/>
  <c r="R114" i="31"/>
  <c r="L28" i="31"/>
  <c r="N93" i="31"/>
  <c r="N92" i="31"/>
  <c r="S94" i="31"/>
  <c r="BI16" i="27"/>
  <c r="P23" i="35"/>
  <c r="J86" i="30"/>
  <c r="H99" i="30" s="1"/>
  <c r="F94" i="30" s="1"/>
  <c r="I94" i="30" s="1"/>
  <c r="H78" i="30"/>
  <c r="F73" i="30" s="1"/>
  <c r="I73" i="30" s="1"/>
  <c r="H57" i="30"/>
  <c r="F52" i="30" s="1"/>
  <c r="I52" i="30" s="1"/>
  <c r="F555" i="31"/>
  <c r="P580" i="31"/>
  <c r="J739" i="31"/>
  <c r="P816" i="31"/>
  <c r="L33" i="31"/>
  <c r="L21" i="31"/>
  <c r="K35" i="35"/>
  <c r="B35" i="35"/>
  <c r="Q9" i="35"/>
  <c r="V11" i="35" s="1"/>
  <c r="A45" i="35"/>
  <c r="AT1" i="35"/>
  <c r="AU9" i="35" s="1"/>
  <c r="AF9" i="35"/>
  <c r="AF10" i="35" s="1"/>
  <c r="B13" i="35"/>
  <c r="K13" i="35"/>
  <c r="AE23" i="35"/>
  <c r="C1030" i="31"/>
  <c r="R902" i="31"/>
  <c r="F1068" i="31"/>
  <c r="R1032" i="31"/>
  <c r="J1032" i="31"/>
  <c r="N1032" i="31"/>
  <c r="D1084" i="31"/>
  <c r="Q1086" i="31"/>
  <c r="N1085" i="31"/>
  <c r="N1086" i="31"/>
  <c r="C1068" i="31"/>
  <c r="H1070" i="31"/>
  <c r="J885" i="31"/>
  <c r="F755" i="31"/>
  <c r="R917" i="31"/>
  <c r="S425" i="31"/>
  <c r="L363" i="31"/>
  <c r="R1048" i="31"/>
  <c r="H1047" i="31"/>
  <c r="F1048" i="31"/>
  <c r="F1085" i="31"/>
  <c r="R901" i="31"/>
  <c r="Q1140" i="31"/>
  <c r="F1084" i="31"/>
  <c r="F1031" i="31"/>
  <c r="N1030" i="31"/>
  <c r="S1102" i="31"/>
  <c r="S1070" i="31"/>
  <c r="J1102" i="31"/>
  <c r="N1100" i="31"/>
  <c r="Q1084" i="31"/>
  <c r="R1086" i="31"/>
  <c r="Q1070" i="31"/>
  <c r="N1069" i="31"/>
  <c r="N1070" i="31"/>
  <c r="D1122" i="31"/>
  <c r="F884" i="31"/>
  <c r="Q756" i="31"/>
  <c r="J424" i="31"/>
  <c r="L257" i="31"/>
  <c r="L259" i="31" s="1"/>
  <c r="H182" i="31"/>
  <c r="Q771" i="31"/>
  <c r="L125" i="31"/>
  <c r="P598" i="31"/>
  <c r="R900" i="31"/>
  <c r="D900" i="31"/>
  <c r="N862" i="31"/>
  <c r="N863" i="31"/>
  <c r="Q754" i="31"/>
  <c r="S886" i="31"/>
  <c r="D532" i="31"/>
  <c r="N494" i="31"/>
  <c r="Q679" i="31"/>
  <c r="F845" i="31"/>
  <c r="J456" i="31"/>
  <c r="D516" i="31"/>
  <c r="J127" i="31"/>
  <c r="H150" i="31"/>
  <c r="D110" i="31"/>
  <c r="J149" i="31"/>
  <c r="Q770" i="31"/>
  <c r="F772" i="31"/>
  <c r="N679" i="31"/>
  <c r="H149" i="31"/>
  <c r="N1137" i="31"/>
  <c r="C180" i="31"/>
  <c r="J61" i="31"/>
  <c r="N110" i="31"/>
  <c r="J90" i="31"/>
  <c r="D38" i="31"/>
  <c r="C110" i="31"/>
  <c r="J110" i="31"/>
  <c r="H90" i="31"/>
  <c r="H22" i="31"/>
  <c r="J772" i="31"/>
  <c r="S771" i="31"/>
  <c r="N680" i="31"/>
  <c r="S664" i="31"/>
  <c r="D548" i="31"/>
  <c r="R24" i="31"/>
  <c r="S149" i="31"/>
  <c r="N495" i="31"/>
  <c r="J111" i="31"/>
  <c r="D88" i="31"/>
  <c r="F770" i="31"/>
  <c r="D678" i="31"/>
  <c r="C88" i="31"/>
  <c r="H38" i="31"/>
  <c r="H41" i="31" s="1"/>
  <c r="J664" i="31"/>
  <c r="L371" i="31"/>
  <c r="H845" i="31"/>
  <c r="S902" i="31"/>
  <c r="H884" i="31"/>
  <c r="F885" i="31"/>
  <c r="F754" i="31"/>
  <c r="L862" i="31"/>
  <c r="R755" i="31"/>
  <c r="N755" i="31"/>
  <c r="N754" i="31"/>
  <c r="F917" i="31"/>
  <c r="J916" i="31"/>
  <c r="R918" i="31"/>
  <c r="Q885" i="31"/>
  <c r="H756" i="31"/>
  <c r="F572" i="31"/>
  <c r="S457" i="31"/>
  <c r="R182" i="31"/>
  <c r="J457" i="31"/>
  <c r="N182" i="31"/>
  <c r="R550" i="31"/>
  <c r="R534" i="31"/>
  <c r="R518" i="31"/>
  <c r="H480" i="31"/>
  <c r="L424" i="31"/>
  <c r="H181" i="31"/>
  <c r="R166" i="31"/>
  <c r="N126" i="31"/>
  <c r="N60" i="31"/>
  <c r="D148" i="31"/>
  <c r="J89" i="31"/>
  <c r="F39" i="31"/>
  <c r="F23" i="31"/>
  <c r="H112" i="31"/>
  <c r="R110" i="31"/>
  <c r="Q110" i="31"/>
  <c r="J148" i="31"/>
  <c r="S148" i="31"/>
  <c r="L150" i="31"/>
  <c r="H89" i="31"/>
  <c r="S23" i="31"/>
  <c r="F496" i="31"/>
  <c r="H110" i="31"/>
  <c r="S90" i="31"/>
  <c r="R771" i="31"/>
  <c r="D770" i="31"/>
  <c r="N771" i="31"/>
  <c r="S772" i="31"/>
  <c r="R772" i="31"/>
  <c r="Q772" i="31"/>
  <c r="S680" i="31"/>
  <c r="Q678" i="31"/>
  <c r="R680" i="31"/>
  <c r="Q664" i="31"/>
  <c r="H111" i="31"/>
  <c r="F662" i="31"/>
  <c r="C662" i="31"/>
  <c r="L294" i="31"/>
  <c r="L297" i="31" s="1"/>
  <c r="H127" i="31"/>
  <c r="P676" i="31"/>
  <c r="S901" i="31"/>
  <c r="H848" i="31"/>
  <c r="H885" i="31"/>
  <c r="H886" i="31"/>
  <c r="S756" i="31"/>
  <c r="R754" i="31"/>
  <c r="J756" i="31"/>
  <c r="Q916" i="31"/>
  <c r="J917" i="31"/>
  <c r="Q918" i="31"/>
  <c r="D884" i="31"/>
  <c r="H755" i="31"/>
  <c r="S440" i="31"/>
  <c r="F182" i="31"/>
  <c r="F183" i="31" s="1"/>
  <c r="N426" i="31"/>
  <c r="S181" i="31"/>
  <c r="N442" i="31"/>
  <c r="Q182" i="31"/>
  <c r="N181" i="31"/>
  <c r="L609" i="31"/>
  <c r="N549" i="31"/>
  <c r="N533" i="31"/>
  <c r="N517" i="31"/>
  <c r="C478" i="31"/>
  <c r="C348" i="31"/>
  <c r="D180" i="31"/>
  <c r="S165" i="31"/>
  <c r="S128" i="31"/>
  <c r="S62" i="31"/>
  <c r="S112" i="31"/>
  <c r="J88" i="31"/>
  <c r="N40" i="31"/>
  <c r="L40" i="31"/>
  <c r="Q24" i="31"/>
  <c r="F111" i="31"/>
  <c r="Q111" i="31"/>
  <c r="J112" i="31"/>
  <c r="N149" i="31"/>
  <c r="F150" i="31"/>
  <c r="F151" i="31" s="1"/>
  <c r="S150" i="31"/>
  <c r="F88" i="31"/>
  <c r="L23" i="31"/>
  <c r="L25" i="31" s="1"/>
  <c r="Q496" i="31"/>
  <c r="F90" i="31"/>
  <c r="R770" i="31"/>
  <c r="C770" i="31"/>
  <c r="J771" i="31"/>
  <c r="N772" i="31"/>
  <c r="J770" i="31"/>
  <c r="H770" i="31"/>
  <c r="L771" i="31"/>
  <c r="F678" i="31"/>
  <c r="J680" i="31"/>
  <c r="N678" i="31"/>
  <c r="F663" i="31"/>
  <c r="R664" i="31"/>
  <c r="S900" i="31"/>
  <c r="R886" i="31"/>
  <c r="J886" i="31"/>
  <c r="Q886" i="31"/>
  <c r="F756" i="31"/>
  <c r="F864" i="31"/>
  <c r="C754" i="31"/>
  <c r="L755" i="31"/>
  <c r="Q917" i="31"/>
  <c r="N918" i="31"/>
  <c r="H754" i="31"/>
  <c r="Q426" i="31"/>
  <c r="S180" i="31"/>
  <c r="L425" i="31"/>
  <c r="R180" i="31"/>
  <c r="J441" i="31"/>
  <c r="R181" i="31"/>
  <c r="J180" i="31"/>
  <c r="Q572" i="31"/>
  <c r="N550" i="31"/>
  <c r="N534" i="31"/>
  <c r="N518" i="31"/>
  <c r="F480" i="31"/>
  <c r="L273" i="31"/>
  <c r="L275" i="31" s="1"/>
  <c r="R164" i="31"/>
  <c r="H128" i="31"/>
  <c r="H62" i="31"/>
  <c r="S111" i="31"/>
  <c r="S38" i="31"/>
  <c r="L39" i="31"/>
  <c r="S22" i="31"/>
  <c r="N111" i="31"/>
  <c r="L112" i="31"/>
  <c r="L111" i="31"/>
  <c r="N150" i="31"/>
  <c r="H148" i="31"/>
  <c r="R111" i="31"/>
  <c r="N24" i="31"/>
  <c r="N25" i="31" s="1"/>
  <c r="R23" i="31"/>
  <c r="L494" i="31"/>
  <c r="L497" i="31" s="1"/>
  <c r="Q112" i="31"/>
  <c r="S88" i="31"/>
  <c r="H772" i="31"/>
  <c r="S770" i="31"/>
  <c r="L772" i="31"/>
  <c r="N770" i="31"/>
  <c r="H771" i="31"/>
  <c r="F680" i="31"/>
  <c r="F679" i="31"/>
  <c r="C678" i="31"/>
  <c r="H680" i="31"/>
  <c r="R89" i="31"/>
  <c r="F664" i="31"/>
  <c r="Q662" i="31"/>
  <c r="N662" i="31"/>
  <c r="N148" i="31"/>
  <c r="L90" i="31"/>
  <c r="H46" i="31"/>
  <c r="P620" i="31"/>
  <c r="N639" i="31"/>
  <c r="N623" i="31"/>
  <c r="F619" i="31"/>
  <c r="P682" i="31"/>
  <c r="H689" i="31"/>
  <c r="N731" i="31"/>
  <c r="N715" i="31"/>
  <c r="P709" i="31"/>
  <c r="P820" i="31"/>
  <c r="P812" i="31"/>
  <c r="P800" i="31"/>
  <c r="P818" i="31"/>
  <c r="P802" i="31"/>
  <c r="L831" i="31"/>
  <c r="L807" i="31"/>
  <c r="N799" i="31"/>
  <c r="H799" i="31"/>
  <c r="L799" i="31"/>
  <c r="L861" i="31"/>
  <c r="L845" i="31"/>
  <c r="P840" i="31"/>
  <c r="P871" i="31"/>
  <c r="P844" i="31"/>
  <c r="H861" i="31"/>
  <c r="L873" i="31"/>
  <c r="F869" i="31"/>
  <c r="P866" i="31"/>
  <c r="N915" i="31"/>
  <c r="N112" i="31"/>
  <c r="R90" i="31"/>
  <c r="D662" i="31"/>
  <c r="Q663" i="31"/>
  <c r="N663" i="31"/>
  <c r="Q388" i="31"/>
  <c r="F89" i="31"/>
  <c r="L846" i="31"/>
  <c r="R756" i="31"/>
  <c r="R126" i="31"/>
  <c r="F110" i="31"/>
  <c r="R88" i="31"/>
  <c r="F22" i="31"/>
  <c r="Q150" i="31"/>
  <c r="N1047" i="31"/>
  <c r="N886" i="31"/>
  <c r="F819" i="31"/>
  <c r="P843" i="31"/>
  <c r="P842" i="31"/>
  <c r="F112" i="31"/>
  <c r="Q40" i="31"/>
  <c r="H23" i="31"/>
  <c r="L89" i="31"/>
  <c r="Q1047" i="31"/>
  <c r="L847" i="31"/>
  <c r="N570" i="31"/>
  <c r="Q1048" i="31"/>
  <c r="L1032" i="31"/>
  <c r="R885" i="31"/>
  <c r="H901" i="31"/>
  <c r="J754" i="31"/>
  <c r="N39" i="31"/>
  <c r="H1030" i="31"/>
  <c r="N1046" i="31"/>
  <c r="L918" i="31"/>
  <c r="L1048" i="31"/>
  <c r="S755" i="31"/>
  <c r="F550" i="31"/>
  <c r="F1047" i="31"/>
  <c r="S916" i="31"/>
  <c r="H1046" i="31"/>
  <c r="N756" i="31"/>
  <c r="R127" i="31"/>
  <c r="H534" i="31"/>
  <c r="F518" i="31"/>
  <c r="R128" i="31"/>
  <c r="BE163" i="27"/>
  <c r="BF163" i="27" s="1"/>
  <c r="N128" i="31"/>
  <c r="S127" i="31"/>
  <c r="AJ92" i="30"/>
  <c r="N90" i="31"/>
  <c r="S164" i="31"/>
  <c r="Q127" i="31"/>
  <c r="H126" i="31"/>
  <c r="Q60" i="31"/>
  <c r="J93" i="31"/>
  <c r="H94" i="31"/>
  <c r="F489" i="31"/>
  <c r="H601" i="31"/>
  <c r="F593" i="31"/>
  <c r="J631" i="31"/>
  <c r="F639" i="31"/>
  <c r="P636" i="31"/>
  <c r="N619" i="31"/>
  <c r="F615" i="31"/>
  <c r="L693" i="31"/>
  <c r="H693" i="31"/>
  <c r="H677" i="31"/>
  <c r="P667" i="31"/>
  <c r="L739" i="31"/>
  <c r="H739" i="31"/>
  <c r="N727" i="31"/>
  <c r="J715" i="31"/>
  <c r="P710" i="31"/>
  <c r="H711" i="31"/>
  <c r="L777" i="31"/>
  <c r="H815" i="31"/>
  <c r="H88" i="31"/>
  <c r="N548" i="31"/>
  <c r="F534" i="31"/>
  <c r="N516" i="31"/>
  <c r="F92" i="31"/>
  <c r="AJ50" i="30"/>
  <c r="H669" i="31"/>
  <c r="P637" i="31"/>
  <c r="L593" i="31"/>
  <c r="S110" i="31"/>
  <c r="N89" i="31"/>
  <c r="C38" i="31"/>
  <c r="J22" i="31"/>
  <c r="J25" i="31" s="1"/>
  <c r="Q89" i="31"/>
  <c r="S89" i="31"/>
  <c r="N847" i="31"/>
  <c r="L886" i="31"/>
  <c r="D478" i="31"/>
  <c r="R916" i="31"/>
  <c r="N846" i="31"/>
  <c r="Q480" i="31"/>
  <c r="H1032" i="31"/>
  <c r="J918" i="31"/>
  <c r="R165" i="31"/>
  <c r="S754" i="31"/>
  <c r="C548" i="31"/>
  <c r="R148" i="31"/>
  <c r="C126" i="31"/>
  <c r="H550" i="31"/>
  <c r="Q126" i="31"/>
  <c r="Q534" i="31"/>
  <c r="L938" i="31"/>
  <c r="H518" i="31"/>
  <c r="S126" i="31"/>
  <c r="Q62" i="31"/>
  <c r="G7" i="31"/>
  <c r="BE124" i="27"/>
  <c r="BF124" i="27" s="1"/>
  <c r="N88" i="31"/>
  <c r="Q88" i="31"/>
  <c r="Q848" i="31"/>
  <c r="N1122" i="31"/>
  <c r="C862" i="31"/>
  <c r="H166" i="31"/>
  <c r="R978" i="31"/>
  <c r="H916" i="31"/>
  <c r="N902" i="31"/>
  <c r="S884" i="31"/>
  <c r="N479" i="31"/>
  <c r="J164" i="31"/>
  <c r="D754" i="31"/>
  <c r="J755" i="31"/>
  <c r="Q128" i="31"/>
  <c r="N532" i="31"/>
  <c r="J128" i="31"/>
  <c r="Q518" i="31"/>
  <c r="R150" i="31"/>
  <c r="D126" i="31"/>
  <c r="H489" i="31"/>
  <c r="H501" i="31"/>
  <c r="N94" i="30"/>
  <c r="Y46" i="27"/>
  <c r="Z46" i="27" s="1"/>
  <c r="C60" i="31"/>
  <c r="D49" i="27"/>
  <c r="N46" i="27" s="1"/>
  <c r="K6" i="31"/>
  <c r="C48" i="30"/>
  <c r="C6" i="30"/>
  <c r="C10" i="30" s="1"/>
  <c r="J62" i="31"/>
  <c r="R60" i="31"/>
  <c r="H60" i="31"/>
  <c r="G6" i="27"/>
  <c r="Y30" i="30"/>
  <c r="Y48" i="30"/>
  <c r="AO162" i="27"/>
  <c r="AP162" i="27" s="1"/>
  <c r="N62" i="31"/>
  <c r="R61" i="31"/>
  <c r="G6" i="31"/>
  <c r="G8" i="27"/>
  <c r="AO48" i="27"/>
  <c r="AP48" i="27" s="1"/>
  <c r="AK88" i="27"/>
  <c r="AY45" i="27"/>
  <c r="E5" i="30"/>
  <c r="K7" i="31"/>
  <c r="N30" i="30"/>
  <c r="N92" i="30"/>
  <c r="U86" i="27"/>
  <c r="Y86" i="27" s="1"/>
  <c r="Z86" i="27" s="1"/>
  <c r="BA123" i="27"/>
  <c r="M7" i="31"/>
  <c r="C51" i="30"/>
  <c r="AO86" i="27"/>
  <c r="AP86" i="27" s="1"/>
  <c r="AM49" i="27"/>
  <c r="AM50" i="27" s="1"/>
  <c r="U125" i="27"/>
  <c r="N9" i="30"/>
  <c r="AJ94" i="30"/>
  <c r="E49" i="27"/>
  <c r="K10" i="4"/>
  <c r="N28" i="30"/>
  <c r="N70" i="30"/>
  <c r="Y5" i="30"/>
  <c r="AA5" i="30"/>
  <c r="Y51" i="30"/>
  <c r="Y7" i="27"/>
  <c r="Z7" i="27" s="1"/>
  <c r="E6" i="27"/>
  <c r="C69" i="30"/>
  <c r="E69" i="30"/>
  <c r="C27" i="30"/>
  <c r="AJ51" i="30"/>
  <c r="AL51" i="30"/>
  <c r="AA70" i="30"/>
  <c r="Y70" i="30"/>
  <c r="Y72" i="30"/>
  <c r="AL93" i="30"/>
  <c r="P5" i="30"/>
  <c r="C31" i="30"/>
  <c r="E31" i="30"/>
  <c r="I122" i="27"/>
  <c r="J122" i="27" s="1"/>
  <c r="BE164" i="27"/>
  <c r="BF164" i="27" s="1"/>
  <c r="H45" i="27"/>
  <c r="M51" i="27" s="1"/>
  <c r="U5" i="27"/>
  <c r="AK6" i="27"/>
  <c r="W48" i="27"/>
  <c r="Y48" i="27" s="1"/>
  <c r="Z48" i="27" s="1"/>
  <c r="AI49" i="27"/>
  <c r="BC45" i="27"/>
  <c r="BC50" i="27" s="1"/>
  <c r="U85" i="27"/>
  <c r="Y85" i="27" s="1"/>
  <c r="Z85" i="27" s="1"/>
  <c r="BA85" i="27"/>
  <c r="S124" i="27"/>
  <c r="W125" i="27"/>
  <c r="E163" i="27"/>
  <c r="I163" i="27" s="1"/>
  <c r="J163" i="27" s="1"/>
  <c r="S164" i="27"/>
  <c r="AM163" i="27"/>
  <c r="AO163" i="27" s="1"/>
  <c r="AP163" i="27" s="1"/>
  <c r="BA162" i="27"/>
  <c r="I161" i="27"/>
  <c r="J161" i="27" s="1"/>
  <c r="P475" i="31"/>
  <c r="N565" i="31"/>
  <c r="H647" i="31"/>
  <c r="N631" i="31"/>
  <c r="F623" i="31"/>
  <c r="J615" i="31"/>
  <c r="P683" i="31"/>
  <c r="P675" i="31"/>
  <c r="J673" i="31"/>
  <c r="L689" i="31"/>
  <c r="L673" i="31"/>
  <c r="F731" i="31"/>
  <c r="J707" i="31"/>
  <c r="F715" i="31"/>
  <c r="P817" i="31"/>
  <c r="S45" i="27"/>
  <c r="S50" i="27" s="1"/>
  <c r="H46" i="27"/>
  <c r="N51" i="27" s="1"/>
  <c r="BC8" i="27"/>
  <c r="C47" i="27"/>
  <c r="O45" i="27" s="1"/>
  <c r="C85" i="27"/>
  <c r="I85" i="27" s="1"/>
  <c r="J85" i="27" s="1"/>
  <c r="C124" i="27"/>
  <c r="BA126" i="27"/>
  <c r="BA281" i="4"/>
  <c r="BB281" i="4" s="1"/>
  <c r="U10" i="4"/>
  <c r="AV183" i="4"/>
  <c r="AW183" i="4" s="1"/>
  <c r="AO123" i="27"/>
  <c r="AP123" i="27" s="1"/>
  <c r="I7" i="31"/>
  <c r="Y71" i="30"/>
  <c r="AA71" i="30"/>
  <c r="AJ90" i="30"/>
  <c r="AL90" i="30"/>
  <c r="I84" i="27"/>
  <c r="J84" i="27" s="1"/>
  <c r="BE125" i="27"/>
  <c r="BF125" i="27" s="1"/>
  <c r="G9" i="27"/>
  <c r="E9" i="27"/>
  <c r="AA7" i="30"/>
  <c r="Y7" i="30"/>
  <c r="AA9" i="30"/>
  <c r="Y9" i="30"/>
  <c r="Y29" i="30"/>
  <c r="AA29" i="30"/>
  <c r="AA52" i="30"/>
  <c r="Y52" i="30"/>
  <c r="E73" i="30"/>
  <c r="C73" i="30"/>
  <c r="E7" i="30"/>
  <c r="M6" i="31"/>
  <c r="M9" i="31" s="1"/>
  <c r="I6" i="31"/>
  <c r="C8" i="27"/>
  <c r="M6" i="27" s="1"/>
  <c r="P6" i="30"/>
  <c r="N6" i="30"/>
  <c r="C30" i="30"/>
  <c r="E30" i="30"/>
  <c r="AJ27" i="30"/>
  <c r="AL27" i="30"/>
  <c r="AL29" i="30"/>
  <c r="AJ29" i="30"/>
  <c r="O6" i="31"/>
  <c r="O8" i="31"/>
  <c r="T10" i="31" s="1"/>
  <c r="AA73" i="30"/>
  <c r="Y73" i="30"/>
  <c r="Y91" i="30"/>
  <c r="AA91" i="30"/>
  <c r="S88" i="27"/>
  <c r="Y84" i="27"/>
  <c r="Z84" i="27" s="1"/>
  <c r="Y9" i="27"/>
  <c r="Z9" i="27" s="1"/>
  <c r="AJ8" i="30"/>
  <c r="AL8" i="30"/>
  <c r="AA50" i="30"/>
  <c r="Y50" i="30"/>
  <c r="Y90" i="30"/>
  <c r="AA90" i="30"/>
  <c r="AA94" i="30"/>
  <c r="Y94" i="30"/>
  <c r="AO47" i="27"/>
  <c r="AP47" i="27" s="1"/>
  <c r="BE48" i="27"/>
  <c r="BF48" i="27" s="1"/>
  <c r="AO85" i="27"/>
  <c r="AP85" i="27" s="1"/>
  <c r="N505" i="31"/>
  <c r="G125" i="27"/>
  <c r="AI5" i="27"/>
  <c r="AO5" i="27" s="1"/>
  <c r="AP5" i="27" s="1"/>
  <c r="BA7" i="27"/>
  <c r="G47" i="27"/>
  <c r="U45" i="27"/>
  <c r="G87" i="27"/>
  <c r="AM83" i="27"/>
  <c r="C123" i="27"/>
  <c r="U123" i="27"/>
  <c r="Y123" i="27" s="1"/>
  <c r="Z123" i="27" s="1"/>
  <c r="AK124" i="27"/>
  <c r="AO124" i="27" s="1"/>
  <c r="AP124" i="27" s="1"/>
  <c r="AK125" i="27"/>
  <c r="AO125" i="27" s="1"/>
  <c r="AP125" i="27" s="1"/>
  <c r="BC123" i="27"/>
  <c r="S161" i="27"/>
  <c r="BC162" i="27"/>
  <c r="AI45" i="27"/>
  <c r="AO45" i="27" s="1"/>
  <c r="AP45" i="27" s="1"/>
  <c r="AI87" i="27"/>
  <c r="E28" i="30"/>
  <c r="AJ52" i="30"/>
  <c r="AJ71" i="30"/>
  <c r="AM127" i="27"/>
  <c r="AK7" i="27"/>
  <c r="U83" i="27"/>
  <c r="Y83" i="27" s="1"/>
  <c r="Z83" i="27" s="1"/>
  <c r="AY86" i="27"/>
  <c r="C125" i="27"/>
  <c r="E165" i="27"/>
  <c r="E9" i="30"/>
  <c r="AV170" i="4"/>
  <c r="AW170" i="4" s="1"/>
  <c r="BA282" i="4"/>
  <c r="BB282" i="4" s="1"/>
  <c r="BE47" i="27"/>
  <c r="BF47" i="27" s="1"/>
  <c r="AL31" i="30"/>
  <c r="AJ31" i="30"/>
  <c r="E52" i="30"/>
  <c r="C52" i="30"/>
  <c r="N73" i="30"/>
  <c r="P73" i="30"/>
  <c r="N91" i="30"/>
  <c r="P91" i="30"/>
  <c r="AE10" i="4"/>
  <c r="AA6" i="30"/>
  <c r="Y6" i="30"/>
  <c r="AL7" i="30"/>
  <c r="AJ7" i="30"/>
  <c r="C29" i="30"/>
  <c r="C32" i="30" s="1"/>
  <c r="E29" i="30"/>
  <c r="N31" i="30"/>
  <c r="P31" i="30"/>
  <c r="AA69" i="30"/>
  <c r="Y69" i="30"/>
  <c r="P93" i="30"/>
  <c r="N93" i="30"/>
  <c r="P7" i="30"/>
  <c r="N7" i="30"/>
  <c r="AL9" i="30"/>
  <c r="AJ9" i="30"/>
  <c r="Y27" i="30"/>
  <c r="AA27" i="30"/>
  <c r="AJ30" i="30"/>
  <c r="AL30" i="30"/>
  <c r="Y49" i="30"/>
  <c r="AA31" i="30"/>
  <c r="Y31" i="30"/>
  <c r="AL91" i="30"/>
  <c r="AJ91" i="30"/>
  <c r="N8" i="30"/>
  <c r="P8" i="30"/>
  <c r="P29" i="30"/>
  <c r="N29" i="30"/>
  <c r="Y28" i="30"/>
  <c r="AA28" i="30"/>
  <c r="AL49" i="30"/>
  <c r="AJ49" i="30"/>
  <c r="C72" i="30"/>
  <c r="E72" i="30"/>
  <c r="I45" i="27"/>
  <c r="J45" i="27" s="1"/>
  <c r="I124" i="27"/>
  <c r="J124" i="27" s="1"/>
  <c r="AK50" i="27"/>
  <c r="S6" i="27"/>
  <c r="AM7" i="27"/>
  <c r="AY6" i="27"/>
  <c r="AY8" i="27"/>
  <c r="BC9" i="27"/>
  <c r="BE9" i="27" s="1"/>
  <c r="BF9" i="27" s="1"/>
  <c r="E46" i="27"/>
  <c r="I46" i="27" s="1"/>
  <c r="J46" i="27" s="1"/>
  <c r="G49" i="27"/>
  <c r="I49" i="27" s="1"/>
  <c r="J49" i="27" s="1"/>
  <c r="U49" i="27"/>
  <c r="C86" i="27"/>
  <c r="I86" i="27" s="1"/>
  <c r="J86" i="27" s="1"/>
  <c r="AI83" i="27"/>
  <c r="AI84" i="27"/>
  <c r="AM87" i="27"/>
  <c r="BC85" i="27"/>
  <c r="G123" i="27"/>
  <c r="W122" i="27"/>
  <c r="AI122" i="27"/>
  <c r="AY122" i="27"/>
  <c r="E164" i="27"/>
  <c r="I164" i="27" s="1"/>
  <c r="J164" i="27" s="1"/>
  <c r="U161" i="27"/>
  <c r="U163" i="27"/>
  <c r="S165" i="27"/>
  <c r="AM164" i="27"/>
  <c r="AO164" i="27" s="1"/>
  <c r="AP164" i="27" s="1"/>
  <c r="U6" i="27"/>
  <c r="BA6" i="27"/>
  <c r="E162" i="27"/>
  <c r="S163" i="27"/>
  <c r="U165" i="27"/>
  <c r="K33" i="35"/>
  <c r="W47" i="27"/>
  <c r="Y47" i="27" s="1"/>
  <c r="Z47" i="27" s="1"/>
  <c r="U87" i="27"/>
  <c r="AY83" i="27"/>
  <c r="BA87" i="27"/>
  <c r="BE87" i="27" s="1"/>
  <c r="BF87" i="27" s="1"/>
  <c r="U126" i="27"/>
  <c r="AI126" i="27"/>
  <c r="G162" i="27"/>
  <c r="BF363" i="4"/>
  <c r="BG363" i="4" s="1"/>
  <c r="BF314" i="4"/>
  <c r="BG314" i="4" s="1"/>
  <c r="BF204" i="4"/>
  <c r="BG204" i="4" s="1"/>
  <c r="BF338" i="4"/>
  <c r="BG338" i="4" s="1"/>
  <c r="BF333" i="4"/>
  <c r="BG333" i="4" s="1"/>
  <c r="BF365" i="4"/>
  <c r="BG365" i="4" s="1"/>
  <c r="BF234" i="4"/>
  <c r="BG234" i="4" s="1"/>
  <c r="BF146" i="4"/>
  <c r="BG146" i="4" s="1"/>
  <c r="BF369" i="4"/>
  <c r="BF254" i="4"/>
  <c r="BG254" i="4" s="1"/>
  <c r="BF285" i="4"/>
  <c r="BG285" i="4" s="1"/>
  <c r="BF32" i="4"/>
  <c r="BG32" i="4" s="1"/>
  <c r="BF195" i="4"/>
  <c r="BG195" i="4" s="1"/>
  <c r="BF330" i="4"/>
  <c r="BG330" i="4" s="1"/>
  <c r="BF280" i="4"/>
  <c r="BG280" i="4" s="1"/>
  <c r="BF318" i="4"/>
  <c r="BG318" i="4" s="1"/>
  <c r="BF174" i="4"/>
  <c r="BG174" i="4" s="1"/>
  <c r="BF74" i="4"/>
  <c r="BG74" i="4" s="1"/>
  <c r="BF334" i="4"/>
  <c r="BG334" i="4" s="1"/>
  <c r="BF347" i="4"/>
  <c r="BG347" i="4" s="1"/>
  <c r="BF348" i="4"/>
  <c r="BG348" i="4" s="1"/>
  <c r="BF379" i="4"/>
  <c r="BF265" i="4"/>
  <c r="BG265" i="4" s="1"/>
  <c r="BF54" i="4"/>
  <c r="BG54" i="4" s="1"/>
  <c r="BF97" i="4"/>
  <c r="BG97" i="4" s="1"/>
  <c r="BF124" i="4"/>
  <c r="BG124" i="4" s="1"/>
  <c r="BF94" i="4"/>
  <c r="BG94" i="4" s="1"/>
  <c r="BF21" i="4"/>
  <c r="BG21" i="4" s="1"/>
  <c r="BF99" i="4"/>
  <c r="BG99" i="4" s="1"/>
  <c r="BF49" i="4"/>
  <c r="BG49" i="4" s="1"/>
  <c r="BF269" i="4"/>
  <c r="BG269" i="4" s="1"/>
  <c r="BF331" i="4"/>
  <c r="BG331" i="4" s="1"/>
  <c r="BF381" i="4"/>
  <c r="BF199" i="4"/>
  <c r="BG199" i="4" s="1"/>
  <c r="BF150" i="4"/>
  <c r="BG150" i="4" s="1"/>
  <c r="BF292" i="4"/>
  <c r="BG292" i="4" s="1"/>
  <c r="BF389" i="4"/>
  <c r="BF375" i="4"/>
  <c r="BF361" i="4"/>
  <c r="BG361" i="4" s="1"/>
  <c r="BF250" i="4"/>
  <c r="BG250" i="4" s="1"/>
  <c r="BF40" i="4"/>
  <c r="BG40" i="4" s="1"/>
  <c r="BF111" i="4"/>
  <c r="BG111" i="4" s="1"/>
  <c r="BF135" i="4"/>
  <c r="BG135" i="4" s="1"/>
  <c r="BF294" i="4"/>
  <c r="BG294" i="4" s="1"/>
  <c r="BF38" i="4"/>
  <c r="BG38" i="4" s="1"/>
  <c r="BF302" i="4"/>
  <c r="BG302" i="4" s="1"/>
  <c r="BF213" i="4"/>
  <c r="BG213" i="4" s="1"/>
  <c r="BF267" i="4"/>
  <c r="BG267" i="4" s="1"/>
  <c r="BF66" i="4"/>
  <c r="BG66" i="4" s="1"/>
  <c r="BF360" i="4"/>
  <c r="BG360" i="4" s="1"/>
  <c r="BF16" i="4"/>
  <c r="BG16" i="4" s="1"/>
  <c r="BF14" i="4"/>
  <c r="BG14" i="4" s="1"/>
  <c r="BF278" i="4"/>
  <c r="BG278" i="4" s="1"/>
  <c r="BF295" i="4"/>
  <c r="BG295" i="4" s="1"/>
  <c r="BF69" i="4"/>
  <c r="BG69" i="4" s="1"/>
  <c r="BF210" i="4"/>
  <c r="BG210" i="4" s="1"/>
  <c r="BF326" i="4"/>
  <c r="BG326" i="4" s="1"/>
  <c r="BF307" i="4"/>
  <c r="BG307" i="4" s="1"/>
  <c r="BF341" i="4"/>
  <c r="BG341" i="4" s="1"/>
  <c r="BF23" i="4"/>
  <c r="BG23" i="4" s="1"/>
  <c r="BF316" i="4"/>
  <c r="BG316" i="4" s="1"/>
  <c r="BF93" i="4"/>
  <c r="BG93" i="4" s="1"/>
  <c r="BF273" i="4"/>
  <c r="BG273" i="4" s="1"/>
  <c r="BF193" i="4"/>
  <c r="BG193" i="4" s="1"/>
  <c r="BF162" i="4"/>
  <c r="BG162" i="4" s="1"/>
  <c r="BF157" i="4"/>
  <c r="BG157" i="4" s="1"/>
  <c r="BF349" i="4"/>
  <c r="BG349" i="4" s="1"/>
  <c r="BF313" i="4"/>
  <c r="BG313" i="4" s="1"/>
  <c r="BF190" i="4"/>
  <c r="BG190" i="4" s="1"/>
  <c r="BF223" i="4"/>
  <c r="BG223" i="4" s="1"/>
  <c r="BF173" i="4"/>
  <c r="BG173" i="4" s="1"/>
  <c r="BF168" i="4"/>
  <c r="BG168" i="4" s="1"/>
  <c r="BF147" i="4"/>
  <c r="BG147" i="4" s="1"/>
  <c r="BF82" i="4"/>
  <c r="BG82" i="4" s="1"/>
  <c r="BF266" i="4"/>
  <c r="BG266" i="4" s="1"/>
  <c r="BF355" i="4"/>
  <c r="BG355" i="4" s="1"/>
  <c r="BF305" i="4"/>
  <c r="BG305" i="4" s="1"/>
  <c r="BF132" i="4"/>
  <c r="BG132" i="4" s="1"/>
  <c r="BF323" i="4"/>
  <c r="BG323" i="4" s="1"/>
  <c r="BF274" i="4"/>
  <c r="BG274" i="4" s="1"/>
  <c r="BF321" i="4"/>
  <c r="BG321" i="4" s="1"/>
  <c r="BF161" i="4"/>
  <c r="BG161" i="4" s="1"/>
  <c r="BF20" i="4"/>
  <c r="BG20" i="4" s="1"/>
  <c r="BF229" i="4"/>
  <c r="BG229" i="4" s="1"/>
  <c r="BF225" i="4"/>
  <c r="BG225" i="4" s="1"/>
  <c r="BF126" i="4"/>
  <c r="BG126" i="4" s="1"/>
  <c r="BF252" i="4"/>
  <c r="BG252" i="4" s="1"/>
  <c r="BF256" i="4"/>
  <c r="BG256" i="4" s="1"/>
  <c r="BF122" i="4"/>
  <c r="BG122" i="4" s="1"/>
  <c r="BF327" i="4"/>
  <c r="BG327" i="4" s="1"/>
  <c r="BF134" i="4"/>
  <c r="BG134" i="4" s="1"/>
  <c r="BF201" i="4"/>
  <c r="BG201" i="4" s="1"/>
  <c r="BF344" i="4"/>
  <c r="BG344" i="4" s="1"/>
  <c r="BF60" i="4"/>
  <c r="BG60" i="4" s="1"/>
  <c r="BF115" i="4"/>
  <c r="BG115" i="4" s="1"/>
  <c r="BF378" i="4"/>
  <c r="BF188" i="4"/>
  <c r="BG188" i="4" s="1"/>
  <c r="BF186" i="4"/>
  <c r="BG186" i="4" s="1"/>
  <c r="BF386" i="4"/>
  <c r="BF308" i="4"/>
  <c r="BG308" i="4" s="1"/>
  <c r="BF221" i="4"/>
  <c r="BG221" i="4" s="1"/>
  <c r="BF63" i="4"/>
  <c r="BG63" i="4" s="1"/>
  <c r="BF358" i="4"/>
  <c r="BG358" i="4" s="1"/>
  <c r="BF311" i="4"/>
  <c r="BG311" i="4" s="1"/>
  <c r="BF81" i="4"/>
  <c r="BG81" i="4" s="1"/>
  <c r="BF271" i="4"/>
  <c r="BG271" i="4" s="1"/>
  <c r="BF262" i="4"/>
  <c r="BG262" i="4" s="1"/>
  <c r="BF144" i="4"/>
  <c r="BG144" i="4" s="1"/>
  <c r="BF50" i="4"/>
  <c r="BG50" i="4" s="1"/>
  <c r="BF105" i="4"/>
  <c r="BG105" i="4" s="1"/>
  <c r="BF100" i="4"/>
  <c r="BG100" i="4" s="1"/>
  <c r="BF90" i="4"/>
  <c r="BG90" i="4" s="1"/>
  <c r="BF342" i="4"/>
  <c r="BG342" i="4" s="1"/>
  <c r="BF394" i="4"/>
  <c r="BF112" i="4"/>
  <c r="BG112" i="4" s="1"/>
  <c r="BF236" i="4"/>
  <c r="BG236" i="4" s="1"/>
  <c r="BF71" i="4"/>
  <c r="BG71" i="4" s="1"/>
  <c r="BF220" i="4"/>
  <c r="BG220" i="4" s="1"/>
  <c r="BF282" i="4"/>
  <c r="BG282" i="4" s="1"/>
  <c r="BF380" i="4"/>
  <c r="BF393" i="4"/>
  <c r="BF205" i="4"/>
  <c r="BG205" i="4" s="1"/>
  <c r="BF68" i="4"/>
  <c r="BG68" i="4" s="1"/>
  <c r="BF275" i="4"/>
  <c r="BG275" i="4" s="1"/>
  <c r="BF200" i="4"/>
  <c r="BG200" i="4" s="1"/>
  <c r="BF258" i="4"/>
  <c r="BG258" i="4" s="1"/>
  <c r="BF120" i="4"/>
  <c r="BG120" i="4" s="1"/>
  <c r="BF101" i="4"/>
  <c r="BG101" i="4" s="1"/>
  <c r="BF56" i="4"/>
  <c r="BG56" i="4" s="1"/>
  <c r="BF48" i="4"/>
  <c r="BG48" i="4" s="1"/>
  <c r="BF366" i="4"/>
  <c r="BG366" i="4" s="1"/>
  <c r="BF304" i="4"/>
  <c r="BG304" i="4" s="1"/>
  <c r="BF296" i="4"/>
  <c r="BG296" i="4" s="1"/>
  <c r="BF202" i="4"/>
  <c r="BG202" i="4" s="1"/>
  <c r="BF45" i="4"/>
  <c r="BG45" i="4" s="1"/>
  <c r="BF276" i="4"/>
  <c r="BG276" i="4" s="1"/>
  <c r="BF300" i="4"/>
  <c r="BG300" i="4" s="1"/>
  <c r="BF230" i="4"/>
  <c r="BG230" i="4" s="1"/>
  <c r="BF127" i="4"/>
  <c r="BG127" i="4" s="1"/>
  <c r="BF270" i="4"/>
  <c r="BG270" i="4" s="1"/>
  <c r="BF288" i="4"/>
  <c r="BG288" i="4" s="1"/>
  <c r="BF251" i="4"/>
  <c r="BG251" i="4" s="1"/>
  <c r="BF281" i="4"/>
  <c r="BG281" i="4" s="1"/>
  <c r="BF79" i="4"/>
  <c r="BG79" i="4" s="1"/>
  <c r="BF65" i="4"/>
  <c r="BG65" i="4" s="1"/>
  <c r="BF140" i="4"/>
  <c r="BG140" i="4" s="1"/>
  <c r="BF297" i="4"/>
  <c r="BG297" i="4" s="1"/>
  <c r="E8" i="30"/>
  <c r="BF176" i="4"/>
  <c r="BG176" i="4" s="1"/>
  <c r="BF179" i="4"/>
  <c r="BG179" i="4" s="1"/>
  <c r="BF208" i="4"/>
  <c r="BG208" i="4" s="1"/>
  <c r="BF241" i="4"/>
  <c r="BG241" i="4" s="1"/>
  <c r="BF106" i="4"/>
  <c r="BG106" i="4" s="1"/>
  <c r="BF103" i="4"/>
  <c r="BG103" i="4" s="1"/>
  <c r="BF198" i="4"/>
  <c r="BG198" i="4" s="1"/>
  <c r="BF145" i="4"/>
  <c r="BG145" i="4" s="1"/>
  <c r="BF279" i="4"/>
  <c r="BG279" i="4" s="1"/>
  <c r="BF357" i="4"/>
  <c r="BG357" i="4" s="1"/>
  <c r="BF118" i="4"/>
  <c r="BG118" i="4" s="1"/>
  <c r="BF233" i="4"/>
  <c r="BG233" i="4" s="1"/>
  <c r="BF88" i="4"/>
  <c r="BG88" i="4" s="1"/>
  <c r="BF329" i="4"/>
  <c r="BG329" i="4" s="1"/>
  <c r="BF320" i="4"/>
  <c r="BG320" i="4" s="1"/>
  <c r="BF164" i="4"/>
  <c r="BG164" i="4" s="1"/>
  <c r="BF215" i="4"/>
  <c r="BG215" i="4" s="1"/>
  <c r="BF153" i="4"/>
  <c r="BG153" i="4" s="1"/>
  <c r="BF51" i="4"/>
  <c r="BG51" i="4" s="1"/>
  <c r="BF58" i="4"/>
  <c r="BG58" i="4" s="1"/>
  <c r="BF121" i="4"/>
  <c r="BG121" i="4" s="1"/>
  <c r="BF76" i="4"/>
  <c r="BG76" i="4" s="1"/>
  <c r="BF11" i="4"/>
  <c r="BF354" i="4"/>
  <c r="BG354" i="4" s="1"/>
  <c r="BF240" i="4"/>
  <c r="BG240" i="4" s="1"/>
  <c r="BF136" i="4"/>
  <c r="BG136" i="4" s="1"/>
  <c r="BF84" i="4"/>
  <c r="BG84" i="4" s="1"/>
  <c r="BF319" i="4"/>
  <c r="BG319" i="4" s="1"/>
  <c r="BF246" i="4"/>
  <c r="BG246" i="4" s="1"/>
  <c r="BF117" i="4"/>
  <c r="BG117" i="4" s="1"/>
  <c r="BF39" i="4"/>
  <c r="BG39" i="4" s="1"/>
  <c r="BF228" i="4"/>
  <c r="BG228" i="4" s="1"/>
  <c r="BF18" i="4"/>
  <c r="BG18" i="4" s="1"/>
  <c r="BF34" i="4"/>
  <c r="BG34" i="4" s="1"/>
  <c r="C7" i="27"/>
  <c r="E7" i="27"/>
  <c r="AV361" i="4"/>
  <c r="AW361" i="4" s="1"/>
  <c r="AV318" i="4"/>
  <c r="AW318" i="4" s="1"/>
  <c r="BF108" i="4"/>
  <c r="BG108" i="4" s="1"/>
  <c r="BF183" i="4"/>
  <c r="BG183" i="4" s="1"/>
  <c r="BF158" i="4"/>
  <c r="BG158" i="4" s="1"/>
  <c r="BF86" i="4"/>
  <c r="BG86" i="4" s="1"/>
  <c r="BF244" i="4"/>
  <c r="BG244" i="4" s="1"/>
  <c r="BF312" i="4"/>
  <c r="BG312" i="4" s="1"/>
  <c r="BF335" i="4"/>
  <c r="BG335" i="4" s="1"/>
  <c r="BF203" i="4"/>
  <c r="BG203" i="4" s="1"/>
  <c r="BF107" i="4"/>
  <c r="BG107" i="4" s="1"/>
  <c r="BF259" i="4"/>
  <c r="BG259" i="4" s="1"/>
  <c r="BF332" i="4"/>
  <c r="BG332" i="4" s="1"/>
  <c r="BF123" i="4"/>
  <c r="BG123" i="4" s="1"/>
  <c r="BF352" i="4"/>
  <c r="BG352" i="4" s="1"/>
  <c r="BF388" i="4"/>
  <c r="BF27" i="4"/>
  <c r="BG27" i="4" s="1"/>
  <c r="BF125" i="4"/>
  <c r="BG125" i="4" s="1"/>
  <c r="BF218" i="4"/>
  <c r="BG218" i="4" s="1"/>
  <c r="BF272" i="4"/>
  <c r="BG272" i="4" s="1"/>
  <c r="BF151" i="4"/>
  <c r="BG151" i="4" s="1"/>
  <c r="BF57" i="4"/>
  <c r="BG57" i="4" s="1"/>
  <c r="BF24" i="4"/>
  <c r="BG24" i="4" s="1"/>
  <c r="BF113" i="4"/>
  <c r="BG113" i="4" s="1"/>
  <c r="BF293" i="4"/>
  <c r="BG293" i="4" s="1"/>
  <c r="BF29" i="4"/>
  <c r="BG29" i="4" s="1"/>
  <c r="BF95" i="4"/>
  <c r="BG95" i="4" s="1"/>
  <c r="E5" i="27"/>
  <c r="C5" i="27"/>
  <c r="M5" i="27" s="1"/>
  <c r="I8" i="27"/>
  <c r="J8" i="27" s="1"/>
  <c r="AV118" i="4"/>
  <c r="AW118" i="4" s="1"/>
  <c r="N10" i="30"/>
  <c r="AL5" i="30"/>
  <c r="AJ5" i="30"/>
  <c r="AJ28" i="30"/>
  <c r="AL28" i="30"/>
  <c r="AL32" i="30" s="1"/>
  <c r="C49" i="30"/>
  <c r="E49" i="30"/>
  <c r="AJ48" i="30"/>
  <c r="AL48" i="30"/>
  <c r="AL53" i="30" s="1"/>
  <c r="C70" i="30"/>
  <c r="P69" i="30"/>
  <c r="AJ69" i="30"/>
  <c r="AL72" i="30"/>
  <c r="AJ72" i="30"/>
  <c r="C92" i="30"/>
  <c r="E92" i="30"/>
  <c r="E94" i="30"/>
  <c r="C94" i="30"/>
  <c r="N49" i="30"/>
  <c r="P49" i="30"/>
  <c r="P51" i="30"/>
  <c r="N51" i="30"/>
  <c r="N71" i="30"/>
  <c r="P71" i="30"/>
  <c r="Y93" i="30"/>
  <c r="AA93" i="30"/>
  <c r="AJ6" i="30"/>
  <c r="AL6" i="30"/>
  <c r="N27" i="30"/>
  <c r="N32" i="30" s="1"/>
  <c r="P27" i="30"/>
  <c r="P32" i="30" s="1"/>
  <c r="E50" i="30"/>
  <c r="C50" i="30"/>
  <c r="AJ73" i="30"/>
  <c r="AL73" i="30"/>
  <c r="E91" i="30"/>
  <c r="C91" i="30"/>
  <c r="C93" i="30"/>
  <c r="E93" i="30"/>
  <c r="N90" i="30"/>
  <c r="N95" i="30" s="1"/>
  <c r="P90" i="30"/>
  <c r="P95" i="30" s="1"/>
  <c r="B11" i="35"/>
  <c r="AA8" i="30"/>
  <c r="P48" i="30"/>
  <c r="N48" i="30"/>
  <c r="N50" i="30"/>
  <c r="P50" i="30"/>
  <c r="N52" i="30"/>
  <c r="P52" i="30"/>
  <c r="E71" i="30"/>
  <c r="E74" i="30" s="1"/>
  <c r="N72" i="30"/>
  <c r="P72" i="30"/>
  <c r="AL70" i="30"/>
  <c r="C90" i="30"/>
  <c r="AA92" i="30"/>
  <c r="Y92" i="30"/>
  <c r="AY127" i="27"/>
  <c r="Y126" i="27"/>
  <c r="Z126" i="27" s="1"/>
  <c r="G166" i="27"/>
  <c r="AO46" i="27"/>
  <c r="AP46" i="27" s="1"/>
  <c r="H900" i="31"/>
  <c r="W5" i="27"/>
  <c r="AM6" i="27"/>
  <c r="AM10" i="27" s="1"/>
  <c r="AI8" i="27"/>
  <c r="BA5" i="27"/>
  <c r="BC7" i="27"/>
  <c r="BE7" i="27" s="1"/>
  <c r="BF7" i="27" s="1"/>
  <c r="C48" i="27"/>
  <c r="M46" i="27" s="1"/>
  <c r="W49" i="27"/>
  <c r="AY46" i="27"/>
  <c r="C83" i="27"/>
  <c r="W87" i="27"/>
  <c r="W88" i="27" s="1"/>
  <c r="AM84" i="27"/>
  <c r="AM88" i="27" s="1"/>
  <c r="BA83" i="27"/>
  <c r="BC86" i="27"/>
  <c r="BE86" i="27" s="1"/>
  <c r="BF86" i="27" s="1"/>
  <c r="C126" i="27"/>
  <c r="S122" i="27"/>
  <c r="W124" i="27"/>
  <c r="AK126" i="27"/>
  <c r="AO126" i="27" s="1"/>
  <c r="BA122" i="27"/>
  <c r="BC126" i="27"/>
  <c r="C165" i="27"/>
  <c r="W164" i="27"/>
  <c r="Y164" i="27" s="1"/>
  <c r="Z164" i="27" s="1"/>
  <c r="AM165" i="27"/>
  <c r="AM166" i="27" s="1"/>
  <c r="BC161" i="27"/>
  <c r="BC166" i="27" s="1"/>
  <c r="AY165" i="27"/>
  <c r="R62" i="31"/>
  <c r="W8" i="27"/>
  <c r="Y8" i="27" s="1"/>
  <c r="Z8" i="27" s="1"/>
  <c r="AK8" i="27"/>
  <c r="AK9" i="27"/>
  <c r="AO9" i="27" s="1"/>
  <c r="AP9" i="27" s="1"/>
  <c r="E48" i="27"/>
  <c r="E50" i="27" s="1"/>
  <c r="BA46" i="27"/>
  <c r="BA49" i="27"/>
  <c r="BE49" i="27" s="1"/>
  <c r="BF49" i="27" s="1"/>
  <c r="E83" i="27"/>
  <c r="E88" i="27" s="1"/>
  <c r="BC84" i="27"/>
  <c r="E126" i="27"/>
  <c r="E127" i="27" s="1"/>
  <c r="U162" i="27"/>
  <c r="AI161" i="27"/>
  <c r="AI165" i="27"/>
  <c r="AY161" i="27"/>
  <c r="BA165" i="27"/>
  <c r="N509" i="31"/>
  <c r="J401" i="31"/>
  <c r="P434" i="31"/>
  <c r="H435" i="31"/>
  <c r="H547" i="31"/>
  <c r="L581" i="31"/>
  <c r="L569" i="31"/>
  <c r="J639" i="31"/>
  <c r="J623" i="31"/>
  <c r="L639" i="31"/>
  <c r="F635" i="31"/>
  <c r="F493" i="31"/>
  <c r="H485" i="31"/>
  <c r="H581" i="31"/>
  <c r="F569" i="31"/>
  <c r="H569" i="31"/>
  <c r="P621" i="31"/>
  <c r="P645" i="31"/>
  <c r="P629" i="31"/>
  <c r="N647" i="31"/>
  <c r="P544" i="31"/>
  <c r="P632" i="31"/>
  <c r="N635" i="31"/>
  <c r="L803" i="31"/>
  <c r="P579" i="31"/>
  <c r="P567" i="31"/>
  <c r="N585" i="31"/>
  <c r="P634" i="31"/>
  <c r="J619" i="31"/>
  <c r="L615" i="31"/>
  <c r="P614" i="31"/>
  <c r="L685" i="31"/>
  <c r="L669" i="31"/>
  <c r="L731" i="31"/>
  <c r="L749" i="31"/>
  <c r="J485" i="31"/>
  <c r="J555" i="31"/>
  <c r="F577" i="31"/>
  <c r="H593" i="31"/>
  <c r="H619" i="31"/>
  <c r="P690" i="31"/>
  <c r="J677" i="31"/>
  <c r="H673" i="31"/>
  <c r="P721" i="31"/>
  <c r="P724" i="31"/>
  <c r="F707" i="31"/>
  <c r="L707" i="31"/>
  <c r="J711" i="31"/>
  <c r="J831" i="31"/>
  <c r="H819" i="31"/>
  <c r="N447" i="31"/>
  <c r="P474" i="31"/>
  <c r="P504" i="31"/>
  <c r="J473" i="31"/>
  <c r="N501" i="31"/>
  <c r="L535" i="31"/>
  <c r="N597" i="31"/>
  <c r="P595" i="31"/>
  <c r="J565" i="31"/>
  <c r="L647" i="31"/>
  <c r="H639" i="31"/>
  <c r="H623" i="31"/>
  <c r="P646" i="31"/>
  <c r="F631" i="31"/>
  <c r="L677" i="31"/>
  <c r="P736" i="31"/>
  <c r="P713" i="31"/>
  <c r="L711" i="31"/>
  <c r="P483" i="31"/>
  <c r="F647" i="31"/>
  <c r="P674" i="31"/>
  <c r="P622" i="31"/>
  <c r="P708" i="31"/>
  <c r="P828" i="31"/>
  <c r="F523" i="31"/>
  <c r="L539" i="31"/>
  <c r="H585" i="31"/>
  <c r="AV223" i="4"/>
  <c r="AW223" i="4" s="1"/>
  <c r="AV269" i="4"/>
  <c r="AW269" i="4" s="1"/>
  <c r="AV257" i="4"/>
  <c r="AW257" i="4" s="1"/>
  <c r="AV42" i="4"/>
  <c r="AW42" i="4" s="1"/>
  <c r="AV21" i="4"/>
  <c r="AW21" i="4" s="1"/>
  <c r="AV43" i="4"/>
  <c r="AW43" i="4" s="1"/>
  <c r="AV159" i="4"/>
  <c r="AW159" i="4" s="1"/>
  <c r="AV199" i="4"/>
  <c r="AW199" i="4" s="1"/>
  <c r="AV341" i="4"/>
  <c r="AW341" i="4" s="1"/>
  <c r="AV190" i="4"/>
  <c r="AW190" i="4" s="1"/>
  <c r="AV41" i="4"/>
  <c r="AW41" i="4" s="1"/>
  <c r="AV14" i="4"/>
  <c r="AW14" i="4" s="1"/>
  <c r="AV384" i="4"/>
  <c r="AW384" i="4" s="1"/>
  <c r="AV61" i="4"/>
  <c r="AW61" i="4" s="1"/>
  <c r="AV180" i="4"/>
  <c r="AW180" i="4" s="1"/>
  <c r="AV286" i="4"/>
  <c r="AW286" i="4" s="1"/>
  <c r="AV98" i="4"/>
  <c r="AW98" i="4" s="1"/>
  <c r="AV342" i="4"/>
  <c r="AW342" i="4" s="1"/>
  <c r="AV239" i="4"/>
  <c r="AW239" i="4" s="1"/>
  <c r="AV272" i="4"/>
  <c r="AW272" i="4" s="1"/>
  <c r="AV111" i="4"/>
  <c r="AW111" i="4" s="1"/>
  <c r="AV19" i="4"/>
  <c r="AW19" i="4" s="1"/>
  <c r="AV150" i="4"/>
  <c r="AW150" i="4" s="1"/>
  <c r="AV149" i="4"/>
  <c r="AW149" i="4" s="1"/>
  <c r="AV237" i="4"/>
  <c r="AW237" i="4" s="1"/>
  <c r="AV377" i="4"/>
  <c r="AW377" i="4" s="1"/>
  <c r="AV317" i="4"/>
  <c r="AW317" i="4" s="1"/>
  <c r="AV248" i="4"/>
  <c r="AW248" i="4" s="1"/>
  <c r="AV236" i="4"/>
  <c r="AW236" i="4" s="1"/>
  <c r="AV56" i="4"/>
  <c r="AW56" i="4" s="1"/>
  <c r="AV49" i="4"/>
  <c r="AW49" i="4" s="1"/>
  <c r="AV95" i="4"/>
  <c r="AW95" i="4" s="1"/>
  <c r="AV299" i="4"/>
  <c r="AW299" i="4" s="1"/>
  <c r="AV385" i="4"/>
  <c r="AV135" i="4"/>
  <c r="AW135" i="4" s="1"/>
  <c r="AV50" i="4"/>
  <c r="AW50" i="4" s="1"/>
  <c r="AV294" i="4"/>
  <c r="AW294" i="4" s="1"/>
  <c r="AV242" i="4"/>
  <c r="AW242" i="4" s="1"/>
  <c r="AV168" i="4"/>
  <c r="AW168" i="4" s="1"/>
  <c r="AV137" i="4"/>
  <c r="AW137" i="4" s="1"/>
  <c r="AV383" i="4"/>
  <c r="AV227" i="4"/>
  <c r="AW227" i="4" s="1"/>
  <c r="AV81" i="4"/>
  <c r="AW81" i="4" s="1"/>
  <c r="AV366" i="4"/>
  <c r="AW366" i="4" s="1"/>
  <c r="AV23" i="4"/>
  <c r="AW23" i="4" s="1"/>
  <c r="AV80" i="4"/>
  <c r="AW80" i="4" s="1"/>
  <c r="AV72" i="4"/>
  <c r="AW72" i="4" s="1"/>
  <c r="AV260" i="4"/>
  <c r="AW260" i="4" s="1"/>
  <c r="AV392" i="4"/>
  <c r="AV300" i="4"/>
  <c r="AW300" i="4" s="1"/>
  <c r="AV68" i="4"/>
  <c r="AW68" i="4" s="1"/>
  <c r="AV173" i="4"/>
  <c r="AW173" i="4" s="1"/>
  <c r="AV230" i="4"/>
  <c r="AW230" i="4" s="1"/>
  <c r="AV226" i="4"/>
  <c r="AW226" i="4" s="1"/>
  <c r="BA303" i="4"/>
  <c r="BB303" i="4" s="1"/>
  <c r="BA237" i="4"/>
  <c r="BB237" i="4" s="1"/>
  <c r="BA18" i="4"/>
  <c r="BB18" i="4" s="1"/>
  <c r="BA288" i="4"/>
  <c r="BB288" i="4" s="1"/>
  <c r="BG369" i="4"/>
  <c r="BG389" i="4"/>
  <c r="BG393" i="4"/>
  <c r="BF238" i="4"/>
  <c r="BG238" i="4" s="1"/>
  <c r="BF89" i="4"/>
  <c r="BG89" i="4" s="1"/>
  <c r="BF96" i="4"/>
  <c r="BG96" i="4" s="1"/>
  <c r="BF19" i="4"/>
  <c r="BG19" i="4" s="1"/>
  <c r="BF73" i="4"/>
  <c r="BG73" i="4" s="1"/>
  <c r="BF170" i="4"/>
  <c r="BG170" i="4" s="1"/>
  <c r="BF109" i="4"/>
  <c r="BG109" i="4" s="1"/>
  <c r="BF189" i="4"/>
  <c r="BG189" i="4" s="1"/>
  <c r="BF62" i="4"/>
  <c r="BG62" i="4" s="1"/>
  <c r="BF364" i="4"/>
  <c r="BG364" i="4" s="1"/>
  <c r="BF91" i="4"/>
  <c r="BG91" i="4" s="1"/>
  <c r="BF177" i="4"/>
  <c r="BG177" i="4" s="1"/>
  <c r="BF317" i="4"/>
  <c r="BG317" i="4" s="1"/>
  <c r="BF231" i="4"/>
  <c r="BG231" i="4" s="1"/>
  <c r="BF130" i="4"/>
  <c r="BG130" i="4" s="1"/>
  <c r="BF356" i="4"/>
  <c r="BG356" i="4" s="1"/>
  <c r="BF78" i="4"/>
  <c r="BG78" i="4" s="1"/>
  <c r="BF237" i="4"/>
  <c r="BG237" i="4" s="1"/>
  <c r="BF191" i="4"/>
  <c r="BG191" i="4" s="1"/>
  <c r="BF289" i="4"/>
  <c r="BG289" i="4" s="1"/>
  <c r="BF194" i="4"/>
  <c r="BG194" i="4" s="1"/>
  <c r="BF339" i="4"/>
  <c r="BG339" i="4" s="1"/>
  <c r="BF114" i="4"/>
  <c r="BG114" i="4" s="1"/>
  <c r="BF149" i="4"/>
  <c r="BG149" i="4" s="1"/>
  <c r="BF226" i="4"/>
  <c r="BG226" i="4" s="1"/>
  <c r="BF362" i="4"/>
  <c r="BG362" i="4" s="1"/>
  <c r="BF247" i="4"/>
  <c r="BG247" i="4" s="1"/>
  <c r="BF98" i="4"/>
  <c r="BG98" i="4" s="1"/>
  <c r="BF291" i="4"/>
  <c r="BG291" i="4" s="1"/>
  <c r="BF303" i="4"/>
  <c r="BG303" i="4" s="1"/>
  <c r="BF245" i="4"/>
  <c r="BG245" i="4" s="1"/>
  <c r="BF119" i="4"/>
  <c r="BG119" i="4" s="1"/>
  <c r="BF336" i="4"/>
  <c r="BG336" i="4" s="1"/>
  <c r="BF64" i="4"/>
  <c r="BG64" i="4" s="1"/>
  <c r="BF255" i="4"/>
  <c r="BG255" i="4" s="1"/>
  <c r="BF185" i="4"/>
  <c r="BG185" i="4" s="1"/>
  <c r="BF261" i="4"/>
  <c r="BG261" i="4" s="1"/>
  <c r="BF128" i="4"/>
  <c r="BG128" i="4" s="1"/>
  <c r="BF129" i="4"/>
  <c r="BG129" i="4" s="1"/>
  <c r="BF242" i="4"/>
  <c r="BG242" i="4" s="1"/>
  <c r="BF222" i="4"/>
  <c r="BG222" i="4" s="1"/>
  <c r="BF283" i="4"/>
  <c r="BG283" i="4" s="1"/>
  <c r="BF80" i="4"/>
  <c r="BG80" i="4" s="1"/>
  <c r="BF284" i="4"/>
  <c r="BG284" i="4" s="1"/>
  <c r="BF25" i="4"/>
  <c r="BG25" i="4" s="1"/>
  <c r="BF383" i="4"/>
  <c r="BF17" i="4"/>
  <c r="BG17" i="4" s="1"/>
  <c r="BF181" i="4"/>
  <c r="BG181" i="4" s="1"/>
  <c r="BF154" i="4"/>
  <c r="BG154" i="4" s="1"/>
  <c r="BF142" i="4"/>
  <c r="BG142" i="4" s="1"/>
  <c r="BF345" i="4"/>
  <c r="BG345" i="4" s="1"/>
  <c r="BF217" i="4"/>
  <c r="BG217" i="4" s="1"/>
  <c r="BF35" i="4"/>
  <c r="BG35" i="4" s="1"/>
  <c r="BF61" i="4"/>
  <c r="BG61" i="4" s="1"/>
  <c r="BF159" i="4"/>
  <c r="BG159" i="4" s="1"/>
  <c r="BF260" i="4"/>
  <c r="BG260" i="4" s="1"/>
  <c r="BF52" i="4"/>
  <c r="BG52" i="4" s="1"/>
  <c r="BF75" i="4"/>
  <c r="BG75" i="4" s="1"/>
  <c r="BF197" i="4"/>
  <c r="BG197" i="4" s="1"/>
  <c r="BF322" i="4"/>
  <c r="BG322" i="4" s="1"/>
  <c r="BF337" i="4"/>
  <c r="BG337" i="4" s="1"/>
  <c r="BF343" i="4"/>
  <c r="BG343" i="4" s="1"/>
  <c r="BF160" i="4"/>
  <c r="BG160" i="4" s="1"/>
  <c r="BF67" i="4"/>
  <c r="BG67" i="4" s="1"/>
  <c r="BF165" i="4"/>
  <c r="BG165" i="4" s="1"/>
  <c r="BF178" i="4"/>
  <c r="BG178" i="4" s="1"/>
  <c r="BF392" i="4"/>
  <c r="BF376" i="4"/>
  <c r="BG376" i="4" s="1"/>
  <c r="BF53" i="4"/>
  <c r="BG53" i="4" s="1"/>
  <c r="BF328" i="4"/>
  <c r="BG328" i="4" s="1"/>
  <c r="BF33" i="4"/>
  <c r="BG33" i="4" s="1"/>
  <c r="BF104" i="4"/>
  <c r="BG104" i="4" s="1"/>
  <c r="BF368" i="4"/>
  <c r="BG368" i="4" s="1"/>
  <c r="BF83" i="4"/>
  <c r="BG83" i="4" s="1"/>
  <c r="BF371" i="4"/>
  <c r="BF243" i="4"/>
  <c r="BG243" i="4" s="1"/>
  <c r="BF43" i="4"/>
  <c r="BG43" i="4" s="1"/>
  <c r="BF253" i="4"/>
  <c r="BG253" i="4" s="1"/>
  <c r="BF377" i="4"/>
  <c r="BG377" i="4" s="1"/>
  <c r="BF182" i="4"/>
  <c r="BG182" i="4" s="1"/>
  <c r="BF315" i="4"/>
  <c r="BG315" i="4" s="1"/>
  <c r="BF22" i="4"/>
  <c r="BG22" i="4" s="1"/>
  <c r="BF359" i="4"/>
  <c r="BG359" i="4" s="1"/>
  <c r="BF235" i="4"/>
  <c r="BG235" i="4" s="1"/>
  <c r="BF206" i="4"/>
  <c r="BG206" i="4" s="1"/>
  <c r="BF395" i="4"/>
  <c r="BF299" i="4"/>
  <c r="BG299" i="4" s="1"/>
  <c r="BF152" i="4"/>
  <c r="BG152" i="4" s="1"/>
  <c r="BF46" i="4"/>
  <c r="BG46" i="4" s="1"/>
  <c r="BF286" i="4"/>
  <c r="BG286" i="4" s="1"/>
  <c r="BF277" i="4"/>
  <c r="BG277" i="4" s="1"/>
  <c r="BF211" i="4"/>
  <c r="BG211" i="4" s="1"/>
  <c r="BF171" i="4"/>
  <c r="BG171" i="4" s="1"/>
  <c r="BF257" i="4"/>
  <c r="BG257" i="4" s="1"/>
  <c r="BF264" i="4"/>
  <c r="BG264" i="4" s="1"/>
  <c r="BF196" i="4"/>
  <c r="BG196" i="4" s="1"/>
  <c r="BF390" i="4"/>
  <c r="BG390" i="4" s="1"/>
  <c r="BF148" i="4"/>
  <c r="BG148" i="4" s="1"/>
  <c r="BF340" i="4"/>
  <c r="BG340" i="4" s="1"/>
  <c r="BF77" i="4"/>
  <c r="BG77" i="4" s="1"/>
  <c r="BF85" i="4"/>
  <c r="BG85" i="4" s="1"/>
  <c r="BF209" i="4"/>
  <c r="BG209" i="4" s="1"/>
  <c r="BF372" i="4"/>
  <c r="BF227" i="4"/>
  <c r="BG227" i="4" s="1"/>
  <c r="BF385" i="4"/>
  <c r="BG385" i="4" s="1"/>
  <c r="BF249" i="4"/>
  <c r="BG249" i="4" s="1"/>
  <c r="BF55" i="4"/>
  <c r="BG55" i="4" s="1"/>
  <c r="BF131" i="4"/>
  <c r="BG131" i="4" s="1"/>
  <c r="BF13" i="4"/>
  <c r="BG13" i="4" s="1"/>
  <c r="BF384" i="4"/>
  <c r="BF324" i="4"/>
  <c r="BG324" i="4" s="1"/>
  <c r="BF301" i="4"/>
  <c r="BG301" i="4" s="1"/>
  <c r="BF216" i="4"/>
  <c r="BG216" i="4" s="1"/>
  <c r="BF187" i="4"/>
  <c r="BG187" i="4" s="1"/>
  <c r="BF139" i="4"/>
  <c r="BG139" i="4" s="1"/>
  <c r="BF214" i="4"/>
  <c r="BG214" i="4" s="1"/>
  <c r="BF141" i="4"/>
  <c r="BG141" i="4" s="1"/>
  <c r="BF290" i="4"/>
  <c r="BG290" i="4" s="1"/>
  <c r="BF298" i="4"/>
  <c r="BG298" i="4" s="1"/>
  <c r="BF268" i="4"/>
  <c r="BG268" i="4" s="1"/>
  <c r="BF169" i="4"/>
  <c r="BG169" i="4" s="1"/>
  <c r="BF12" i="4"/>
  <c r="BG12" i="4" s="1"/>
  <c r="BF351" i="4"/>
  <c r="BG351" i="4" s="1"/>
  <c r="BF192" i="4"/>
  <c r="BG192" i="4" s="1"/>
  <c r="BF163" i="4"/>
  <c r="BG163" i="4" s="1"/>
  <c r="BF350" i="4"/>
  <c r="BG350" i="4" s="1"/>
  <c r="BF72" i="4"/>
  <c r="BG72" i="4" s="1"/>
  <c r="BF41" i="4"/>
  <c r="BG41" i="4" s="1"/>
  <c r="BF102" i="4"/>
  <c r="BG102" i="4" s="1"/>
  <c r="BF325" i="4"/>
  <c r="BG325" i="4" s="1"/>
  <c r="BF212" i="4"/>
  <c r="BG212" i="4" s="1"/>
  <c r="BF306" i="4"/>
  <c r="BG306" i="4" s="1"/>
  <c r="BF26" i="4"/>
  <c r="BG26" i="4" s="1"/>
  <c r="BF370" i="4"/>
  <c r="BF143" i="4"/>
  <c r="BG143" i="4" s="1"/>
  <c r="BF42" i="4"/>
  <c r="BG42" i="4" s="1"/>
  <c r="BF287" i="4"/>
  <c r="BG287" i="4" s="1"/>
  <c r="BF47" i="4"/>
  <c r="BG47" i="4" s="1"/>
  <c r="BF353" i="4"/>
  <c r="BG353" i="4" s="1"/>
  <c r="BF31" i="4"/>
  <c r="BG31" i="4" s="1"/>
  <c r="BF167" i="4"/>
  <c r="BG167" i="4" s="1"/>
  <c r="BF224" i="4"/>
  <c r="BG224" i="4" s="1"/>
  <c r="BF155" i="4"/>
  <c r="BG155" i="4" s="1"/>
  <c r="BF137" i="4"/>
  <c r="BG137" i="4" s="1"/>
  <c r="BF156" i="4"/>
  <c r="BG156" i="4" s="1"/>
  <c r="BF391" i="4"/>
  <c r="BF166" i="4"/>
  <c r="BG166" i="4" s="1"/>
  <c r="BF310" i="4"/>
  <c r="BG310" i="4" s="1"/>
  <c r="BF373" i="4"/>
  <c r="BG373" i="4" s="1"/>
  <c r="BF36" i="4"/>
  <c r="BG36" i="4" s="1"/>
  <c r="BF116" i="4"/>
  <c r="BG116" i="4" s="1"/>
  <c r="BF309" i="4"/>
  <c r="BG309" i="4" s="1"/>
  <c r="BF248" i="4"/>
  <c r="BG248" i="4" s="1"/>
  <c r="BF374" i="4"/>
  <c r="BF59" i="4"/>
  <c r="BG59" i="4" s="1"/>
  <c r="BF175" i="4"/>
  <c r="BG175" i="4" s="1"/>
  <c r="BF239" i="4"/>
  <c r="BG239" i="4" s="1"/>
  <c r="BF92" i="4"/>
  <c r="BG92" i="4" s="1"/>
  <c r="BF30" i="4"/>
  <c r="BG30" i="4" s="1"/>
  <c r="BF28" i="4"/>
  <c r="BG28" i="4" s="1"/>
  <c r="BF15" i="4"/>
  <c r="BG15" i="4" s="1"/>
  <c r="BF232" i="4"/>
  <c r="BG232" i="4" s="1"/>
  <c r="BF219" i="4"/>
  <c r="BG219" i="4" s="1"/>
  <c r="BF180" i="4"/>
  <c r="BG180" i="4" s="1"/>
  <c r="BF133" i="4"/>
  <c r="BG133" i="4" s="1"/>
  <c r="BF70" i="4"/>
  <c r="BG70" i="4" s="1"/>
  <c r="BF382" i="4"/>
  <c r="BG382" i="4" s="1"/>
  <c r="BF346" i="4"/>
  <c r="BG346" i="4" s="1"/>
  <c r="BF367" i="4"/>
  <c r="BG367" i="4" s="1"/>
  <c r="BF207" i="4"/>
  <c r="BG207" i="4" s="1"/>
  <c r="BF110" i="4"/>
  <c r="BG110" i="4" s="1"/>
  <c r="BF87" i="4"/>
  <c r="BG87" i="4" s="1"/>
  <c r="BF387" i="4"/>
  <c r="BG387" i="4" s="1"/>
  <c r="BF37" i="4"/>
  <c r="BG37" i="4" s="1"/>
  <c r="BF44" i="4"/>
  <c r="BG44" i="4" s="1"/>
  <c r="BF263" i="4"/>
  <c r="BG263" i="4" s="1"/>
  <c r="BF138" i="4"/>
  <c r="BG138" i="4" s="1"/>
  <c r="BF172" i="4"/>
  <c r="BG172" i="4" s="1"/>
  <c r="BF184" i="4"/>
  <c r="BG184" i="4" s="1"/>
  <c r="AV162" i="4"/>
  <c r="AW162" i="4" s="1"/>
  <c r="AV212" i="4"/>
  <c r="AW212" i="4" s="1"/>
  <c r="AV395" i="4"/>
  <c r="AV315" i="4"/>
  <c r="AW315" i="4" s="1"/>
  <c r="BA182" i="4"/>
  <c r="BB182" i="4" s="1"/>
  <c r="AV350" i="4"/>
  <c r="AW350" i="4" s="1"/>
  <c r="AV343" i="4"/>
  <c r="AW343" i="4" s="1"/>
  <c r="AV75" i="4"/>
  <c r="AW75" i="4" s="1"/>
  <c r="AV348" i="4"/>
  <c r="AW348" i="4" s="1"/>
  <c r="AV44" i="4"/>
  <c r="AW44" i="4" s="1"/>
  <c r="AV316" i="4"/>
  <c r="AW316" i="4" s="1"/>
  <c r="BA150" i="4"/>
  <c r="BB150" i="4" s="1"/>
  <c r="AV285" i="4"/>
  <c r="AW285" i="4" s="1"/>
  <c r="AV232" i="4"/>
  <c r="AW232" i="4" s="1"/>
  <c r="AV105" i="4"/>
  <c r="AW105" i="4" s="1"/>
  <c r="AV128" i="4"/>
  <c r="AW128" i="4" s="1"/>
  <c r="AV244" i="4"/>
  <c r="AW244" i="4" s="1"/>
  <c r="AV59" i="4"/>
  <c r="AW59" i="4" s="1"/>
  <c r="BA71" i="4"/>
  <c r="BB71" i="4" s="1"/>
  <c r="AV376" i="4"/>
  <c r="AW376" i="4" s="1"/>
  <c r="BA140" i="4"/>
  <c r="BB140" i="4" s="1"/>
  <c r="BA309" i="4"/>
  <c r="BB309" i="4" s="1"/>
  <c r="BA229" i="4"/>
  <c r="BB229" i="4" s="1"/>
  <c r="BA114" i="4"/>
  <c r="BB114" i="4" s="1"/>
  <c r="BA382" i="4"/>
  <c r="BA264" i="4"/>
  <c r="BB264" i="4" s="1"/>
  <c r="BA101" i="4"/>
  <c r="BB101" i="4" s="1"/>
  <c r="BA280" i="4"/>
  <c r="BB280" i="4" s="1"/>
  <c r="AV295" i="4"/>
  <c r="AW295" i="4" s="1"/>
  <c r="AV38" i="4"/>
  <c r="AW38" i="4" s="1"/>
  <c r="AV60" i="4"/>
  <c r="AW60" i="4" s="1"/>
  <c r="AV64" i="4"/>
  <c r="AW64" i="4" s="1"/>
  <c r="AV280" i="4"/>
  <c r="AW280" i="4" s="1"/>
  <c r="AV208" i="4"/>
  <c r="AW208" i="4" s="1"/>
  <c r="AV370" i="4"/>
  <c r="AV211" i="4"/>
  <c r="AW211" i="4" s="1"/>
  <c r="AV166" i="4"/>
  <c r="AW166" i="4" s="1"/>
  <c r="AV326" i="4"/>
  <c r="AW326" i="4" s="1"/>
  <c r="AV218" i="4"/>
  <c r="AW218" i="4" s="1"/>
  <c r="AV357" i="4"/>
  <c r="AW357" i="4" s="1"/>
  <c r="AV18" i="4"/>
  <c r="AW18" i="4" s="1"/>
  <c r="AV153" i="4"/>
  <c r="AW153" i="4" s="1"/>
  <c r="AV275" i="4"/>
  <c r="AW275" i="4" s="1"/>
  <c r="AV187" i="4"/>
  <c r="AW187" i="4" s="1"/>
  <c r="AV221" i="4"/>
  <c r="AW221" i="4" s="1"/>
  <c r="AV17" i="4"/>
  <c r="AW17" i="4" s="1"/>
  <c r="AV53" i="4"/>
  <c r="AW53" i="4" s="1"/>
  <c r="AV381" i="4"/>
  <c r="AV89" i="4"/>
  <c r="AW89" i="4" s="1"/>
  <c r="AV103" i="4"/>
  <c r="AW103" i="4" s="1"/>
  <c r="AV367" i="4"/>
  <c r="AV380" i="4"/>
  <c r="AW380" i="4" s="1"/>
  <c r="AV325" i="4"/>
  <c r="AW325" i="4" s="1"/>
  <c r="AV131" i="4"/>
  <c r="AW131" i="4" s="1"/>
  <c r="AV102" i="4"/>
  <c r="AW102" i="4" s="1"/>
  <c r="AV264" i="4"/>
  <c r="AW264" i="4" s="1"/>
  <c r="AV359" i="4"/>
  <c r="AW359" i="4" s="1"/>
  <c r="AV228" i="4"/>
  <c r="AW228" i="4" s="1"/>
  <c r="AV339" i="4"/>
  <c r="AW339" i="4" s="1"/>
  <c r="AV30" i="4"/>
  <c r="AW30" i="4" s="1"/>
  <c r="AV148" i="4"/>
  <c r="AW148" i="4" s="1"/>
  <c r="AV78" i="4"/>
  <c r="AW78" i="4" s="1"/>
  <c r="AV336" i="4"/>
  <c r="AW336" i="4" s="1"/>
  <c r="AV123" i="4"/>
  <c r="AW123" i="4" s="1"/>
  <c r="AV117" i="4"/>
  <c r="AW117" i="4" s="1"/>
  <c r="AV40" i="4"/>
  <c r="AW40" i="4" s="1"/>
  <c r="AV351" i="4"/>
  <c r="AW351" i="4" s="1"/>
  <c r="AV185" i="4"/>
  <c r="AW185" i="4" s="1"/>
  <c r="AV22" i="4"/>
  <c r="AW22" i="4" s="1"/>
  <c r="AV271" i="4"/>
  <c r="AW271" i="4" s="1"/>
  <c r="AV94" i="4"/>
  <c r="AW94" i="4" s="1"/>
  <c r="AV213" i="4"/>
  <c r="AW213" i="4" s="1"/>
  <c r="AV108" i="4"/>
  <c r="AW108" i="4" s="1"/>
  <c r="AV101" i="4"/>
  <c r="AW101" i="4" s="1"/>
  <c r="AV152" i="4"/>
  <c r="AW152" i="4" s="1"/>
  <c r="AV145" i="4"/>
  <c r="AW145" i="4" s="1"/>
  <c r="AV160" i="4"/>
  <c r="AW160" i="4" s="1"/>
  <c r="AV203" i="4"/>
  <c r="AW203" i="4" s="1"/>
  <c r="AV217" i="4"/>
  <c r="AW217" i="4" s="1"/>
  <c r="AV147" i="4"/>
  <c r="AW147" i="4" s="1"/>
  <c r="AV172" i="4"/>
  <c r="AW172" i="4" s="1"/>
  <c r="AV165" i="4"/>
  <c r="AW165" i="4" s="1"/>
  <c r="AV345" i="4"/>
  <c r="AW345" i="4" s="1"/>
  <c r="AV24" i="4"/>
  <c r="AW24" i="4" s="1"/>
  <c r="AV193" i="4"/>
  <c r="AW193" i="4" s="1"/>
  <c r="AV249" i="4"/>
  <c r="AW249" i="4" s="1"/>
  <c r="AV356" i="4"/>
  <c r="AW356" i="4" s="1"/>
  <c r="AV167" i="4"/>
  <c r="AW167" i="4" s="1"/>
  <c r="AV66" i="4"/>
  <c r="AW66" i="4" s="1"/>
  <c r="AV310" i="4"/>
  <c r="AW310" i="4" s="1"/>
  <c r="AV234" i="4"/>
  <c r="AW234" i="4" s="1"/>
  <c r="AV79" i="4"/>
  <c r="AW79" i="4" s="1"/>
  <c r="AV371" i="4"/>
  <c r="AV91" i="4"/>
  <c r="AW91" i="4" s="1"/>
  <c r="AV240" i="4"/>
  <c r="AW240" i="4" s="1"/>
  <c r="AV134" i="4"/>
  <c r="AW134" i="4" s="1"/>
  <c r="AV328" i="4"/>
  <c r="AW328" i="4" s="1"/>
  <c r="AV281" i="4"/>
  <c r="AW281" i="4" s="1"/>
  <c r="AV84" i="4"/>
  <c r="AW84" i="4" s="1"/>
  <c r="AV360" i="4"/>
  <c r="AW360" i="4" s="1"/>
  <c r="AV121" i="4"/>
  <c r="AW121" i="4" s="1"/>
  <c r="AV365" i="4"/>
  <c r="AW365" i="4" s="1"/>
  <c r="AV156" i="4"/>
  <c r="AW156" i="4" s="1"/>
  <c r="AV26" i="4"/>
  <c r="AW26" i="4" s="1"/>
  <c r="AV245" i="4"/>
  <c r="AW245" i="4" s="1"/>
  <c r="AV287" i="4"/>
  <c r="AW287" i="4" s="1"/>
  <c r="AV261" i="4"/>
  <c r="AW261" i="4" s="1"/>
  <c r="AV283" i="4"/>
  <c r="AW283" i="4" s="1"/>
  <c r="AV388" i="4"/>
  <c r="AV313" i="4"/>
  <c r="AW313" i="4" s="1"/>
  <c r="AV188" i="4"/>
  <c r="AW188" i="4" s="1"/>
  <c r="AV251" i="4"/>
  <c r="AW251" i="4" s="1"/>
  <c r="AV301" i="4"/>
  <c r="AW301" i="4" s="1"/>
  <c r="AV225" i="4"/>
  <c r="AW225" i="4" s="1"/>
  <c r="AV163" i="4"/>
  <c r="AW163" i="4" s="1"/>
  <c r="AV124" i="4"/>
  <c r="AW124" i="4" s="1"/>
  <c r="AV58" i="4"/>
  <c r="AW58" i="4" s="1"/>
  <c r="AV39" i="4"/>
  <c r="AW39" i="4" s="1"/>
  <c r="AV63" i="4"/>
  <c r="AW63" i="4" s="1"/>
  <c r="AV372" i="4"/>
  <c r="AW372" i="4" s="1"/>
  <c r="AV175" i="4"/>
  <c r="AW175" i="4" s="1"/>
  <c r="AV13" i="4"/>
  <c r="AW13" i="4" s="1"/>
  <c r="AV305" i="4"/>
  <c r="AW305" i="4" s="1"/>
  <c r="AV373" i="4"/>
  <c r="AW373" i="4" s="1"/>
  <c r="AV25" i="4"/>
  <c r="AW25" i="4" s="1"/>
  <c r="AV296" i="4"/>
  <c r="AW296" i="4" s="1"/>
  <c r="AV331" i="4"/>
  <c r="AW331" i="4" s="1"/>
  <c r="AV16" i="4"/>
  <c r="AW16" i="4" s="1"/>
  <c r="AV174" i="4"/>
  <c r="AW174" i="4" s="1"/>
  <c r="AV355" i="4"/>
  <c r="AW355" i="4" s="1"/>
  <c r="AV106" i="4"/>
  <c r="AW106" i="4" s="1"/>
  <c r="AV88" i="4"/>
  <c r="AW88" i="4" s="1"/>
  <c r="AV255" i="4"/>
  <c r="AW255" i="4" s="1"/>
  <c r="AV311" i="4"/>
  <c r="AW311" i="4" s="1"/>
  <c r="AV132" i="4"/>
  <c r="AW132" i="4" s="1"/>
  <c r="AV253" i="4"/>
  <c r="AW253" i="4" s="1"/>
  <c r="AV346" i="4"/>
  <c r="AW346" i="4" s="1"/>
  <c r="AV303" i="4"/>
  <c r="AW303" i="4" s="1"/>
  <c r="AV57" i="4"/>
  <c r="AW57" i="4" s="1"/>
  <c r="AV92" i="4"/>
  <c r="AW92" i="4" s="1"/>
  <c r="AV368" i="4"/>
  <c r="AV65" i="4"/>
  <c r="AW65" i="4" s="1"/>
  <c r="AV327" i="4"/>
  <c r="AW327" i="4" s="1"/>
  <c r="AV210" i="4"/>
  <c r="AW210" i="4" s="1"/>
  <c r="AV158" i="4"/>
  <c r="AW158" i="4" s="1"/>
  <c r="AV241" i="4"/>
  <c r="AW241" i="4" s="1"/>
  <c r="AV28" i="4"/>
  <c r="AW28" i="4" s="1"/>
  <c r="AV143" i="4"/>
  <c r="AW143" i="4" s="1"/>
  <c r="AV71" i="4"/>
  <c r="AW71" i="4" s="1"/>
  <c r="AV219" i="4"/>
  <c r="AW219" i="4" s="1"/>
  <c r="AV353" i="4"/>
  <c r="AW353" i="4" s="1"/>
  <c r="AV77" i="4"/>
  <c r="AW77" i="4" s="1"/>
  <c r="AV298" i="4"/>
  <c r="AW298" i="4" s="1"/>
  <c r="AV335" i="4"/>
  <c r="AW335" i="4" s="1"/>
  <c r="AV176" i="4"/>
  <c r="AW176" i="4" s="1"/>
  <c r="AV46" i="4"/>
  <c r="AW46" i="4" s="1"/>
  <c r="AV195" i="4"/>
  <c r="AW195" i="4" s="1"/>
  <c r="AV273" i="4"/>
  <c r="AW273" i="4" s="1"/>
  <c r="AV364" i="4"/>
  <c r="AW364" i="4" s="1"/>
  <c r="AV76" i="4"/>
  <c r="AW76" i="4" s="1"/>
  <c r="AV138" i="4"/>
  <c r="AW138" i="4" s="1"/>
  <c r="AV277" i="4"/>
  <c r="AW277" i="4" s="1"/>
  <c r="AV120" i="4"/>
  <c r="AW120" i="4" s="1"/>
  <c r="AV119" i="4"/>
  <c r="AW119" i="4" s="1"/>
  <c r="AV182" i="4"/>
  <c r="AW182" i="4" s="1"/>
  <c r="AV54" i="4"/>
  <c r="AW54" i="4" s="1"/>
  <c r="AV113" i="4"/>
  <c r="AW113" i="4" s="1"/>
  <c r="AV191" i="4"/>
  <c r="AW191" i="4" s="1"/>
  <c r="AV265" i="4"/>
  <c r="AW265" i="4" s="1"/>
  <c r="AV344" i="4"/>
  <c r="AW344" i="4" s="1"/>
  <c r="AV96" i="4"/>
  <c r="AW96" i="4" s="1"/>
  <c r="AV142" i="4"/>
  <c r="AW142" i="4" s="1"/>
  <c r="AV279" i="4"/>
  <c r="AW279" i="4" s="1"/>
  <c r="AV189" i="4"/>
  <c r="AW189" i="4" s="1"/>
  <c r="AV235" i="4"/>
  <c r="AW235" i="4" s="1"/>
  <c r="AV363" i="4"/>
  <c r="AW363" i="4" s="1"/>
  <c r="AV349" i="4"/>
  <c r="AW349" i="4" s="1"/>
  <c r="AV276" i="4"/>
  <c r="AW276" i="4" s="1"/>
  <c r="AV179" i="4"/>
  <c r="AW179" i="4" s="1"/>
  <c r="AV302" i="4"/>
  <c r="AW302" i="4" s="1"/>
  <c r="AV282" i="4"/>
  <c r="AW282" i="4" s="1"/>
  <c r="AV116" i="4"/>
  <c r="AW116" i="4" s="1"/>
  <c r="AV178" i="4"/>
  <c r="AW178" i="4" s="1"/>
  <c r="AV109" i="4"/>
  <c r="AW109" i="4" s="1"/>
  <c r="AV306" i="4"/>
  <c r="AW306" i="4" s="1"/>
  <c r="AV222" i="4"/>
  <c r="AW222" i="4" s="1"/>
  <c r="AV202" i="4"/>
  <c r="AW202" i="4" s="1"/>
  <c r="AV321" i="4"/>
  <c r="AW321" i="4" s="1"/>
  <c r="AV99" i="4"/>
  <c r="AW99" i="4" s="1"/>
  <c r="AV34" i="4"/>
  <c r="AW34" i="4" s="1"/>
  <c r="AV274" i="4"/>
  <c r="AW274" i="4" s="1"/>
  <c r="AV334" i="4"/>
  <c r="AW334" i="4" s="1"/>
  <c r="AV314" i="4"/>
  <c r="AW314" i="4" s="1"/>
  <c r="AV278" i="4"/>
  <c r="AW278" i="4" s="1"/>
  <c r="AV181" i="4"/>
  <c r="AW181" i="4" s="1"/>
  <c r="AV252" i="4"/>
  <c r="AW252" i="4" s="1"/>
  <c r="AV144" i="4"/>
  <c r="AW144" i="4" s="1"/>
  <c r="AV292" i="4"/>
  <c r="AW292" i="4" s="1"/>
  <c r="AV110" i="4"/>
  <c r="AW110" i="4" s="1"/>
  <c r="AV337" i="4"/>
  <c r="AW337" i="4" s="1"/>
  <c r="AV161" i="4"/>
  <c r="AW161" i="4" s="1"/>
  <c r="AV231" i="4"/>
  <c r="AW231" i="4" s="1"/>
  <c r="AV125" i="4"/>
  <c r="AW125" i="4" s="1"/>
  <c r="AV297" i="4"/>
  <c r="AW297" i="4" s="1"/>
  <c r="AV291" i="4"/>
  <c r="AW291" i="4" s="1"/>
  <c r="AV107" i="4"/>
  <c r="AW107" i="4" s="1"/>
  <c r="AV288" i="4"/>
  <c r="AW288" i="4" s="1"/>
  <c r="AV86" i="4"/>
  <c r="AW86" i="4" s="1"/>
  <c r="AV31" i="4"/>
  <c r="AW31" i="4" s="1"/>
  <c r="AV289" i="4"/>
  <c r="AW289" i="4" s="1"/>
  <c r="AV362" i="4"/>
  <c r="AW362" i="4" s="1"/>
  <c r="AV73" i="4"/>
  <c r="AW73" i="4" s="1"/>
  <c r="AV11" i="4"/>
  <c r="AV37" i="4"/>
  <c r="AW37" i="4" s="1"/>
  <c r="AV87" i="4"/>
  <c r="AW87" i="4" s="1"/>
  <c r="AV389" i="4"/>
  <c r="AW389" i="4" s="1"/>
  <c r="AV267" i="4"/>
  <c r="AW267" i="4" s="1"/>
  <c r="AV82" i="4"/>
  <c r="AW82" i="4" s="1"/>
  <c r="AV141" i="4"/>
  <c r="AW141" i="4" s="1"/>
  <c r="AV216" i="4"/>
  <c r="AW216" i="4" s="1"/>
  <c r="AV243" i="4"/>
  <c r="AW243" i="4" s="1"/>
  <c r="AV154" i="4"/>
  <c r="AW154" i="4" s="1"/>
  <c r="AV136" i="4"/>
  <c r="AW136" i="4" s="1"/>
  <c r="AV205" i="4"/>
  <c r="AW205" i="4" s="1"/>
  <c r="AV347" i="4"/>
  <c r="AW347" i="4" s="1"/>
  <c r="AV139" i="4"/>
  <c r="AW139" i="4" s="1"/>
  <c r="AV62" i="4"/>
  <c r="AW62" i="4" s="1"/>
  <c r="AV284" i="4"/>
  <c r="AW284" i="4" s="1"/>
  <c r="AV27" i="4"/>
  <c r="AW27" i="4" s="1"/>
  <c r="AV304" i="4"/>
  <c r="AW304" i="4" s="1"/>
  <c r="AV70" i="4"/>
  <c r="AW70" i="4" s="1"/>
  <c r="AV200" i="4"/>
  <c r="AW200" i="4" s="1"/>
  <c r="AV197" i="4"/>
  <c r="AW197" i="4" s="1"/>
  <c r="AV83" i="4"/>
  <c r="AW83" i="4" s="1"/>
  <c r="AV151" i="4"/>
  <c r="AW151" i="4" s="1"/>
  <c r="AV390" i="4"/>
  <c r="AW390" i="4" s="1"/>
  <c r="AV293" i="4"/>
  <c r="AW293" i="4" s="1"/>
  <c r="AV48" i="4"/>
  <c r="AW48" i="4" s="1"/>
  <c r="AV169" i="4"/>
  <c r="AW169" i="4" s="1"/>
  <c r="AV259" i="4"/>
  <c r="AW259" i="4" s="1"/>
  <c r="AV127" i="4"/>
  <c r="AW127" i="4" s="1"/>
  <c r="AV233" i="4"/>
  <c r="AW233" i="4" s="1"/>
  <c r="AV15" i="4"/>
  <c r="AW15" i="4" s="1"/>
  <c r="AV74" i="4"/>
  <c r="AW74" i="4" s="1"/>
  <c r="AV69" i="4"/>
  <c r="AW69" i="4" s="1"/>
  <c r="AV192" i="4"/>
  <c r="AW192" i="4" s="1"/>
  <c r="AV320" i="4"/>
  <c r="AW320" i="4" s="1"/>
  <c r="AV67" i="4"/>
  <c r="AW67" i="4" s="1"/>
  <c r="AV12" i="4"/>
  <c r="AW12" i="4" s="1"/>
  <c r="AV386" i="4"/>
  <c r="AW386" i="4" s="1"/>
  <c r="AV52" i="4"/>
  <c r="AW52" i="4" s="1"/>
  <c r="AV114" i="4"/>
  <c r="AW114" i="4" s="1"/>
  <c r="AV45" i="4"/>
  <c r="AW45" i="4" s="1"/>
  <c r="AV290" i="4"/>
  <c r="AW290" i="4" s="1"/>
  <c r="AV394" i="4"/>
  <c r="AW394" i="4" s="1"/>
  <c r="AV358" i="4"/>
  <c r="AW358" i="4" s="1"/>
  <c r="AV164" i="4"/>
  <c r="AW164" i="4" s="1"/>
  <c r="AV35" i="4"/>
  <c r="AW35" i="4" s="1"/>
  <c r="AV157" i="4"/>
  <c r="AW157" i="4" s="1"/>
  <c r="AV258" i="4"/>
  <c r="AW258" i="4" s="1"/>
  <c r="AV270" i="4"/>
  <c r="AW270" i="4" s="1"/>
  <c r="AV250" i="4"/>
  <c r="AW250" i="4" s="1"/>
  <c r="AV214" i="4"/>
  <c r="AW214" i="4" s="1"/>
  <c r="AV104" i="4"/>
  <c r="AW104" i="4" s="1"/>
  <c r="AV122" i="4"/>
  <c r="AW122" i="4" s="1"/>
  <c r="AV186" i="4"/>
  <c r="AW186" i="4" s="1"/>
  <c r="AV33" i="4"/>
  <c r="AW33" i="4" s="1"/>
  <c r="AV238" i="4"/>
  <c r="AW238" i="4" s="1"/>
  <c r="AV204" i="4"/>
  <c r="AW204" i="4" s="1"/>
  <c r="AV209" i="4"/>
  <c r="AW209" i="4" s="1"/>
  <c r="AV247" i="4"/>
  <c r="AW247" i="4" s="1"/>
  <c r="AV312" i="4"/>
  <c r="AW312" i="4" s="1"/>
  <c r="AV333" i="4"/>
  <c r="AW333" i="4" s="1"/>
  <c r="AV224" i="4"/>
  <c r="AW224" i="4" s="1"/>
  <c r="AV32" i="4"/>
  <c r="AW32" i="4" s="1"/>
  <c r="AV382" i="4"/>
  <c r="AW382" i="4" s="1"/>
  <c r="AV194" i="4"/>
  <c r="AW194" i="4" s="1"/>
  <c r="AV220" i="4"/>
  <c r="AW220" i="4" s="1"/>
  <c r="AV196" i="4"/>
  <c r="AW196" i="4" s="1"/>
  <c r="AV155" i="4"/>
  <c r="AW155" i="4" s="1"/>
  <c r="AV90" i="4"/>
  <c r="AW90" i="4" s="1"/>
  <c r="AV129" i="4"/>
  <c r="AW129" i="4" s="1"/>
  <c r="AV263" i="4"/>
  <c r="AW263" i="4" s="1"/>
  <c r="AV146" i="4"/>
  <c r="AW146" i="4" s="1"/>
  <c r="AV262" i="4"/>
  <c r="AW262" i="4" s="1"/>
  <c r="AV47" i="4"/>
  <c r="AW47" i="4" s="1"/>
  <c r="AV323" i="4"/>
  <c r="AW323" i="4" s="1"/>
  <c r="AV369" i="4"/>
  <c r="AW369" i="4" s="1"/>
  <c r="AV184" i="4"/>
  <c r="AW184" i="4" s="1"/>
  <c r="AV55" i="4"/>
  <c r="AW55" i="4" s="1"/>
  <c r="AV177" i="4"/>
  <c r="AW177" i="4" s="1"/>
  <c r="AV319" i="4"/>
  <c r="AW319" i="4" s="1"/>
  <c r="AV329" i="4"/>
  <c r="AW329" i="4" s="1"/>
  <c r="AV215" i="4"/>
  <c r="AW215" i="4" s="1"/>
  <c r="AV309" i="4"/>
  <c r="AW309" i="4" s="1"/>
  <c r="AV229" i="4"/>
  <c r="AW229" i="4" s="1"/>
  <c r="AV340" i="4"/>
  <c r="AW340" i="4" s="1"/>
  <c r="AV354" i="4"/>
  <c r="AW354" i="4" s="1"/>
  <c r="AV374" i="4"/>
  <c r="AW374" i="4" s="1"/>
  <c r="AV115" i="4"/>
  <c r="AW115" i="4" s="1"/>
  <c r="AV338" i="4"/>
  <c r="AW338" i="4" s="1"/>
  <c r="AV330" i="4"/>
  <c r="AW330" i="4" s="1"/>
  <c r="AV100" i="4"/>
  <c r="AW100" i="4" s="1"/>
  <c r="AV93" i="4"/>
  <c r="AW93" i="4" s="1"/>
  <c r="AV206" i="4"/>
  <c r="AW206" i="4" s="1"/>
  <c r="AV97" i="4"/>
  <c r="AW97" i="4" s="1"/>
  <c r="AV379" i="4"/>
  <c r="AW379" i="4" s="1"/>
  <c r="AV20" i="4"/>
  <c r="AW20" i="4" s="1"/>
  <c r="AV393" i="4"/>
  <c r="AW393" i="4" s="1"/>
  <c r="AV198" i="4"/>
  <c r="AW198" i="4" s="1"/>
  <c r="AV332" i="4"/>
  <c r="AW332" i="4" s="1"/>
  <c r="AV375" i="4"/>
  <c r="AW375" i="4" s="1"/>
  <c r="AV112" i="4"/>
  <c r="AW112" i="4" s="1"/>
  <c r="AV268" i="4"/>
  <c r="AW268" i="4" s="1"/>
  <c r="AV352" i="4"/>
  <c r="AW352" i="4" s="1"/>
  <c r="AV171" i="4"/>
  <c r="AW171" i="4" s="1"/>
  <c r="AV308" i="4"/>
  <c r="AW308" i="4" s="1"/>
  <c r="AV254" i="4"/>
  <c r="AW254" i="4" s="1"/>
  <c r="AV201" i="4"/>
  <c r="AW201" i="4" s="1"/>
  <c r="AV324" i="4"/>
  <c r="AW324" i="4" s="1"/>
  <c r="AV307" i="4"/>
  <c r="AW307" i="4" s="1"/>
  <c r="AV85" i="4"/>
  <c r="AW85" i="4" s="1"/>
  <c r="AV391" i="4"/>
  <c r="AW391" i="4" s="1"/>
  <c r="AV207" i="4"/>
  <c r="AW207" i="4" s="1"/>
  <c r="AV126" i="4"/>
  <c r="AW126" i="4" s="1"/>
  <c r="AV387" i="4"/>
  <c r="AW387" i="4" s="1"/>
  <c r="AV140" i="4"/>
  <c r="AW140" i="4" s="1"/>
  <c r="AV133" i="4"/>
  <c r="AW133" i="4" s="1"/>
  <c r="AV256" i="4"/>
  <c r="AW256" i="4" s="1"/>
  <c r="AV130" i="4"/>
  <c r="AW130" i="4" s="1"/>
  <c r="AV246" i="4"/>
  <c r="AW246" i="4" s="1"/>
  <c r="AV51" i="4"/>
  <c r="AW51" i="4" s="1"/>
  <c r="AV322" i="4"/>
  <c r="AW322" i="4" s="1"/>
  <c r="AV266" i="4"/>
  <c r="AW266" i="4" s="1"/>
  <c r="AV36" i="4"/>
  <c r="AW36" i="4" s="1"/>
  <c r="AV29" i="4"/>
  <c r="AW29" i="4" s="1"/>
  <c r="AV378" i="4"/>
  <c r="AW378" i="4" s="1"/>
  <c r="BA121" i="4"/>
  <c r="BB121" i="4" s="1"/>
  <c r="BA228" i="4"/>
  <c r="BB228" i="4" s="1"/>
  <c r="BA374" i="4"/>
  <c r="BA277" i="4"/>
  <c r="BB277" i="4" s="1"/>
  <c r="BA33" i="4"/>
  <c r="BB33" i="4" s="1"/>
  <c r="BA239" i="4"/>
  <c r="BB239" i="4" s="1"/>
  <c r="BA135" i="4"/>
  <c r="BB135" i="4" s="1"/>
  <c r="BA238" i="4"/>
  <c r="BB238" i="4" s="1"/>
  <c r="BA323" i="4"/>
  <c r="BB323" i="4" s="1"/>
  <c r="BA59" i="4"/>
  <c r="BB59" i="4" s="1"/>
  <c r="BA344" i="4"/>
  <c r="BB344" i="4" s="1"/>
  <c r="BA144" i="4"/>
  <c r="BB144" i="4" s="1"/>
  <c r="BA183" i="4"/>
  <c r="BB183" i="4" s="1"/>
  <c r="BA180" i="4"/>
  <c r="BB180" i="4" s="1"/>
  <c r="BA197" i="4"/>
  <c r="BB197" i="4" s="1"/>
  <c r="BA31" i="4"/>
  <c r="BB31" i="4" s="1"/>
  <c r="BA359" i="4"/>
  <c r="BB359" i="4" s="1"/>
  <c r="BA376" i="4"/>
  <c r="BA105" i="4"/>
  <c r="BB105" i="4" s="1"/>
  <c r="BA278" i="4"/>
  <c r="BB278" i="4" s="1"/>
  <c r="BA170" i="4"/>
  <c r="BB170" i="4" s="1"/>
  <c r="BA340" i="4"/>
  <c r="BB340" i="4" s="1"/>
  <c r="BA321" i="4"/>
  <c r="BB321" i="4" s="1"/>
  <c r="BA184" i="4"/>
  <c r="BB184" i="4" s="1"/>
  <c r="BA191" i="4"/>
  <c r="BB191" i="4" s="1"/>
  <c r="BA19" i="4"/>
  <c r="BB19" i="4" s="1"/>
  <c r="BA92" i="4"/>
  <c r="BB92" i="4" s="1"/>
  <c r="BA265" i="4"/>
  <c r="BB265" i="4" s="1"/>
  <c r="BA99" i="4"/>
  <c r="BB99" i="4" s="1"/>
  <c r="BA205" i="4"/>
  <c r="BB205" i="4" s="1"/>
  <c r="BA39" i="4"/>
  <c r="BB39" i="4" s="1"/>
  <c r="BA367" i="4"/>
  <c r="BB367" i="4" s="1"/>
  <c r="BA219" i="4"/>
  <c r="BB219" i="4" s="1"/>
  <c r="BA53" i="4"/>
  <c r="BB53" i="4" s="1"/>
  <c r="BA226" i="4"/>
  <c r="BB226" i="4" s="1"/>
  <c r="BA11" i="4"/>
  <c r="BA339" i="4"/>
  <c r="BB339" i="4" s="1"/>
  <c r="BA236" i="4"/>
  <c r="BB236" i="4" s="1"/>
  <c r="BA153" i="4"/>
  <c r="BB153" i="4" s="1"/>
  <c r="BA70" i="4"/>
  <c r="BB70" i="4" s="1"/>
  <c r="BA326" i="4"/>
  <c r="BB326" i="4" s="1"/>
  <c r="BA48" i="4"/>
  <c r="BB48" i="4" s="1"/>
  <c r="BA291" i="4"/>
  <c r="BB291" i="4" s="1"/>
  <c r="BA81" i="4"/>
  <c r="BB81" i="4" s="1"/>
  <c r="BA47" i="4"/>
  <c r="BB47" i="4" s="1"/>
  <c r="BA243" i="4"/>
  <c r="BB243" i="4" s="1"/>
  <c r="BA97" i="4"/>
  <c r="BB97" i="4" s="1"/>
  <c r="BA337" i="4"/>
  <c r="BB337" i="4" s="1"/>
  <c r="BA149" i="4"/>
  <c r="BB149" i="4" s="1"/>
  <c r="BA301" i="4"/>
  <c r="BB301" i="4" s="1"/>
  <c r="BA177" i="4"/>
  <c r="BB177" i="4" s="1"/>
  <c r="BA195" i="4"/>
  <c r="BB195" i="4" s="1"/>
  <c r="BA365" i="4"/>
  <c r="BB365" i="4" s="1"/>
  <c r="BA304" i="4"/>
  <c r="BB304" i="4" s="1"/>
  <c r="BA138" i="4"/>
  <c r="BB138" i="4" s="1"/>
  <c r="BA311" i="4"/>
  <c r="BB311" i="4" s="1"/>
  <c r="BA225" i="4"/>
  <c r="BB225" i="4" s="1"/>
  <c r="BA152" i="4"/>
  <c r="BB152" i="4" s="1"/>
  <c r="BA325" i="4"/>
  <c r="BB325" i="4" s="1"/>
  <c r="BA159" i="4"/>
  <c r="BB159" i="4" s="1"/>
  <c r="BA292" i="4"/>
  <c r="BB292" i="4" s="1"/>
  <c r="BA60" i="4"/>
  <c r="BB60" i="4" s="1"/>
  <c r="BA233" i="4"/>
  <c r="BB233" i="4" s="1"/>
  <c r="BA67" i="4"/>
  <c r="BB67" i="4" s="1"/>
  <c r="BA125" i="4"/>
  <c r="BB125" i="4" s="1"/>
  <c r="BA298" i="4"/>
  <c r="BB298" i="4" s="1"/>
  <c r="BA346" i="4"/>
  <c r="BB346" i="4" s="1"/>
  <c r="BA14" i="4"/>
  <c r="BB14" i="4" s="1"/>
  <c r="BA312" i="4"/>
  <c r="BB312" i="4" s="1"/>
  <c r="BA146" i="4"/>
  <c r="BB146" i="4" s="1"/>
  <c r="BA319" i="4"/>
  <c r="BB319" i="4" s="1"/>
  <c r="BA62" i="4"/>
  <c r="BB62" i="4" s="1"/>
  <c r="BA220" i="4"/>
  <c r="BB220" i="4" s="1"/>
  <c r="BA54" i="4"/>
  <c r="BB54" i="4" s="1"/>
  <c r="BA128" i="4"/>
  <c r="BB128" i="4" s="1"/>
  <c r="BA333" i="4"/>
  <c r="BB333" i="4" s="1"/>
  <c r="BA167" i="4"/>
  <c r="BB167" i="4" s="1"/>
  <c r="BA132" i="4"/>
  <c r="BB132" i="4" s="1"/>
  <c r="BA181" i="4"/>
  <c r="BB181" i="4" s="1"/>
  <c r="BA17" i="4"/>
  <c r="BB17" i="4" s="1"/>
  <c r="BA318" i="4"/>
  <c r="BB318" i="4" s="1"/>
  <c r="BA44" i="4"/>
  <c r="BB44" i="4" s="1"/>
  <c r="BA300" i="4"/>
  <c r="BB300" i="4" s="1"/>
  <c r="BA217" i="4"/>
  <c r="BB217" i="4" s="1"/>
  <c r="BA134" i="4"/>
  <c r="BB134" i="4" s="1"/>
  <c r="BA51" i="4"/>
  <c r="BB51" i="4" s="1"/>
  <c r="BA112" i="4"/>
  <c r="BB112" i="4" s="1"/>
  <c r="BA109" i="4"/>
  <c r="BB109" i="4" s="1"/>
  <c r="BA171" i="4"/>
  <c r="BB171" i="4" s="1"/>
  <c r="BA100" i="4"/>
  <c r="BB100" i="4" s="1"/>
  <c r="BA385" i="4"/>
  <c r="BA85" i="4"/>
  <c r="BB85" i="4" s="1"/>
  <c r="BA221" i="4"/>
  <c r="BB221" i="4" s="1"/>
  <c r="BA383" i="4"/>
  <c r="BA69" i="4"/>
  <c r="BB69" i="4" s="1"/>
  <c r="BA349" i="4"/>
  <c r="BB349" i="4" s="1"/>
  <c r="BA316" i="4"/>
  <c r="BB316" i="4" s="1"/>
  <c r="BA192" i="4"/>
  <c r="BB192" i="4" s="1"/>
  <c r="BA215" i="4"/>
  <c r="BB215" i="4" s="1"/>
  <c r="BA56" i="4"/>
  <c r="BB56" i="4" s="1"/>
  <c r="BA63" i="4"/>
  <c r="BB63" i="4" s="1"/>
  <c r="BA350" i="4"/>
  <c r="BB350" i="4" s="1"/>
  <c r="BA310" i="4"/>
  <c r="BB310" i="4" s="1"/>
  <c r="BA250" i="4"/>
  <c r="BB250" i="4" s="1"/>
  <c r="BA206" i="4"/>
  <c r="BB206" i="4" s="1"/>
  <c r="BA98" i="4"/>
  <c r="BB98" i="4" s="1"/>
  <c r="BA315" i="4"/>
  <c r="BB315" i="4" s="1"/>
  <c r="BA89" i="4"/>
  <c r="BB89" i="4" s="1"/>
  <c r="BA262" i="4"/>
  <c r="BB262" i="4" s="1"/>
  <c r="BA240" i="4"/>
  <c r="BB240" i="4" s="1"/>
  <c r="BA227" i="4"/>
  <c r="BB227" i="4" s="1"/>
  <c r="BA90" i="4"/>
  <c r="BB90" i="4" s="1"/>
  <c r="BA332" i="4"/>
  <c r="BB332" i="4" s="1"/>
  <c r="BA93" i="4"/>
  <c r="BB93" i="4" s="1"/>
  <c r="BA254" i="4"/>
  <c r="BB254" i="4" s="1"/>
  <c r="BA242" i="4"/>
  <c r="BB242" i="4" s="1"/>
  <c r="BA188" i="4"/>
  <c r="BB188" i="4" s="1"/>
  <c r="BA253" i="4"/>
  <c r="BB253" i="4" s="1"/>
  <c r="BA276" i="4"/>
  <c r="BB276" i="4" s="1"/>
  <c r="BA274" i="4"/>
  <c r="BB274" i="4" s="1"/>
  <c r="BA13" i="4"/>
  <c r="BB13" i="4" s="1"/>
  <c r="BA77" i="4"/>
  <c r="BB77" i="4" s="1"/>
  <c r="BA193" i="4"/>
  <c r="BB193" i="4" s="1"/>
  <c r="BA143" i="4"/>
  <c r="BB143" i="4" s="1"/>
  <c r="BA172" i="4"/>
  <c r="BB172" i="4" s="1"/>
  <c r="BA198" i="4"/>
  <c r="BB198" i="4" s="1"/>
  <c r="BA366" i="4"/>
  <c r="BB366" i="4" s="1"/>
  <c r="BA147" i="4"/>
  <c r="BB147" i="4" s="1"/>
  <c r="BA331" i="4"/>
  <c r="BB331" i="4" s="1"/>
  <c r="BA258" i="4"/>
  <c r="BB258" i="4" s="1"/>
  <c r="BA266" i="4"/>
  <c r="BB266" i="4" s="1"/>
  <c r="BA267" i="4"/>
  <c r="BB267" i="4" s="1"/>
  <c r="BA287" i="4"/>
  <c r="BB287" i="4" s="1"/>
  <c r="BA24" i="4"/>
  <c r="BB24" i="4" s="1"/>
  <c r="BA42" i="4"/>
  <c r="BB42" i="4" s="1"/>
  <c r="BA392" i="4"/>
  <c r="BB392" i="4" s="1"/>
  <c r="BA381" i="4"/>
  <c r="BA137" i="4"/>
  <c r="BB137" i="4" s="1"/>
  <c r="BA122" i="4"/>
  <c r="BB122" i="4" s="1"/>
  <c r="BA136" i="4"/>
  <c r="BB136" i="4" s="1"/>
  <c r="BA271" i="4"/>
  <c r="BB271" i="4" s="1"/>
  <c r="BA20" i="4"/>
  <c r="BB20" i="4" s="1"/>
  <c r="BA115" i="4"/>
  <c r="BB115" i="4" s="1"/>
  <c r="BA185" i="4"/>
  <c r="BB185" i="4" s="1"/>
  <c r="BA52" i="4"/>
  <c r="BB52" i="4" s="1"/>
  <c r="BA55" i="4"/>
  <c r="BB55" i="4" s="1"/>
  <c r="BA305" i="4"/>
  <c r="BB305" i="4" s="1"/>
  <c r="BA87" i="4"/>
  <c r="BB87" i="4" s="1"/>
  <c r="BA391" i="4"/>
  <c r="BA295" i="4"/>
  <c r="BB295" i="4" s="1"/>
  <c r="BA155" i="4"/>
  <c r="BB155" i="4" s="1"/>
  <c r="BA256" i="4"/>
  <c r="BB256" i="4" s="1"/>
  <c r="BA148" i="4"/>
  <c r="BB148" i="4" s="1"/>
  <c r="BA166" i="4"/>
  <c r="BB166" i="4" s="1"/>
  <c r="BA373" i="4"/>
  <c r="BB373" i="4" s="1"/>
  <c r="BA334" i="4"/>
  <c r="BB334" i="4" s="1"/>
  <c r="BA22" i="4"/>
  <c r="BB22" i="4" s="1"/>
  <c r="BA107" i="4"/>
  <c r="BB107" i="4" s="1"/>
  <c r="BA357" i="4"/>
  <c r="BB357" i="4" s="1"/>
  <c r="BA108" i="4"/>
  <c r="BB108" i="4" s="1"/>
  <c r="BA176" i="4"/>
  <c r="BB176" i="4" s="1"/>
  <c r="BG372" i="4"/>
  <c r="BG380" i="4"/>
  <c r="BG384" i="4"/>
  <c r="BG388" i="4"/>
  <c r="BG392" i="4"/>
  <c r="BG370" i="4"/>
  <c r="BG374" i="4"/>
  <c r="BG378" i="4"/>
  <c r="BG386" i="4"/>
  <c r="BG394" i="4"/>
  <c r="BG371" i="4"/>
  <c r="BG375" i="4"/>
  <c r="BG379" i="4"/>
  <c r="BG383" i="4"/>
  <c r="BG391" i="4"/>
  <c r="BG395" i="4"/>
  <c r="AW367" i="4"/>
  <c r="F1086" i="31"/>
  <c r="H1048" i="31"/>
  <c r="R72" i="31"/>
  <c r="F74" i="31"/>
  <c r="F75" i="31" s="1"/>
  <c r="H73" i="31"/>
  <c r="BB46" i="27"/>
  <c r="BJ48" i="27" s="1"/>
  <c r="F5" i="27"/>
  <c r="M8" i="27" s="1"/>
  <c r="S34" i="31"/>
  <c r="Q74" i="31"/>
  <c r="H72" i="31"/>
  <c r="L74" i="31"/>
  <c r="L75" i="31" s="1"/>
  <c r="J72" i="31"/>
  <c r="N451" i="31"/>
  <c r="N485" i="31"/>
  <c r="L485" i="31"/>
  <c r="L547" i="31"/>
  <c r="L597" i="31"/>
  <c r="L631" i="31"/>
  <c r="L723" i="31"/>
  <c r="N723" i="31"/>
  <c r="N1015" i="31"/>
  <c r="P530" i="31"/>
  <c r="P688" i="31"/>
  <c r="P672" i="31"/>
  <c r="N945" i="31"/>
  <c r="H953" i="31"/>
  <c r="P402" i="31"/>
  <c r="P460" i="31"/>
  <c r="F431" i="31"/>
  <c r="P452" i="31"/>
  <c r="H455" i="31"/>
  <c r="H451" i="31"/>
  <c r="N493" i="31"/>
  <c r="F477" i="31"/>
  <c r="J477" i="31"/>
  <c r="H505" i="31"/>
  <c r="L501" i="31"/>
  <c r="P487" i="31"/>
  <c r="H493" i="31"/>
  <c r="P482" i="31"/>
  <c r="J547" i="31"/>
  <c r="J543" i="31"/>
  <c r="J531" i="31"/>
  <c r="J527" i="31"/>
  <c r="J523" i="31"/>
  <c r="L543" i="31"/>
  <c r="P540" i="31"/>
  <c r="P526" i="31"/>
  <c r="H527" i="31"/>
  <c r="F547" i="31"/>
  <c r="P541" i="31"/>
  <c r="F539" i="31"/>
  <c r="F531" i="31"/>
  <c r="P525" i="31"/>
  <c r="P522" i="31"/>
  <c r="L523" i="31"/>
  <c r="N601" i="31"/>
  <c r="F601" i="31"/>
  <c r="P600" i="31"/>
  <c r="P596" i="31"/>
  <c r="F597" i="31"/>
  <c r="J597" i="31"/>
  <c r="H597" i="31"/>
  <c r="P575" i="31"/>
  <c r="P592" i="31"/>
  <c r="P591" i="31"/>
  <c r="P590" i="31"/>
  <c r="N581" i="31"/>
  <c r="N569" i="31"/>
  <c r="N577" i="31"/>
  <c r="J581" i="31"/>
  <c r="J569" i="31"/>
  <c r="P568" i="31"/>
  <c r="P583" i="31"/>
  <c r="P582" i="31"/>
  <c r="L585" i="31"/>
  <c r="P633" i="31"/>
  <c r="L635" i="31"/>
  <c r="H631" i="31"/>
  <c r="P644" i="31"/>
  <c r="P638" i="31"/>
  <c r="L623" i="31"/>
  <c r="P618" i="31"/>
  <c r="P617" i="31"/>
  <c r="P616" i="31"/>
  <c r="L619" i="31"/>
  <c r="N615" i="31"/>
  <c r="P613" i="31"/>
  <c r="P691" i="31"/>
  <c r="J689" i="31"/>
  <c r="J685" i="31"/>
  <c r="J661" i="31"/>
  <c r="J657" i="31"/>
  <c r="P686" i="31"/>
  <c r="H657" i="31"/>
  <c r="L657" i="31"/>
  <c r="P728" i="31"/>
  <c r="J727" i="31"/>
  <c r="J723" i="31"/>
  <c r="H727" i="31"/>
  <c r="F739" i="31"/>
  <c r="P729" i="31"/>
  <c r="P726" i="31"/>
  <c r="F727" i="31"/>
  <c r="F723" i="31"/>
  <c r="L727" i="31"/>
  <c r="P738" i="31"/>
  <c r="H723" i="31"/>
  <c r="P730" i="31"/>
  <c r="P704" i="31"/>
  <c r="P706" i="31"/>
  <c r="P705" i="31"/>
  <c r="L715" i="31"/>
  <c r="P714" i="31"/>
  <c r="H715" i="31"/>
  <c r="F711" i="31"/>
  <c r="N711" i="31"/>
  <c r="P829" i="31"/>
  <c r="P821" i="31"/>
  <c r="J819" i="31"/>
  <c r="J803" i="31"/>
  <c r="P801" i="31"/>
  <c r="L819" i="31"/>
  <c r="L823" i="31"/>
  <c r="N831" i="31"/>
  <c r="P797" i="31"/>
  <c r="F873" i="31"/>
  <c r="J873" i="31"/>
  <c r="H873" i="31"/>
  <c r="P874" i="31"/>
  <c r="P875" i="31"/>
  <c r="P868" i="31"/>
  <c r="P858" i="31"/>
  <c r="J969" i="31"/>
  <c r="J965" i="31"/>
  <c r="L961" i="31"/>
  <c r="P964" i="31"/>
  <c r="N961" i="31"/>
  <c r="P936" i="31"/>
  <c r="F937" i="31"/>
  <c r="P950" i="31"/>
  <c r="N933" i="31"/>
  <c r="P932" i="31"/>
  <c r="N949" i="31"/>
  <c r="F949" i="31"/>
  <c r="H949" i="31"/>
  <c r="P944" i="31"/>
  <c r="P942" i="31"/>
  <c r="L945" i="31"/>
  <c r="P1013" i="31"/>
  <c r="F999" i="31"/>
  <c r="N987" i="31"/>
  <c r="P1004" i="31"/>
  <c r="P1000" i="31"/>
  <c r="P1002" i="31"/>
  <c r="P990" i="31"/>
  <c r="H991" i="31"/>
  <c r="J815" i="31"/>
  <c r="P813" i="31"/>
  <c r="J807" i="31"/>
  <c r="P805" i="31"/>
  <c r="J799" i="31"/>
  <c r="P798" i="31"/>
  <c r="L853" i="31"/>
  <c r="P850" i="31"/>
  <c r="J861" i="31"/>
  <c r="P859" i="31"/>
  <c r="J869" i="31"/>
  <c r="H969" i="31"/>
  <c r="P967" i="31"/>
  <c r="P931" i="31"/>
  <c r="P951" i="31"/>
  <c r="F983" i="31"/>
  <c r="H565" i="31"/>
  <c r="P584" i="31"/>
  <c r="P578" i="31"/>
  <c r="P630" i="31"/>
  <c r="P628" i="31"/>
  <c r="P655" i="31"/>
  <c r="H707" i="31"/>
  <c r="P737" i="31"/>
  <c r="J823" i="31"/>
  <c r="P599" i="31"/>
  <c r="J731" i="31"/>
  <c r="N593" i="31"/>
  <c r="H803" i="31"/>
  <c r="J489" i="31"/>
  <c r="P503" i="31"/>
  <c r="P528" i="31"/>
  <c r="F585" i="31"/>
  <c r="H577" i="31"/>
  <c r="P491" i="31"/>
  <c r="L527" i="31"/>
  <c r="P566" i="31"/>
  <c r="H635" i="31"/>
  <c r="P612" i="31"/>
  <c r="P712" i="31"/>
  <c r="P722" i="31"/>
  <c r="P725" i="31"/>
  <c r="P867" i="31"/>
  <c r="F933" i="31"/>
  <c r="P966" i="31"/>
  <c r="P935" i="31"/>
  <c r="P872" i="31"/>
  <c r="P659" i="31"/>
  <c r="P947" i="31"/>
  <c r="J841" i="31"/>
  <c r="L359" i="31"/>
  <c r="J509" i="31"/>
  <c r="J435" i="31"/>
  <c r="J116" i="31"/>
  <c r="S445" i="31"/>
  <c r="J263" i="31"/>
  <c r="F1102" i="31"/>
  <c r="N61" i="31"/>
  <c r="L902" i="31"/>
  <c r="J902" i="31"/>
  <c r="F1032" i="31"/>
  <c r="L62" i="31"/>
  <c r="F901" i="31"/>
  <c r="Q900" i="31"/>
  <c r="J900" i="31"/>
  <c r="J901" i="31"/>
  <c r="D1046" i="31"/>
  <c r="P446" i="31"/>
  <c r="F321" i="31"/>
  <c r="L397" i="31"/>
  <c r="H431" i="31"/>
  <c r="L431" i="31"/>
  <c r="F509" i="31"/>
  <c r="H477" i="31"/>
  <c r="F473" i="31"/>
  <c r="J539" i="31"/>
  <c r="F527" i="31"/>
  <c r="F565" i="31"/>
  <c r="F439" i="31"/>
  <c r="P450" i="31"/>
  <c r="L477" i="31"/>
  <c r="L493" i="31"/>
  <c r="P594" i="31"/>
  <c r="J577" i="31"/>
  <c r="P564" i="31"/>
  <c r="J585" i="31"/>
  <c r="P545" i="31"/>
  <c r="P529" i="31"/>
  <c r="J601" i="31"/>
  <c r="P563" i="31"/>
  <c r="P429" i="31"/>
  <c r="P576" i="31"/>
  <c r="H293" i="31"/>
  <c r="F335" i="31"/>
  <c r="H393" i="31"/>
  <c r="F297" i="31"/>
  <c r="J363" i="31"/>
  <c r="P357" i="31"/>
  <c r="L335" i="31"/>
  <c r="H413" i="31"/>
  <c r="L401" i="31"/>
  <c r="F463" i="31"/>
  <c r="J455" i="31"/>
  <c r="N431" i="31"/>
  <c r="N455" i="31"/>
  <c r="N305" i="31"/>
  <c r="P361" i="31"/>
  <c r="L409" i="31"/>
  <c r="L531" i="31"/>
  <c r="P248" i="31"/>
  <c r="N309" i="31"/>
  <c r="P296" i="31"/>
  <c r="P394" i="31"/>
  <c r="F389" i="31"/>
  <c r="N413" i="31"/>
  <c r="P379" i="31"/>
  <c r="H463" i="31"/>
  <c r="P462" i="31"/>
  <c r="F447" i="31"/>
  <c r="P445" i="31"/>
  <c r="F455" i="31"/>
  <c r="L439" i="31"/>
  <c r="J451" i="31"/>
  <c r="J439" i="31"/>
  <c r="P428" i="31"/>
  <c r="F451" i="31"/>
  <c r="H509" i="31"/>
  <c r="P508" i="31"/>
  <c r="N477" i="31"/>
  <c r="P476" i="31"/>
  <c r="F505" i="31"/>
  <c r="J505" i="31"/>
  <c r="P488" i="31"/>
  <c r="F501" i="31"/>
  <c r="P499" i="31"/>
  <c r="P500" i="31"/>
  <c r="J501" i="31"/>
  <c r="P484" i="31"/>
  <c r="P490" i="31"/>
  <c r="J493" i="31"/>
  <c r="P492" i="31"/>
  <c r="F485" i="31"/>
  <c r="P546" i="31"/>
  <c r="H523" i="31"/>
  <c r="L555" i="31"/>
  <c r="P506" i="31"/>
  <c r="P498" i="31"/>
  <c r="J431" i="31"/>
  <c r="P454" i="31"/>
  <c r="P278" i="31"/>
  <c r="Q1030" i="31"/>
  <c r="AW388" i="4"/>
  <c r="AW395" i="4"/>
  <c r="AW383" i="4"/>
  <c r="AW381" i="4"/>
  <c r="AW385" i="4"/>
  <c r="L229" i="31"/>
  <c r="AW368" i="4"/>
  <c r="N463" i="31"/>
  <c r="H197" i="31"/>
  <c r="H209" i="31"/>
  <c r="H279" i="31"/>
  <c r="N275" i="31"/>
  <c r="J275" i="31"/>
  <c r="F317" i="31"/>
  <c r="F305" i="31"/>
  <c r="P320" i="31"/>
  <c r="P310" i="31"/>
  <c r="P291" i="31"/>
  <c r="L301" i="31"/>
  <c r="J289" i="31"/>
  <c r="P300" i="31"/>
  <c r="F301" i="31"/>
  <c r="H301" i="31"/>
  <c r="F367" i="31"/>
  <c r="H367" i="31"/>
  <c r="F347" i="31"/>
  <c r="H347" i="31"/>
  <c r="F351" i="31"/>
  <c r="L339" i="31"/>
  <c r="F355" i="31"/>
  <c r="H397" i="31"/>
  <c r="F413" i="31"/>
  <c r="P410" i="31"/>
  <c r="P412" i="31"/>
  <c r="F393" i="31"/>
  <c r="H381" i="31"/>
  <c r="J175" i="31"/>
  <c r="P299" i="31"/>
  <c r="P390" i="31"/>
  <c r="AW370" i="4"/>
  <c r="AW371" i="4"/>
  <c r="BB374" i="4"/>
  <c r="BB376" i="4"/>
  <c r="R2" i="30"/>
  <c r="AM58" i="27"/>
  <c r="BC17" i="27"/>
  <c r="AK52" i="27"/>
  <c r="AY16" i="27"/>
  <c r="BC16" i="27"/>
  <c r="E77" i="30"/>
  <c r="AN47" i="27"/>
  <c r="AU51" i="27" s="1"/>
  <c r="BB8" i="27"/>
  <c r="BI9" i="27" s="1"/>
  <c r="AN48" i="27"/>
  <c r="AS52" i="27" s="1"/>
  <c r="BE16" i="27"/>
  <c r="E79" i="30"/>
  <c r="BD7" i="27"/>
  <c r="BK11" i="27" s="1"/>
  <c r="AY12" i="27"/>
  <c r="AZ6" i="27"/>
  <c r="BJ5" i="27" s="1"/>
  <c r="BA17" i="27"/>
  <c r="BD48" i="27"/>
  <c r="BB9" i="27"/>
  <c r="BJ9" i="27" s="1"/>
  <c r="AZ5" i="27"/>
  <c r="BI5" i="27" s="1"/>
  <c r="AY13" i="27"/>
  <c r="BB47" i="27"/>
  <c r="BK48" i="27" s="1"/>
  <c r="BC52" i="27"/>
  <c r="BC58" i="27"/>
  <c r="V48" i="27"/>
  <c r="AC49" i="27" s="1"/>
  <c r="Q38" i="31"/>
  <c r="C17" i="27"/>
  <c r="M32" i="35"/>
  <c r="B57" i="30"/>
  <c r="E16" i="27"/>
  <c r="N165" i="31"/>
  <c r="B99" i="30"/>
  <c r="T165" i="27"/>
  <c r="AD162" i="27" s="1"/>
  <c r="F61" i="31"/>
  <c r="L61" i="31"/>
  <c r="AI14" i="27"/>
  <c r="G33" i="35"/>
  <c r="B12" i="35"/>
  <c r="E102" i="30"/>
  <c r="K34" i="35"/>
  <c r="F69" i="30"/>
  <c r="H72" i="30" s="1"/>
  <c r="D69" i="30"/>
  <c r="H69" i="30" s="1"/>
  <c r="C96" i="30"/>
  <c r="G66" i="30"/>
  <c r="J225" i="31"/>
  <c r="P227" i="31"/>
  <c r="F213" i="31"/>
  <c r="F243" i="31"/>
  <c r="F267" i="31"/>
  <c r="N317" i="31"/>
  <c r="F293" i="31"/>
  <c r="H371" i="31"/>
  <c r="S115" i="31"/>
  <c r="S114" i="31"/>
  <c r="D114" i="31"/>
  <c r="H114" i="31"/>
  <c r="C75" i="30"/>
  <c r="L203" i="31"/>
  <c r="P203" i="31" s="1"/>
  <c r="F93" i="31"/>
  <c r="F60" i="31"/>
  <c r="D60" i="31"/>
  <c r="F38" i="31"/>
  <c r="S54" i="27"/>
  <c r="D976" i="31"/>
  <c r="J889" i="31"/>
  <c r="J114" i="31"/>
  <c r="L444" i="31"/>
  <c r="L447" i="31" s="1"/>
  <c r="E15" i="30"/>
  <c r="C17" i="30"/>
  <c r="D8" i="30"/>
  <c r="H6" i="30" s="1"/>
  <c r="G2" i="30"/>
  <c r="P13" i="30"/>
  <c r="R45" i="30"/>
  <c r="Q51" i="30"/>
  <c r="S52" i="30" s="1"/>
  <c r="Q6" i="30"/>
  <c r="T8" i="30" s="1"/>
  <c r="E100" i="30"/>
  <c r="P211" i="31"/>
  <c r="N127" i="31"/>
  <c r="F126" i="31"/>
  <c r="F62" i="31"/>
  <c r="S61" i="31"/>
  <c r="Q39" i="31"/>
  <c r="L166" i="31"/>
  <c r="L167" i="31" s="1"/>
  <c r="B78" i="30"/>
  <c r="F71" i="30"/>
  <c r="J72" i="30" s="1"/>
  <c r="E80" i="30"/>
  <c r="D73" i="30"/>
  <c r="I70" i="30" s="1"/>
  <c r="D71" i="30"/>
  <c r="J69" i="30" s="1"/>
  <c r="X46" i="27"/>
  <c r="AD51" i="27" s="1"/>
  <c r="U54" i="27"/>
  <c r="J165" i="31"/>
  <c r="C164" i="31"/>
  <c r="N166" i="31"/>
  <c r="C76" i="30"/>
  <c r="E81" i="30"/>
  <c r="E75" i="30"/>
  <c r="D70" i="30"/>
  <c r="I69" i="30" s="1"/>
  <c r="C80" i="30"/>
  <c r="F70" i="30"/>
  <c r="I72" i="30" s="1"/>
  <c r="V164" i="27"/>
  <c r="AC165" i="27" s="1"/>
  <c r="L128" i="31"/>
  <c r="L129" i="31" s="1"/>
  <c r="F128" i="31"/>
  <c r="Q166" i="31"/>
  <c r="F166" i="31"/>
  <c r="F167" i="31" s="1"/>
  <c r="L182" i="31"/>
  <c r="L183" i="31" s="1"/>
  <c r="H180" i="31"/>
  <c r="F72" i="30"/>
  <c r="H73" i="30" s="1"/>
  <c r="C79" i="30"/>
  <c r="C77" i="30"/>
  <c r="E76" i="30"/>
  <c r="D72" i="30"/>
  <c r="H70" i="30" s="1"/>
  <c r="U52" i="27"/>
  <c r="U174" i="27"/>
  <c r="Q61" i="31"/>
  <c r="J60" i="31"/>
  <c r="S60" i="31"/>
  <c r="R39" i="31"/>
  <c r="D846" i="31"/>
  <c r="H902" i="31"/>
  <c r="H165" i="31"/>
  <c r="F127" i="31"/>
  <c r="N164" i="31"/>
  <c r="F1070" i="31"/>
  <c r="R884" i="31"/>
  <c r="J181" i="31"/>
  <c r="H164" i="31"/>
  <c r="D164" i="31"/>
  <c r="J126" i="31"/>
  <c r="O49" i="30"/>
  <c r="T48" i="30" s="1"/>
  <c r="P56" i="30"/>
  <c r="Q48" i="30"/>
  <c r="S51" i="30" s="1"/>
  <c r="O51" i="30"/>
  <c r="S49" i="30" s="1"/>
  <c r="N59" i="30"/>
  <c r="P59" i="30"/>
  <c r="N37" i="30"/>
  <c r="E12" i="30"/>
  <c r="F7" i="30"/>
  <c r="J8" i="30" s="1"/>
  <c r="F69" i="31"/>
  <c r="F14" i="31"/>
  <c r="D14" i="31"/>
  <c r="H173" i="31"/>
  <c r="H6" i="27"/>
  <c r="N11" i="27" s="1"/>
  <c r="J157" i="31"/>
  <c r="L158" i="31"/>
  <c r="X14" i="31"/>
  <c r="J884" i="31"/>
  <c r="AM16" i="27"/>
  <c r="E96" i="30"/>
  <c r="J37" i="31"/>
  <c r="P172" i="31"/>
  <c r="J233" i="31"/>
  <c r="J229" i="31"/>
  <c r="J221" i="31"/>
  <c r="J217" i="31"/>
  <c r="F233" i="31"/>
  <c r="F225" i="31"/>
  <c r="F217" i="31"/>
  <c r="J213" i="31"/>
  <c r="J209" i="31"/>
  <c r="J279" i="31"/>
  <c r="F279" i="31"/>
  <c r="L267" i="31"/>
  <c r="F263" i="31"/>
  <c r="H243" i="31"/>
  <c r="P269" i="31"/>
  <c r="J255" i="31"/>
  <c r="L321" i="31"/>
  <c r="L313" i="31"/>
  <c r="N293" i="31"/>
  <c r="J301" i="31"/>
  <c r="J297" i="31"/>
  <c r="F371" i="31"/>
  <c r="N359" i="31"/>
  <c r="H355" i="31"/>
  <c r="L385" i="31"/>
  <c r="P382" i="31"/>
  <c r="H385" i="31"/>
  <c r="P416" i="31"/>
  <c r="F417" i="31"/>
  <c r="J389" i="31"/>
  <c r="J413" i="31"/>
  <c r="P399" i="31"/>
  <c r="P408" i="31"/>
  <c r="N401" i="31"/>
  <c r="H439" i="31"/>
  <c r="H497" i="31"/>
  <c r="J69" i="31"/>
  <c r="S70" i="31"/>
  <c r="Q15" i="31"/>
  <c r="N15" i="31"/>
  <c r="D172" i="31"/>
  <c r="H174" i="31"/>
  <c r="V125" i="27"/>
  <c r="AC126" i="27" s="1"/>
  <c r="U135" i="27"/>
  <c r="G12" i="27"/>
  <c r="L287" i="31"/>
  <c r="L289" i="31" s="1"/>
  <c r="E13" i="27"/>
  <c r="AN7" i="27"/>
  <c r="AU11" i="27" s="1"/>
  <c r="AI18" i="27"/>
  <c r="AL7" i="27"/>
  <c r="AU8" i="27" s="1"/>
  <c r="F916" i="31"/>
  <c r="F32" i="31"/>
  <c r="F33" i="31" s="1"/>
  <c r="N348" i="31"/>
  <c r="P348" i="31" s="1"/>
  <c r="AW392" i="4"/>
  <c r="C33" i="35"/>
  <c r="E97" i="30"/>
  <c r="F68" i="31"/>
  <c r="H70" i="31"/>
  <c r="Q14" i="31"/>
  <c r="Q16" i="31"/>
  <c r="R173" i="31"/>
  <c r="S174" i="31"/>
  <c r="N478" i="31"/>
  <c r="AK18" i="27"/>
  <c r="AM17" i="27"/>
  <c r="H918" i="31"/>
  <c r="AI11" i="27"/>
  <c r="J118" i="31"/>
  <c r="N349" i="31"/>
  <c r="P349" i="31" s="1"/>
  <c r="H87" i="31"/>
  <c r="P124" i="31"/>
  <c r="F125" i="31"/>
  <c r="E55" i="30"/>
  <c r="F51" i="30"/>
  <c r="H52" i="30" s="1"/>
  <c r="Y172" i="27"/>
  <c r="V47" i="27"/>
  <c r="AE48" i="27" s="1"/>
  <c r="T45" i="27"/>
  <c r="AC45" i="27" s="1"/>
  <c r="V163" i="27"/>
  <c r="AE164" i="27" s="1"/>
  <c r="B14" i="30"/>
  <c r="C15" i="30"/>
  <c r="G45" i="30"/>
  <c r="L197" i="31"/>
  <c r="F209" i="31"/>
  <c r="F251" i="31"/>
  <c r="P274" i="31"/>
  <c r="P272" i="31"/>
  <c r="L255" i="31"/>
  <c r="N247" i="31"/>
  <c r="L325" i="31"/>
  <c r="F313" i="31"/>
  <c r="L393" i="31"/>
  <c r="W58" i="27"/>
  <c r="S174" i="27"/>
  <c r="S52" i="27"/>
  <c r="T49" i="27"/>
  <c r="AD46" i="27" s="1"/>
  <c r="J184" i="31"/>
  <c r="N750" i="31"/>
  <c r="N753" i="31" s="1"/>
  <c r="S39" i="31"/>
  <c r="S897" i="31"/>
  <c r="D5" i="30"/>
  <c r="H5" i="30" s="1"/>
  <c r="E11" i="30"/>
  <c r="F6" i="30"/>
  <c r="I8" i="30" s="1"/>
  <c r="E54" i="30"/>
  <c r="N201" i="31"/>
  <c r="P198" i="31"/>
  <c r="P212" i="31"/>
  <c r="L213" i="31"/>
  <c r="N263" i="31"/>
  <c r="P262" i="31"/>
  <c r="H263" i="31"/>
  <c r="N243" i="31"/>
  <c r="F271" i="31"/>
  <c r="J271" i="31"/>
  <c r="P258" i="31"/>
  <c r="N267" i="31"/>
  <c r="P266" i="31"/>
  <c r="P254" i="31"/>
  <c r="P304" i="31"/>
  <c r="H325" i="31"/>
  <c r="N313" i="31"/>
  <c r="P292" i="31"/>
  <c r="J293" i="31"/>
  <c r="N289" i="31"/>
  <c r="F289" i="31"/>
  <c r="P286" i="31"/>
  <c r="P298" i="31"/>
  <c r="J367" i="31"/>
  <c r="P362" i="31"/>
  <c r="P356" i="31"/>
  <c r="P350" i="31"/>
  <c r="P354" i="31"/>
  <c r="P395" i="31"/>
  <c r="J385" i="31"/>
  <c r="L381" i="31"/>
  <c r="J393" i="31"/>
  <c r="P407" i="31"/>
  <c r="N409" i="31"/>
  <c r="P398" i="31"/>
  <c r="P400" i="31"/>
  <c r="H401" i="31"/>
  <c r="J463" i="31"/>
  <c r="N439" i="31"/>
  <c r="F435" i="31"/>
  <c r="P436" i="31"/>
  <c r="P438" i="31"/>
  <c r="P449" i="31"/>
  <c r="P507" i="31"/>
  <c r="S53" i="27"/>
  <c r="S168" i="27"/>
  <c r="F876" i="31"/>
  <c r="J692" i="31"/>
  <c r="N119" i="31"/>
  <c r="P54" i="30"/>
  <c r="P58" i="30"/>
  <c r="Q49" i="30"/>
  <c r="T51" i="30" s="1"/>
  <c r="AB6" i="30"/>
  <c r="AE8" i="30" s="1"/>
  <c r="Y16" i="30"/>
  <c r="Z6" i="30"/>
  <c r="AE5" i="30" s="1"/>
  <c r="Y17" i="30"/>
  <c r="O31" i="30"/>
  <c r="T28" i="30" s="1"/>
  <c r="P898" i="31"/>
  <c r="N899" i="31"/>
  <c r="P219" i="31"/>
  <c r="J417" i="31"/>
  <c r="P430" i="31"/>
  <c r="AJ11" i="35"/>
  <c r="AF12" i="35"/>
  <c r="E32" i="35"/>
  <c r="B32" i="35"/>
  <c r="B34" i="35"/>
  <c r="B36" i="30"/>
  <c r="C38" i="30"/>
  <c r="E56" i="30"/>
  <c r="M48" i="27"/>
  <c r="D51" i="30"/>
  <c r="H49" i="30" s="1"/>
  <c r="C54" i="30"/>
  <c r="E59" i="30"/>
  <c r="F28" i="30"/>
  <c r="I30" i="30" s="1"/>
  <c r="D48" i="30"/>
  <c r="H48" i="30" s="1"/>
  <c r="C58" i="30"/>
  <c r="C59" i="30"/>
  <c r="C89" i="27"/>
  <c r="E58" i="27"/>
  <c r="D45" i="27"/>
  <c r="AM54" i="27"/>
  <c r="BC54" i="27"/>
  <c r="F782" i="31"/>
  <c r="Q901" i="31"/>
  <c r="E90" i="27"/>
  <c r="R1030" i="31"/>
  <c r="J102" i="31"/>
  <c r="D9" i="30"/>
  <c r="I6" i="30" s="1"/>
  <c r="C16" i="30"/>
  <c r="I33" i="35"/>
  <c r="M33" i="35"/>
  <c r="F27" i="30"/>
  <c r="H30" i="30" s="1"/>
  <c r="C37" i="30"/>
  <c r="E38" i="30"/>
  <c r="F50" i="30"/>
  <c r="J51" i="30" s="1"/>
  <c r="E60" i="30"/>
  <c r="AC46" i="27"/>
  <c r="D52" i="30"/>
  <c r="I49" i="30" s="1"/>
  <c r="C55" i="30"/>
  <c r="D49" i="30"/>
  <c r="I48" i="30" s="1"/>
  <c r="E58" i="30"/>
  <c r="BC53" i="27"/>
  <c r="I56" i="27"/>
  <c r="F48" i="27"/>
  <c r="M49" i="27" s="1"/>
  <c r="C58" i="27"/>
  <c r="F752" i="31"/>
  <c r="F753" i="31" s="1"/>
  <c r="G56" i="27"/>
  <c r="F900" i="31"/>
  <c r="C52" i="27"/>
  <c r="F46" i="27"/>
  <c r="N48" i="27" s="1"/>
  <c r="S917" i="31"/>
  <c r="D87" i="27"/>
  <c r="N84" i="27" s="1"/>
  <c r="D72" i="31"/>
  <c r="D27" i="30"/>
  <c r="H27" i="30" s="1"/>
  <c r="C60" i="30"/>
  <c r="F49" i="30"/>
  <c r="I51" i="30" s="1"/>
  <c r="F48" i="30"/>
  <c r="H51" i="30" s="1"/>
  <c r="D50" i="30"/>
  <c r="J48" i="30" s="1"/>
  <c r="C56" i="30"/>
  <c r="N321" i="31"/>
  <c r="N371" i="31"/>
  <c r="N389" i="31"/>
  <c r="C54" i="27"/>
  <c r="F47" i="27"/>
  <c r="O48" i="27" s="1"/>
  <c r="Q690" i="31"/>
  <c r="D916" i="31"/>
  <c r="F384" i="31"/>
  <c r="P384" i="31" s="1"/>
  <c r="H978" i="31"/>
  <c r="Q872" i="31"/>
  <c r="J152" i="31"/>
  <c r="J155" i="31" s="1"/>
  <c r="S752" i="31"/>
  <c r="V8" i="27"/>
  <c r="AC9" i="27" s="1"/>
  <c r="R994" i="31"/>
  <c r="D750" i="31"/>
  <c r="W16" i="27"/>
  <c r="AC2" i="30"/>
  <c r="Z7" i="30"/>
  <c r="AF5" i="30" s="1"/>
  <c r="AB9" i="30"/>
  <c r="AE9" i="30" s="1"/>
  <c r="Q30" i="30"/>
  <c r="S31" i="30" s="1"/>
  <c r="N33" i="30"/>
  <c r="AA15" i="30"/>
  <c r="AA16" i="30"/>
  <c r="P34" i="30"/>
  <c r="Q27" i="30"/>
  <c r="S30" i="30" s="1"/>
  <c r="O30" i="30"/>
  <c r="S28" i="30" s="1"/>
  <c r="Q31" i="30"/>
  <c r="T31" i="30" s="1"/>
  <c r="O5" i="27"/>
  <c r="N39" i="30"/>
  <c r="O27" i="30"/>
  <c r="S27" i="30" s="1"/>
  <c r="AB7" i="30"/>
  <c r="AF8" i="30" s="1"/>
  <c r="AB5" i="30"/>
  <c r="AD8" i="30" s="1"/>
  <c r="AA17" i="30"/>
  <c r="Q28" i="30"/>
  <c r="T30" i="30" s="1"/>
  <c r="M36" i="30"/>
  <c r="P33" i="30"/>
  <c r="N55" i="30"/>
  <c r="M57" i="30"/>
  <c r="Q50" i="30"/>
  <c r="U51" i="30" s="1"/>
  <c r="N58" i="30"/>
  <c r="O50" i="30"/>
  <c r="U48" i="30" s="1"/>
  <c r="Q52" i="30"/>
  <c r="T52" i="30" s="1"/>
  <c r="Y12" i="30"/>
  <c r="Y11" i="30"/>
  <c r="N35" i="30"/>
  <c r="P35" i="30"/>
  <c r="N54" i="30"/>
  <c r="P55" i="30"/>
  <c r="N56" i="30"/>
  <c r="O52" i="30"/>
  <c r="T49" i="30" s="1"/>
  <c r="O48" i="30"/>
  <c r="S48" i="30" s="1"/>
  <c r="N60" i="30"/>
  <c r="Y15" i="30"/>
  <c r="X14" i="30"/>
  <c r="AA11" i="30"/>
  <c r="Z5" i="30"/>
  <c r="AD5" i="30" s="1"/>
  <c r="N38" i="30"/>
  <c r="P39" i="30"/>
  <c r="P37" i="30"/>
  <c r="Q29" i="30"/>
  <c r="U30" i="30" s="1"/>
  <c r="O28" i="30"/>
  <c r="T27" i="30" s="1"/>
  <c r="N34" i="30"/>
  <c r="R24" i="30"/>
  <c r="O29" i="30"/>
  <c r="U27" i="30" s="1"/>
  <c r="J11" i="35"/>
  <c r="G11" i="35"/>
  <c r="K11" i="35"/>
  <c r="B10" i="35"/>
  <c r="E10" i="35"/>
  <c r="F11" i="35"/>
  <c r="K12" i="35"/>
  <c r="M9" i="35"/>
  <c r="M10" i="35"/>
  <c r="H11" i="35"/>
  <c r="L11" i="35"/>
  <c r="M11" i="35"/>
  <c r="D11" i="35"/>
  <c r="C9" i="35"/>
  <c r="D9" i="35" s="1"/>
  <c r="E9" i="35" s="1"/>
  <c r="F9" i="35" s="1"/>
  <c r="G9" i="35" s="1"/>
  <c r="H9" i="35" s="1"/>
  <c r="I9" i="35" s="1"/>
  <c r="H205" i="31"/>
  <c r="P245" i="31"/>
  <c r="J371" i="31"/>
  <c r="N367" i="31"/>
  <c r="P366" i="31"/>
  <c r="H343" i="31"/>
  <c r="P346" i="31"/>
  <c r="N347" i="31"/>
  <c r="H363" i="31"/>
  <c r="H417" i="31"/>
  <c r="P392" i="31"/>
  <c r="P378" i="31"/>
  <c r="J381" i="31"/>
  <c r="P380" i="31"/>
  <c r="N381" i="31"/>
  <c r="F409" i="31"/>
  <c r="P406" i="31"/>
  <c r="J409" i="31"/>
  <c r="H447" i="31"/>
  <c r="L455" i="31"/>
  <c r="P453" i="31"/>
  <c r="L451" i="31"/>
  <c r="P448" i="31"/>
  <c r="N417" i="31"/>
  <c r="H201" i="31"/>
  <c r="P265" i="31"/>
  <c r="H289" i="31"/>
  <c r="N301" i="31"/>
  <c r="P369" i="31"/>
  <c r="J339" i="31"/>
  <c r="P415" i="31"/>
  <c r="F247" i="31"/>
  <c r="P383" i="31"/>
  <c r="H351" i="31"/>
  <c r="AP11" i="35"/>
  <c r="AL11" i="35"/>
  <c r="AN11" i="35"/>
  <c r="P295" i="31"/>
  <c r="P290" i="31"/>
  <c r="P360" i="31"/>
  <c r="J359" i="31"/>
  <c r="F401" i="31"/>
  <c r="H409" i="31"/>
  <c r="N45" i="27"/>
  <c r="AD49" i="27"/>
  <c r="AE45" i="27"/>
  <c r="P437" i="31"/>
  <c r="P12" i="30"/>
  <c r="C81" i="30"/>
  <c r="J33" i="31"/>
  <c r="P226" i="31"/>
  <c r="N233" i="31"/>
  <c r="P261" i="31"/>
  <c r="L247" i="31"/>
  <c r="N255" i="31"/>
  <c r="N325" i="31"/>
  <c r="P288" i="31"/>
  <c r="N297" i="31"/>
  <c r="AJ9" i="27"/>
  <c r="F8" i="27"/>
  <c r="M9" i="27" s="1"/>
  <c r="G13" i="27"/>
  <c r="Q27" i="31"/>
  <c r="H8" i="27"/>
  <c r="M12" i="27" s="1"/>
  <c r="V124" i="27"/>
  <c r="H103" i="31"/>
  <c r="D184" i="31"/>
  <c r="E12" i="27"/>
  <c r="F26" i="31"/>
  <c r="T126" i="27"/>
  <c r="E14" i="27"/>
  <c r="L470" i="31"/>
  <c r="H184" i="31"/>
  <c r="R779" i="31"/>
  <c r="S452" i="31"/>
  <c r="AN9" i="27"/>
  <c r="AT12" i="27" s="1"/>
  <c r="AJ6" i="27"/>
  <c r="AK16" i="27"/>
  <c r="AI16" i="27"/>
  <c r="AK14" i="27"/>
  <c r="AI12" i="27"/>
  <c r="AN6" i="27"/>
  <c r="AT11" i="27" s="1"/>
  <c r="AN8" i="27"/>
  <c r="AS12" i="27" s="1"/>
  <c r="H912" i="31"/>
  <c r="S169" i="31"/>
  <c r="W13" i="27"/>
  <c r="AK17" i="27"/>
  <c r="E17" i="27"/>
  <c r="C14" i="27"/>
  <c r="H5" i="27"/>
  <c r="H185" i="31"/>
  <c r="Y133" i="27"/>
  <c r="AM13" i="27"/>
  <c r="F6" i="27"/>
  <c r="R472" i="31"/>
  <c r="S131" i="27"/>
  <c r="G16" i="27"/>
  <c r="L479" i="31"/>
  <c r="F154" i="31"/>
  <c r="F155" i="31" s="1"/>
  <c r="J104" i="31"/>
  <c r="T122" i="27"/>
  <c r="AC122" i="27" s="1"/>
  <c r="N780" i="31"/>
  <c r="S747" i="31"/>
  <c r="G18" i="27"/>
  <c r="L478" i="31"/>
  <c r="F687" i="31"/>
  <c r="P687" i="31" s="1"/>
  <c r="AL5" i="27"/>
  <c r="AJ5" i="27"/>
  <c r="Q779" i="31"/>
  <c r="AL9" i="27"/>
  <c r="AT9" i="27" s="1"/>
  <c r="AK12" i="27"/>
  <c r="Q1060" i="31"/>
  <c r="AJ7" i="27"/>
  <c r="C746" i="31"/>
  <c r="F9" i="27"/>
  <c r="N9" i="27" s="1"/>
  <c r="N152" i="31"/>
  <c r="R746" i="31"/>
  <c r="F221" i="31"/>
  <c r="L209" i="31"/>
  <c r="P276" i="31"/>
  <c r="N251" i="31"/>
  <c r="J251" i="31"/>
  <c r="P240" i="31"/>
  <c r="P242" i="31"/>
  <c r="N271" i="31"/>
  <c r="H271" i="31"/>
  <c r="L263" i="31"/>
  <c r="H259" i="31"/>
  <c r="P246" i="31"/>
  <c r="H267" i="31"/>
  <c r="H309" i="31"/>
  <c r="J321" i="31"/>
  <c r="P318" i="31"/>
  <c r="J313" i="31"/>
  <c r="J305" i="31"/>
  <c r="P302" i="31"/>
  <c r="P345" i="31"/>
  <c r="L347" i="31"/>
  <c r="H359" i="31"/>
  <c r="N355" i="31"/>
  <c r="J397" i="31"/>
  <c r="N385" i="31"/>
  <c r="BC13" i="27"/>
  <c r="AM14" i="27"/>
  <c r="G14" i="27"/>
  <c r="BC14" i="27"/>
  <c r="F7" i="27"/>
  <c r="O8" i="27" s="1"/>
  <c r="N103" i="31"/>
  <c r="S129" i="27"/>
  <c r="W14" i="27"/>
  <c r="N186" i="31"/>
  <c r="H7" i="27"/>
  <c r="O11" i="27" s="1"/>
  <c r="G17" i="27"/>
  <c r="N471" i="31"/>
  <c r="D102" i="31"/>
  <c r="F778" i="31"/>
  <c r="C16" i="27"/>
  <c r="H763" i="31"/>
  <c r="F671" i="31"/>
  <c r="P671" i="31" s="1"/>
  <c r="AL8" i="27"/>
  <c r="AS9" i="27" s="1"/>
  <c r="Q154" i="31"/>
  <c r="E18" i="27"/>
  <c r="H9" i="27"/>
  <c r="N12" i="27" s="1"/>
  <c r="H1058" i="31"/>
  <c r="AJ8" i="27"/>
  <c r="AN5" i="27"/>
  <c r="AO16" i="27"/>
  <c r="AL6" i="27"/>
  <c r="AT8" i="27" s="1"/>
  <c r="N424" i="31"/>
  <c r="E17" i="30"/>
  <c r="E16" i="30"/>
  <c r="F8" i="30"/>
  <c r="H9" i="30" s="1"/>
  <c r="F9" i="30"/>
  <c r="I9" i="30" s="1"/>
  <c r="C12" i="30"/>
  <c r="D7" i="30"/>
  <c r="J5" i="30" s="1"/>
  <c r="AA13" i="30"/>
  <c r="AB8" i="30"/>
  <c r="Z8" i="30"/>
  <c r="AD6" i="30" s="1"/>
  <c r="Z9" i="30"/>
  <c r="AE6" i="30" s="1"/>
  <c r="Y13" i="30"/>
  <c r="D6" i="30"/>
  <c r="I5" i="30" s="1"/>
  <c r="C11" i="30"/>
  <c r="C13" i="30"/>
  <c r="F5" i="30"/>
  <c r="H8" i="30" s="1"/>
  <c r="E13" i="30"/>
  <c r="AI10" i="35"/>
  <c r="AQ11" i="35"/>
  <c r="C31" i="35"/>
  <c r="D31" i="35" s="1"/>
  <c r="E31" i="35" s="1"/>
  <c r="F31" i="35" s="1"/>
  <c r="G31" i="35" s="1"/>
  <c r="H31" i="35" s="1"/>
  <c r="I31" i="35" s="1"/>
  <c r="J33" i="35"/>
  <c r="C11" i="35"/>
  <c r="E11" i="35"/>
  <c r="I11" i="35"/>
  <c r="Z12" i="35"/>
  <c r="BA14" i="27"/>
  <c r="BD9" i="27"/>
  <c r="BJ12" i="27" s="1"/>
  <c r="T7" i="27"/>
  <c r="S11" i="27"/>
  <c r="D26" i="31"/>
  <c r="S27" i="31"/>
  <c r="R27" i="31"/>
  <c r="Q28" i="31"/>
  <c r="L103" i="31"/>
  <c r="S102" i="31"/>
  <c r="R102" i="31"/>
  <c r="F104" i="31"/>
  <c r="F103" i="31"/>
  <c r="S103" i="31"/>
  <c r="L104" i="31"/>
  <c r="H102" i="31"/>
  <c r="R104" i="31"/>
  <c r="C102" i="31"/>
  <c r="F102" i="31"/>
  <c r="Q104" i="31"/>
  <c r="S154" i="31"/>
  <c r="S152" i="31"/>
  <c r="N153" i="31"/>
  <c r="C152" i="31"/>
  <c r="P253" i="31"/>
  <c r="P315" i="31"/>
  <c r="P312" i="31"/>
  <c r="AY18" i="27"/>
  <c r="AY11" i="27"/>
  <c r="BD8" i="27"/>
  <c r="BI12" i="27" s="1"/>
  <c r="BA16" i="27"/>
  <c r="BB6" i="27"/>
  <c r="AY14" i="27"/>
  <c r="BA12" i="27"/>
  <c r="AZ7" i="27"/>
  <c r="AZ8" i="27"/>
  <c r="BC18" i="27"/>
  <c r="BD6" i="27"/>
  <c r="BJ11" i="27" s="1"/>
  <c r="BD5" i="27"/>
  <c r="BB5" i="27"/>
  <c r="AZ9" i="27"/>
  <c r="AI57" i="27"/>
  <c r="AI53" i="27"/>
  <c r="S47" i="31"/>
  <c r="Q48" i="31"/>
  <c r="F46" i="31"/>
  <c r="F49" i="31" s="1"/>
  <c r="R48" i="31"/>
  <c r="BB7" i="27"/>
  <c r="BK8" i="27" s="1"/>
  <c r="Q36" i="31"/>
  <c r="R36" i="31"/>
  <c r="F35" i="31"/>
  <c r="H35" i="31"/>
  <c r="H37" i="31" s="1"/>
  <c r="S35" i="31"/>
  <c r="F34" i="31"/>
  <c r="P34" i="31" s="1"/>
  <c r="N36" i="31"/>
  <c r="L221" i="31"/>
  <c r="P194" i="31"/>
  <c r="P241" i="31"/>
  <c r="P270" i="31"/>
  <c r="P268" i="31"/>
  <c r="P256" i="31"/>
  <c r="P244" i="31"/>
  <c r="P264" i="31"/>
  <c r="P252" i="31"/>
  <c r="P324" i="31"/>
  <c r="F325" i="31"/>
  <c r="P319" i="31"/>
  <c r="P311" i="31"/>
  <c r="J309" i="31"/>
  <c r="F309" i="31"/>
  <c r="L309" i="31"/>
  <c r="H313" i="31"/>
  <c r="P370" i="31"/>
  <c r="J343" i="31"/>
  <c r="P344" i="31"/>
  <c r="J347" i="31"/>
  <c r="F363" i="31"/>
  <c r="F359" i="31"/>
  <c r="P358" i="31"/>
  <c r="AM52" i="27"/>
  <c r="W12" i="27"/>
  <c r="V5" i="27"/>
  <c r="T9" i="27"/>
  <c r="AD6" i="27" s="1"/>
  <c r="S18" i="27"/>
  <c r="T5" i="27"/>
  <c r="U16" i="27"/>
  <c r="S12" i="27"/>
  <c r="V6" i="27"/>
  <c r="AD8" i="27" s="1"/>
  <c r="S14" i="27"/>
  <c r="U12" i="27"/>
  <c r="Y16" i="27"/>
  <c r="T8" i="27"/>
  <c r="U18" i="27"/>
  <c r="T6" i="27"/>
  <c r="U13" i="27"/>
  <c r="V7" i="27"/>
  <c r="AE8" i="27" s="1"/>
  <c r="S17" i="27"/>
  <c r="W18" i="27"/>
  <c r="X7" i="27"/>
  <c r="AE11" i="27" s="1"/>
  <c r="W17" i="27"/>
  <c r="U14" i="27"/>
  <c r="X6" i="27"/>
  <c r="AD11" i="27" s="1"/>
  <c r="S13" i="27"/>
  <c r="X8" i="27"/>
  <c r="AC12" i="27" s="1"/>
  <c r="X5" i="27"/>
  <c r="X9" i="27"/>
  <c r="T83" i="27"/>
  <c r="AC83" i="27" s="1"/>
  <c r="W96" i="27"/>
  <c r="N184" i="31"/>
  <c r="N185" i="31"/>
  <c r="J751" i="31"/>
  <c r="P751" i="31" s="1"/>
  <c r="H186" i="31"/>
  <c r="Q162" i="31"/>
  <c r="L914" i="31"/>
  <c r="L915" i="31" s="1"/>
  <c r="L752" i="31"/>
  <c r="L753" i="31" s="1"/>
  <c r="J161" i="31"/>
  <c r="P161" i="31" s="1"/>
  <c r="Q783" i="31"/>
  <c r="J760" i="31"/>
  <c r="F759" i="31"/>
  <c r="L760" i="31"/>
  <c r="L761" i="31" s="1"/>
  <c r="H1054" i="31"/>
  <c r="J750" i="31"/>
  <c r="N855" i="31"/>
  <c r="N857" i="31" s="1"/>
  <c r="F178" i="31"/>
  <c r="P178" i="31" s="1"/>
  <c r="J759" i="31"/>
  <c r="N160" i="31"/>
  <c r="N163" i="31" s="1"/>
  <c r="F1023" i="31"/>
  <c r="H162" i="31"/>
  <c r="P162" i="31" s="1"/>
  <c r="L170" i="31"/>
  <c r="L171" i="31" s="1"/>
  <c r="N177" i="31"/>
  <c r="P177" i="31" s="1"/>
  <c r="S186" i="31"/>
  <c r="F656" i="31"/>
  <c r="H752" i="31"/>
  <c r="H760" i="31"/>
  <c r="Q1024" i="31"/>
  <c r="L186" i="31"/>
  <c r="L187" i="31" s="1"/>
  <c r="R783" i="31"/>
  <c r="C782" i="31"/>
  <c r="F668" i="31"/>
  <c r="F888" i="31"/>
  <c r="F912" i="31"/>
  <c r="L855" i="31"/>
  <c r="Q396" i="31"/>
  <c r="H758" i="31"/>
  <c r="F758" i="31"/>
  <c r="F1076" i="31"/>
  <c r="Q760" i="31"/>
  <c r="H914" i="31"/>
  <c r="N176" i="31"/>
  <c r="P176" i="31" s="1"/>
  <c r="R38" i="31"/>
  <c r="D782" i="31"/>
  <c r="J752" i="31"/>
  <c r="N783" i="31"/>
  <c r="H160" i="31"/>
  <c r="P160" i="31" s="1"/>
  <c r="BA363" i="4"/>
  <c r="BB363" i="4" s="1"/>
  <c r="BA142" i="4"/>
  <c r="BB142" i="4" s="1"/>
  <c r="BA38" i="4"/>
  <c r="BB38" i="4" s="1"/>
  <c r="BA212" i="4"/>
  <c r="BB212" i="4" s="1"/>
  <c r="BA286" i="4"/>
  <c r="BB286" i="4" s="1"/>
  <c r="BA358" i="4"/>
  <c r="BB358" i="4" s="1"/>
  <c r="BA213" i="4"/>
  <c r="BB213" i="4" s="1"/>
  <c r="BA235" i="4"/>
  <c r="BB235" i="4" s="1"/>
  <c r="BA353" i="4"/>
  <c r="BB353" i="4" s="1"/>
  <c r="BA204" i="4"/>
  <c r="BB204" i="4" s="1"/>
  <c r="BA296" i="4"/>
  <c r="BB296" i="4" s="1"/>
  <c r="BA289" i="4"/>
  <c r="BB289" i="4" s="1"/>
  <c r="BA375" i="4"/>
  <c r="BB375" i="4" s="1"/>
  <c r="BA27" i="4"/>
  <c r="BB27" i="4" s="1"/>
  <c r="BA352" i="4"/>
  <c r="BB352" i="4" s="1"/>
  <c r="BA377" i="4"/>
  <c r="BB377" i="4" s="1"/>
  <c r="BA40" i="4"/>
  <c r="BB40" i="4" s="1"/>
  <c r="BA80" i="4"/>
  <c r="BB80" i="4" s="1"/>
  <c r="BA283" i="4"/>
  <c r="BB283" i="4" s="1"/>
  <c r="BA190" i="4"/>
  <c r="BB190" i="4" s="1"/>
  <c r="BA129" i="4"/>
  <c r="BB129" i="4" s="1"/>
  <c r="BA395" i="4"/>
  <c r="BA369" i="4"/>
  <c r="BB369" i="4" s="1"/>
  <c r="BA307" i="4"/>
  <c r="BB307" i="4" s="1"/>
  <c r="BA179" i="4"/>
  <c r="BB179" i="4" s="1"/>
  <c r="BA102" i="4"/>
  <c r="BB102" i="4" s="1"/>
  <c r="BA268" i="4"/>
  <c r="BB268" i="4" s="1"/>
  <c r="BA222" i="4"/>
  <c r="BB222" i="4" s="1"/>
  <c r="BA364" i="4"/>
  <c r="BB364" i="4" s="1"/>
  <c r="BA194" i="4"/>
  <c r="BB194" i="4" s="1"/>
  <c r="BA23" i="4"/>
  <c r="BB23" i="4" s="1"/>
  <c r="BA139" i="4"/>
  <c r="BB139" i="4" s="1"/>
  <c r="BA394" i="4"/>
  <c r="BA173" i="4"/>
  <c r="BB173" i="4" s="1"/>
  <c r="BA360" i="4"/>
  <c r="BB360" i="4" s="1"/>
  <c r="BA302" i="4"/>
  <c r="BB302" i="4" s="1"/>
  <c r="BA241" i="4"/>
  <c r="BB241" i="4" s="1"/>
  <c r="BA164" i="4"/>
  <c r="BB164" i="4" s="1"/>
  <c r="BA342" i="4"/>
  <c r="BB342" i="4" s="1"/>
  <c r="BA336" i="4"/>
  <c r="BB336" i="4" s="1"/>
  <c r="BA211" i="4"/>
  <c r="BB211" i="4" s="1"/>
  <c r="BA230" i="4"/>
  <c r="BB230" i="4" s="1"/>
  <c r="BA57" i="4"/>
  <c r="BB57" i="4" s="1"/>
  <c r="BA251" i="4"/>
  <c r="BB251" i="4" s="1"/>
  <c r="BA370" i="4"/>
  <c r="BB370" i="4" s="1"/>
  <c r="BA322" i="4"/>
  <c r="BB322" i="4" s="1"/>
  <c r="BA338" i="4"/>
  <c r="BB338" i="4" s="1"/>
  <c r="BA343" i="4"/>
  <c r="BB343" i="4" s="1"/>
  <c r="BA379" i="4"/>
  <c r="BB379" i="4" s="1"/>
  <c r="BA244" i="4"/>
  <c r="BB244" i="4" s="1"/>
  <c r="BA65" i="4"/>
  <c r="BB65" i="4" s="1"/>
  <c r="BA257" i="4"/>
  <c r="BB257" i="4" s="1"/>
  <c r="BA110" i="4"/>
  <c r="BB110" i="4" s="1"/>
  <c r="N33" i="31"/>
  <c r="J21" i="31"/>
  <c r="P19" i="31"/>
  <c r="P84" i="31"/>
  <c r="L87" i="31"/>
  <c r="L71" i="31"/>
  <c r="L117" i="31"/>
  <c r="L109" i="31"/>
  <c r="P106" i="31"/>
  <c r="BA335" i="4"/>
  <c r="BB335" i="4" s="1"/>
  <c r="BA207" i="4"/>
  <c r="BB207" i="4" s="1"/>
  <c r="BA79" i="4"/>
  <c r="BB79" i="4" s="1"/>
  <c r="BA290" i="4"/>
  <c r="BB290" i="4" s="1"/>
  <c r="BA162" i="4"/>
  <c r="BB162" i="4" s="1"/>
  <c r="BA34" i="4"/>
  <c r="BB34" i="4" s="1"/>
  <c r="BA245" i="4"/>
  <c r="BB245" i="4" s="1"/>
  <c r="BA117" i="4"/>
  <c r="BB117" i="4" s="1"/>
  <c r="BA328" i="4"/>
  <c r="BB328" i="4" s="1"/>
  <c r="BA200" i="4"/>
  <c r="BB200" i="4" s="1"/>
  <c r="BA72" i="4"/>
  <c r="BB72" i="4" s="1"/>
  <c r="BA345" i="4"/>
  <c r="BB345" i="4" s="1"/>
  <c r="BA43" i="4"/>
  <c r="BB43" i="4" s="1"/>
  <c r="BA30" i="4"/>
  <c r="BB30" i="4" s="1"/>
  <c r="BA68" i="4"/>
  <c r="BB68" i="4" s="1"/>
  <c r="BA362" i="4"/>
  <c r="BB362" i="4" s="1"/>
  <c r="BA356" i="4"/>
  <c r="BB356" i="4" s="1"/>
  <c r="BA231" i="4"/>
  <c r="BB231" i="4" s="1"/>
  <c r="BA103" i="4"/>
  <c r="BB103" i="4" s="1"/>
  <c r="BA314" i="4"/>
  <c r="BB314" i="4" s="1"/>
  <c r="BA186" i="4"/>
  <c r="BB186" i="4" s="1"/>
  <c r="BA58" i="4"/>
  <c r="BB58" i="4" s="1"/>
  <c r="BA269" i="4"/>
  <c r="BB269" i="4" s="1"/>
  <c r="BA141" i="4"/>
  <c r="BB141" i="4" s="1"/>
  <c r="BA16" i="4"/>
  <c r="BB16" i="4" s="1"/>
  <c r="BA208" i="4"/>
  <c r="BB208" i="4" s="1"/>
  <c r="BA32" i="4"/>
  <c r="BB32" i="4" s="1"/>
  <c r="BA35" i="4"/>
  <c r="BB35" i="4" s="1"/>
  <c r="BA246" i="4"/>
  <c r="BB246" i="4" s="1"/>
  <c r="BA118" i="4"/>
  <c r="BB118" i="4" s="1"/>
  <c r="BA329" i="4"/>
  <c r="BB329" i="4" s="1"/>
  <c r="BA201" i="4"/>
  <c r="BB201" i="4" s="1"/>
  <c r="BA73" i="4"/>
  <c r="BB73" i="4" s="1"/>
  <c r="BA284" i="4"/>
  <c r="BB284" i="4" s="1"/>
  <c r="BA156" i="4"/>
  <c r="BB156" i="4" s="1"/>
  <c r="BA28" i="4"/>
  <c r="BB28" i="4" s="1"/>
  <c r="BA299" i="4"/>
  <c r="BB299" i="4" s="1"/>
  <c r="BA270" i="4"/>
  <c r="BB270" i="4" s="1"/>
  <c r="BA209" i="4"/>
  <c r="BB209" i="4" s="1"/>
  <c r="BA196" i="4"/>
  <c r="BB196" i="4" s="1"/>
  <c r="BA386" i="4"/>
  <c r="BA380" i="4"/>
  <c r="BB380" i="4" s="1"/>
  <c r="BA255" i="4"/>
  <c r="BB255" i="4" s="1"/>
  <c r="BA127" i="4"/>
  <c r="BB127" i="4" s="1"/>
  <c r="BA210" i="4"/>
  <c r="BB210" i="4" s="1"/>
  <c r="BA82" i="4"/>
  <c r="BB82" i="4" s="1"/>
  <c r="BA293" i="4"/>
  <c r="BB293" i="4" s="1"/>
  <c r="BA165" i="4"/>
  <c r="BB165" i="4" s="1"/>
  <c r="BA37" i="4"/>
  <c r="BB37" i="4" s="1"/>
  <c r="BA248" i="4"/>
  <c r="BB248" i="4" s="1"/>
  <c r="BA120" i="4"/>
  <c r="BB120" i="4" s="1"/>
  <c r="BA371" i="4"/>
  <c r="BB371" i="4" s="1"/>
  <c r="BA187" i="4"/>
  <c r="BB187" i="4" s="1"/>
  <c r="BA158" i="4"/>
  <c r="BB158" i="4" s="1"/>
  <c r="BA145" i="4"/>
  <c r="BB145" i="4" s="1"/>
  <c r="BA116" i="4"/>
  <c r="BB116" i="4" s="1"/>
  <c r="BA351" i="4"/>
  <c r="BB351" i="4" s="1"/>
  <c r="BA341" i="4"/>
  <c r="BB341" i="4" s="1"/>
  <c r="BA279" i="4"/>
  <c r="BB279" i="4" s="1"/>
  <c r="BA151" i="4"/>
  <c r="BB151" i="4" s="1"/>
  <c r="BA25" i="4"/>
  <c r="BB25" i="4" s="1"/>
  <c r="BA234" i="4"/>
  <c r="BB234" i="4" s="1"/>
  <c r="BA106" i="4"/>
  <c r="BB106" i="4" s="1"/>
  <c r="BA317" i="4"/>
  <c r="BB317" i="4" s="1"/>
  <c r="BA189" i="4"/>
  <c r="BB189" i="4" s="1"/>
  <c r="BA61" i="4"/>
  <c r="BB61" i="4" s="1"/>
  <c r="BA272" i="4"/>
  <c r="BB272" i="4" s="1"/>
  <c r="BA96" i="4"/>
  <c r="BB96" i="4" s="1"/>
  <c r="BA131" i="4"/>
  <c r="BB131" i="4" s="1"/>
  <c r="BA214" i="4"/>
  <c r="BB214" i="4" s="1"/>
  <c r="BA86" i="4"/>
  <c r="BB86" i="4" s="1"/>
  <c r="BA297" i="4"/>
  <c r="BB297" i="4" s="1"/>
  <c r="BA169" i="4"/>
  <c r="BB169" i="4" s="1"/>
  <c r="BA41" i="4"/>
  <c r="BB41" i="4" s="1"/>
  <c r="BA252" i="4"/>
  <c r="BB252" i="4" s="1"/>
  <c r="BA124" i="4"/>
  <c r="BB124" i="4" s="1"/>
  <c r="BA387" i="4"/>
  <c r="BA203" i="4"/>
  <c r="BB203" i="4" s="1"/>
  <c r="BA174" i="4"/>
  <c r="BB174" i="4" s="1"/>
  <c r="BA113" i="4"/>
  <c r="BB113" i="4" s="1"/>
  <c r="BA36" i="4"/>
  <c r="BB36" i="4" s="1"/>
  <c r="BA354" i="4"/>
  <c r="BB354" i="4" s="1"/>
  <c r="BA348" i="4"/>
  <c r="BB348" i="4" s="1"/>
  <c r="BA223" i="4"/>
  <c r="BB223" i="4" s="1"/>
  <c r="BA95" i="4"/>
  <c r="BB95" i="4" s="1"/>
  <c r="BA306" i="4"/>
  <c r="BB306" i="4" s="1"/>
  <c r="BA178" i="4"/>
  <c r="BB178" i="4" s="1"/>
  <c r="BA50" i="4"/>
  <c r="BB50" i="4" s="1"/>
  <c r="BA261" i="4"/>
  <c r="BB261" i="4" s="1"/>
  <c r="BA133" i="4"/>
  <c r="BB133" i="4" s="1"/>
  <c r="BA216" i="4"/>
  <c r="BB216" i="4" s="1"/>
  <c r="BA88" i="4"/>
  <c r="BB88" i="4" s="1"/>
  <c r="BA393" i="4"/>
  <c r="BA91" i="4"/>
  <c r="BB91" i="4" s="1"/>
  <c r="BA78" i="4"/>
  <c r="BB78" i="4" s="1"/>
  <c r="BA49" i="4"/>
  <c r="BB49" i="4" s="1"/>
  <c r="BA84" i="4"/>
  <c r="BB84" i="4" s="1"/>
  <c r="BA378" i="4"/>
  <c r="BB378" i="4" s="1"/>
  <c r="BA372" i="4"/>
  <c r="BB372" i="4" s="1"/>
  <c r="BA247" i="4"/>
  <c r="BB247" i="4" s="1"/>
  <c r="BA119" i="4"/>
  <c r="BB119" i="4" s="1"/>
  <c r="BA330" i="4"/>
  <c r="BB330" i="4" s="1"/>
  <c r="BA202" i="4"/>
  <c r="BB202" i="4" s="1"/>
  <c r="BA74" i="4"/>
  <c r="BB74" i="4" s="1"/>
  <c r="BA285" i="4"/>
  <c r="BB285" i="4" s="1"/>
  <c r="BA157" i="4"/>
  <c r="BB157" i="4" s="1"/>
  <c r="BA29" i="4"/>
  <c r="BB29" i="4" s="1"/>
  <c r="BA224" i="4"/>
  <c r="BB224" i="4" s="1"/>
  <c r="BA64" i="4"/>
  <c r="BB64" i="4" s="1"/>
  <c r="BA154" i="4"/>
  <c r="BB154" i="4" s="1"/>
  <c r="BA327" i="4"/>
  <c r="BB327" i="4" s="1"/>
  <c r="BA273" i="4"/>
  <c r="BB273" i="4" s="1"/>
  <c r="BA168" i="4"/>
  <c r="BB168" i="4" s="1"/>
  <c r="BA12" i="4"/>
  <c r="BB12" i="4" s="1"/>
  <c r="BA175" i="4"/>
  <c r="BB175" i="4" s="1"/>
  <c r="BA324" i="4"/>
  <c r="BB324" i="4" s="1"/>
  <c r="BA76" i="4"/>
  <c r="BB76" i="4" s="1"/>
  <c r="BA249" i="4"/>
  <c r="BB249" i="4" s="1"/>
  <c r="BA83" i="4"/>
  <c r="BB83" i="4" s="1"/>
  <c r="BA259" i="4"/>
  <c r="BB259" i="4" s="1"/>
  <c r="BA384" i="4"/>
  <c r="BA390" i="4"/>
  <c r="BA308" i="4"/>
  <c r="BB308" i="4" s="1"/>
  <c r="BA46" i="4"/>
  <c r="BB46" i="4" s="1"/>
  <c r="BA123" i="4"/>
  <c r="BB123" i="4" s="1"/>
  <c r="BA355" i="4"/>
  <c r="BB355" i="4" s="1"/>
  <c r="BA45" i="4"/>
  <c r="BB45" i="4" s="1"/>
  <c r="BA218" i="4"/>
  <c r="BB218" i="4" s="1"/>
  <c r="BA388" i="4"/>
  <c r="BA126" i="4"/>
  <c r="BB126" i="4" s="1"/>
  <c r="BA232" i="4"/>
  <c r="BB232" i="4" s="1"/>
  <c r="BA66" i="4"/>
  <c r="BB66" i="4" s="1"/>
  <c r="BA161" i="4"/>
  <c r="BB161" i="4" s="1"/>
  <c r="BA313" i="4"/>
  <c r="BB313" i="4" s="1"/>
  <c r="BA275" i="4"/>
  <c r="BB275" i="4" s="1"/>
  <c r="BA347" i="4"/>
  <c r="BB347" i="4" s="1"/>
  <c r="BA94" i="4"/>
  <c r="BB94" i="4" s="1"/>
  <c r="BA160" i="4"/>
  <c r="BB160" i="4" s="1"/>
  <c r="BA263" i="4"/>
  <c r="BB263" i="4" s="1"/>
  <c r="BA104" i="4"/>
  <c r="BB104" i="4" s="1"/>
  <c r="BA111" i="4"/>
  <c r="BB111" i="4" s="1"/>
  <c r="BA15" i="4"/>
  <c r="BB15" i="4" s="1"/>
  <c r="BA21" i="4"/>
  <c r="BB21" i="4" s="1"/>
  <c r="BA368" i="4"/>
  <c r="BB368" i="4" s="1"/>
  <c r="BA260" i="4"/>
  <c r="BB260" i="4" s="1"/>
  <c r="BA75" i="4"/>
  <c r="BB75" i="4" s="1"/>
  <c r="BA199" i="4"/>
  <c r="BB199" i="4" s="1"/>
  <c r="BA294" i="4"/>
  <c r="BB294" i="4" s="1"/>
  <c r="BA320" i="4"/>
  <c r="BB320" i="4" s="1"/>
  <c r="BA389" i="4"/>
  <c r="BA163" i="4"/>
  <c r="BB163" i="4" s="1"/>
  <c r="BA26" i="4"/>
  <c r="BB26" i="4" s="1"/>
  <c r="BA361" i="4"/>
  <c r="BB361" i="4" s="1"/>
  <c r="BA130" i="4"/>
  <c r="BB130" i="4" s="1"/>
  <c r="L225" i="31"/>
  <c r="P202" i="31"/>
  <c r="P316" i="31"/>
  <c r="H297" i="31"/>
  <c r="P368" i="31"/>
  <c r="P364" i="31"/>
  <c r="P365" i="31"/>
  <c r="P341" i="31"/>
  <c r="N363" i="31"/>
  <c r="L355" i="31"/>
  <c r="J351" i="31"/>
  <c r="H339" i="31"/>
  <c r="P352" i="31"/>
  <c r="P353" i="31"/>
  <c r="J355" i="31"/>
  <c r="P332" i="31"/>
  <c r="L417" i="31"/>
  <c r="P414" i="31"/>
  <c r="J267" i="31"/>
  <c r="J247" i="31"/>
  <c r="P260" i="31"/>
  <c r="P20" i="31"/>
  <c r="L121" i="31"/>
  <c r="L49" i="31"/>
  <c r="F21" i="31"/>
  <c r="J49" i="31"/>
  <c r="H21" i="31"/>
  <c r="N21" i="31"/>
  <c r="L179" i="31"/>
  <c r="L175" i="31"/>
  <c r="L163" i="31"/>
  <c r="P232" i="31"/>
  <c r="P231" i="31"/>
  <c r="P224" i="31"/>
  <c r="P223" i="31"/>
  <c r="P222" i="31"/>
  <c r="P216" i="31"/>
  <c r="P215" i="31"/>
  <c r="P214" i="31"/>
  <c r="H229" i="31"/>
  <c r="P220" i="31"/>
  <c r="F229" i="31"/>
  <c r="N229" i="31"/>
  <c r="N225" i="31"/>
  <c r="N221" i="31"/>
  <c r="N217" i="31"/>
  <c r="P218" i="31"/>
  <c r="N205" i="31"/>
  <c r="F205" i="31"/>
  <c r="J205" i="31"/>
  <c r="F201" i="31"/>
  <c r="J201" i="31"/>
  <c r="P199" i="31"/>
  <c r="N197" i="31"/>
  <c r="P196" i="31"/>
  <c r="F197" i="31"/>
  <c r="P195" i="31"/>
  <c r="J197" i="31"/>
  <c r="N213" i="31"/>
  <c r="P210" i="31"/>
  <c r="N209" i="31"/>
  <c r="P208" i="31"/>
  <c r="P206" i="31"/>
  <c r="P277" i="31"/>
  <c r="N279" i="31"/>
  <c r="J243" i="31"/>
  <c r="L243" i="31"/>
  <c r="N259" i="31"/>
  <c r="F259" i="31"/>
  <c r="J259" i="31"/>
  <c r="H247" i="31"/>
  <c r="F255" i="31"/>
  <c r="H255" i="31"/>
  <c r="P322" i="31"/>
  <c r="L317" i="31"/>
  <c r="P307" i="31"/>
  <c r="P306" i="31"/>
  <c r="L305" i="31"/>
  <c r="J325" i="31"/>
  <c r="J317" i="31"/>
  <c r="P303" i="31"/>
  <c r="H321" i="31"/>
  <c r="H305" i="31"/>
  <c r="D10" i="27"/>
  <c r="P122" i="31"/>
  <c r="F163" i="31"/>
  <c r="P207" i="31"/>
  <c r="P200" i="31"/>
  <c r="H213" i="31"/>
  <c r="P204" i="31"/>
  <c r="H217" i="31"/>
  <c r="H225" i="31"/>
  <c r="L141" i="31"/>
  <c r="J179" i="31"/>
  <c r="O51" i="27"/>
  <c r="L279" i="31"/>
  <c r="P249" i="31"/>
  <c r="F275" i="31"/>
  <c r="H275" i="31"/>
  <c r="H317" i="31"/>
  <c r="P314" i="31"/>
  <c r="P323" i="31"/>
  <c r="P308" i="31"/>
  <c r="H29" i="31"/>
  <c r="N1061" i="31"/>
  <c r="J41" i="31"/>
  <c r="AY11" i="4"/>
  <c r="BB391" i="4" s="1"/>
  <c r="AW11" i="4"/>
  <c r="N15" i="30"/>
  <c r="M14" i="30"/>
  <c r="O7" i="30"/>
  <c r="U5" i="30" s="1"/>
  <c r="Q9" i="30"/>
  <c r="T9" i="30" s="1"/>
  <c r="O6" i="30"/>
  <c r="T5" i="30" s="1"/>
  <c r="N12" i="30"/>
  <c r="O5" i="30"/>
  <c r="O9" i="30"/>
  <c r="T6" i="30" s="1"/>
  <c r="N11" i="30"/>
  <c r="N17" i="30"/>
  <c r="Q5" i="30"/>
  <c r="G24" i="30"/>
  <c r="C39" i="30"/>
  <c r="D29" i="30"/>
  <c r="J27" i="30" s="1"/>
  <c r="P58" i="31"/>
  <c r="N59" i="31"/>
  <c r="T10" i="35"/>
  <c r="D33" i="35"/>
  <c r="L33" i="35"/>
  <c r="H33" i="35"/>
  <c r="F33" i="35"/>
  <c r="M31" i="35"/>
  <c r="B33" i="35"/>
  <c r="E33" i="35"/>
  <c r="Q7" i="30"/>
  <c r="U8" i="30" s="1"/>
  <c r="P17" i="30"/>
  <c r="C33" i="30"/>
  <c r="D31" i="30"/>
  <c r="I28" i="30" s="1"/>
  <c r="D28" i="30"/>
  <c r="I27" i="30" s="1"/>
  <c r="C34" i="30"/>
  <c r="F30" i="30"/>
  <c r="H31" i="30" s="1"/>
  <c r="E35" i="30"/>
  <c r="E37" i="30"/>
  <c r="E39" i="30"/>
  <c r="C35" i="30"/>
  <c r="D30" i="30"/>
  <c r="H28" i="30" s="1"/>
  <c r="E33" i="30"/>
  <c r="F29" i="30"/>
  <c r="J30" i="30" s="1"/>
  <c r="AD48" i="27"/>
  <c r="O8" i="30"/>
  <c r="S6" i="30" s="1"/>
  <c r="F31" i="30"/>
  <c r="I31" i="30" s="1"/>
  <c r="P16" i="30"/>
  <c r="N16" i="30"/>
  <c r="N13" i="30"/>
  <c r="P15" i="30"/>
  <c r="Q8" i="30"/>
  <c r="S9" i="30" s="1"/>
  <c r="L59" i="31"/>
  <c r="N45" i="31"/>
  <c r="P42" i="31"/>
  <c r="H33" i="31"/>
  <c r="P30" i="31"/>
  <c r="P18" i="31"/>
  <c r="J45" i="31"/>
  <c r="H233" i="31"/>
  <c r="P230" i="31"/>
  <c r="L217" i="31"/>
  <c r="P228" i="31"/>
  <c r="L233" i="31"/>
  <c r="C91" i="27"/>
  <c r="E92" i="27"/>
  <c r="AK54" i="27"/>
  <c r="H47" i="31"/>
  <c r="AL49" i="27"/>
  <c r="H221" i="31"/>
  <c r="J335" i="31" l="1"/>
  <c r="P44" i="31"/>
  <c r="P342" i="31"/>
  <c r="J405" i="31"/>
  <c r="P433" i="31"/>
  <c r="P334" i="31"/>
  <c r="N539" i="31"/>
  <c r="J611" i="31"/>
  <c r="AY57" i="27"/>
  <c r="L459" i="31"/>
  <c r="N87" i="31"/>
  <c r="P158" i="31"/>
  <c r="F405" i="31"/>
  <c r="F427" i="31"/>
  <c r="P732" i="31"/>
  <c r="N703" i="31"/>
  <c r="N589" i="31"/>
  <c r="P472" i="31"/>
  <c r="F735" i="31"/>
  <c r="J627" i="31"/>
  <c r="J573" i="31"/>
  <c r="H405" i="31"/>
  <c r="P440" i="31"/>
  <c r="P139" i="31"/>
  <c r="N133" i="31"/>
  <c r="P411" i="31"/>
  <c r="L611" i="31"/>
  <c r="J75" i="31"/>
  <c r="H171" i="31"/>
  <c r="N141" i="31"/>
  <c r="P141" i="31" s="1"/>
  <c r="T138" i="31" s="1"/>
  <c r="H155" i="31"/>
  <c r="J59" i="31"/>
  <c r="F87" i="31"/>
  <c r="P87" i="31" s="1"/>
  <c r="T84" i="31" s="1"/>
  <c r="P86" i="31"/>
  <c r="P140" i="31"/>
  <c r="J79" i="31"/>
  <c r="N117" i="31"/>
  <c r="P502" i="31"/>
  <c r="J159" i="31"/>
  <c r="L343" i="31"/>
  <c r="N627" i="31"/>
  <c r="H627" i="31"/>
  <c r="J811" i="31"/>
  <c r="P388" i="31"/>
  <c r="F719" i="31"/>
  <c r="F643" i="31"/>
  <c r="P625" i="31"/>
  <c r="P587" i="31"/>
  <c r="N459" i="31"/>
  <c r="H389" i="31"/>
  <c r="F519" i="31"/>
  <c r="H535" i="31"/>
  <c r="P640" i="31"/>
  <c r="AA10" i="30"/>
  <c r="C74" i="30"/>
  <c r="BA166" i="27"/>
  <c r="U166" i="27"/>
  <c r="BC127" i="27"/>
  <c r="W50" i="27"/>
  <c r="Y95" i="30"/>
  <c r="AJ53" i="30"/>
  <c r="AJ32" i="30"/>
  <c r="AO87" i="27"/>
  <c r="AP87" i="27" s="1"/>
  <c r="E10" i="30"/>
  <c r="AO49" i="27"/>
  <c r="AP49" i="27" s="1"/>
  <c r="N643" i="31"/>
  <c r="F459" i="31"/>
  <c r="N75" i="31"/>
  <c r="F551" i="31"/>
  <c r="N573" i="31"/>
  <c r="J681" i="31"/>
  <c r="P404" i="31"/>
  <c r="P517" i="31"/>
  <c r="J827" i="31"/>
  <c r="L665" i="31"/>
  <c r="J589" i="31"/>
  <c r="H573" i="31"/>
  <c r="H827" i="31"/>
  <c r="L643" i="31"/>
  <c r="P586" i="31"/>
  <c r="F589" i="31"/>
  <c r="P56" i="31"/>
  <c r="N735" i="31"/>
  <c r="P626" i="31"/>
  <c r="P1029" i="31"/>
  <c r="L719" i="31"/>
  <c r="P702" i="31"/>
  <c r="P608" i="31"/>
  <c r="J535" i="31"/>
  <c r="L389" i="31"/>
  <c r="P386" i="31"/>
  <c r="P80" i="31"/>
  <c r="P73" i="31"/>
  <c r="P549" i="31"/>
  <c r="P495" i="31"/>
  <c r="L405" i="31"/>
  <c r="P532" i="31"/>
  <c r="H551" i="31"/>
  <c r="P426" i="31"/>
  <c r="J497" i="31"/>
  <c r="N405" i="31"/>
  <c r="J481" i="31"/>
  <c r="J643" i="31"/>
  <c r="L627" i="31"/>
  <c r="P134" i="31"/>
  <c r="L443" i="31"/>
  <c r="F811" i="31"/>
  <c r="P718" i="31"/>
  <c r="H719" i="31"/>
  <c r="H45" i="31"/>
  <c r="P156" i="31"/>
  <c r="F121" i="31"/>
  <c r="P571" i="31"/>
  <c r="P808" i="31"/>
  <c r="P733" i="31"/>
  <c r="L735" i="31"/>
  <c r="P734" i="31"/>
  <c r="P717" i="31"/>
  <c r="P700" i="31"/>
  <c r="P701" i="31"/>
  <c r="L703" i="31"/>
  <c r="P641" i="31"/>
  <c r="P642" i="31"/>
  <c r="P624" i="31"/>
  <c r="F611" i="31"/>
  <c r="N611" i="31"/>
  <c r="P588" i="31"/>
  <c r="L589" i="31"/>
  <c r="L573" i="31"/>
  <c r="L551" i="31"/>
  <c r="J519" i="31"/>
  <c r="L519" i="31"/>
  <c r="P458" i="31"/>
  <c r="F443" i="31"/>
  <c r="P403" i="31"/>
  <c r="P387" i="31"/>
  <c r="F59" i="31"/>
  <c r="P43" i="31"/>
  <c r="P36" i="31"/>
  <c r="P174" i="31"/>
  <c r="L811" i="31"/>
  <c r="P716" i="31"/>
  <c r="F535" i="31"/>
  <c r="P610" i="31"/>
  <c r="H735" i="31"/>
  <c r="J735" i="31"/>
  <c r="P496" i="31"/>
  <c r="J703" i="31"/>
  <c r="H589" i="31"/>
  <c r="P486" i="31"/>
  <c r="N887" i="31"/>
  <c r="P442" i="31"/>
  <c r="F573" i="31"/>
  <c r="H665" i="31"/>
  <c r="N941" i="31"/>
  <c r="J187" i="31"/>
  <c r="H643" i="31"/>
  <c r="N339" i="31"/>
  <c r="F703" i="31"/>
  <c r="H611" i="31"/>
  <c r="H427" i="31"/>
  <c r="P533" i="31"/>
  <c r="P456" i="31"/>
  <c r="H71" i="31"/>
  <c r="P337" i="31"/>
  <c r="H481" i="31"/>
  <c r="P810" i="31"/>
  <c r="H811" i="31"/>
  <c r="L17" i="31"/>
  <c r="H865" i="31"/>
  <c r="J957" i="31"/>
  <c r="J719" i="31"/>
  <c r="F627" i="31"/>
  <c r="N335" i="31"/>
  <c r="P562" i="31"/>
  <c r="H59" i="31"/>
  <c r="J865" i="31"/>
  <c r="H995" i="31"/>
  <c r="H795" i="31"/>
  <c r="H681" i="31"/>
  <c r="F941" i="31"/>
  <c r="P57" i="31"/>
  <c r="F1011" i="31"/>
  <c r="H941" i="31"/>
  <c r="L827" i="31"/>
  <c r="N719" i="31"/>
  <c r="H703" i="31"/>
  <c r="N137" i="31"/>
  <c r="BB49" i="27"/>
  <c r="BJ49" i="27" s="1"/>
  <c r="P441" i="31"/>
  <c r="L757" i="31"/>
  <c r="L957" i="31"/>
  <c r="P826" i="31"/>
  <c r="F849" i="31"/>
  <c r="F827" i="31"/>
  <c r="P792" i="31"/>
  <c r="BA53" i="27"/>
  <c r="P864" i="31"/>
  <c r="L795" i="31"/>
  <c r="F957" i="31"/>
  <c r="J849" i="31"/>
  <c r="P536" i="31"/>
  <c r="P538" i="31"/>
  <c r="J1033" i="31"/>
  <c r="J137" i="31"/>
  <c r="P662" i="31"/>
  <c r="P480" i="31"/>
  <c r="P679" i="31"/>
  <c r="F83" i="31"/>
  <c r="P83" i="31" s="1"/>
  <c r="T80" i="31" s="1"/>
  <c r="N795" i="31"/>
  <c r="L995" i="31"/>
  <c r="L463" i="31"/>
  <c r="N749" i="31"/>
  <c r="P749" i="31" s="1"/>
  <c r="AI746" i="31" s="1"/>
  <c r="H957" i="31"/>
  <c r="P16" i="31"/>
  <c r="J17" i="31"/>
  <c r="P120" i="31"/>
  <c r="P48" i="31"/>
  <c r="F29" i="31"/>
  <c r="J1011" i="31"/>
  <c r="N435" i="31"/>
  <c r="P435" i="31" s="1"/>
  <c r="P82" i="31"/>
  <c r="H895" i="31"/>
  <c r="P895" i="31" s="1"/>
  <c r="T892" i="31" s="1"/>
  <c r="P136" i="31"/>
  <c r="J1071" i="31"/>
  <c r="N979" i="31"/>
  <c r="H137" i="31"/>
  <c r="H849" i="31"/>
  <c r="P747" i="31"/>
  <c r="P824" i="31"/>
  <c r="P76" i="31"/>
  <c r="P793" i="31"/>
  <c r="P116" i="31"/>
  <c r="P1038" i="31"/>
  <c r="P746" i="31"/>
  <c r="P273" i="31"/>
  <c r="H133" i="31"/>
  <c r="J171" i="31"/>
  <c r="N523" i="31"/>
  <c r="P523" i="31" s="1"/>
  <c r="AI520" i="31" s="1"/>
  <c r="P28" i="31"/>
  <c r="H1011" i="31"/>
  <c r="F995" i="31"/>
  <c r="F979" i="31"/>
  <c r="P954" i="31"/>
  <c r="P809" i="31"/>
  <c r="H117" i="31"/>
  <c r="P391" i="31"/>
  <c r="H555" i="31"/>
  <c r="J1103" i="31"/>
  <c r="P1031" i="31"/>
  <c r="F795" i="31"/>
  <c r="N105" i="31"/>
  <c r="F397" i="31"/>
  <c r="P397" i="31" s="1"/>
  <c r="T394" i="31" s="1"/>
  <c r="F17" i="31"/>
  <c r="H251" i="31"/>
  <c r="P432" i="31"/>
  <c r="L903" i="31"/>
  <c r="P825" i="31"/>
  <c r="P520" i="31"/>
  <c r="N919" i="31"/>
  <c r="P863" i="31"/>
  <c r="N29" i="31"/>
  <c r="H1041" i="31"/>
  <c r="P1041" i="31" s="1"/>
  <c r="F907" i="31"/>
  <c r="P907" i="31" s="1"/>
  <c r="P15" i="31"/>
  <c r="P524" i="31"/>
  <c r="P839" i="31"/>
  <c r="L1049" i="31"/>
  <c r="L1033" i="31"/>
  <c r="P992" i="31"/>
  <c r="J979" i="31"/>
  <c r="N811" i="31"/>
  <c r="P922" i="31"/>
  <c r="P132" i="31"/>
  <c r="L67" i="31"/>
  <c r="L133" i="31"/>
  <c r="P168" i="31"/>
  <c r="P920" i="31"/>
  <c r="P890" i="31"/>
  <c r="P169" i="31"/>
  <c r="J941" i="31"/>
  <c r="L1011" i="31"/>
  <c r="P994" i="31"/>
  <c r="P940" i="31"/>
  <c r="P794" i="31"/>
  <c r="P779" i="31"/>
  <c r="P135" i="31"/>
  <c r="J1125" i="31"/>
  <c r="N1011" i="31"/>
  <c r="L979" i="31"/>
  <c r="P542" i="31"/>
  <c r="F86" i="27"/>
  <c r="M87" i="27" s="1"/>
  <c r="P68" i="31"/>
  <c r="J71" i="31"/>
  <c r="AF11" i="35"/>
  <c r="AZ45" i="27"/>
  <c r="BI45" i="27" s="1"/>
  <c r="BA52" i="27"/>
  <c r="BA58" i="27"/>
  <c r="AZ48" i="27"/>
  <c r="BI46" i="27" s="1"/>
  <c r="AY51" i="27"/>
  <c r="BE56" i="27"/>
  <c r="AM11" i="35"/>
  <c r="BD46" i="27"/>
  <c r="BJ51" i="27" s="1"/>
  <c r="BD45" i="27"/>
  <c r="BI51" i="27" s="1"/>
  <c r="D83" i="27"/>
  <c r="M83" i="27" s="1"/>
  <c r="F85" i="27"/>
  <c r="O86" i="27" s="1"/>
  <c r="AZ49" i="27"/>
  <c r="AZ46" i="27"/>
  <c r="BJ45" i="27" s="1"/>
  <c r="AY54" i="27"/>
  <c r="BD47" i="27"/>
  <c r="BK51" i="27" s="1"/>
  <c r="BA54" i="27"/>
  <c r="BA57" i="27"/>
  <c r="P939" i="31"/>
  <c r="L919" i="31"/>
  <c r="J795" i="31"/>
  <c r="P1117" i="31"/>
  <c r="AI1114" i="31" s="1"/>
  <c r="P906" i="31"/>
  <c r="C92" i="27"/>
  <c r="AI11" i="35"/>
  <c r="AQ9" i="35"/>
  <c r="BB45" i="27"/>
  <c r="BI48" i="27" s="1"/>
  <c r="BC57" i="27"/>
  <c r="AZ47" i="27"/>
  <c r="BK45" i="27" s="1"/>
  <c r="P574" i="31"/>
  <c r="BB48" i="27"/>
  <c r="BI49" i="27" s="1"/>
  <c r="AY53" i="27"/>
  <c r="BD49" i="27"/>
  <c r="BJ52" i="27" s="1"/>
  <c r="P1153" i="31"/>
  <c r="T1150" i="31" s="1"/>
  <c r="P24" i="31"/>
  <c r="F339" i="31"/>
  <c r="J121" i="31"/>
  <c r="L941" i="31"/>
  <c r="P78" i="31"/>
  <c r="P976" i="31"/>
  <c r="P1009" i="31"/>
  <c r="F685" i="31"/>
  <c r="P685" i="31" s="1"/>
  <c r="N171" i="31"/>
  <c r="P1139" i="31"/>
  <c r="L1141" i="31"/>
  <c r="N1141" i="31"/>
  <c r="P109" i="31"/>
  <c r="T106" i="31" s="1"/>
  <c r="P892" i="31"/>
  <c r="P993" i="31"/>
  <c r="F1075" i="31"/>
  <c r="P1075" i="31" s="1"/>
  <c r="H1141" i="31"/>
  <c r="F1141" i="31"/>
  <c r="L1125" i="31"/>
  <c r="P1123" i="31"/>
  <c r="P1124" i="31"/>
  <c r="P1101" i="31"/>
  <c r="H1103" i="31"/>
  <c r="J1087" i="31"/>
  <c r="H1087" i="31"/>
  <c r="J1049" i="31"/>
  <c r="P1008" i="31"/>
  <c r="N995" i="31"/>
  <c r="P956" i="31"/>
  <c r="N957" i="31"/>
  <c r="N827" i="31"/>
  <c r="P1084" i="31"/>
  <c r="H1071" i="31"/>
  <c r="P955" i="31"/>
  <c r="H1125" i="31"/>
  <c r="P1140" i="31"/>
  <c r="P1034" i="31"/>
  <c r="H79" i="31"/>
  <c r="J67" i="31"/>
  <c r="P1068" i="31"/>
  <c r="P115" i="31"/>
  <c r="P131" i="31"/>
  <c r="F1091" i="31"/>
  <c r="P1091" i="31" s="1"/>
  <c r="AI1088" i="31" s="1"/>
  <c r="P1138" i="31"/>
  <c r="F1037" i="31"/>
  <c r="F923" i="31"/>
  <c r="P923" i="31" s="1"/>
  <c r="N903" i="31"/>
  <c r="N1033" i="31"/>
  <c r="H67" i="31"/>
  <c r="P1073" i="31"/>
  <c r="P1129" i="31"/>
  <c r="AI1126" i="31" s="1"/>
  <c r="J133" i="31"/>
  <c r="H1037" i="31"/>
  <c r="P1037" i="31" s="1"/>
  <c r="T1034" i="31" s="1"/>
  <c r="N761" i="31"/>
  <c r="P977" i="31"/>
  <c r="F1107" i="31"/>
  <c r="P1107" i="31" s="1"/>
  <c r="P1105" i="31"/>
  <c r="L1103" i="31"/>
  <c r="P27" i="31"/>
  <c r="P1003" i="31"/>
  <c r="AI1000" i="31" s="1"/>
  <c r="J1141" i="31"/>
  <c r="L1071" i="31"/>
  <c r="P1010" i="31"/>
  <c r="N555" i="31"/>
  <c r="P555" i="31" s="1"/>
  <c r="T552" i="31" s="1"/>
  <c r="F1125" i="31"/>
  <c r="L1087" i="31"/>
  <c r="J995" i="31"/>
  <c r="P479" i="31"/>
  <c r="F497" i="31"/>
  <c r="P257" i="31"/>
  <c r="P1095" i="31"/>
  <c r="T1092" i="31" s="1"/>
  <c r="P983" i="31"/>
  <c r="AI980" i="31" s="1"/>
  <c r="P999" i="31"/>
  <c r="T996" i="31" s="1"/>
  <c r="P1121" i="31"/>
  <c r="T1118" i="31" s="1"/>
  <c r="P911" i="31"/>
  <c r="AI908" i="31" s="1"/>
  <c r="P841" i="31"/>
  <c r="AI838" i="31" s="1"/>
  <c r="P769" i="31"/>
  <c r="T766" i="31" s="1"/>
  <c r="P953" i="31"/>
  <c r="T950" i="31" s="1"/>
  <c r="P1053" i="31"/>
  <c r="AI1050" i="31" s="1"/>
  <c r="P1145" i="31"/>
  <c r="T1142" i="31" s="1"/>
  <c r="P965" i="31"/>
  <c r="AI962" i="31" s="1"/>
  <c r="P1045" i="31"/>
  <c r="AI1042" i="31" s="1"/>
  <c r="P1007" i="31"/>
  <c r="AI1004" i="31" s="1"/>
  <c r="P1083" i="31"/>
  <c r="AI1080" i="31" s="1"/>
  <c r="P1133" i="31"/>
  <c r="T1130" i="31" s="1"/>
  <c r="P991" i="31"/>
  <c r="AI988" i="31" s="1"/>
  <c r="P807" i="31"/>
  <c r="T804" i="31" s="1"/>
  <c r="P1149" i="31"/>
  <c r="T1146" i="31" s="1"/>
  <c r="P1099" i="31"/>
  <c r="AI1096" i="31" s="1"/>
  <c r="P294" i="31"/>
  <c r="P1015" i="31"/>
  <c r="AI1012" i="31" s="1"/>
  <c r="J95" i="31"/>
  <c r="P661" i="31"/>
  <c r="T658" i="31" s="1"/>
  <c r="P987" i="31"/>
  <c r="AI984" i="31" s="1"/>
  <c r="P39" i="31"/>
  <c r="P66" i="31"/>
  <c r="P1137" i="31"/>
  <c r="T1134" i="31" s="1"/>
  <c r="P148" i="31"/>
  <c r="P845" i="31"/>
  <c r="T842" i="31" s="1"/>
  <c r="K49" i="27"/>
  <c r="P899" i="31"/>
  <c r="T896" i="31" s="1"/>
  <c r="N67" i="31"/>
  <c r="P125" i="31"/>
  <c r="T122" i="31" s="1"/>
  <c r="J63" i="31"/>
  <c r="P853" i="31"/>
  <c r="AI850" i="31" s="1"/>
  <c r="P937" i="31"/>
  <c r="T934" i="31" s="1"/>
  <c r="J443" i="31"/>
  <c r="P92" i="31"/>
  <c r="D92" i="30"/>
  <c r="J90" i="30" s="1"/>
  <c r="G87" i="30"/>
  <c r="D93" i="30"/>
  <c r="H91" i="30" s="1"/>
  <c r="C98" i="30"/>
  <c r="F92" i="30"/>
  <c r="J93" i="30" s="1"/>
  <c r="C102" i="30"/>
  <c r="C100" i="30"/>
  <c r="C97" i="30"/>
  <c r="F90" i="30"/>
  <c r="H93" i="30" s="1"/>
  <c r="E98" i="30"/>
  <c r="C101" i="30"/>
  <c r="D90" i="30"/>
  <c r="H90" i="30" s="1"/>
  <c r="F93" i="30"/>
  <c r="H94" i="30" s="1"/>
  <c r="D91" i="30"/>
  <c r="I90" i="30" s="1"/>
  <c r="D94" i="30"/>
  <c r="I91" i="30" s="1"/>
  <c r="E101" i="30"/>
  <c r="F91" i="30"/>
  <c r="I93" i="30" s="1"/>
  <c r="H75" i="31"/>
  <c r="P609" i="31"/>
  <c r="P570" i="31"/>
  <c r="N481" i="31"/>
  <c r="J427" i="31"/>
  <c r="F117" i="31"/>
  <c r="H1033" i="31"/>
  <c r="P848" i="31"/>
  <c r="P425" i="31"/>
  <c r="N95" i="31"/>
  <c r="L29" i="31"/>
  <c r="P777" i="31"/>
  <c r="T774" i="31" s="1"/>
  <c r="F133" i="31"/>
  <c r="F79" i="31"/>
  <c r="P77" i="31"/>
  <c r="S91" i="27"/>
  <c r="X84" i="27"/>
  <c r="AD89" i="27" s="1"/>
  <c r="W94" i="27"/>
  <c r="U91" i="27"/>
  <c r="X87" i="27"/>
  <c r="AD90" i="27" s="1"/>
  <c r="V83" i="27"/>
  <c r="U96" i="27"/>
  <c r="T87" i="27"/>
  <c r="X86" i="27"/>
  <c r="AC90" i="27" s="1"/>
  <c r="S89" i="27"/>
  <c r="U92" i="27"/>
  <c r="V84" i="27"/>
  <c r="AD86" i="27" s="1"/>
  <c r="W90" i="27"/>
  <c r="T86" i="27"/>
  <c r="X85" i="27"/>
  <c r="AE89" i="27" s="1"/>
  <c r="Y94" i="27"/>
  <c r="V86" i="27"/>
  <c r="AC87" i="27" s="1"/>
  <c r="W95" i="27"/>
  <c r="U95" i="27"/>
  <c r="V85" i="27"/>
  <c r="AE86" i="27" s="1"/>
  <c r="S96" i="27"/>
  <c r="U94" i="27"/>
  <c r="S94" i="27"/>
  <c r="V87" i="27"/>
  <c r="AD87" i="27" s="1"/>
  <c r="U90" i="27"/>
  <c r="X83" i="27"/>
  <c r="T85" i="27"/>
  <c r="S92" i="27"/>
  <c r="S95" i="27"/>
  <c r="T84" i="27"/>
  <c r="S90" i="27"/>
  <c r="S135" i="27"/>
  <c r="X124" i="27"/>
  <c r="AE128" i="27" s="1"/>
  <c r="U130" i="27"/>
  <c r="S128" i="27"/>
  <c r="T123" i="27"/>
  <c r="U134" i="27"/>
  <c r="X126" i="27"/>
  <c r="AD129" i="27" s="1"/>
  <c r="V123" i="27"/>
  <c r="AD125" i="27" s="1"/>
  <c r="X125" i="27"/>
  <c r="AC129" i="27" s="1"/>
  <c r="S130" i="27"/>
  <c r="U133" i="27"/>
  <c r="W133" i="27"/>
  <c r="W135" i="27"/>
  <c r="V122" i="27"/>
  <c r="AC125" i="27" s="1"/>
  <c r="V126" i="27"/>
  <c r="AD126" i="27" s="1"/>
  <c r="T124" i="27"/>
  <c r="AE122" i="27" s="1"/>
  <c r="X122" i="27"/>
  <c r="W129" i="27"/>
  <c r="T125" i="27"/>
  <c r="AC123" i="27" s="1"/>
  <c r="U129" i="27"/>
  <c r="S134" i="27"/>
  <c r="X123" i="27"/>
  <c r="AD128" i="27" s="1"/>
  <c r="S133" i="27"/>
  <c r="U131" i="27"/>
  <c r="W134" i="27"/>
  <c r="AD36" i="30"/>
  <c r="AF44" i="30"/>
  <c r="AN46" i="27"/>
  <c r="AT51" i="27" s="1"/>
  <c r="AK53" i="27"/>
  <c r="AJ45" i="27"/>
  <c r="AO56" i="27"/>
  <c r="AL48" i="27"/>
  <c r="AS49" i="27" s="1"/>
  <c r="AI58" i="27"/>
  <c r="AM57" i="27"/>
  <c r="AJ47" i="27"/>
  <c r="AU45" i="27" s="1"/>
  <c r="AI51" i="27"/>
  <c r="AI54" i="27"/>
  <c r="AM56" i="27"/>
  <c r="AK56" i="27"/>
  <c r="AK57" i="27"/>
  <c r="AK58" i="27"/>
  <c r="AL47" i="27"/>
  <c r="AU48" i="27" s="1"/>
  <c r="AN49" i="27"/>
  <c r="AT52" i="27" s="1"/>
  <c r="AI52" i="27"/>
  <c r="AI56" i="27"/>
  <c r="AJ48" i="27"/>
  <c r="AS46" i="27" s="1"/>
  <c r="AJ49" i="27"/>
  <c r="AT46" i="27" s="1"/>
  <c r="AL46" i="27"/>
  <c r="AT48" i="27" s="1"/>
  <c r="AJ46" i="27"/>
  <c r="AN45" i="27"/>
  <c r="AS51" i="27" s="1"/>
  <c r="AL45" i="27"/>
  <c r="AS48" i="27" s="1"/>
  <c r="BA18" i="27"/>
  <c r="BA13" i="27"/>
  <c r="BF2" i="27"/>
  <c r="AY17" i="27"/>
  <c r="BC12" i="27"/>
  <c r="AM18" i="27"/>
  <c r="AK13" i="27"/>
  <c r="AP2" i="27"/>
  <c r="AI17" i="27"/>
  <c r="AM12" i="27"/>
  <c r="P130" i="31"/>
  <c r="S170" i="27"/>
  <c r="T161" i="27"/>
  <c r="U168" i="27"/>
  <c r="X163" i="27"/>
  <c r="AE167" i="27" s="1"/>
  <c r="U169" i="27"/>
  <c r="S172" i="27"/>
  <c r="T163" i="27"/>
  <c r="AE161" i="27" s="1"/>
  <c r="W173" i="27"/>
  <c r="V162" i="27"/>
  <c r="AD164" i="27" s="1"/>
  <c r="U170" i="27"/>
  <c r="X164" i="27"/>
  <c r="AC168" i="27" s="1"/>
  <c r="U173" i="27"/>
  <c r="T164" i="27"/>
  <c r="AC162" i="27" s="1"/>
  <c r="S169" i="27"/>
  <c r="W172" i="27"/>
  <c r="S167" i="27"/>
  <c r="W168" i="27"/>
  <c r="U172" i="27"/>
  <c r="W174" i="27"/>
  <c r="S173" i="27"/>
  <c r="V161" i="27"/>
  <c r="AC164" i="27" s="1"/>
  <c r="T162" i="27"/>
  <c r="X161" i="27"/>
  <c r="X162" i="27"/>
  <c r="AD167" i="27" s="1"/>
  <c r="V165" i="27"/>
  <c r="AD165" i="27" s="1"/>
  <c r="X165" i="27"/>
  <c r="AD168" i="27" s="1"/>
  <c r="AO14" i="30"/>
  <c r="AQ23" i="30"/>
  <c r="AM92" i="27"/>
  <c r="H87" i="27"/>
  <c r="N90" i="27" s="1"/>
  <c r="E95" i="27"/>
  <c r="F83" i="27"/>
  <c r="M86" i="27" s="1"/>
  <c r="G90" i="27"/>
  <c r="H86" i="27"/>
  <c r="M90" i="27" s="1"/>
  <c r="C96" i="27"/>
  <c r="C90" i="27"/>
  <c r="D86" i="27"/>
  <c r="M84" i="27" s="1"/>
  <c r="C94" i="27"/>
  <c r="C95" i="27"/>
  <c r="G96" i="27"/>
  <c r="H85" i="27"/>
  <c r="O89" i="27" s="1"/>
  <c r="G94" i="27"/>
  <c r="BC91" i="27"/>
  <c r="E94" i="27"/>
  <c r="D84" i="27"/>
  <c r="F87" i="27"/>
  <c r="N87" i="27" s="1"/>
  <c r="H83" i="27"/>
  <c r="D85" i="27"/>
  <c r="O83" i="27" s="1"/>
  <c r="G92" i="27"/>
  <c r="AM91" i="27"/>
  <c r="H84" i="27"/>
  <c r="N89" i="27" s="1"/>
  <c r="W92" i="27"/>
  <c r="E91" i="27"/>
  <c r="BC92" i="27"/>
  <c r="E96" i="27"/>
  <c r="G95" i="27"/>
  <c r="G91" i="27"/>
  <c r="W91" i="27"/>
  <c r="F84" i="27"/>
  <c r="N86" i="27" s="1"/>
  <c r="BI94" i="27"/>
  <c r="BK118" i="27"/>
  <c r="AJ95" i="30"/>
  <c r="AA74" i="30"/>
  <c r="F67" i="31"/>
  <c r="P65" i="31"/>
  <c r="N79" i="31"/>
  <c r="O157" i="27"/>
  <c r="M172" i="27" s="1"/>
  <c r="M133" i="27"/>
  <c r="AY52" i="27"/>
  <c r="BA56" i="27"/>
  <c r="BC56" i="27"/>
  <c r="AY58" i="27"/>
  <c r="AS94" i="27"/>
  <c r="AU118" i="27"/>
  <c r="S78" i="30"/>
  <c r="U86" i="30"/>
  <c r="S99" i="30" s="1"/>
  <c r="T11" i="35"/>
  <c r="Z11" i="35"/>
  <c r="Q12" i="35"/>
  <c r="Q31" i="35"/>
  <c r="P45" i="35"/>
  <c r="AO12" i="35"/>
  <c r="AQ10" i="35"/>
  <c r="AH11" i="35"/>
  <c r="J459" i="31"/>
  <c r="P862" i="31"/>
  <c r="H25" i="31"/>
  <c r="P846" i="31"/>
  <c r="F773" i="31"/>
  <c r="W11" i="35"/>
  <c r="AB11" i="35"/>
  <c r="U11" i="35"/>
  <c r="Q11" i="35"/>
  <c r="Y11" i="35"/>
  <c r="S11" i="35"/>
  <c r="AA11" i="35"/>
  <c r="AB9" i="35"/>
  <c r="R11" i="35"/>
  <c r="X11" i="35"/>
  <c r="Q10" i="35"/>
  <c r="Q13" i="35"/>
  <c r="Z13" i="35"/>
  <c r="R9" i="35"/>
  <c r="S9" i="35" s="1"/>
  <c r="T9" i="35" s="1"/>
  <c r="U9" i="35" s="1"/>
  <c r="V9" i="35" s="1"/>
  <c r="W9" i="35" s="1"/>
  <c r="X9" i="35" s="1"/>
  <c r="AB10" i="35"/>
  <c r="AT23" i="35"/>
  <c r="AU31" i="35" s="1"/>
  <c r="AG11" i="35"/>
  <c r="AO13" i="35"/>
  <c r="AF13" i="35"/>
  <c r="AZ11" i="35"/>
  <c r="AU12" i="35"/>
  <c r="BF11" i="35"/>
  <c r="AU11" i="35"/>
  <c r="BF9" i="35"/>
  <c r="BD11" i="35"/>
  <c r="BA11" i="35"/>
  <c r="AW11" i="35"/>
  <c r="AX10" i="35"/>
  <c r="BC11" i="35"/>
  <c r="BB11" i="35"/>
  <c r="AX11" i="35"/>
  <c r="A67" i="35"/>
  <c r="B53" i="35"/>
  <c r="AG9" i="35"/>
  <c r="AH9" i="35" s="1"/>
  <c r="AI9" i="35" s="1"/>
  <c r="AJ9" i="35" s="1"/>
  <c r="AK9" i="35" s="1"/>
  <c r="AL9" i="35" s="1"/>
  <c r="AM9" i="35" s="1"/>
  <c r="AO11" i="35"/>
  <c r="AK11" i="35"/>
  <c r="BD12" i="35"/>
  <c r="AU10" i="35"/>
  <c r="AV11" i="35"/>
  <c r="BF10" i="35"/>
  <c r="AU13" i="35"/>
  <c r="BD13" i="35"/>
  <c r="BE11" i="35"/>
  <c r="AV9" i="35"/>
  <c r="AW9" i="35" s="1"/>
  <c r="AX9" i="35" s="1"/>
  <c r="AY9" i="35" s="1"/>
  <c r="AZ9" i="35" s="1"/>
  <c r="BA9" i="35" s="1"/>
  <c r="BB9" i="35" s="1"/>
  <c r="AE45" i="35"/>
  <c r="AF31" i="35"/>
  <c r="P572" i="31"/>
  <c r="N849" i="31"/>
  <c r="P938" i="31"/>
  <c r="P1030" i="31"/>
  <c r="P1086" i="31"/>
  <c r="N41" i="31"/>
  <c r="P40" i="31"/>
  <c r="L91" i="31"/>
  <c r="P181" i="31"/>
  <c r="BE84" i="27"/>
  <c r="BF84" i="27" s="1"/>
  <c r="F865" i="31"/>
  <c r="P772" i="31"/>
  <c r="L113" i="31"/>
  <c r="P494" i="31"/>
  <c r="J167" i="31"/>
  <c r="P149" i="31"/>
  <c r="H183" i="31"/>
  <c r="N113" i="31"/>
  <c r="H151" i="31"/>
  <c r="J773" i="31"/>
  <c r="J113" i="31"/>
  <c r="J151" i="31"/>
  <c r="N497" i="31"/>
  <c r="P457" i="31"/>
  <c r="P38" i="31"/>
  <c r="N519" i="31"/>
  <c r="P771" i="31"/>
  <c r="H757" i="31"/>
  <c r="N1087" i="31"/>
  <c r="N865" i="31"/>
  <c r="P1085" i="31"/>
  <c r="P88" i="31"/>
  <c r="P23" i="31"/>
  <c r="L427" i="31"/>
  <c r="P489" i="31"/>
  <c r="AI486" i="31" s="1"/>
  <c r="P799" i="31"/>
  <c r="AI796" i="31" s="1"/>
  <c r="L41" i="31"/>
  <c r="L773" i="31"/>
  <c r="N183" i="31"/>
  <c r="P664" i="31"/>
  <c r="P1069" i="31"/>
  <c r="N1071" i="31"/>
  <c r="N1103" i="31"/>
  <c r="P1100" i="31"/>
  <c r="K45" i="27"/>
  <c r="F481" i="31"/>
  <c r="J665" i="31"/>
  <c r="N443" i="31"/>
  <c r="P90" i="31"/>
  <c r="P164" i="31"/>
  <c r="P647" i="31"/>
  <c r="T644" i="31" s="1"/>
  <c r="H91" i="31"/>
  <c r="F25" i="31"/>
  <c r="N665" i="31"/>
  <c r="P150" i="31"/>
  <c r="P917" i="31"/>
  <c r="P424" i="31"/>
  <c r="N129" i="31"/>
  <c r="H63" i="31"/>
  <c r="J919" i="31"/>
  <c r="N681" i="31"/>
  <c r="H773" i="31"/>
  <c r="H113" i="31"/>
  <c r="L151" i="31"/>
  <c r="P663" i="31"/>
  <c r="P678" i="31"/>
  <c r="P516" i="31"/>
  <c r="N535" i="31"/>
  <c r="L865" i="31"/>
  <c r="N773" i="31"/>
  <c r="F757" i="31"/>
  <c r="P110" i="31"/>
  <c r="P770" i="31"/>
  <c r="P815" i="31"/>
  <c r="AI812" i="31" s="1"/>
  <c r="P518" i="31"/>
  <c r="N551" i="31"/>
  <c r="P534" i="31"/>
  <c r="L849" i="31"/>
  <c r="F91" i="31"/>
  <c r="F681" i="31"/>
  <c r="F887" i="31"/>
  <c r="P885" i="31"/>
  <c r="H50" i="27"/>
  <c r="N50" i="27" s="1"/>
  <c r="P22" i="31"/>
  <c r="J129" i="31"/>
  <c r="P861" i="31"/>
  <c r="T858" i="31" s="1"/>
  <c r="P945" i="31"/>
  <c r="AI942" i="31" s="1"/>
  <c r="P754" i="31"/>
  <c r="H129" i="31"/>
  <c r="N151" i="31"/>
  <c r="P680" i="31"/>
  <c r="P111" i="31"/>
  <c r="J91" i="31"/>
  <c r="F665" i="31"/>
  <c r="H887" i="31"/>
  <c r="P550" i="31"/>
  <c r="H519" i="31"/>
  <c r="P847" i="31"/>
  <c r="AY11" i="35"/>
  <c r="N63" i="31"/>
  <c r="P869" i="31"/>
  <c r="AI866" i="31" s="1"/>
  <c r="P739" i="31"/>
  <c r="AI736" i="31" s="1"/>
  <c r="P548" i="31"/>
  <c r="P677" i="31"/>
  <c r="AI674" i="31" s="1"/>
  <c r="P803" i="31"/>
  <c r="T800" i="31" s="1"/>
  <c r="P89" i="31"/>
  <c r="N1049" i="31"/>
  <c r="U88" i="27"/>
  <c r="BE85" i="27"/>
  <c r="BF85" i="27" s="1"/>
  <c r="I87" i="27"/>
  <c r="J87" i="27" s="1"/>
  <c r="BB381" i="4"/>
  <c r="O9" i="31"/>
  <c r="AA53" i="30"/>
  <c r="G10" i="27"/>
  <c r="F1049" i="31"/>
  <c r="P1047" i="31"/>
  <c r="BB382" i="4"/>
  <c r="G127" i="27"/>
  <c r="P756" i="31"/>
  <c r="N757" i="31"/>
  <c r="F113" i="31"/>
  <c r="P112" i="31"/>
  <c r="P1046" i="31"/>
  <c r="BB383" i="4"/>
  <c r="BE162" i="27"/>
  <c r="BF162" i="27" s="1"/>
  <c r="AI50" i="27"/>
  <c r="G9" i="31"/>
  <c r="N91" i="31"/>
  <c r="BB384" i="4"/>
  <c r="K9" i="31"/>
  <c r="Y45" i="27"/>
  <c r="Z45" i="27" s="1"/>
  <c r="BE45" i="27"/>
  <c r="BF45" i="27" s="1"/>
  <c r="I6" i="27"/>
  <c r="J6" i="27" s="1"/>
  <c r="BB385" i="4"/>
  <c r="P94" i="31"/>
  <c r="H95" i="31"/>
  <c r="BB386" i="4"/>
  <c r="E166" i="27"/>
  <c r="BB387" i="4"/>
  <c r="AA95" i="30"/>
  <c r="L887" i="31"/>
  <c r="P886" i="31"/>
  <c r="U10" i="27"/>
  <c r="Y161" i="27"/>
  <c r="Z161" i="27" s="1"/>
  <c r="U50" i="27"/>
  <c r="BE8" i="27"/>
  <c r="BF8" i="27" s="1"/>
  <c r="BE123" i="27"/>
  <c r="BF123" i="27" s="1"/>
  <c r="P755" i="31"/>
  <c r="J757" i="31"/>
  <c r="U127" i="27"/>
  <c r="N1125" i="31"/>
  <c r="P1122" i="31"/>
  <c r="BB388" i="4"/>
  <c r="BB389" i="4"/>
  <c r="Y53" i="30"/>
  <c r="AA1" i="31"/>
  <c r="AA10" i="31" s="1"/>
  <c r="Y125" i="27"/>
  <c r="Z125" i="27" s="1"/>
  <c r="BB390" i="4"/>
  <c r="I47" i="27"/>
  <c r="J47" i="27" s="1"/>
  <c r="AA8" i="31"/>
  <c r="I9" i="27"/>
  <c r="J9" i="27" s="1"/>
  <c r="I125" i="27"/>
  <c r="J125" i="27" s="1"/>
  <c r="I9" i="31"/>
  <c r="G88" i="27"/>
  <c r="AL95" i="30"/>
  <c r="AL74" i="30"/>
  <c r="AY88" i="27"/>
  <c r="Y10" i="30"/>
  <c r="P13" i="31"/>
  <c r="AI10" i="31" s="1"/>
  <c r="N74" i="30"/>
  <c r="E53" i="30"/>
  <c r="AJ10" i="30"/>
  <c r="P10" i="30"/>
  <c r="AO7" i="27"/>
  <c r="AP7" i="27" s="1"/>
  <c r="AO84" i="27"/>
  <c r="AP84" i="27" s="1"/>
  <c r="Y32" i="30"/>
  <c r="AO6" i="27"/>
  <c r="AP6" i="27" s="1"/>
  <c r="BB393" i="4"/>
  <c r="AK10" i="27"/>
  <c r="E95" i="30"/>
  <c r="AA2" i="31"/>
  <c r="Y74" i="30"/>
  <c r="E32" i="30"/>
  <c r="AA32" i="30"/>
  <c r="Y49" i="27"/>
  <c r="AO83" i="27"/>
  <c r="AI88" i="27"/>
  <c r="BE6" i="27"/>
  <c r="BF6" i="27" s="1"/>
  <c r="AY10" i="27"/>
  <c r="N52" i="27"/>
  <c r="I162" i="27"/>
  <c r="J162" i="27" s="1"/>
  <c r="G50" i="27"/>
  <c r="BB394" i="4"/>
  <c r="C53" i="30"/>
  <c r="AL10" i="30"/>
  <c r="E10" i="27"/>
  <c r="Y163" i="27"/>
  <c r="Z163" i="27" s="1"/>
  <c r="S166" i="27"/>
  <c r="Y165" i="27"/>
  <c r="Z165" i="27" s="1"/>
  <c r="N53" i="30"/>
  <c r="AI127" i="27"/>
  <c r="AO122" i="27"/>
  <c r="AP122" i="27" s="1"/>
  <c r="Y6" i="27"/>
  <c r="Z6" i="27" s="1"/>
  <c r="S10" i="27"/>
  <c r="I123" i="27"/>
  <c r="J123" i="27" s="1"/>
  <c r="BE161" i="27"/>
  <c r="AY166" i="27"/>
  <c r="BA50" i="27"/>
  <c r="BE165" i="27"/>
  <c r="BF165" i="27" s="1"/>
  <c r="I165" i="27"/>
  <c r="C166" i="27"/>
  <c r="Y124" i="27"/>
  <c r="Z124" i="27" s="1"/>
  <c r="W127" i="27"/>
  <c r="BE83" i="27"/>
  <c r="BA88" i="27"/>
  <c r="BE46" i="27"/>
  <c r="AY50" i="27"/>
  <c r="BA10" i="27"/>
  <c r="BE5" i="27"/>
  <c r="W166" i="27"/>
  <c r="BC10" i="27"/>
  <c r="Y162" i="27"/>
  <c r="P53" i="30"/>
  <c r="AO50" i="27"/>
  <c r="AO165" i="27"/>
  <c r="AP165" i="27" s="1"/>
  <c r="Y122" i="27"/>
  <c r="S127" i="27"/>
  <c r="AO8" i="27"/>
  <c r="AP8" i="27" s="1"/>
  <c r="AI10" i="27"/>
  <c r="BE126" i="27"/>
  <c r="BF126" i="27" s="1"/>
  <c r="AK127" i="27"/>
  <c r="BC88" i="27"/>
  <c r="I5" i="27"/>
  <c r="C10" i="27"/>
  <c r="I7" i="27"/>
  <c r="J7" i="27" s="1"/>
  <c r="AI166" i="27"/>
  <c r="AO161" i="27"/>
  <c r="BE122" i="27"/>
  <c r="BA127" i="27"/>
  <c r="I126" i="27"/>
  <c r="C127" i="27"/>
  <c r="I48" i="27"/>
  <c r="C50" i="27"/>
  <c r="Y87" i="27"/>
  <c r="C95" i="30"/>
  <c r="AJ74" i="30"/>
  <c r="BB395" i="4"/>
  <c r="AP126" i="27"/>
  <c r="I83" i="27"/>
  <c r="C88" i="27"/>
  <c r="W10" i="27"/>
  <c r="Y5" i="27"/>
  <c r="P74" i="30"/>
  <c r="P639" i="31"/>
  <c r="AI636" i="31" s="1"/>
  <c r="F1087" i="31"/>
  <c r="P615" i="31"/>
  <c r="T612" i="31" s="1"/>
  <c r="P593" i="31"/>
  <c r="T590" i="31" s="1"/>
  <c r="P731" i="31"/>
  <c r="AI728" i="31" s="1"/>
  <c r="P707" i="31"/>
  <c r="AI704" i="31" s="1"/>
  <c r="P619" i="31"/>
  <c r="AI616" i="31" s="1"/>
  <c r="P831" i="31"/>
  <c r="P623" i="31"/>
  <c r="P819" i="31"/>
  <c r="P711" i="31"/>
  <c r="P72" i="31"/>
  <c r="P635" i="31"/>
  <c r="AI632" i="31" s="1"/>
  <c r="P723" i="31"/>
  <c r="P569" i="31"/>
  <c r="P823" i="31"/>
  <c r="T820" i="31" s="1"/>
  <c r="P577" i="31"/>
  <c r="AI574" i="31" s="1"/>
  <c r="P74" i="31"/>
  <c r="P961" i="31"/>
  <c r="P1048" i="31"/>
  <c r="H1049" i="31"/>
  <c r="P949" i="31"/>
  <c r="P933" i="31"/>
  <c r="T930" i="31" s="1"/>
  <c r="P601" i="31"/>
  <c r="T598" i="31" s="1"/>
  <c r="P715" i="31"/>
  <c r="P631" i="31"/>
  <c r="T628" i="31" s="1"/>
  <c r="P969" i="31"/>
  <c r="P581" i="31"/>
  <c r="T578" i="31" s="1"/>
  <c r="J117" i="31"/>
  <c r="P585" i="31"/>
  <c r="P485" i="31"/>
  <c r="AI482" i="31" s="1"/>
  <c r="P527" i="31"/>
  <c r="T524" i="31" s="1"/>
  <c r="P547" i="31"/>
  <c r="P873" i="31"/>
  <c r="P727" i="31"/>
  <c r="AI724" i="31" s="1"/>
  <c r="P597" i="31"/>
  <c r="AI594" i="31" s="1"/>
  <c r="P531" i="31"/>
  <c r="T528" i="31" s="1"/>
  <c r="L63" i="31"/>
  <c r="P509" i="31"/>
  <c r="P901" i="31"/>
  <c r="J903" i="31"/>
  <c r="F1033" i="31"/>
  <c r="P1032" i="31"/>
  <c r="P1102" i="31"/>
  <c r="F1103" i="31"/>
  <c r="P543" i="31"/>
  <c r="AI540" i="31" s="1"/>
  <c r="AA49" i="27"/>
  <c r="P157" i="31"/>
  <c r="P565" i="31"/>
  <c r="AI562" i="31" s="1"/>
  <c r="P431" i="31"/>
  <c r="AI428" i="31" s="1"/>
  <c r="P539" i="31"/>
  <c r="AI536" i="31" s="1"/>
  <c r="P14" i="31"/>
  <c r="P335" i="31"/>
  <c r="P32" i="31"/>
  <c r="P477" i="31"/>
  <c r="P493" i="31"/>
  <c r="T490" i="31" s="1"/>
  <c r="P505" i="31"/>
  <c r="P413" i="31"/>
  <c r="T410" i="31" s="1"/>
  <c r="P444" i="31"/>
  <c r="P501" i="31"/>
  <c r="T498" i="31" s="1"/>
  <c r="P182" i="31"/>
  <c r="P451" i="31"/>
  <c r="T448" i="31" s="1"/>
  <c r="AA48" i="27"/>
  <c r="P455" i="31"/>
  <c r="P463" i="31"/>
  <c r="T460" i="31" s="1"/>
  <c r="P301" i="31"/>
  <c r="P439" i="31"/>
  <c r="BI52" i="27"/>
  <c r="F53" i="30"/>
  <c r="I50" i="30" s="1"/>
  <c r="K47" i="27"/>
  <c r="P750" i="31"/>
  <c r="P293" i="31"/>
  <c r="AI290" i="31" s="1"/>
  <c r="N167" i="31"/>
  <c r="P61" i="31"/>
  <c r="P185" i="31"/>
  <c r="J183" i="31"/>
  <c r="P165" i="31"/>
  <c r="L159" i="31"/>
  <c r="P159" i="31" s="1"/>
  <c r="P393" i="31"/>
  <c r="T390" i="31" s="1"/>
  <c r="P114" i="31"/>
  <c r="F385" i="31"/>
  <c r="P385" i="31" s="1"/>
  <c r="L205" i="31"/>
  <c r="P205" i="31" s="1"/>
  <c r="P889" i="31"/>
  <c r="J891" i="31"/>
  <c r="F41" i="31"/>
  <c r="X50" i="27"/>
  <c r="AD50" i="27" s="1"/>
  <c r="AA47" i="27"/>
  <c r="P166" i="31"/>
  <c r="P128" i="31"/>
  <c r="P70" i="31"/>
  <c r="AA46" i="27"/>
  <c r="P93" i="31"/>
  <c r="F95" i="31"/>
  <c r="P347" i="31"/>
  <c r="P127" i="31"/>
  <c r="F179" i="31"/>
  <c r="N155" i="31"/>
  <c r="P155" i="31" s="1"/>
  <c r="P62" i="31"/>
  <c r="F63" i="31"/>
  <c r="J163" i="31"/>
  <c r="P325" i="31"/>
  <c r="T322" i="31" s="1"/>
  <c r="D10" i="30"/>
  <c r="H167" i="31"/>
  <c r="D74" i="30"/>
  <c r="F71" i="31"/>
  <c r="F1071" i="31"/>
  <c r="P1070" i="31"/>
  <c r="P902" i="31"/>
  <c r="H903" i="31"/>
  <c r="P213" i="31"/>
  <c r="T210" i="31" s="1"/>
  <c r="P217" i="31"/>
  <c r="P33" i="31"/>
  <c r="F74" i="30"/>
  <c r="I71" i="30" s="1"/>
  <c r="F129" i="31"/>
  <c r="T50" i="27"/>
  <c r="P267" i="31"/>
  <c r="P339" i="31"/>
  <c r="P297" i="31"/>
  <c r="T1026" i="31"/>
  <c r="P103" i="31"/>
  <c r="L105" i="31"/>
  <c r="V50" i="27"/>
  <c r="AD47" i="27" s="1"/>
  <c r="P447" i="31"/>
  <c r="P180" i="31"/>
  <c r="P321" i="31"/>
  <c r="AI318" i="31" s="1"/>
  <c r="O53" i="30"/>
  <c r="AI1026" i="31"/>
  <c r="N17" i="31"/>
  <c r="P60" i="31"/>
  <c r="P209" i="31"/>
  <c r="AI206" i="31" s="1"/>
  <c r="AI1150" i="31"/>
  <c r="P153" i="31"/>
  <c r="H105" i="31"/>
  <c r="P287" i="31"/>
  <c r="J105" i="31"/>
  <c r="AA45" i="27"/>
  <c r="P126" i="31"/>
  <c r="H175" i="31"/>
  <c r="P175" i="31" s="1"/>
  <c r="N351" i="31"/>
  <c r="P351" i="31" s="1"/>
  <c r="T348" i="31" s="1"/>
  <c r="O32" i="30"/>
  <c r="P343" i="31"/>
  <c r="Q53" i="30"/>
  <c r="T50" i="30" s="1"/>
  <c r="P173" i="31"/>
  <c r="P401" i="31"/>
  <c r="P389" i="31"/>
  <c r="P367" i="31"/>
  <c r="P918" i="31"/>
  <c r="H919" i="31"/>
  <c r="F919" i="31"/>
  <c r="P916" i="31"/>
  <c r="P118" i="31"/>
  <c r="F10" i="30"/>
  <c r="I7" i="30" s="1"/>
  <c r="P26" i="31"/>
  <c r="K9" i="27"/>
  <c r="P186" i="31"/>
  <c r="P313" i="31"/>
  <c r="P263" i="31"/>
  <c r="P289" i="31"/>
  <c r="T286" i="31" s="1"/>
  <c r="P371" i="31"/>
  <c r="T368" i="31" s="1"/>
  <c r="J887" i="31"/>
  <c r="P884" i="31"/>
  <c r="P69" i="31"/>
  <c r="P305" i="31"/>
  <c r="T302" i="31" s="1"/>
  <c r="P247" i="31"/>
  <c r="T244" i="31" s="1"/>
  <c r="P197" i="31"/>
  <c r="T194" i="31" s="1"/>
  <c r="H163" i="31"/>
  <c r="P760" i="31"/>
  <c r="P381" i="31"/>
  <c r="P152" i="31"/>
  <c r="N121" i="31"/>
  <c r="P119" i="31"/>
  <c r="P317" i="31"/>
  <c r="P279" i="31"/>
  <c r="T276" i="31" s="1"/>
  <c r="P184" i="31"/>
  <c r="J693" i="31"/>
  <c r="P693" i="31" s="1"/>
  <c r="P692" i="31"/>
  <c r="P876" i="31"/>
  <c r="F877" i="31"/>
  <c r="P877" i="31" s="1"/>
  <c r="P221" i="31"/>
  <c r="AI218" i="31" s="1"/>
  <c r="P35" i="31"/>
  <c r="P104" i="31"/>
  <c r="F785" i="31"/>
  <c r="P782" i="31"/>
  <c r="F50" i="27"/>
  <c r="N47" i="27" s="1"/>
  <c r="J753" i="31"/>
  <c r="P170" i="31"/>
  <c r="P417" i="31"/>
  <c r="AI414" i="31" s="1"/>
  <c r="P154" i="31"/>
  <c r="H187" i="31"/>
  <c r="D50" i="27"/>
  <c r="M45" i="27"/>
  <c r="D53" i="30"/>
  <c r="N37" i="31"/>
  <c r="K48" i="27"/>
  <c r="P363" i="31"/>
  <c r="P759" i="31"/>
  <c r="P359" i="31"/>
  <c r="P271" i="31"/>
  <c r="P251" i="31"/>
  <c r="T248" i="31" s="1"/>
  <c r="K46" i="27"/>
  <c r="H979" i="31"/>
  <c r="P978" i="31"/>
  <c r="P900" i="31"/>
  <c r="F903" i="31"/>
  <c r="AS6" i="27"/>
  <c r="AQ8" i="27"/>
  <c r="P780" i="31"/>
  <c r="N781" i="31"/>
  <c r="F689" i="31"/>
  <c r="P689" i="31" s="1"/>
  <c r="K8" i="27"/>
  <c r="P409" i="31"/>
  <c r="P1058" i="31"/>
  <c r="H1061" i="31"/>
  <c r="P1061" i="31" s="1"/>
  <c r="N473" i="31"/>
  <c r="P471" i="31"/>
  <c r="AU5" i="27"/>
  <c r="AQ7" i="27"/>
  <c r="L481" i="31"/>
  <c r="P478" i="31"/>
  <c r="F10" i="27"/>
  <c r="N7" i="27" s="1"/>
  <c r="N8" i="27"/>
  <c r="AQ6" i="27"/>
  <c r="AT5" i="27"/>
  <c r="P225" i="31"/>
  <c r="N179" i="31"/>
  <c r="F781" i="31"/>
  <c r="P778" i="31"/>
  <c r="AS5" i="27"/>
  <c r="AQ5" i="27"/>
  <c r="AJ10" i="27"/>
  <c r="AQ9" i="27"/>
  <c r="AT6" i="27"/>
  <c r="K6" i="27"/>
  <c r="AS11" i="27"/>
  <c r="AN10" i="27"/>
  <c r="AT10" i="27" s="1"/>
  <c r="H765" i="31"/>
  <c r="P765" i="31" s="1"/>
  <c r="P763" i="31"/>
  <c r="AL10" i="27"/>
  <c r="AT7" i="27" s="1"/>
  <c r="AS8" i="27"/>
  <c r="K5" i="27"/>
  <c r="M11" i="27"/>
  <c r="H10" i="27"/>
  <c r="N10" i="27" s="1"/>
  <c r="N427" i="31"/>
  <c r="L473" i="31"/>
  <c r="P470" i="31"/>
  <c r="AD123" i="27"/>
  <c r="AE125" i="27"/>
  <c r="F673" i="31"/>
  <c r="P673" i="31" s="1"/>
  <c r="K7" i="27"/>
  <c r="Q32" i="30"/>
  <c r="T29" i="30" s="1"/>
  <c r="P229" i="31"/>
  <c r="H915" i="31"/>
  <c r="P914" i="31"/>
  <c r="H761" i="31"/>
  <c r="F891" i="31"/>
  <c r="P888" i="31"/>
  <c r="P656" i="31"/>
  <c r="F657" i="31"/>
  <c r="P657" i="31" s="1"/>
  <c r="AC6" i="27"/>
  <c r="AA8" i="27"/>
  <c r="BG9" i="27"/>
  <c r="BJ6" i="27"/>
  <c r="F105" i="31"/>
  <c r="P102" i="31"/>
  <c r="AA7" i="27"/>
  <c r="AE5" i="27"/>
  <c r="P46" i="31"/>
  <c r="P668" i="31"/>
  <c r="F669" i="31"/>
  <c r="P669" i="31" s="1"/>
  <c r="F1025" i="31"/>
  <c r="P1025" i="31" s="1"/>
  <c r="P1023" i="31"/>
  <c r="BI8" i="27"/>
  <c r="BG5" i="27"/>
  <c r="BB10" i="27"/>
  <c r="BJ7" i="27" s="1"/>
  <c r="BI6" i="27"/>
  <c r="BG8" i="27"/>
  <c r="BJ8" i="27"/>
  <c r="BG6" i="27"/>
  <c r="Z10" i="30"/>
  <c r="AE4" i="30" s="1"/>
  <c r="P1076" i="31"/>
  <c r="F1079" i="31"/>
  <c r="P1079" i="31" s="1"/>
  <c r="P855" i="31"/>
  <c r="L857" i="31"/>
  <c r="P857" i="31" s="1"/>
  <c r="AA9" i="27"/>
  <c r="AD12" i="27"/>
  <c r="AD5" i="27"/>
  <c r="AA6" i="27"/>
  <c r="V10" i="27"/>
  <c r="AD7" i="27" s="1"/>
  <c r="AC8" i="27"/>
  <c r="P309" i="31"/>
  <c r="F37" i="31"/>
  <c r="BI11" i="27"/>
  <c r="BD10" i="27"/>
  <c r="BJ10" i="27" s="1"/>
  <c r="BK5" i="27"/>
  <c r="BG7" i="27"/>
  <c r="AZ10" i="27"/>
  <c r="BJ4" i="27" s="1"/>
  <c r="P783" i="31"/>
  <c r="N785" i="31"/>
  <c r="F761" i="31"/>
  <c r="P758" i="31"/>
  <c r="F915" i="31"/>
  <c r="P912" i="31"/>
  <c r="H753" i="31"/>
  <c r="P752" i="31"/>
  <c r="J761" i="31"/>
  <c r="H1057" i="31"/>
  <c r="P1057" i="31" s="1"/>
  <c r="P1054" i="31"/>
  <c r="N187" i="31"/>
  <c r="AC11" i="27"/>
  <c r="X10" i="27"/>
  <c r="AD10" i="27" s="1"/>
  <c r="AC5" i="27"/>
  <c r="T10" i="27"/>
  <c r="AA5" i="27"/>
  <c r="AD9" i="30"/>
  <c r="AB10" i="30"/>
  <c r="AE7" i="30" s="1"/>
  <c r="P255" i="31"/>
  <c r="AI252" i="31" s="1"/>
  <c r="P243" i="31"/>
  <c r="P201" i="31"/>
  <c r="P355" i="31"/>
  <c r="P45" i="31"/>
  <c r="P21" i="31"/>
  <c r="P259" i="31"/>
  <c r="P275" i="31"/>
  <c r="P47" i="31"/>
  <c r="H49" i="31"/>
  <c r="P49" i="31" s="1"/>
  <c r="S8" i="30"/>
  <c r="Q10" i="30"/>
  <c r="T7" i="30" s="1"/>
  <c r="O10" i="30"/>
  <c r="S5" i="30"/>
  <c r="F32" i="30"/>
  <c r="I29" i="30" s="1"/>
  <c r="BD11" i="4"/>
  <c r="BB11" i="4"/>
  <c r="D32" i="30"/>
  <c r="AT49" i="27"/>
  <c r="P233" i="31"/>
  <c r="P551" i="31" l="1"/>
  <c r="P459" i="31"/>
  <c r="AI950" i="31"/>
  <c r="T988" i="31"/>
  <c r="P589" i="31"/>
  <c r="AI586" i="31" s="1"/>
  <c r="P121" i="31"/>
  <c r="BG46" i="27"/>
  <c r="T1114" i="31"/>
  <c r="P535" i="31"/>
  <c r="P75" i="31"/>
  <c r="T72" i="31" s="1"/>
  <c r="P405" i="31"/>
  <c r="T1042" i="31"/>
  <c r="P573" i="31"/>
  <c r="T570" i="31" s="1"/>
  <c r="P643" i="31"/>
  <c r="T640" i="31" s="1"/>
  <c r="P611" i="31"/>
  <c r="T608" i="31" s="1"/>
  <c r="P719" i="31"/>
  <c r="T716" i="31" s="1"/>
  <c r="AI896" i="31"/>
  <c r="AI1130" i="31"/>
  <c r="AI766" i="31"/>
  <c r="P627" i="31"/>
  <c r="P59" i="31"/>
  <c r="V56" i="31" s="1"/>
  <c r="P703" i="31"/>
  <c r="AI1134" i="31"/>
  <c r="P735" i="31"/>
  <c r="P811" i="31"/>
  <c r="V808" i="31" s="1"/>
  <c r="AI106" i="31"/>
  <c r="T980" i="31"/>
  <c r="BG45" i="27"/>
  <c r="P827" i="31"/>
  <c r="AI824" i="31" s="1"/>
  <c r="T904" i="31"/>
  <c r="AI904" i="31"/>
  <c r="AZ50" i="27"/>
  <c r="BJ44" i="27" s="1"/>
  <c r="P171" i="31"/>
  <c r="T168" i="31" s="1"/>
  <c r="AI1034" i="31"/>
  <c r="BG49" i="27"/>
  <c r="P795" i="31"/>
  <c r="T792" i="31" s="1"/>
  <c r="T1038" i="31"/>
  <c r="AI1038" i="31"/>
  <c r="T1004" i="31"/>
  <c r="T850" i="31"/>
  <c r="P497" i="31"/>
  <c r="P979" i="31"/>
  <c r="AI774" i="31"/>
  <c r="BJ46" i="27"/>
  <c r="T1096" i="31"/>
  <c r="AI996" i="31"/>
  <c r="P957" i="31"/>
  <c r="T954" i="31" s="1"/>
  <c r="P137" i="31"/>
  <c r="AI134" i="31" s="1"/>
  <c r="AI934" i="31"/>
  <c r="P941" i="31"/>
  <c r="AI938" i="31" s="1"/>
  <c r="BB50" i="27"/>
  <c r="BJ47" i="27" s="1"/>
  <c r="BG48" i="27"/>
  <c r="AI80" i="31"/>
  <c r="AI1142" i="31"/>
  <c r="T1126" i="31"/>
  <c r="P1125" i="31"/>
  <c r="AI1122" i="31" s="1"/>
  <c r="AI138" i="31"/>
  <c r="P71" i="31"/>
  <c r="AI68" i="31" s="1"/>
  <c r="AI1146" i="31"/>
  <c r="BD50" i="27"/>
  <c r="BJ50" i="27" s="1"/>
  <c r="P1011" i="31"/>
  <c r="T1008" i="31" s="1"/>
  <c r="T1000" i="31"/>
  <c r="AI1118" i="31"/>
  <c r="AI1092" i="31"/>
  <c r="BG47" i="27"/>
  <c r="P133" i="31"/>
  <c r="T130" i="31" s="1"/>
  <c r="T14" i="31"/>
  <c r="T962" i="31"/>
  <c r="P29" i="31"/>
  <c r="AI26" i="31" s="1"/>
  <c r="T920" i="31"/>
  <c r="AI920" i="31"/>
  <c r="AI1072" i="31"/>
  <c r="T1072" i="31"/>
  <c r="P995" i="31"/>
  <c r="AI992" i="31" s="1"/>
  <c r="P1141" i="31"/>
  <c r="T1138" i="31" s="1"/>
  <c r="AI1104" i="31"/>
  <c r="T1104" i="31"/>
  <c r="T1012" i="31"/>
  <c r="T746" i="31"/>
  <c r="T1088" i="31"/>
  <c r="AA126" i="27"/>
  <c r="T838" i="31"/>
  <c r="AI842" i="31"/>
  <c r="T908" i="31"/>
  <c r="AI804" i="31"/>
  <c r="T1050" i="31"/>
  <c r="T1080" i="31"/>
  <c r="AI658" i="31"/>
  <c r="AA83" i="27"/>
  <c r="T984" i="31"/>
  <c r="P67" i="31"/>
  <c r="AI892" i="31"/>
  <c r="AQ49" i="27"/>
  <c r="V166" i="27"/>
  <c r="AD163" i="27" s="1"/>
  <c r="K86" i="27"/>
  <c r="AI122" i="31"/>
  <c r="AA165" i="27"/>
  <c r="P117" i="31"/>
  <c r="T114" i="31" s="1"/>
  <c r="AL50" i="27"/>
  <c r="AT47" i="27" s="1"/>
  <c r="V127" i="27"/>
  <c r="AD124" i="27" s="1"/>
  <c r="P443" i="31"/>
  <c r="V440" i="31" s="1"/>
  <c r="K87" i="27"/>
  <c r="D95" i="30"/>
  <c r="F95" i="30"/>
  <c r="I92" i="30" s="1"/>
  <c r="BG11" i="4"/>
  <c r="BG381" i="4"/>
  <c r="AQ48" i="27"/>
  <c r="K83" i="27"/>
  <c r="AA122" i="27"/>
  <c r="T127" i="27"/>
  <c r="K85" i="27"/>
  <c r="AN50" i="27"/>
  <c r="AT50" i="27" s="1"/>
  <c r="AA124" i="27"/>
  <c r="AQ47" i="27"/>
  <c r="T88" i="27"/>
  <c r="F88" i="27"/>
  <c r="N85" i="27" s="1"/>
  <c r="AA163" i="27"/>
  <c r="AA164" i="27"/>
  <c r="AA125" i="27"/>
  <c r="T166" i="27"/>
  <c r="P1033" i="31"/>
  <c r="T1030" i="31" s="1"/>
  <c r="P25" i="31"/>
  <c r="T22" i="31" s="1"/>
  <c r="D88" i="27"/>
  <c r="P681" i="31"/>
  <c r="AI678" i="31" s="1"/>
  <c r="N81" i="30"/>
  <c r="Q70" i="30"/>
  <c r="T72" i="30" s="1"/>
  <c r="P79" i="30"/>
  <c r="Q73" i="30"/>
  <c r="T73" i="30" s="1"/>
  <c r="P75" i="30"/>
  <c r="R66" i="30"/>
  <c r="Q71" i="30"/>
  <c r="U72" i="30" s="1"/>
  <c r="N80" i="30"/>
  <c r="O73" i="30"/>
  <c r="T70" i="30" s="1"/>
  <c r="P76" i="30"/>
  <c r="O72" i="30"/>
  <c r="S70" i="30" s="1"/>
  <c r="P80" i="30"/>
  <c r="N75" i="30"/>
  <c r="Q72" i="30"/>
  <c r="S73" i="30" s="1"/>
  <c r="N77" i="30"/>
  <c r="N79" i="30"/>
  <c r="O70" i="30"/>
  <c r="T69" i="30" s="1"/>
  <c r="P81" i="30"/>
  <c r="M78" i="30"/>
  <c r="P77" i="30"/>
  <c r="O69" i="30"/>
  <c r="O71" i="30"/>
  <c r="U69" i="30" s="1"/>
  <c r="N76" i="30"/>
  <c r="Q69" i="30"/>
  <c r="I133" i="27"/>
  <c r="W131" i="27"/>
  <c r="E133" i="27"/>
  <c r="W130" i="27"/>
  <c r="G135" i="27"/>
  <c r="AM130" i="27"/>
  <c r="E130" i="27"/>
  <c r="C128" i="27"/>
  <c r="H124" i="27"/>
  <c r="O128" i="27" s="1"/>
  <c r="E131" i="27"/>
  <c r="D124" i="27"/>
  <c r="AM131" i="27"/>
  <c r="G134" i="27"/>
  <c r="H123" i="27"/>
  <c r="N128" i="27" s="1"/>
  <c r="E135" i="27"/>
  <c r="C134" i="27"/>
  <c r="G130" i="27"/>
  <c r="E134" i="27"/>
  <c r="D125" i="27"/>
  <c r="C133" i="27"/>
  <c r="BC131" i="27"/>
  <c r="C130" i="27"/>
  <c r="G131" i="27"/>
  <c r="C129" i="27"/>
  <c r="D123" i="27"/>
  <c r="D126" i="27"/>
  <c r="BC130" i="27"/>
  <c r="C135" i="27"/>
  <c r="F125" i="27"/>
  <c r="M126" i="27" s="1"/>
  <c r="E129" i="27"/>
  <c r="H125" i="27"/>
  <c r="M129" i="27" s="1"/>
  <c r="F124" i="27"/>
  <c r="O125" i="27" s="1"/>
  <c r="F123" i="27"/>
  <c r="N125" i="27" s="1"/>
  <c r="D122" i="27"/>
  <c r="F122" i="27"/>
  <c r="G133" i="27"/>
  <c r="F126" i="27"/>
  <c r="N126" i="27" s="1"/>
  <c r="C131" i="27"/>
  <c r="H122" i="27"/>
  <c r="H126" i="27"/>
  <c r="N129" i="27" s="1"/>
  <c r="G129" i="27"/>
  <c r="BI133" i="27"/>
  <c r="BK157" i="27"/>
  <c r="BI172" i="27" s="1"/>
  <c r="K84" i="27"/>
  <c r="N83" i="27"/>
  <c r="AT45" i="27"/>
  <c r="AQ46" i="27"/>
  <c r="AC128" i="27"/>
  <c r="X127" i="27"/>
  <c r="AD127" i="27" s="1"/>
  <c r="AD122" i="27"/>
  <c r="AA123" i="27"/>
  <c r="AD84" i="27"/>
  <c r="AA87" i="27"/>
  <c r="Y50" i="27"/>
  <c r="AU157" i="27"/>
  <c r="AS172" i="27" s="1"/>
  <c r="AS133" i="27"/>
  <c r="E173" i="27"/>
  <c r="W170" i="27"/>
  <c r="AM169" i="27"/>
  <c r="G174" i="27"/>
  <c r="E172" i="27"/>
  <c r="AM170" i="27"/>
  <c r="G173" i="27"/>
  <c r="F162" i="27"/>
  <c r="N164" i="27" s="1"/>
  <c r="H161" i="27"/>
  <c r="E174" i="27"/>
  <c r="C173" i="27"/>
  <c r="H163" i="27"/>
  <c r="O167" i="27" s="1"/>
  <c r="C174" i="27"/>
  <c r="H165" i="27"/>
  <c r="N168" i="27" s="1"/>
  <c r="F161" i="27"/>
  <c r="G172" i="27"/>
  <c r="C172" i="27"/>
  <c r="W169" i="27"/>
  <c r="F165" i="27"/>
  <c r="N165" i="27" s="1"/>
  <c r="D163" i="27"/>
  <c r="E170" i="27"/>
  <c r="BC170" i="27"/>
  <c r="G168" i="27"/>
  <c r="G169" i="27"/>
  <c r="C168" i="27"/>
  <c r="E168" i="27"/>
  <c r="H162" i="27"/>
  <c r="N167" i="27" s="1"/>
  <c r="H164" i="27"/>
  <c r="M168" i="27" s="1"/>
  <c r="D164" i="27"/>
  <c r="D162" i="27"/>
  <c r="G170" i="27"/>
  <c r="F164" i="27"/>
  <c r="M165" i="27" s="1"/>
  <c r="I172" i="27"/>
  <c r="C167" i="27"/>
  <c r="D165" i="27"/>
  <c r="E169" i="27"/>
  <c r="BC169" i="27"/>
  <c r="F163" i="27"/>
  <c r="O164" i="27" s="1"/>
  <c r="C170" i="27"/>
  <c r="C169" i="27"/>
  <c r="D161" i="27"/>
  <c r="AY94" i="27"/>
  <c r="BA95" i="27"/>
  <c r="BD84" i="27"/>
  <c r="BJ89" i="27" s="1"/>
  <c r="BD85" i="27"/>
  <c r="BK89" i="27" s="1"/>
  <c r="AY90" i="27"/>
  <c r="BD87" i="27"/>
  <c r="BJ90" i="27" s="1"/>
  <c r="AY89" i="27"/>
  <c r="BD83" i="27"/>
  <c r="BC90" i="27"/>
  <c r="BB85" i="27"/>
  <c r="BK86" i="27" s="1"/>
  <c r="AY92" i="27"/>
  <c r="AY96" i="27"/>
  <c r="BA96" i="27"/>
  <c r="BB86" i="27"/>
  <c r="BI87" i="27" s="1"/>
  <c r="BA91" i="27"/>
  <c r="AZ87" i="27"/>
  <c r="AY95" i="27"/>
  <c r="BC94" i="27"/>
  <c r="BE94" i="27"/>
  <c r="BB87" i="27"/>
  <c r="BJ87" i="27" s="1"/>
  <c r="AZ86" i="27"/>
  <c r="BA90" i="27"/>
  <c r="BC95" i="27"/>
  <c r="BA94" i="27"/>
  <c r="AZ84" i="27"/>
  <c r="BD86" i="27"/>
  <c r="BI90" i="27" s="1"/>
  <c r="AZ85" i="27"/>
  <c r="AZ83" i="27"/>
  <c r="AY91" i="27"/>
  <c r="BA92" i="27"/>
  <c r="BC96" i="27"/>
  <c r="BB84" i="27"/>
  <c r="BJ86" i="27" s="1"/>
  <c r="BB83" i="27"/>
  <c r="AO36" i="30"/>
  <c r="AQ44" i="30"/>
  <c r="AE83" i="27"/>
  <c r="AA85" i="27"/>
  <c r="P79" i="31"/>
  <c r="AI96" i="27"/>
  <c r="AK96" i="27"/>
  <c r="AN85" i="27"/>
  <c r="AU89" i="27" s="1"/>
  <c r="AI91" i="27"/>
  <c r="AL86" i="27"/>
  <c r="AS87" i="27" s="1"/>
  <c r="AI89" i="27"/>
  <c r="AL83" i="27"/>
  <c r="AI94" i="27"/>
  <c r="AJ85" i="27"/>
  <c r="AM95" i="27"/>
  <c r="AM94" i="27"/>
  <c r="AK92" i="27"/>
  <c r="AJ84" i="27"/>
  <c r="AJ86" i="27"/>
  <c r="AM96" i="27"/>
  <c r="AN87" i="27"/>
  <c r="AT90" i="27" s="1"/>
  <c r="AL84" i="27"/>
  <c r="AT86" i="27" s="1"/>
  <c r="AK94" i="27"/>
  <c r="AN83" i="27"/>
  <c r="AL85" i="27"/>
  <c r="AU86" i="27" s="1"/>
  <c r="AM90" i="27"/>
  <c r="AN84" i="27"/>
  <c r="AT89" i="27" s="1"/>
  <c r="AO94" i="27"/>
  <c r="AI92" i="27"/>
  <c r="AL87" i="27"/>
  <c r="AT87" i="27" s="1"/>
  <c r="AN86" i="27"/>
  <c r="AS90" i="27" s="1"/>
  <c r="AK90" i="27"/>
  <c r="AJ83" i="27"/>
  <c r="AK95" i="27"/>
  <c r="AI95" i="27"/>
  <c r="AI90" i="27"/>
  <c r="AJ87" i="27"/>
  <c r="AK91" i="27"/>
  <c r="M89" i="27"/>
  <c r="H88" i="27"/>
  <c r="N88" i="27" s="1"/>
  <c r="AL17" i="30"/>
  <c r="AL11" i="30"/>
  <c r="AL15" i="30"/>
  <c r="AM5" i="30"/>
  <c r="AL13" i="30"/>
  <c r="AN2" i="30"/>
  <c r="AM9" i="30"/>
  <c r="AP9" i="30" s="1"/>
  <c r="AM6" i="30"/>
  <c r="AP8" i="30" s="1"/>
  <c r="AK9" i="30"/>
  <c r="AP6" i="30" s="1"/>
  <c r="AM7" i="30"/>
  <c r="AQ8" i="30" s="1"/>
  <c r="AJ17" i="30"/>
  <c r="AJ16" i="30"/>
  <c r="AK5" i="30"/>
  <c r="AL16" i="30"/>
  <c r="AK7" i="30"/>
  <c r="AQ5" i="30" s="1"/>
  <c r="AJ15" i="30"/>
  <c r="AI14" i="30"/>
  <c r="AJ13" i="30"/>
  <c r="AK8" i="30"/>
  <c r="AO6" i="30" s="1"/>
  <c r="AL12" i="30"/>
  <c r="AJ12" i="30"/>
  <c r="AM8" i="30"/>
  <c r="AO9" i="30" s="1"/>
  <c r="AK6" i="30"/>
  <c r="AP5" i="30" s="1"/>
  <c r="AJ11" i="30"/>
  <c r="AC167" i="27"/>
  <c r="X166" i="27"/>
  <c r="AD166" i="27" s="1"/>
  <c r="AD57" i="30"/>
  <c r="AF65" i="30"/>
  <c r="AD83" i="27"/>
  <c r="AA84" i="27"/>
  <c r="AC89" i="27"/>
  <c r="X88" i="27"/>
  <c r="AD88" i="27" s="1"/>
  <c r="AC84" i="27"/>
  <c r="AA86" i="27"/>
  <c r="AC86" i="27"/>
  <c r="V88" i="27"/>
  <c r="AD85" i="27" s="1"/>
  <c r="AA3" i="31"/>
  <c r="O92" i="30"/>
  <c r="U90" i="30" s="1"/>
  <c r="P97" i="30"/>
  <c r="P101" i="30"/>
  <c r="N102" i="30"/>
  <c r="N100" i="30"/>
  <c r="N101" i="30"/>
  <c r="N98" i="30"/>
  <c r="Q94" i="30"/>
  <c r="T94" i="30" s="1"/>
  <c r="M99" i="30"/>
  <c r="Q93" i="30"/>
  <c r="S94" i="30" s="1"/>
  <c r="N97" i="30"/>
  <c r="Q91" i="30"/>
  <c r="T93" i="30" s="1"/>
  <c r="O90" i="30"/>
  <c r="O94" i="30"/>
  <c r="T91" i="30" s="1"/>
  <c r="Q90" i="30"/>
  <c r="O91" i="30"/>
  <c r="T90" i="30" s="1"/>
  <c r="R87" i="30"/>
  <c r="O93" i="30"/>
  <c r="S91" i="30" s="1"/>
  <c r="P102" i="30"/>
  <c r="Q92" i="30"/>
  <c r="U93" i="30" s="1"/>
  <c r="P98" i="30"/>
  <c r="P96" i="30"/>
  <c r="N96" i="30"/>
  <c r="P100" i="30"/>
  <c r="AD161" i="27"/>
  <c r="AA162" i="27"/>
  <c r="AC161" i="27"/>
  <c r="AA161" i="27"/>
  <c r="AS45" i="27"/>
  <c r="AQ45" i="27"/>
  <c r="AJ50" i="27"/>
  <c r="X36" i="30"/>
  <c r="Z31" i="30"/>
  <c r="AE28" i="30" s="1"/>
  <c r="AA33" i="30"/>
  <c r="AB29" i="30"/>
  <c r="AF30" i="30" s="1"/>
  <c r="AA34" i="30"/>
  <c r="AB31" i="30"/>
  <c r="AE31" i="30" s="1"/>
  <c r="AA37" i="30"/>
  <c r="Y39" i="30"/>
  <c r="Z27" i="30"/>
  <c r="AC24" i="30"/>
  <c r="AB30" i="30"/>
  <c r="AD31" i="30" s="1"/>
  <c r="Y37" i="30"/>
  <c r="AB27" i="30"/>
  <c r="AA35" i="30"/>
  <c r="AA38" i="30"/>
  <c r="Z29" i="30"/>
  <c r="AF27" i="30" s="1"/>
  <c r="Z28" i="30"/>
  <c r="AE27" i="30" s="1"/>
  <c r="Y35" i="30"/>
  <c r="Z30" i="30"/>
  <c r="AD28" i="30" s="1"/>
  <c r="AB28" i="30"/>
  <c r="AE30" i="30" s="1"/>
  <c r="Y38" i="30"/>
  <c r="Y34" i="30"/>
  <c r="AA39" i="30"/>
  <c r="Y33" i="30"/>
  <c r="P67" i="35"/>
  <c r="Q53" i="35"/>
  <c r="Q35" i="35"/>
  <c r="AB32" i="35"/>
  <c r="AB31" i="35"/>
  <c r="Q32" i="35"/>
  <c r="S33" i="35"/>
  <c r="AA33" i="35"/>
  <c r="T32" i="35"/>
  <c r="Y33" i="35"/>
  <c r="Z35" i="35"/>
  <c r="Q33" i="35"/>
  <c r="R33" i="35"/>
  <c r="V33" i="35"/>
  <c r="W33" i="35"/>
  <c r="Q34" i="35"/>
  <c r="X33" i="35"/>
  <c r="T33" i="35"/>
  <c r="AB33" i="35"/>
  <c r="Z34" i="35"/>
  <c r="Z33" i="35"/>
  <c r="R31" i="35"/>
  <c r="S31" i="35" s="1"/>
  <c r="T31" i="35" s="1"/>
  <c r="U31" i="35" s="1"/>
  <c r="V31" i="35" s="1"/>
  <c r="W31" i="35" s="1"/>
  <c r="X31" i="35" s="1"/>
  <c r="U33" i="35"/>
  <c r="P519" i="31"/>
  <c r="T516" i="31" s="1"/>
  <c r="AI716" i="31"/>
  <c r="P427" i="31"/>
  <c r="T424" i="31" s="1"/>
  <c r="P665" i="31"/>
  <c r="AI662" i="31" s="1"/>
  <c r="P481" i="31"/>
  <c r="V478" i="31" s="1"/>
  <c r="P849" i="31"/>
  <c r="AI846" i="31" s="1"/>
  <c r="P865" i="31"/>
  <c r="AI862" i="31" s="1"/>
  <c r="T486" i="31"/>
  <c r="AT45" i="35"/>
  <c r="AT67" i="35" s="1"/>
  <c r="AO35" i="35"/>
  <c r="AF35" i="35"/>
  <c r="K57" i="35"/>
  <c r="B57" i="35"/>
  <c r="E55" i="35"/>
  <c r="I55" i="35"/>
  <c r="C53" i="35"/>
  <c r="D53" i="35" s="1"/>
  <c r="E53" i="35" s="1"/>
  <c r="F53" i="35" s="1"/>
  <c r="G53" i="35" s="1"/>
  <c r="H53" i="35" s="1"/>
  <c r="I53" i="35" s="1"/>
  <c r="K55" i="35"/>
  <c r="M54" i="35"/>
  <c r="B54" i="35"/>
  <c r="B56" i="35"/>
  <c r="M55" i="35"/>
  <c r="E54" i="35"/>
  <c r="K56" i="35"/>
  <c r="C55" i="35"/>
  <c r="F55" i="35"/>
  <c r="J55" i="35"/>
  <c r="M53" i="35"/>
  <c r="L55" i="35"/>
  <c r="D55" i="35"/>
  <c r="H55" i="35"/>
  <c r="G55" i="35"/>
  <c r="B55" i="35"/>
  <c r="A89" i="35"/>
  <c r="B97" i="35" s="1"/>
  <c r="B75" i="35"/>
  <c r="AQ32" i="35"/>
  <c r="AG33" i="35"/>
  <c r="AI32" i="35"/>
  <c r="AG31" i="35"/>
  <c r="AH31" i="35" s="1"/>
  <c r="AI31" i="35" s="1"/>
  <c r="AJ31" i="35" s="1"/>
  <c r="AK31" i="35" s="1"/>
  <c r="AL31" i="35" s="1"/>
  <c r="AM31" i="35" s="1"/>
  <c r="AF34" i="35"/>
  <c r="AI33" i="35"/>
  <c r="AO34" i="35"/>
  <c r="AJ33" i="35"/>
  <c r="AQ33" i="35"/>
  <c r="AF32" i="35"/>
  <c r="AP33" i="35"/>
  <c r="AM33" i="35"/>
  <c r="AN33" i="35"/>
  <c r="AH33" i="35"/>
  <c r="AQ31" i="35"/>
  <c r="AO33" i="35"/>
  <c r="AK33" i="35"/>
  <c r="AL33" i="35"/>
  <c r="AF33" i="35"/>
  <c r="AF53" i="35"/>
  <c r="AE67" i="35"/>
  <c r="T796" i="31"/>
  <c r="AI858" i="31"/>
  <c r="AI644" i="31"/>
  <c r="T942" i="31"/>
  <c r="V1012" i="31"/>
  <c r="AG7" i="31"/>
  <c r="U611" i="31" s="1"/>
  <c r="V240" i="31"/>
  <c r="AI792" i="31"/>
  <c r="P1071" i="31"/>
  <c r="V1068" i="31" s="1"/>
  <c r="P95" i="31"/>
  <c r="V92" i="31" s="1"/>
  <c r="AI800" i="31"/>
  <c r="AI608" i="31"/>
  <c r="AI552" i="31"/>
  <c r="T812" i="31"/>
  <c r="P1103" i="31"/>
  <c r="V1100" i="31" s="1"/>
  <c r="P129" i="31"/>
  <c r="P151" i="31"/>
  <c r="AI148" i="31" s="1"/>
  <c r="AI640" i="31"/>
  <c r="T736" i="31"/>
  <c r="P183" i="31"/>
  <c r="T180" i="31" s="1"/>
  <c r="P1087" i="31"/>
  <c r="T1084" i="31" s="1"/>
  <c r="P113" i="31"/>
  <c r="AI110" i="31" s="1"/>
  <c r="P887" i="31"/>
  <c r="V884" i="31" s="1"/>
  <c r="P41" i="31"/>
  <c r="AI38" i="31" s="1"/>
  <c r="AI612" i="31"/>
  <c r="T616" i="31"/>
  <c r="P757" i="31"/>
  <c r="T866" i="31"/>
  <c r="T674" i="31"/>
  <c r="P91" i="31"/>
  <c r="T88" i="31" s="1"/>
  <c r="P773" i="31"/>
  <c r="V770" i="31" s="1"/>
  <c r="T1122" i="31"/>
  <c r="P1049" i="31"/>
  <c r="AI1046" i="31" s="1"/>
  <c r="V134" i="31"/>
  <c r="V908" i="31"/>
  <c r="V260" i="31"/>
  <c r="AO127" i="27"/>
  <c r="V486" i="31"/>
  <c r="AA9" i="31"/>
  <c r="U10" i="31" s="1"/>
  <c r="AA7" i="31"/>
  <c r="U825" i="31" s="1"/>
  <c r="V1150" i="31"/>
  <c r="U249" i="31"/>
  <c r="U717" i="31"/>
  <c r="Z49" i="27"/>
  <c r="U315" i="31"/>
  <c r="U319" i="31"/>
  <c r="U566" i="31"/>
  <c r="U579" i="31"/>
  <c r="U402" i="31"/>
  <c r="U399" i="31"/>
  <c r="U336" i="31"/>
  <c r="U829" i="31"/>
  <c r="U562" i="31"/>
  <c r="U821" i="31"/>
  <c r="U337" i="31"/>
  <c r="AP83" i="27"/>
  <c r="AO88" i="27"/>
  <c r="AG8" i="31"/>
  <c r="V644" i="31"/>
  <c r="V1088" i="31"/>
  <c r="V1134" i="31"/>
  <c r="V774" i="31"/>
  <c r="V1004" i="31"/>
  <c r="V1072" i="31"/>
  <c r="V796" i="31"/>
  <c r="V1038" i="31"/>
  <c r="V942" i="31"/>
  <c r="U161" i="31"/>
  <c r="U35" i="31"/>
  <c r="V378" i="31"/>
  <c r="V344" i="31"/>
  <c r="U778" i="31"/>
  <c r="V474" i="31"/>
  <c r="V620" i="31"/>
  <c r="V736" i="31"/>
  <c r="V1126" i="31"/>
  <c r="V792" i="31"/>
  <c r="V1142" i="31"/>
  <c r="V336" i="31"/>
  <c r="V456" i="31"/>
  <c r="V1138" i="31"/>
  <c r="V996" i="31"/>
  <c r="V640" i="31"/>
  <c r="V842" i="31"/>
  <c r="V156" i="31"/>
  <c r="V716" i="31"/>
  <c r="V298" i="31"/>
  <c r="V452" i="31"/>
  <c r="V548" i="31"/>
  <c r="V544" i="31"/>
  <c r="V958" i="31"/>
  <c r="V720" i="31"/>
  <c r="V828" i="31"/>
  <c r="V728" i="31"/>
  <c r="U11" i="31"/>
  <c r="V1092" i="31"/>
  <c r="V1118" i="31"/>
  <c r="V838" i="31"/>
  <c r="V1130" i="31"/>
  <c r="V1104" i="31"/>
  <c r="AG10" i="31"/>
  <c r="U1122" i="31"/>
  <c r="U939" i="31"/>
  <c r="U682" i="31"/>
  <c r="U658" i="31"/>
  <c r="U77" i="31"/>
  <c r="U1034" i="31"/>
  <c r="U905" i="31"/>
  <c r="U636" i="31"/>
  <c r="U766" i="31"/>
  <c r="U1043" i="31"/>
  <c r="U1135" i="31"/>
  <c r="U921" i="31"/>
  <c r="U774" i="31"/>
  <c r="U800" i="31"/>
  <c r="U913" i="31"/>
  <c r="U1068" i="31"/>
  <c r="U679" i="31"/>
  <c r="U1101" i="31"/>
  <c r="U666" i="31"/>
  <c r="U1088" i="31"/>
  <c r="U984" i="31"/>
  <c r="U65" i="31"/>
  <c r="U541" i="31"/>
  <c r="U394" i="31"/>
  <c r="U39" i="31"/>
  <c r="U34" i="31"/>
  <c r="U410" i="31"/>
  <c r="U341" i="31"/>
  <c r="V122" i="31"/>
  <c r="V364" i="31"/>
  <c r="V494" i="31"/>
  <c r="V264" i="31"/>
  <c r="V658" i="31"/>
  <c r="V980" i="31"/>
  <c r="V608" i="31"/>
  <c r="V746" i="31"/>
  <c r="V704" i="31"/>
  <c r="V502" i="31"/>
  <c r="V1030" i="31"/>
  <c r="V732" i="31"/>
  <c r="V682" i="31"/>
  <c r="V590" i="31"/>
  <c r="V850" i="31"/>
  <c r="V892" i="31"/>
  <c r="V766" i="31"/>
  <c r="V1096" i="31"/>
  <c r="V984" i="31"/>
  <c r="V920" i="31"/>
  <c r="AG9" i="31"/>
  <c r="U525" i="31"/>
  <c r="U874" i="31"/>
  <c r="U659" i="31"/>
  <c r="U64" i="31"/>
  <c r="U38" i="31"/>
  <c r="U407" i="31"/>
  <c r="U194" i="31"/>
  <c r="U214" i="31"/>
  <c r="U85" i="31"/>
  <c r="U302" i="31"/>
  <c r="U332" i="31"/>
  <c r="U22" i="31"/>
  <c r="V138" i="31"/>
  <c r="V106" i="31"/>
  <c r="V222" i="31"/>
  <c r="V80" i="31"/>
  <c r="V1114" i="31"/>
  <c r="V858" i="31"/>
  <c r="V896" i="31"/>
  <c r="V866" i="31"/>
  <c r="V962" i="31"/>
  <c r="V1000" i="31"/>
  <c r="V214" i="31"/>
  <c r="V812" i="31"/>
  <c r="V552" i="31"/>
  <c r="V950" i="31"/>
  <c r="V934" i="31"/>
  <c r="V954" i="31"/>
  <c r="T704" i="31"/>
  <c r="V800" i="31"/>
  <c r="V904" i="31"/>
  <c r="V1080" i="31"/>
  <c r="V1122" i="31"/>
  <c r="V1050" i="31"/>
  <c r="V402" i="31"/>
  <c r="V712" i="31"/>
  <c r="V616" i="31"/>
  <c r="V612" i="31"/>
  <c r="V988" i="31"/>
  <c r="V1026" i="31"/>
  <c r="V674" i="31"/>
  <c r="V1034" i="31"/>
  <c r="V1042" i="31"/>
  <c r="V1146" i="31"/>
  <c r="V804" i="31"/>
  <c r="V10" i="31"/>
  <c r="U487" i="31"/>
  <c r="U704" i="31"/>
  <c r="U967" i="31"/>
  <c r="U545" i="31"/>
  <c r="U291" i="31"/>
  <c r="U110" i="31"/>
  <c r="U240" i="31"/>
  <c r="U414" i="31"/>
  <c r="U42" i="31"/>
  <c r="U272" i="31"/>
  <c r="U31" i="31"/>
  <c r="U160" i="31"/>
  <c r="U207" i="31"/>
  <c r="U1053" i="31"/>
  <c r="U953" i="31"/>
  <c r="U831" i="31"/>
  <c r="U739" i="31"/>
  <c r="U1133" i="31"/>
  <c r="U125" i="31"/>
  <c r="U1041" i="31"/>
  <c r="U799" i="31"/>
  <c r="U509" i="31"/>
  <c r="U297" i="31"/>
  <c r="U703" i="31"/>
  <c r="AD10" i="31"/>
  <c r="AD7" i="31"/>
  <c r="AD9" i="31"/>
  <c r="AD8" i="31"/>
  <c r="Z5" i="27"/>
  <c r="Y10" i="27"/>
  <c r="AO10" i="27"/>
  <c r="BF46" i="27"/>
  <c r="BE50" i="27"/>
  <c r="I88" i="27"/>
  <c r="J83" i="27"/>
  <c r="J126" i="27"/>
  <c r="I127" i="27"/>
  <c r="Z87" i="27"/>
  <c r="Y88" i="27"/>
  <c r="J48" i="27"/>
  <c r="I50" i="27"/>
  <c r="BE127" i="27"/>
  <c r="BF122" i="27"/>
  <c r="Z122" i="27"/>
  <c r="Y127" i="27"/>
  <c r="BE10" i="27"/>
  <c r="BF5" i="27"/>
  <c r="BG10" i="27" s="1"/>
  <c r="BF11" i="27" s="1"/>
  <c r="AP161" i="27"/>
  <c r="AO166" i="27"/>
  <c r="I10" i="27"/>
  <c r="BN1" i="27"/>
  <c r="J5" i="27"/>
  <c r="Z162" i="27"/>
  <c r="Y166" i="27"/>
  <c r="BF83" i="27"/>
  <c r="BE88" i="27"/>
  <c r="J165" i="27"/>
  <c r="I166" i="27"/>
  <c r="BF161" i="27"/>
  <c r="BE166" i="27"/>
  <c r="AU53" i="35"/>
  <c r="BF32" i="35"/>
  <c r="AU35" i="35"/>
  <c r="AU34" i="35"/>
  <c r="AZ33" i="35"/>
  <c r="BA33" i="35"/>
  <c r="AU32" i="35"/>
  <c r="AY33" i="35"/>
  <c r="AU33" i="35"/>
  <c r="AW33" i="35"/>
  <c r="BF31" i="35"/>
  <c r="AV33" i="35"/>
  <c r="BF33" i="35"/>
  <c r="BD34" i="35"/>
  <c r="BC33" i="35"/>
  <c r="BD33" i="35"/>
  <c r="AX32" i="35"/>
  <c r="BE33" i="35"/>
  <c r="BB33" i="35"/>
  <c r="BD35" i="35"/>
  <c r="AV31" i="35"/>
  <c r="AW31" i="35" s="1"/>
  <c r="AX31" i="35" s="1"/>
  <c r="AY31" i="35" s="1"/>
  <c r="AZ31" i="35" s="1"/>
  <c r="BA31" i="35" s="1"/>
  <c r="BB31" i="35" s="1"/>
  <c r="AX33" i="35"/>
  <c r="V636" i="31"/>
  <c r="T636" i="31"/>
  <c r="AI816" i="31"/>
  <c r="T816" i="31"/>
  <c r="V816" i="31"/>
  <c r="T682" i="31"/>
  <c r="AI682" i="31"/>
  <c r="AI590" i="31"/>
  <c r="U735" i="31"/>
  <c r="T728" i="31"/>
  <c r="U731" i="31"/>
  <c r="V708" i="31"/>
  <c r="AI708" i="31"/>
  <c r="AI828" i="31"/>
  <c r="T828" i="31"/>
  <c r="T620" i="31"/>
  <c r="AI620" i="31"/>
  <c r="T708" i="31"/>
  <c r="V566" i="31"/>
  <c r="T720" i="31"/>
  <c r="U823" i="31"/>
  <c r="AI432" i="31"/>
  <c r="T432" i="31"/>
  <c r="V432" i="31"/>
  <c r="AI820" i="31"/>
  <c r="T574" i="31"/>
  <c r="V632" i="31"/>
  <c r="T732" i="31"/>
  <c r="V820" i="31"/>
  <c r="V574" i="31"/>
  <c r="T632" i="31"/>
  <c r="AI624" i="31"/>
  <c r="AI732" i="31"/>
  <c r="V624" i="31"/>
  <c r="T958" i="31"/>
  <c r="AI720" i="31"/>
  <c r="AI958" i="31"/>
  <c r="AI566" i="31"/>
  <c r="T566" i="31"/>
  <c r="V598" i="31"/>
  <c r="V946" i="31"/>
  <c r="T586" i="31"/>
  <c r="AI930" i="31"/>
  <c r="T946" i="31"/>
  <c r="AI946" i="31"/>
  <c r="V930" i="31"/>
  <c r="AI598" i="31"/>
  <c r="V570" i="31"/>
  <c r="AI700" i="31"/>
  <c r="AI966" i="31"/>
  <c r="T712" i="31"/>
  <c r="V700" i="31"/>
  <c r="T482" i="31"/>
  <c r="T700" i="31"/>
  <c r="V482" i="31"/>
  <c r="AI712" i="31"/>
  <c r="T966" i="31"/>
  <c r="V966" i="31"/>
  <c r="T624" i="31"/>
  <c r="V586" i="31"/>
  <c r="T582" i="31"/>
  <c r="AI570" i="31"/>
  <c r="V628" i="31"/>
  <c r="T520" i="31"/>
  <c r="T544" i="31"/>
  <c r="AI544" i="31"/>
  <c r="AI628" i="31"/>
  <c r="V578" i="31"/>
  <c r="V524" i="31"/>
  <c r="AI808" i="31"/>
  <c r="AI578" i="31"/>
  <c r="T870" i="31"/>
  <c r="V582" i="31"/>
  <c r="AI870" i="31"/>
  <c r="V528" i="31"/>
  <c r="V870" i="31"/>
  <c r="AI582" i="31"/>
  <c r="AI528" i="31"/>
  <c r="AI524" i="31"/>
  <c r="V724" i="31"/>
  <c r="T724" i="31"/>
  <c r="U727" i="31"/>
  <c r="V520" i="31"/>
  <c r="U523" i="31"/>
  <c r="T594" i="31"/>
  <c r="V594" i="31"/>
  <c r="T532" i="31"/>
  <c r="T548" i="31"/>
  <c r="AI548" i="31"/>
  <c r="U431" i="31"/>
  <c r="V532" i="31"/>
  <c r="T506" i="31"/>
  <c r="V506" i="31"/>
  <c r="AI506" i="31"/>
  <c r="T474" i="31"/>
  <c r="AI1030" i="31"/>
  <c r="U565" i="31"/>
  <c r="P63" i="31"/>
  <c r="V60" i="31" s="1"/>
  <c r="AI436" i="31"/>
  <c r="T428" i="31"/>
  <c r="V490" i="31"/>
  <c r="V410" i="31"/>
  <c r="AI474" i="31"/>
  <c r="V536" i="31"/>
  <c r="U539" i="31"/>
  <c r="V428" i="31"/>
  <c r="AI532" i="31"/>
  <c r="T536" i="31"/>
  <c r="AI490" i="31"/>
  <c r="V332" i="31"/>
  <c r="V540" i="31"/>
  <c r="T540" i="31"/>
  <c r="T332" i="31"/>
  <c r="AI332" i="31"/>
  <c r="AI448" i="31"/>
  <c r="T562" i="31"/>
  <c r="V562" i="31"/>
  <c r="AI394" i="31"/>
  <c r="V394" i="31"/>
  <c r="AI410" i="31"/>
  <c r="AI452" i="31"/>
  <c r="AI460" i="31"/>
  <c r="T502" i="31"/>
  <c r="AI502" i="31"/>
  <c r="AI498" i="31"/>
  <c r="AI298" i="31"/>
  <c r="T298" i="31"/>
  <c r="AI402" i="31"/>
  <c r="T402" i="31"/>
  <c r="U501" i="31"/>
  <c r="V498" i="31"/>
  <c r="V448" i="31"/>
  <c r="U463" i="31"/>
  <c r="V460" i="31"/>
  <c r="T452" i="31"/>
  <c r="T310" i="31"/>
  <c r="T436" i="31"/>
  <c r="AI356" i="31"/>
  <c r="V436" i="31"/>
  <c r="AI310" i="31"/>
  <c r="AI456" i="31"/>
  <c r="T314" i="31"/>
  <c r="AI276" i="31"/>
  <c r="AI194" i="31"/>
  <c r="AI360" i="31"/>
  <c r="U289" i="31"/>
  <c r="T290" i="31"/>
  <c r="P163" i="31"/>
  <c r="V160" i="31" s="1"/>
  <c r="V290" i="31"/>
  <c r="AI390" i="31"/>
  <c r="P167" i="31"/>
  <c r="T164" i="31" s="1"/>
  <c r="AI336" i="31"/>
  <c r="T336" i="31"/>
  <c r="AI364" i="31"/>
  <c r="V248" i="31"/>
  <c r="T344" i="31"/>
  <c r="V194" i="31"/>
  <c r="V310" i="31"/>
  <c r="V276" i="31"/>
  <c r="V68" i="31"/>
  <c r="P37" i="31"/>
  <c r="T34" i="31" s="1"/>
  <c r="P891" i="31"/>
  <c r="T888" i="31" s="1"/>
  <c r="T456" i="31"/>
  <c r="P17" i="31"/>
  <c r="T222" i="31"/>
  <c r="AI222" i="31"/>
  <c r="AI294" i="31"/>
  <c r="V398" i="31"/>
  <c r="U159" i="31"/>
  <c r="AA50" i="27"/>
  <c r="Z51" i="27" s="1"/>
  <c r="P753" i="31"/>
  <c r="AI750" i="31" s="1"/>
  <c r="T156" i="31"/>
  <c r="AI156" i="31"/>
  <c r="P473" i="31"/>
  <c r="T470" i="31" s="1"/>
  <c r="AI72" i="31"/>
  <c r="V390" i="31"/>
  <c r="U393" i="31"/>
  <c r="AI30" i="31"/>
  <c r="AI264" i="31"/>
  <c r="AI344" i="31"/>
  <c r="T30" i="31"/>
  <c r="V314" i="31"/>
  <c r="T318" i="31"/>
  <c r="V244" i="31"/>
  <c r="V318" i="31"/>
  <c r="V84" i="31"/>
  <c r="V360" i="31"/>
  <c r="AI368" i="31"/>
  <c r="U347" i="31"/>
  <c r="P179" i="31"/>
  <c r="T176" i="31" s="1"/>
  <c r="V30" i="31"/>
  <c r="T264" i="31"/>
  <c r="P187" i="31"/>
  <c r="V184" i="31" s="1"/>
  <c r="V72" i="31"/>
  <c r="AI314" i="31"/>
  <c r="T360" i="31"/>
  <c r="AI244" i="31"/>
  <c r="AI84" i="31"/>
  <c r="AI248" i="31"/>
  <c r="V368" i="31"/>
  <c r="T152" i="31"/>
  <c r="AI152" i="31"/>
  <c r="V152" i="31"/>
  <c r="V42" i="31"/>
  <c r="V210" i="31"/>
  <c r="T252" i="31"/>
  <c r="V322" i="31"/>
  <c r="V294" i="31"/>
  <c r="P105" i="31"/>
  <c r="V102" i="31" s="1"/>
  <c r="AI210" i="31"/>
  <c r="T294" i="31"/>
  <c r="P785" i="31"/>
  <c r="AI42" i="31"/>
  <c r="T42" i="31"/>
  <c r="AI322" i="31"/>
  <c r="T260" i="31"/>
  <c r="T356" i="31"/>
  <c r="P903" i="31"/>
  <c r="T214" i="31"/>
  <c r="AI348" i="31"/>
  <c r="AI214" i="31"/>
  <c r="T340" i="31"/>
  <c r="V356" i="31"/>
  <c r="AI286" i="31"/>
  <c r="V444" i="31"/>
  <c r="AI444" i="31"/>
  <c r="U447" i="31"/>
  <c r="T444" i="31"/>
  <c r="V302" i="31"/>
  <c r="AI302" i="31"/>
  <c r="V286" i="31"/>
  <c r="P919" i="31"/>
  <c r="T916" i="31" s="1"/>
  <c r="V206" i="31"/>
  <c r="T206" i="31"/>
  <c r="T172" i="31"/>
  <c r="V172" i="31"/>
  <c r="AI172" i="31"/>
  <c r="V386" i="31"/>
  <c r="AI386" i="31"/>
  <c r="V218" i="31"/>
  <c r="V348" i="31"/>
  <c r="V414" i="31"/>
  <c r="V340" i="31"/>
  <c r="T268" i="31"/>
  <c r="AI260" i="31"/>
  <c r="T364" i="31"/>
  <c r="T398" i="31"/>
  <c r="AI398" i="31"/>
  <c r="AI340" i="31"/>
  <c r="AI268" i="31"/>
  <c r="K50" i="27"/>
  <c r="J51" i="27" s="1"/>
  <c r="T218" i="31"/>
  <c r="AI240" i="31"/>
  <c r="T414" i="31"/>
  <c r="P781" i="31"/>
  <c r="V778" i="31" s="1"/>
  <c r="V268" i="31"/>
  <c r="T386" i="31"/>
  <c r="T118" i="31"/>
  <c r="V118" i="31"/>
  <c r="AI118" i="31"/>
  <c r="U121" i="31"/>
  <c r="V874" i="31"/>
  <c r="T874" i="31"/>
  <c r="AI874" i="31"/>
  <c r="T378" i="31"/>
  <c r="AI378" i="31"/>
  <c r="V690" i="31"/>
  <c r="AI690" i="31"/>
  <c r="T690" i="31"/>
  <c r="AA10" i="27"/>
  <c r="Z11" i="27" s="1"/>
  <c r="P915" i="31"/>
  <c r="AI912" i="31" s="1"/>
  <c r="T1058" i="31"/>
  <c r="V1058" i="31"/>
  <c r="AI1058" i="31"/>
  <c r="V686" i="31"/>
  <c r="AI686" i="31"/>
  <c r="T686" i="31"/>
  <c r="K10" i="27"/>
  <c r="J11" i="27" s="1"/>
  <c r="V382" i="31"/>
  <c r="T382" i="31"/>
  <c r="AI382" i="31"/>
  <c r="V670" i="31"/>
  <c r="AI670" i="31"/>
  <c r="T670" i="31"/>
  <c r="V762" i="31"/>
  <c r="AI762" i="31"/>
  <c r="T762" i="31"/>
  <c r="AQ10" i="27"/>
  <c r="AP11" i="27" s="1"/>
  <c r="V406" i="31"/>
  <c r="AI406" i="31"/>
  <c r="T406" i="31"/>
  <c r="V252" i="31"/>
  <c r="V1054" i="31"/>
  <c r="T1054" i="31"/>
  <c r="AI1054" i="31"/>
  <c r="AI226" i="31"/>
  <c r="T226" i="31"/>
  <c r="V226" i="31"/>
  <c r="V306" i="31"/>
  <c r="AI306" i="31"/>
  <c r="T306" i="31"/>
  <c r="V1076" i="31"/>
  <c r="AI1076" i="31"/>
  <c r="T1076" i="31"/>
  <c r="V1022" i="31"/>
  <c r="U1025" i="31"/>
  <c r="AI1022" i="31"/>
  <c r="T1022" i="31"/>
  <c r="V666" i="31"/>
  <c r="U669" i="31"/>
  <c r="AI666" i="31"/>
  <c r="T666" i="31"/>
  <c r="V854" i="31"/>
  <c r="AI854" i="31"/>
  <c r="T854" i="31"/>
  <c r="AI654" i="31"/>
  <c r="V654" i="31"/>
  <c r="T654" i="31"/>
  <c r="P761" i="31"/>
  <c r="T240" i="31"/>
  <c r="V352" i="31"/>
  <c r="AI352" i="31"/>
  <c r="T352" i="31"/>
  <c r="AI198" i="31"/>
  <c r="T198" i="31"/>
  <c r="V198" i="31"/>
  <c r="AI202" i="31"/>
  <c r="T202" i="31"/>
  <c r="V202" i="31"/>
  <c r="V256" i="31"/>
  <c r="AI256" i="31"/>
  <c r="T256" i="31"/>
  <c r="AI18" i="31"/>
  <c r="T18" i="31"/>
  <c r="V18" i="31"/>
  <c r="V272" i="31"/>
  <c r="AI272" i="31"/>
  <c r="T272" i="31"/>
  <c r="AI56" i="31"/>
  <c r="T56" i="31"/>
  <c r="V230" i="31"/>
  <c r="AI230" i="31"/>
  <c r="U233" i="31"/>
  <c r="T230" i="31"/>
  <c r="AI46" i="31"/>
  <c r="V46" i="31"/>
  <c r="T46" i="31"/>
  <c r="T440" i="31" l="1"/>
  <c r="V26" i="31"/>
  <c r="AI168" i="31"/>
  <c r="T808" i="31"/>
  <c r="AI440" i="31"/>
  <c r="AI1008" i="31"/>
  <c r="U627" i="31"/>
  <c r="U271" i="31"/>
  <c r="U719" i="31"/>
  <c r="U67" i="31"/>
  <c r="U815" i="31"/>
  <c r="U795" i="31"/>
  <c r="U424" i="31"/>
  <c r="U382" i="31"/>
  <c r="U256" i="31"/>
  <c r="U298" i="31"/>
  <c r="U624" i="31"/>
  <c r="U575" i="31"/>
  <c r="U453" i="31"/>
  <c r="U365" i="31"/>
  <c r="U491" i="31"/>
  <c r="U276" i="31"/>
  <c r="U322" i="31"/>
  <c r="U406" i="31"/>
  <c r="U528" i="31"/>
  <c r="U130" i="31"/>
  <c r="U747" i="31"/>
  <c r="U812" i="31"/>
  <c r="U1046" i="31"/>
  <c r="U475" i="31"/>
  <c r="U992" i="31"/>
  <c r="U1035" i="31"/>
  <c r="U893" i="31"/>
  <c r="U1038" i="31"/>
  <c r="U1142" i="31"/>
  <c r="U1026" i="31"/>
  <c r="U804" i="31"/>
  <c r="U977" i="31"/>
  <c r="U1150" i="31"/>
  <c r="U1127" i="31"/>
  <c r="U762" i="31"/>
  <c r="U746" i="31"/>
  <c r="U896" i="31"/>
  <c r="U107" i="31"/>
  <c r="U1118" i="31"/>
  <c r="U1059" i="31"/>
  <c r="U824" i="31"/>
  <c r="U1030" i="31"/>
  <c r="U102" i="31"/>
  <c r="U153" i="31"/>
  <c r="U471" i="31"/>
  <c r="U349" i="31"/>
  <c r="U571" i="31"/>
  <c r="U495" i="31"/>
  <c r="U813" i="31"/>
  <c r="U503" i="31"/>
  <c r="U437" i="31"/>
  <c r="U448" i="31"/>
  <c r="U440" i="31"/>
  <c r="U608" i="31"/>
  <c r="U670" i="31"/>
  <c r="U168" i="31"/>
  <c r="U549" i="31"/>
  <c r="U594" i="31"/>
  <c r="U290" i="31"/>
  <c r="U223" i="31"/>
  <c r="U203" i="31"/>
  <c r="U1004" i="31"/>
  <c r="U138" i="31"/>
  <c r="U1115" i="31"/>
  <c r="U620" i="31"/>
  <c r="U993" i="31"/>
  <c r="U1081" i="31"/>
  <c r="U955" i="31"/>
  <c r="U793" i="31"/>
  <c r="U792" i="31"/>
  <c r="U1092" i="31"/>
  <c r="U1077" i="31"/>
  <c r="U1139" i="31"/>
  <c r="U135" i="31"/>
  <c r="U843" i="31"/>
  <c r="U976" i="31"/>
  <c r="U988" i="31"/>
  <c r="U1123" i="31"/>
  <c r="U81" i="31"/>
  <c r="U675" i="31"/>
  <c r="U1100" i="31"/>
  <c r="U1080" i="31"/>
  <c r="U1130" i="31"/>
  <c r="U1031" i="31"/>
  <c r="U842" i="31"/>
  <c r="U916" i="31"/>
  <c r="U783" i="31"/>
  <c r="U118" i="31"/>
  <c r="U348" i="31"/>
  <c r="U231" i="31"/>
  <c r="U474" i="31"/>
  <c r="U529" i="31"/>
  <c r="U621" i="31"/>
  <c r="U310" i="31"/>
  <c r="U352" i="31"/>
  <c r="U311" i="31"/>
  <c r="U206" i="31"/>
  <c r="U867" i="31"/>
  <c r="U445" i="31"/>
  <c r="U253" i="31"/>
  <c r="U219" i="31"/>
  <c r="U728" i="31"/>
  <c r="U248" i="31"/>
  <c r="U983" i="31"/>
  <c r="U569" i="31"/>
  <c r="U895" i="31"/>
  <c r="U777" i="31"/>
  <c r="U845" i="31"/>
  <c r="U1129" i="31"/>
  <c r="U222" i="31"/>
  <c r="U265" i="31"/>
  <c r="U218" i="31"/>
  <c r="U295" i="31"/>
  <c r="U461" i="31"/>
  <c r="U858" i="31"/>
  <c r="U177" i="31"/>
  <c r="U227" i="31"/>
  <c r="U369" i="31"/>
  <c r="U379" i="31"/>
  <c r="U613" i="31"/>
  <c r="U277" i="31"/>
  <c r="U449" i="31"/>
  <c r="U502" i="31"/>
  <c r="U839" i="31"/>
  <c r="U943" i="31"/>
  <c r="U1104" i="31"/>
  <c r="U683" i="31"/>
  <c r="U870" i="31"/>
  <c r="U1146" i="31"/>
  <c r="U908" i="31"/>
  <c r="U1147" i="31"/>
  <c r="U92" i="31"/>
  <c r="U1012" i="31"/>
  <c r="U934" i="31"/>
  <c r="U985" i="31"/>
  <c r="U767" i="31"/>
  <c r="U771" i="31"/>
  <c r="U862" i="31"/>
  <c r="U904" i="31"/>
  <c r="U1001" i="31"/>
  <c r="U1138" i="31"/>
  <c r="U139" i="31"/>
  <c r="U963" i="31"/>
  <c r="U946" i="31"/>
  <c r="U1042" i="31"/>
  <c r="U997" i="31"/>
  <c r="U625" i="31"/>
  <c r="U782" i="31"/>
  <c r="U750" i="31"/>
  <c r="U591" i="31"/>
  <c r="U106" i="31"/>
  <c r="U574" i="31"/>
  <c r="U716" i="31"/>
  <c r="U425" i="31"/>
  <c r="U490" i="31"/>
  <c r="U314" i="31"/>
  <c r="U215" i="31"/>
  <c r="U210" i="31"/>
  <c r="U548" i="31"/>
  <c r="U172" i="31"/>
  <c r="U23" i="31"/>
  <c r="U269" i="31"/>
  <c r="U884" i="31"/>
  <c r="U88" i="31"/>
  <c r="U701" i="31"/>
  <c r="U712" i="31"/>
  <c r="U368" i="31"/>
  <c r="U479" i="31"/>
  <c r="U364" i="31"/>
  <c r="U307" i="31"/>
  <c r="U428" i="31"/>
  <c r="U587" i="31"/>
  <c r="U567" i="31"/>
  <c r="U452" i="31"/>
  <c r="U383" i="31"/>
  <c r="U950" i="31"/>
  <c r="U202" i="31"/>
  <c r="U286" i="31"/>
  <c r="U195" i="31"/>
  <c r="U148" i="31"/>
  <c r="U429" i="31"/>
  <c r="U1013" i="31"/>
  <c r="U486" i="31"/>
  <c r="U686" i="31"/>
  <c r="U456" i="31"/>
  <c r="U1000" i="31"/>
  <c r="U674" i="31"/>
  <c r="U645" i="31"/>
  <c r="U318" i="31"/>
  <c r="U433" i="31"/>
  <c r="U356" i="31"/>
  <c r="U759" i="31"/>
  <c r="U173" i="31"/>
  <c r="U165" i="31"/>
  <c r="U1076" i="31"/>
  <c r="U478" i="31"/>
  <c r="U444" i="31"/>
  <c r="U72" i="31"/>
  <c r="U909" i="31"/>
  <c r="U1050" i="31"/>
  <c r="U709" i="31"/>
  <c r="U1008" i="31"/>
  <c r="U667" i="31"/>
  <c r="U854" i="31"/>
  <c r="U1151" i="31"/>
  <c r="U820" i="31"/>
  <c r="U1131" i="31"/>
  <c r="U754" i="31"/>
  <c r="U847" i="31"/>
  <c r="U1119" i="31"/>
  <c r="U111" i="31"/>
  <c r="U958" i="31"/>
  <c r="U131" i="31"/>
  <c r="U733" i="31"/>
  <c r="U1085" i="31"/>
  <c r="U720" i="31"/>
  <c r="U1096" i="31"/>
  <c r="U817" i="31"/>
  <c r="U892" i="31"/>
  <c r="U1027" i="31"/>
  <c r="U654" i="31"/>
  <c r="U962" i="31"/>
  <c r="U1039" i="31"/>
  <c r="U917" i="31"/>
  <c r="U1143" i="31"/>
  <c r="U838" i="31"/>
  <c r="U775" i="31"/>
  <c r="U89" i="31"/>
  <c r="U866" i="31"/>
  <c r="U1114" i="31"/>
  <c r="U441" i="31"/>
  <c r="U268" i="31"/>
  <c r="U935" i="31"/>
  <c r="U432" i="31"/>
  <c r="U122" i="31"/>
  <c r="U628" i="31"/>
  <c r="U436" i="31"/>
  <c r="U457" i="31"/>
  <c r="U536" i="31"/>
  <c r="U678" i="31"/>
  <c r="U850" i="31"/>
  <c r="U632" i="31"/>
  <c r="U411" i="31"/>
  <c r="U323" i="31"/>
  <c r="U671" i="31"/>
  <c r="U164" i="31"/>
  <c r="U264" i="31"/>
  <c r="U181" i="31"/>
  <c r="U391" i="31"/>
  <c r="U691" i="31"/>
  <c r="U663" i="31"/>
  <c r="U460" i="31"/>
  <c r="U612" i="31"/>
  <c r="U616" i="31"/>
  <c r="U629" i="31"/>
  <c r="U149" i="31"/>
  <c r="U230" i="31"/>
  <c r="U303" i="31"/>
  <c r="U912" i="31"/>
  <c r="U103" i="31"/>
  <c r="U157" i="31"/>
  <c r="U763" i="31"/>
  <c r="U119" i="31"/>
  <c r="U901" i="31"/>
  <c r="U851" i="31"/>
  <c r="U1097" i="31"/>
  <c r="U123" i="31"/>
  <c r="U920" i="31"/>
  <c r="U1073" i="31"/>
  <c r="U553" i="31"/>
  <c r="U981" i="31"/>
  <c r="U1047" i="31"/>
  <c r="U1009" i="31"/>
  <c r="U57" i="31"/>
  <c r="U169" i="31"/>
  <c r="U930" i="31"/>
  <c r="U637" i="31"/>
  <c r="U863" i="31"/>
  <c r="U1069" i="31"/>
  <c r="U1005" i="31"/>
  <c r="U959" i="31"/>
  <c r="U1126" i="31"/>
  <c r="U954" i="31"/>
  <c r="U1105" i="31"/>
  <c r="U796" i="31"/>
  <c r="U1093" i="31"/>
  <c r="U1055" i="31"/>
  <c r="U871" i="31"/>
  <c r="U1072" i="31"/>
  <c r="U609" i="31"/>
  <c r="U980" i="31"/>
  <c r="U598" i="31"/>
  <c r="U1084" i="31"/>
  <c r="U1089" i="31"/>
  <c r="U570" i="31"/>
  <c r="U996" i="31"/>
  <c r="U989" i="31"/>
  <c r="U816" i="31"/>
  <c r="U1022" i="31"/>
  <c r="U755" i="31"/>
  <c r="U885" i="31"/>
  <c r="U1134" i="31"/>
  <c r="U897" i="31"/>
  <c r="U1051" i="31"/>
  <c r="U779" i="31"/>
  <c r="U617" i="31"/>
  <c r="U966" i="31"/>
  <c r="U395" i="31"/>
  <c r="U84" i="31"/>
  <c r="U68" i="31"/>
  <c r="U244" i="31"/>
  <c r="U805" i="31"/>
  <c r="U261" i="31"/>
  <c r="U43" i="31"/>
  <c r="U27" i="31"/>
  <c r="U275" i="31"/>
  <c r="U259" i="31"/>
  <c r="U201" i="31"/>
  <c r="U355" i="31"/>
  <c r="U657" i="31"/>
  <c r="U409" i="31"/>
  <c r="U175" i="31"/>
  <c r="U903" i="31"/>
  <c r="U247" i="31"/>
  <c r="U225" i="31"/>
  <c r="U339" i="31"/>
  <c r="U597" i="31"/>
  <c r="U547" i="31"/>
  <c r="U21" i="31"/>
  <c r="U205" i="31"/>
  <c r="U1079" i="31"/>
  <c r="U1057" i="31"/>
  <c r="U765" i="31"/>
  <c r="U673" i="31"/>
  <c r="U385" i="31"/>
  <c r="U689" i="31"/>
  <c r="U1061" i="31"/>
  <c r="U255" i="31"/>
  <c r="U877" i="31"/>
  <c r="U351" i="31"/>
  <c r="U367" i="31"/>
  <c r="U217" i="31"/>
  <c r="U381" i="31"/>
  <c r="U213" i="31"/>
  <c r="U785" i="31"/>
  <c r="U155" i="31"/>
  <c r="U371" i="31"/>
  <c r="U267" i="31"/>
  <c r="U321" i="31"/>
  <c r="U87" i="31"/>
  <c r="U417" i="31"/>
  <c r="U17" i="31"/>
  <c r="U305" i="31"/>
  <c r="U455" i="31"/>
  <c r="U451" i="31"/>
  <c r="U543" i="31"/>
  <c r="U531" i="31"/>
  <c r="U443" i="31"/>
  <c r="U933" i="31"/>
  <c r="U577" i="31"/>
  <c r="U623" i="31"/>
  <c r="U635" i="31"/>
  <c r="U619" i="31"/>
  <c r="U639" i="31"/>
  <c r="U1003" i="31"/>
  <c r="U435" i="31"/>
  <c r="U33" i="31"/>
  <c r="U711" i="31"/>
  <c r="U313" i="31"/>
  <c r="U585" i="31"/>
  <c r="U439" i="31"/>
  <c r="U137" i="31"/>
  <c r="U841" i="31"/>
  <c r="U987" i="31"/>
  <c r="U1149" i="31"/>
  <c r="U109" i="31"/>
  <c r="U661" i="31"/>
  <c r="U923" i="31"/>
  <c r="U803" i="31"/>
  <c r="U1117" i="31"/>
  <c r="U1037" i="31"/>
  <c r="U707" i="31"/>
  <c r="U1091" i="31"/>
  <c r="U1153" i="31"/>
  <c r="U749" i="31"/>
  <c r="U1083" i="31"/>
  <c r="U677" i="31"/>
  <c r="U14" i="31"/>
  <c r="U26" i="31"/>
  <c r="U129" i="31"/>
  <c r="U49" i="31"/>
  <c r="U243" i="31"/>
  <c r="U309" i="31"/>
  <c r="U693" i="31"/>
  <c r="U263" i="31"/>
  <c r="U209" i="31"/>
  <c r="U75" i="31"/>
  <c r="U459" i="31"/>
  <c r="U325" i="31"/>
  <c r="U279" i="31"/>
  <c r="U293" i="31"/>
  <c r="U413" i="31"/>
  <c r="U505" i="31"/>
  <c r="U477" i="31"/>
  <c r="U493" i="31"/>
  <c r="U551" i="31"/>
  <c r="U1033" i="31"/>
  <c r="U527" i="31"/>
  <c r="U811" i="31"/>
  <c r="U631" i="31"/>
  <c r="U589" i="31"/>
  <c r="U715" i="31"/>
  <c r="U485" i="31"/>
  <c r="U685" i="31"/>
  <c r="U1125" i="31"/>
  <c r="U949" i="31"/>
  <c r="U363" i="31"/>
  <c r="U335" i="31"/>
  <c r="U359" i="31"/>
  <c r="U873" i="31"/>
  <c r="U343" i="31"/>
  <c r="U141" i="31"/>
  <c r="U1029" i="31"/>
  <c r="U615" i="31"/>
  <c r="U853" i="31"/>
  <c r="U83" i="31"/>
  <c r="U647" i="31"/>
  <c r="U1095" i="31"/>
  <c r="U999" i="31"/>
  <c r="U861" i="31"/>
  <c r="U1015" i="31"/>
  <c r="U1121" i="31"/>
  <c r="U1099" i="31"/>
  <c r="U1075" i="31"/>
  <c r="U1107" i="31"/>
  <c r="U769" i="31"/>
  <c r="U643" i="31"/>
  <c r="U757" i="31"/>
  <c r="V76" i="31"/>
  <c r="V64" i="31"/>
  <c r="T47" i="30"/>
  <c r="U979" i="31"/>
  <c r="T26" i="30"/>
  <c r="U59" i="31"/>
  <c r="U857" i="31"/>
  <c r="U229" i="31"/>
  <c r="U251" i="31"/>
  <c r="U389" i="31"/>
  <c r="U221" i="31"/>
  <c r="U197" i="31"/>
  <c r="U405" i="31"/>
  <c r="U301" i="31"/>
  <c r="U397" i="31"/>
  <c r="U581" i="31"/>
  <c r="U601" i="31"/>
  <c r="U723" i="31"/>
  <c r="U961" i="31"/>
  <c r="U593" i="31"/>
  <c r="U819" i="31"/>
  <c r="U969" i="31"/>
  <c r="U317" i="31"/>
  <c r="U401" i="31"/>
  <c r="U573" i="31"/>
  <c r="U535" i="31"/>
  <c r="U45" i="31"/>
  <c r="U489" i="31"/>
  <c r="U937" i="31"/>
  <c r="U991" i="31"/>
  <c r="U869" i="31"/>
  <c r="U1145" i="31"/>
  <c r="U807" i="31"/>
  <c r="U911" i="31"/>
  <c r="U965" i="31"/>
  <c r="U945" i="31"/>
  <c r="U899" i="31"/>
  <c r="U907" i="31"/>
  <c r="U1007" i="31"/>
  <c r="U555" i="31"/>
  <c r="U1137" i="31"/>
  <c r="U1045" i="31"/>
  <c r="U497" i="31"/>
  <c r="T4" i="30"/>
  <c r="AI976" i="31"/>
  <c r="V976" i="31"/>
  <c r="V938" i="31"/>
  <c r="U941" i="31"/>
  <c r="T68" i="31"/>
  <c r="V992" i="31"/>
  <c r="U25" i="31"/>
  <c r="T976" i="31"/>
  <c r="U71" i="31"/>
  <c r="T938" i="31"/>
  <c r="U133" i="31"/>
  <c r="V130" i="31"/>
  <c r="U1141" i="31"/>
  <c r="U957" i="31"/>
  <c r="V168" i="31"/>
  <c r="AI494" i="31"/>
  <c r="U1011" i="31"/>
  <c r="U827" i="31"/>
  <c r="T494" i="31"/>
  <c r="V1008" i="31"/>
  <c r="BG50" i="27"/>
  <c r="BF51" i="27" s="1"/>
  <c r="T824" i="31"/>
  <c r="U29" i="31"/>
  <c r="T26" i="31"/>
  <c r="U171" i="31"/>
  <c r="T678" i="31"/>
  <c r="V824" i="31"/>
  <c r="AI954" i="31"/>
  <c r="T134" i="31"/>
  <c r="AI130" i="31"/>
  <c r="AI114" i="31"/>
  <c r="AI22" i="31"/>
  <c r="U995" i="31"/>
  <c r="T992" i="31"/>
  <c r="AI1138" i="31"/>
  <c r="U427" i="31"/>
  <c r="U681" i="31"/>
  <c r="AI64" i="31"/>
  <c r="T64" i="31"/>
  <c r="T478" i="31"/>
  <c r="V678" i="31"/>
  <c r="V22" i="31"/>
  <c r="U865" i="31"/>
  <c r="U117" i="31"/>
  <c r="V114" i="31"/>
  <c r="AQ50" i="27"/>
  <c r="AP51" i="27" s="1"/>
  <c r="U79" i="31"/>
  <c r="U481" i="31"/>
  <c r="U519" i="31"/>
  <c r="AI516" i="31"/>
  <c r="V516" i="31"/>
  <c r="AI478" i="31"/>
  <c r="V424" i="31"/>
  <c r="AI424" i="31"/>
  <c r="K88" i="27"/>
  <c r="J89" i="27" s="1"/>
  <c r="V862" i="31"/>
  <c r="AA166" i="27"/>
  <c r="Z167" i="27" s="1"/>
  <c r="AA127" i="27"/>
  <c r="Z128" i="27" s="1"/>
  <c r="T862" i="31"/>
  <c r="AA88" i="27"/>
  <c r="Z89" i="27" s="1"/>
  <c r="AB52" i="30"/>
  <c r="AE52" i="30" s="1"/>
  <c r="AB50" i="30"/>
  <c r="AF51" i="30" s="1"/>
  <c r="Z48" i="30"/>
  <c r="AB49" i="30"/>
  <c r="AE51" i="30" s="1"/>
  <c r="Y56" i="30"/>
  <c r="AB51" i="30"/>
  <c r="AD52" i="30" s="1"/>
  <c r="AA56" i="30"/>
  <c r="Y59" i="30"/>
  <c r="AA58" i="30"/>
  <c r="Y55" i="30"/>
  <c r="AA55" i="30"/>
  <c r="Z49" i="30"/>
  <c r="AE48" i="30" s="1"/>
  <c r="Z50" i="30"/>
  <c r="AF48" i="30" s="1"/>
  <c r="Y58" i="30"/>
  <c r="AB48" i="30"/>
  <c r="Z52" i="30"/>
  <c r="AE49" i="30" s="1"/>
  <c r="AC45" i="30"/>
  <c r="AA54" i="30"/>
  <c r="AA59" i="30"/>
  <c r="Y60" i="30"/>
  <c r="AA60" i="30"/>
  <c r="Z51" i="30"/>
  <c r="AD49" i="30" s="1"/>
  <c r="Y54" i="30"/>
  <c r="X57" i="30"/>
  <c r="AS84" i="27"/>
  <c r="AQ86" i="27"/>
  <c r="BI86" i="27"/>
  <c r="BB88" i="27"/>
  <c r="BJ85" i="27" s="1"/>
  <c r="BJ83" i="27"/>
  <c r="BG84" i="27"/>
  <c r="BG86" i="27"/>
  <c r="BI84" i="27"/>
  <c r="N161" i="27"/>
  <c r="K162" i="27"/>
  <c r="I68" i="30"/>
  <c r="BE133" i="27"/>
  <c r="AZ125" i="27"/>
  <c r="AY129" i="27"/>
  <c r="BB124" i="27"/>
  <c r="BK125" i="27" s="1"/>
  <c r="BA129" i="27"/>
  <c r="BC135" i="27"/>
  <c r="BB125" i="27"/>
  <c r="BI126" i="27" s="1"/>
  <c r="AY131" i="27"/>
  <c r="BC133" i="27"/>
  <c r="BA134" i="27"/>
  <c r="AZ124" i="27"/>
  <c r="BB122" i="27"/>
  <c r="AY134" i="27"/>
  <c r="BA130" i="27"/>
  <c r="BB123" i="27"/>
  <c r="BJ125" i="27" s="1"/>
  <c r="AZ123" i="27"/>
  <c r="BA133" i="27"/>
  <c r="BC134" i="27"/>
  <c r="BA131" i="27"/>
  <c r="BD125" i="27"/>
  <c r="BI129" i="27" s="1"/>
  <c r="AY135" i="27"/>
  <c r="AY130" i="27"/>
  <c r="AZ122" i="27"/>
  <c r="AY128" i="27"/>
  <c r="BD126" i="27"/>
  <c r="BJ129" i="27" s="1"/>
  <c r="BA135" i="27"/>
  <c r="AY133" i="27"/>
  <c r="AZ126" i="27"/>
  <c r="BD123" i="27"/>
  <c r="BJ128" i="27" s="1"/>
  <c r="BB126" i="27"/>
  <c r="BJ126" i="27" s="1"/>
  <c r="BC129" i="27"/>
  <c r="BD124" i="27"/>
  <c r="BK128" i="27" s="1"/>
  <c r="BD122" i="27"/>
  <c r="D127" i="27"/>
  <c r="K122" i="27"/>
  <c r="M122" i="27"/>
  <c r="N123" i="27"/>
  <c r="K126" i="27"/>
  <c r="S90" i="30"/>
  <c r="O95" i="30"/>
  <c r="T89" i="30" s="1"/>
  <c r="AT83" i="27"/>
  <c r="AQ84" i="27"/>
  <c r="AU83" i="27"/>
  <c r="AQ85" i="27"/>
  <c r="BI83" i="27"/>
  <c r="AZ88" i="27"/>
  <c r="BJ82" i="27" s="1"/>
  <c r="BG83" i="27"/>
  <c r="BJ84" i="27"/>
  <c r="BG87" i="27"/>
  <c r="BI89" i="27"/>
  <c r="BD88" i="27"/>
  <c r="BJ88" i="27" s="1"/>
  <c r="K161" i="27"/>
  <c r="D166" i="27"/>
  <c r="M161" i="27"/>
  <c r="M162" i="27"/>
  <c r="K164" i="27"/>
  <c r="M167" i="27"/>
  <c r="H166" i="27"/>
  <c r="N166" i="27" s="1"/>
  <c r="N122" i="27"/>
  <c r="K123" i="27"/>
  <c r="S69" i="30"/>
  <c r="O74" i="30"/>
  <c r="T68" i="30" s="1"/>
  <c r="I26" i="30"/>
  <c r="AD30" i="30"/>
  <c r="AB32" i="30"/>
  <c r="AE29" i="30" s="1"/>
  <c r="Z32" i="30"/>
  <c r="AE26" i="30" s="1"/>
  <c r="AD27" i="30"/>
  <c r="I4" i="30"/>
  <c r="AO5" i="30"/>
  <c r="AK10" i="30"/>
  <c r="AP4" i="30" s="1"/>
  <c r="AT84" i="27"/>
  <c r="AQ87" i="27"/>
  <c r="AS83" i="27"/>
  <c r="AQ83" i="27"/>
  <c r="AJ88" i="27"/>
  <c r="AO57" i="30"/>
  <c r="AQ65" i="30"/>
  <c r="BK83" i="27"/>
  <c r="BG85" i="27"/>
  <c r="O161" i="27"/>
  <c r="K163" i="27"/>
  <c r="AJ122" i="27"/>
  <c r="AK135" i="27"/>
  <c r="AN123" i="27"/>
  <c r="AT128" i="27" s="1"/>
  <c r="AK130" i="27"/>
  <c r="AJ123" i="27"/>
  <c r="AI133" i="27"/>
  <c r="AI128" i="27"/>
  <c r="AL126" i="27"/>
  <c r="AT126" i="27" s="1"/>
  <c r="AN126" i="27"/>
  <c r="AT129" i="27" s="1"/>
  <c r="AI134" i="27"/>
  <c r="AL123" i="27"/>
  <c r="AT125" i="27" s="1"/>
  <c r="AJ126" i="27"/>
  <c r="AK134" i="27"/>
  <c r="AK129" i="27"/>
  <c r="AK133" i="27"/>
  <c r="AI130" i="27"/>
  <c r="AM133" i="27"/>
  <c r="AN125" i="27"/>
  <c r="AS129" i="27" s="1"/>
  <c r="AI129" i="27"/>
  <c r="AL122" i="27"/>
  <c r="AN122" i="27"/>
  <c r="AI131" i="27"/>
  <c r="AM129" i="27"/>
  <c r="AN124" i="27"/>
  <c r="AU128" i="27" s="1"/>
  <c r="AJ124" i="27"/>
  <c r="AI135" i="27"/>
  <c r="AO133" i="27"/>
  <c r="AM135" i="27"/>
  <c r="AJ125" i="27"/>
  <c r="AK131" i="27"/>
  <c r="AL124" i="27"/>
  <c r="AU125" i="27" s="1"/>
  <c r="AM134" i="27"/>
  <c r="AL125" i="27"/>
  <c r="AS126" i="27" s="1"/>
  <c r="I47" i="30"/>
  <c r="Q74" i="30"/>
  <c r="T71" i="30" s="1"/>
  <c r="S72" i="30"/>
  <c r="I89" i="30"/>
  <c r="Q95" i="30"/>
  <c r="T92" i="30" s="1"/>
  <c r="S93" i="30"/>
  <c r="AD78" i="30"/>
  <c r="AF86" i="30"/>
  <c r="AD99" i="30" s="1"/>
  <c r="AO8" i="30"/>
  <c r="AM10" i="30"/>
  <c r="AP7" i="30" s="1"/>
  <c r="AS89" i="27"/>
  <c r="AN88" i="27"/>
  <c r="AT88" i="27" s="1"/>
  <c r="AS86" i="27"/>
  <c r="AL88" i="27"/>
  <c r="AT85" i="27" s="1"/>
  <c r="T76" i="31"/>
  <c r="AI76" i="31"/>
  <c r="AN24" i="30"/>
  <c r="AK31" i="30"/>
  <c r="AP28" i="30" s="1"/>
  <c r="AJ37" i="30"/>
  <c r="AK30" i="30"/>
  <c r="AO28" i="30" s="1"/>
  <c r="AJ38" i="30"/>
  <c r="AK27" i="30"/>
  <c r="AL35" i="30"/>
  <c r="AL39" i="30"/>
  <c r="AI36" i="30"/>
  <c r="AK28" i="30"/>
  <c r="AP27" i="30" s="1"/>
  <c r="AM30" i="30"/>
  <c r="AO31" i="30" s="1"/>
  <c r="AJ35" i="30"/>
  <c r="AM29" i="30"/>
  <c r="AQ30" i="30" s="1"/>
  <c r="AL33" i="30"/>
  <c r="AM31" i="30"/>
  <c r="AP31" i="30" s="1"/>
  <c r="AM28" i="30"/>
  <c r="AP30" i="30" s="1"/>
  <c r="AJ34" i="30"/>
  <c r="AL38" i="30"/>
  <c r="AL37" i="30"/>
  <c r="AJ39" i="30"/>
  <c r="AM27" i="30"/>
  <c r="AK29" i="30"/>
  <c r="AQ27" i="30" s="1"/>
  <c r="AL34" i="30"/>
  <c r="AJ33" i="30"/>
  <c r="K165" i="27"/>
  <c r="N162" i="27"/>
  <c r="M164" i="27"/>
  <c r="F166" i="27"/>
  <c r="N163" i="27" s="1"/>
  <c r="AK174" i="27"/>
  <c r="AJ162" i="27"/>
  <c r="AI169" i="27"/>
  <c r="AM168" i="27"/>
  <c r="AJ164" i="27"/>
  <c r="AI174" i="27"/>
  <c r="AM174" i="27"/>
  <c r="AJ165" i="27"/>
  <c r="AN163" i="27"/>
  <c r="AU167" i="27" s="1"/>
  <c r="AK169" i="27"/>
  <c r="AN165" i="27"/>
  <c r="AT168" i="27" s="1"/>
  <c r="AN161" i="27"/>
  <c r="AN162" i="27"/>
  <c r="AT167" i="27" s="1"/>
  <c r="AI168" i="27"/>
  <c r="AK173" i="27"/>
  <c r="AL165" i="27"/>
  <c r="AT165" i="27" s="1"/>
  <c r="AJ163" i="27"/>
  <c r="AK170" i="27"/>
  <c r="AL164" i="27"/>
  <c r="AS165" i="27" s="1"/>
  <c r="AJ161" i="27"/>
  <c r="AK172" i="27"/>
  <c r="AL162" i="27"/>
  <c r="AT164" i="27" s="1"/>
  <c r="AI170" i="27"/>
  <c r="AI173" i="27"/>
  <c r="AL161" i="27"/>
  <c r="AI167" i="27"/>
  <c r="AM173" i="27"/>
  <c r="AM172" i="27"/>
  <c r="AO172" i="27"/>
  <c r="AI172" i="27"/>
  <c r="AN164" i="27"/>
  <c r="AS168" i="27" s="1"/>
  <c r="AK168" i="27"/>
  <c r="AL163" i="27"/>
  <c r="AU164" i="27" s="1"/>
  <c r="AY172" i="27"/>
  <c r="BC174" i="27"/>
  <c r="BD162" i="27"/>
  <c r="BJ167" i="27" s="1"/>
  <c r="AZ164" i="27"/>
  <c r="BB163" i="27"/>
  <c r="BK164" i="27" s="1"/>
  <c r="BA168" i="27"/>
  <c r="BA174" i="27"/>
  <c r="AY173" i="27"/>
  <c r="AZ162" i="27"/>
  <c r="AY168" i="27"/>
  <c r="AY174" i="27"/>
  <c r="AY170" i="27"/>
  <c r="BB164" i="27"/>
  <c r="BI165" i="27" s="1"/>
  <c r="BD164" i="27"/>
  <c r="BI168" i="27" s="1"/>
  <c r="BC168" i="27"/>
  <c r="BA170" i="27"/>
  <c r="BD161" i="27"/>
  <c r="BA173" i="27"/>
  <c r="BB161" i="27"/>
  <c r="BB165" i="27"/>
  <c r="BJ165" i="27" s="1"/>
  <c r="BA172" i="27"/>
  <c r="BD163" i="27"/>
  <c r="BK167" i="27" s="1"/>
  <c r="AY169" i="27"/>
  <c r="BD165" i="27"/>
  <c r="BJ168" i="27" s="1"/>
  <c r="BB162" i="27"/>
  <c r="BJ164" i="27" s="1"/>
  <c r="BC173" i="27"/>
  <c r="BE172" i="27"/>
  <c r="BA169" i="27"/>
  <c r="AY167" i="27"/>
  <c r="AZ165" i="27"/>
  <c r="AZ161" i="27"/>
  <c r="BC172" i="27"/>
  <c r="AZ163" i="27"/>
  <c r="M128" i="27"/>
  <c r="H127" i="27"/>
  <c r="N127" i="27" s="1"/>
  <c r="M125" i="27"/>
  <c r="F127" i="27"/>
  <c r="N124" i="27" s="1"/>
  <c r="M123" i="27"/>
  <c r="K125" i="27"/>
  <c r="O122" i="27"/>
  <c r="K124" i="27"/>
  <c r="T846" i="31"/>
  <c r="Q56" i="35"/>
  <c r="R55" i="35"/>
  <c r="S55" i="35"/>
  <c r="V55" i="35"/>
  <c r="Z56" i="35"/>
  <c r="AA55" i="35"/>
  <c r="R53" i="35"/>
  <c r="S53" i="35" s="1"/>
  <c r="T53" i="35" s="1"/>
  <c r="U53" i="35" s="1"/>
  <c r="V53" i="35" s="1"/>
  <c r="W53" i="35" s="1"/>
  <c r="X53" i="35" s="1"/>
  <c r="Z55" i="35"/>
  <c r="T55" i="35"/>
  <c r="AB53" i="35"/>
  <c r="T54" i="35"/>
  <c r="Y55" i="35"/>
  <c r="Q54" i="35"/>
  <c r="U55" i="35"/>
  <c r="W55" i="35"/>
  <c r="X55" i="35"/>
  <c r="AB55" i="35"/>
  <c r="Q55" i="35"/>
  <c r="AB54" i="35"/>
  <c r="Q57" i="35"/>
  <c r="Z57" i="35"/>
  <c r="P89" i="35"/>
  <c r="Q97" i="35" s="1"/>
  <c r="Q75" i="35"/>
  <c r="T662" i="31"/>
  <c r="V662" i="31"/>
  <c r="T1068" i="31"/>
  <c r="AI126" i="31"/>
  <c r="AI884" i="31"/>
  <c r="T1046" i="31"/>
  <c r="U887" i="31"/>
  <c r="U665" i="31"/>
  <c r="U849" i="31"/>
  <c r="V846" i="31"/>
  <c r="AI1084" i="31"/>
  <c r="U41" i="31"/>
  <c r="U1071" i="31"/>
  <c r="AI1068" i="31"/>
  <c r="V754" i="31"/>
  <c r="T126" i="31"/>
  <c r="V126" i="31"/>
  <c r="AI92" i="31"/>
  <c r="U95" i="31"/>
  <c r="T92" i="31"/>
  <c r="AO57" i="35"/>
  <c r="AF57" i="35"/>
  <c r="K79" i="35"/>
  <c r="B79" i="35"/>
  <c r="K101" i="35"/>
  <c r="B101" i="35"/>
  <c r="B100" i="35"/>
  <c r="G99" i="35"/>
  <c r="C99" i="35"/>
  <c r="L99" i="35"/>
  <c r="K100" i="35"/>
  <c r="H99" i="35"/>
  <c r="E98" i="35"/>
  <c r="M97" i="35"/>
  <c r="K99" i="35"/>
  <c r="I99" i="35"/>
  <c r="F99" i="35"/>
  <c r="C97" i="35"/>
  <c r="D97" i="35" s="1"/>
  <c r="E97" i="35" s="1"/>
  <c r="F97" i="35" s="1"/>
  <c r="G97" i="35" s="1"/>
  <c r="H97" i="35" s="1"/>
  <c r="I97" i="35" s="1"/>
  <c r="J99" i="35"/>
  <c r="M98" i="35"/>
  <c r="E99" i="35"/>
  <c r="B98" i="35"/>
  <c r="M99" i="35"/>
  <c r="B99" i="35"/>
  <c r="D99" i="35"/>
  <c r="E76" i="35"/>
  <c r="E77" i="35"/>
  <c r="B77" i="35"/>
  <c r="M75" i="35"/>
  <c r="J77" i="35"/>
  <c r="C75" i="35"/>
  <c r="D75" i="35" s="1"/>
  <c r="E75" i="35" s="1"/>
  <c r="F75" i="35" s="1"/>
  <c r="G75" i="35" s="1"/>
  <c r="H75" i="35" s="1"/>
  <c r="I75" i="35" s="1"/>
  <c r="L77" i="35"/>
  <c r="K77" i="35"/>
  <c r="H77" i="35"/>
  <c r="B78" i="35"/>
  <c r="G77" i="35"/>
  <c r="M77" i="35"/>
  <c r="I77" i="35"/>
  <c r="F77" i="35"/>
  <c r="D77" i="35"/>
  <c r="B76" i="35"/>
  <c r="K78" i="35"/>
  <c r="C77" i="35"/>
  <c r="M76" i="35"/>
  <c r="AO55" i="35"/>
  <c r="AF56" i="35"/>
  <c r="AQ55" i="35"/>
  <c r="AI54" i="35"/>
  <c r="AQ54" i="35"/>
  <c r="AK55" i="35"/>
  <c r="AF55" i="35"/>
  <c r="AM55" i="35"/>
  <c r="AN55" i="35"/>
  <c r="AP55" i="35"/>
  <c r="AI55" i="35"/>
  <c r="AG53" i="35"/>
  <c r="AH53" i="35" s="1"/>
  <c r="AI53" i="35" s="1"/>
  <c r="AJ53" i="35" s="1"/>
  <c r="AK53" i="35" s="1"/>
  <c r="AL53" i="35" s="1"/>
  <c r="AM53" i="35" s="1"/>
  <c r="AO56" i="35"/>
  <c r="AG55" i="35"/>
  <c r="AH55" i="35"/>
  <c r="AF54" i="35"/>
  <c r="AQ53" i="35"/>
  <c r="AL55" i="35"/>
  <c r="AJ55" i="35"/>
  <c r="AE89" i="35"/>
  <c r="AF97" i="35" s="1"/>
  <c r="AF75" i="35"/>
  <c r="U113" i="31"/>
  <c r="V110" i="31"/>
  <c r="T110" i="31"/>
  <c r="U1087" i="31"/>
  <c r="U151" i="31"/>
  <c r="U773" i="31"/>
  <c r="U1049" i="31"/>
  <c r="V148" i="31"/>
  <c r="T148" i="31"/>
  <c r="V1084" i="31"/>
  <c r="T1100" i="31"/>
  <c r="U1103" i="31"/>
  <c r="AI1100" i="31"/>
  <c r="V1046" i="31"/>
  <c r="U183" i="31"/>
  <c r="U91" i="31"/>
  <c r="T38" i="31"/>
  <c r="T884" i="31"/>
  <c r="V180" i="31"/>
  <c r="V88" i="31"/>
  <c r="V38" i="31"/>
  <c r="AI180" i="31"/>
  <c r="AI88" i="31"/>
  <c r="AI770" i="31"/>
  <c r="T770" i="31"/>
  <c r="AI754" i="31"/>
  <c r="T754" i="31"/>
  <c r="U1070" i="31"/>
  <c r="U19" i="31"/>
  <c r="U942" i="31"/>
  <c r="U13" i="31"/>
  <c r="U1048" i="31"/>
  <c r="U182" i="31"/>
  <c r="T60" i="31"/>
  <c r="U918" i="31"/>
  <c r="U128" i="31"/>
  <c r="U521" i="31"/>
  <c r="U797" i="31"/>
  <c r="U563" i="31"/>
  <c r="U582" i="31"/>
  <c r="U544" i="31"/>
  <c r="U801" i="31"/>
  <c r="U386" i="31"/>
  <c r="U398" i="31"/>
  <c r="U333" i="31"/>
  <c r="U15" i="31"/>
  <c r="U344" i="31"/>
  <c r="U516" i="31"/>
  <c r="U498" i="31"/>
  <c r="U725" i="31"/>
  <c r="U211" i="31"/>
  <c r="U494" i="31"/>
  <c r="U483" i="31"/>
  <c r="U533" i="31"/>
  <c r="U482" i="31"/>
  <c r="U294" i="31"/>
  <c r="U198" i="31"/>
  <c r="U299" i="31"/>
  <c r="U644" i="31"/>
  <c r="U770" i="31"/>
  <c r="U199" i="31"/>
  <c r="U736" i="31"/>
  <c r="U590" i="31"/>
  <c r="U732" i="31"/>
  <c r="U537" i="31"/>
  <c r="U951" i="31"/>
  <c r="U540" i="31"/>
  <c r="U586" i="31"/>
  <c r="U80" i="31"/>
  <c r="U226" i="31"/>
  <c r="U30" i="31"/>
  <c r="U415" i="31"/>
  <c r="U306" i="31"/>
  <c r="U340" i="31"/>
  <c r="U252" i="31"/>
  <c r="U387" i="31"/>
  <c r="U655" i="31"/>
  <c r="U705" i="31"/>
  <c r="U859" i="31"/>
  <c r="U724" i="31"/>
  <c r="U260" i="31"/>
  <c r="U751" i="31"/>
  <c r="U357" i="31"/>
  <c r="U578" i="31"/>
  <c r="U737" i="31"/>
  <c r="U641" i="31"/>
  <c r="U938" i="31"/>
  <c r="U156" i="31"/>
  <c r="U115" i="31"/>
  <c r="U687" i="31"/>
  <c r="U287" i="31"/>
  <c r="U273" i="31"/>
  <c r="U73" i="31"/>
  <c r="U176" i="31"/>
  <c r="U360" i="31"/>
  <c r="U18" i="31"/>
  <c r="U506" i="31"/>
  <c r="U846" i="31"/>
  <c r="U1058" i="31"/>
  <c r="U93" i="31"/>
  <c r="U245" i="31"/>
  <c r="U499" i="31"/>
  <c r="U378" i="31"/>
  <c r="U700" i="31"/>
  <c r="U662" i="31"/>
  <c r="U1023" i="31"/>
  <c r="U134" i="31"/>
  <c r="U640" i="31"/>
  <c r="U708" i="31"/>
  <c r="U532" i="31"/>
  <c r="U808" i="31"/>
  <c r="U690" i="31"/>
  <c r="U931" i="31"/>
  <c r="U583" i="31"/>
  <c r="U809" i="31"/>
  <c r="U56" i="31"/>
  <c r="U76" i="31"/>
  <c r="U390" i="31"/>
  <c r="U721" i="31"/>
  <c r="U633" i="31"/>
  <c r="U361" i="31"/>
  <c r="U875" i="31"/>
  <c r="U552" i="31"/>
  <c r="U353" i="31"/>
  <c r="U345" i="31"/>
  <c r="U403" i="31"/>
  <c r="U520" i="31"/>
  <c r="U947" i="31"/>
  <c r="U729" i="31"/>
  <c r="U713" i="31"/>
  <c r="U828" i="31"/>
  <c r="U524" i="31"/>
  <c r="U595" i="31"/>
  <c r="U470" i="31"/>
  <c r="U257" i="31"/>
  <c r="U900" i="31"/>
  <c r="U152" i="31"/>
  <c r="U241" i="31"/>
  <c r="U889" i="31"/>
  <c r="U888" i="31"/>
  <c r="U184" i="31"/>
  <c r="U61" i="31"/>
  <c r="U180" i="31"/>
  <c r="U855" i="31"/>
  <c r="U507" i="31"/>
  <c r="U599" i="31"/>
  <c r="U126" i="31"/>
  <c r="U758" i="31"/>
  <c r="U517" i="31"/>
  <c r="U127" i="31"/>
  <c r="U47" i="31"/>
  <c r="U185" i="31"/>
  <c r="U60" i="31"/>
  <c r="U1054" i="31"/>
  <c r="U114" i="31"/>
  <c r="U69" i="31"/>
  <c r="U46" i="31"/>
  <c r="U914" i="31"/>
  <c r="U186" i="31"/>
  <c r="U170" i="31"/>
  <c r="U978" i="31"/>
  <c r="U166" i="31"/>
  <c r="U154" i="31"/>
  <c r="U760" i="31"/>
  <c r="U780" i="31"/>
  <c r="U70" i="31"/>
  <c r="U668" i="31"/>
  <c r="U876" i="31"/>
  <c r="U1032" i="31"/>
  <c r="U692" i="31"/>
  <c r="U12" i="31"/>
  <c r="U794" i="31"/>
  <c r="U986" i="31"/>
  <c r="U764" i="31"/>
  <c r="U894" i="31"/>
  <c r="U922" i="31"/>
  <c r="U112" i="31"/>
  <c r="U1144" i="31"/>
  <c r="U756" i="31"/>
  <c r="U140" i="31"/>
  <c r="U1094" i="31"/>
  <c r="U806" i="31"/>
  <c r="U860" i="31"/>
  <c r="U776" i="31"/>
  <c r="U1090" i="31"/>
  <c r="U710" i="31"/>
  <c r="U768" i="31"/>
  <c r="U852" i="31"/>
  <c r="U580" i="31"/>
  <c r="U680" i="31"/>
  <c r="U1024" i="31"/>
  <c r="U676" i="31"/>
  <c r="U1074" i="31"/>
  <c r="U1006" i="31"/>
  <c r="U718" i="31"/>
  <c r="U840" i="31"/>
  <c r="U78" i="31"/>
  <c r="U90" i="31"/>
  <c r="U998" i="31"/>
  <c r="U1136" i="31"/>
  <c r="U906" i="31"/>
  <c r="U86" i="31"/>
  <c r="U1056" i="31"/>
  <c r="U856" i="31"/>
  <c r="U940" i="31"/>
  <c r="U818" i="31"/>
  <c r="U844" i="31"/>
  <c r="U960" i="31"/>
  <c r="U982" i="31"/>
  <c r="U1116" i="31"/>
  <c r="U748" i="31"/>
  <c r="U890" i="31"/>
  <c r="U1040" i="31"/>
  <c r="U94" i="31"/>
  <c r="U1078" i="31"/>
  <c r="U956" i="31"/>
  <c r="U1140" i="31"/>
  <c r="U660" i="31"/>
  <c r="U1028" i="31"/>
  <c r="U822" i="31"/>
  <c r="U784" i="31"/>
  <c r="U1148" i="31"/>
  <c r="U684" i="31"/>
  <c r="U1124" i="31"/>
  <c r="U948" i="31"/>
  <c r="U1014" i="31"/>
  <c r="U588" i="31"/>
  <c r="U1132" i="31"/>
  <c r="U136" i="31"/>
  <c r="U1082" i="31"/>
  <c r="U1120" i="31"/>
  <c r="U910" i="31"/>
  <c r="U802" i="31"/>
  <c r="U968" i="31"/>
  <c r="U772" i="31"/>
  <c r="U108" i="31"/>
  <c r="U132" i="31"/>
  <c r="U1098" i="31"/>
  <c r="U1128" i="31"/>
  <c r="U830" i="31"/>
  <c r="U826" i="31"/>
  <c r="U952" i="31"/>
  <c r="U1052" i="31"/>
  <c r="U1060" i="31"/>
  <c r="U1036" i="31"/>
  <c r="U814" i="31"/>
  <c r="U1010" i="31"/>
  <c r="U864" i="31"/>
  <c r="U1152" i="31"/>
  <c r="U1106" i="31"/>
  <c r="U1044" i="31"/>
  <c r="U610" i="31"/>
  <c r="U886" i="31"/>
  <c r="U664" i="31"/>
  <c r="U16" i="31"/>
  <c r="U370" i="31"/>
  <c r="U120" i="31"/>
  <c r="U258" i="31"/>
  <c r="U546" i="31"/>
  <c r="U848" i="31"/>
  <c r="U738" i="31"/>
  <c r="U592" i="31"/>
  <c r="U672" i="31"/>
  <c r="U220" i="31"/>
  <c r="U178" i="31"/>
  <c r="U400" i="31"/>
  <c r="U254" i="31"/>
  <c r="U484" i="31"/>
  <c r="U572" i="31"/>
  <c r="U944" i="31"/>
  <c r="U730" i="31"/>
  <c r="U434" i="31"/>
  <c r="U228" i="31"/>
  <c r="U232" i="31"/>
  <c r="U270" i="31"/>
  <c r="U392" i="31"/>
  <c r="U158" i="31"/>
  <c r="U564" i="31"/>
  <c r="U584" i="31"/>
  <c r="U538" i="31"/>
  <c r="U530" i="31"/>
  <c r="U504" i="31"/>
  <c r="U308" i="31"/>
  <c r="U36" i="31"/>
  <c r="U346" i="31"/>
  <c r="U442" i="31"/>
  <c r="U320" i="31"/>
  <c r="U488" i="31"/>
  <c r="U550" i="31"/>
  <c r="U638" i="31"/>
  <c r="U634" i="31"/>
  <c r="U250" i="31"/>
  <c r="U324" i="31"/>
  <c r="U82" i="31"/>
  <c r="U212" i="31"/>
  <c r="U542" i="31"/>
  <c r="U798" i="31"/>
  <c r="U734" i="31"/>
  <c r="U600" i="31"/>
  <c r="U646" i="31"/>
  <c r="U24" i="31"/>
  <c r="U216" i="31"/>
  <c r="U358" i="31"/>
  <c r="U354" i="31"/>
  <c r="U262" i="31"/>
  <c r="U508" i="31"/>
  <c r="U426" i="31"/>
  <c r="U932" i="31"/>
  <c r="U726" i="31"/>
  <c r="U44" i="31"/>
  <c r="U40" i="31"/>
  <c r="U266" i="31"/>
  <c r="U300" i="31"/>
  <c r="U446" i="31"/>
  <c r="U810" i="31"/>
  <c r="U526" i="31"/>
  <c r="U626" i="31"/>
  <c r="U204" i="31"/>
  <c r="U312" i="31"/>
  <c r="U384" i="31"/>
  <c r="U350" i="31"/>
  <c r="U278" i="31"/>
  <c r="U462" i="31"/>
  <c r="U450" i="31"/>
  <c r="U596" i="31"/>
  <c r="U208" i="31"/>
  <c r="U334" i="31"/>
  <c r="U438" i="31"/>
  <c r="U274" i="31"/>
  <c r="U722" i="31"/>
  <c r="U990" i="31"/>
  <c r="U618" i="31"/>
  <c r="U472" i="31"/>
  <c r="U614" i="31"/>
  <c r="U28" i="31"/>
  <c r="U20" i="31"/>
  <c r="U150" i="31"/>
  <c r="U362" i="31"/>
  <c r="U416" i="31"/>
  <c r="U404" i="31"/>
  <c r="U872" i="31"/>
  <c r="U936" i="31"/>
  <c r="U688" i="31"/>
  <c r="U58" i="31"/>
  <c r="U396" i="31"/>
  <c r="U338" i="31"/>
  <c r="U124" i="31"/>
  <c r="U492" i="31"/>
  <c r="U116" i="31"/>
  <c r="U706" i="31"/>
  <c r="U480" i="31"/>
  <c r="U622" i="31"/>
  <c r="U196" i="31"/>
  <c r="U242" i="31"/>
  <c r="U430" i="31"/>
  <c r="U174" i="31"/>
  <c r="U454" i="31"/>
  <c r="U296" i="31"/>
  <c r="U964" i="31"/>
  <c r="U554" i="31"/>
  <c r="U224" i="31"/>
  <c r="U288" i="31"/>
  <c r="U304" i="31"/>
  <c r="U408" i="31"/>
  <c r="U630" i="31"/>
  <c r="U868" i="31"/>
  <c r="U568" i="31"/>
  <c r="U994" i="31"/>
  <c r="U200" i="31"/>
  <c r="U162" i="31"/>
  <c r="U366" i="31"/>
  <c r="U292" i="31"/>
  <c r="U48" i="31"/>
  <c r="U388" i="31"/>
  <c r="U1002" i="31"/>
  <c r="U702" i="31"/>
  <c r="U534" i="31"/>
  <c r="U66" i="31"/>
  <c r="U342" i="31"/>
  <c r="U246" i="31"/>
  <c r="U458" i="31"/>
  <c r="U476" i="31"/>
  <c r="U642" i="31"/>
  <c r="U522" i="31"/>
  <c r="U496" i="31"/>
  <c r="U518" i="31"/>
  <c r="U316" i="31"/>
  <c r="U380" i="31"/>
  <c r="U898" i="31"/>
  <c r="U412" i="31"/>
  <c r="U500" i="31"/>
  <c r="U576" i="31"/>
  <c r="U714" i="31"/>
  <c r="U1086" i="31"/>
  <c r="U74" i="31"/>
  <c r="U62" i="31"/>
  <c r="U656" i="31"/>
  <c r="U104" i="31"/>
  <c r="U32" i="31"/>
  <c r="U1102" i="31"/>
  <c r="U902" i="31"/>
  <c r="U752" i="31"/>
  <c r="BO5" i="27"/>
  <c r="BO6" i="27"/>
  <c r="BN2" i="27"/>
  <c r="BN3" i="27"/>
  <c r="BO4" i="27"/>
  <c r="AT89" i="35"/>
  <c r="AU97" i="35" s="1"/>
  <c r="AU75" i="35"/>
  <c r="BF54" i="35"/>
  <c r="BA55" i="35"/>
  <c r="BB55" i="35"/>
  <c r="AZ55" i="35"/>
  <c r="AU57" i="35"/>
  <c r="AX54" i="35"/>
  <c r="AU56" i="35"/>
  <c r="AV55" i="35"/>
  <c r="BF53" i="35"/>
  <c r="AX55" i="35"/>
  <c r="AW55" i="35"/>
  <c r="BF55" i="35"/>
  <c r="BD55" i="35"/>
  <c r="AU55" i="35"/>
  <c r="BC55" i="35"/>
  <c r="AY55" i="35"/>
  <c r="AU54" i="35"/>
  <c r="AV53" i="35"/>
  <c r="AW53" i="35" s="1"/>
  <c r="AX53" i="35" s="1"/>
  <c r="AY53" i="35" s="1"/>
  <c r="AZ53" i="35" s="1"/>
  <c r="BA53" i="35" s="1"/>
  <c r="BB53" i="35" s="1"/>
  <c r="BE55" i="35"/>
  <c r="BD57" i="35"/>
  <c r="BD56" i="35"/>
  <c r="AI60" i="31"/>
  <c r="U63" i="31"/>
  <c r="V34" i="31"/>
  <c r="U915" i="31"/>
  <c r="T160" i="31"/>
  <c r="U891" i="31"/>
  <c r="U473" i="31"/>
  <c r="V888" i="31"/>
  <c r="AI14" i="31"/>
  <c r="AI888" i="31"/>
  <c r="T912" i="31"/>
  <c r="U37" i="31"/>
  <c r="U753" i="31"/>
  <c r="U163" i="31"/>
  <c r="AI470" i="31"/>
  <c r="AI160" i="31"/>
  <c r="V14" i="31"/>
  <c r="AI34" i="31"/>
  <c r="V470" i="31"/>
  <c r="T750" i="31"/>
  <c r="U167" i="31"/>
  <c r="V750" i="31"/>
  <c r="AI164" i="31"/>
  <c r="V164" i="31"/>
  <c r="V900" i="31"/>
  <c r="V912" i="31"/>
  <c r="T782" i="31"/>
  <c r="T778" i="31"/>
  <c r="AI184" i="31"/>
  <c r="U105" i="31"/>
  <c r="T102" i="31"/>
  <c r="T184" i="31"/>
  <c r="AI102" i="31"/>
  <c r="U187" i="31"/>
  <c r="AI782" i="31"/>
  <c r="AI778" i="31"/>
  <c r="U179" i="31"/>
  <c r="U781" i="31"/>
  <c r="AI176" i="31"/>
  <c r="AI916" i="31"/>
  <c r="V782" i="31"/>
  <c r="V176" i="31"/>
  <c r="AI900" i="31"/>
  <c r="T900" i="31"/>
  <c r="U919" i="31"/>
  <c r="V916" i="31"/>
  <c r="U761" i="31"/>
  <c r="AI758" i="31"/>
  <c r="V758" i="31"/>
  <c r="T758" i="31"/>
  <c r="BG88" i="27" l="1"/>
  <c r="BF89" i="27" s="1"/>
  <c r="AQ88" i="27"/>
  <c r="AP89" i="27" s="1"/>
  <c r="BG163" i="27"/>
  <c r="BK161" i="27"/>
  <c r="BD166" i="27"/>
  <c r="BJ166" i="27" s="1"/>
  <c r="BI167" i="27"/>
  <c r="BJ161" i="27"/>
  <c r="BG162" i="27"/>
  <c r="AT161" i="27"/>
  <c r="AQ162" i="27"/>
  <c r="AO27" i="30"/>
  <c r="AK32" i="30"/>
  <c r="AP26" i="30" s="1"/>
  <c r="AS125" i="27"/>
  <c r="AL127" i="27"/>
  <c r="AT124" i="27" s="1"/>
  <c r="AT123" i="27"/>
  <c r="AQ126" i="27"/>
  <c r="AO78" i="30"/>
  <c r="AQ86" i="30"/>
  <c r="AO99" i="30" s="1"/>
  <c r="BJ123" i="27"/>
  <c r="BG126" i="27"/>
  <c r="BJ122" i="27"/>
  <c r="BG123" i="27"/>
  <c r="BI125" i="27"/>
  <c r="BB127" i="27"/>
  <c r="BJ124" i="27" s="1"/>
  <c r="AB53" i="30"/>
  <c r="AE50" i="30" s="1"/>
  <c r="AD51" i="30"/>
  <c r="AD48" i="30"/>
  <c r="Z53" i="30"/>
  <c r="AE47" i="30" s="1"/>
  <c r="BG164" i="27"/>
  <c r="BI162" i="27"/>
  <c r="AL166" i="27"/>
  <c r="AT163" i="27" s="1"/>
  <c r="AS164" i="27"/>
  <c r="AU161" i="27"/>
  <c r="AQ163" i="27"/>
  <c r="AS162" i="27"/>
  <c r="AQ164" i="27"/>
  <c r="AO30" i="30"/>
  <c r="AM32" i="30"/>
  <c r="AP29" i="30" s="1"/>
  <c r="AN45" i="30"/>
  <c r="AI57" i="30"/>
  <c r="AK52" i="30"/>
  <c r="AP49" i="30" s="1"/>
  <c r="AM52" i="30"/>
  <c r="AP52" i="30" s="1"/>
  <c r="AJ54" i="30"/>
  <c r="AL54" i="30"/>
  <c r="AJ60" i="30"/>
  <c r="AJ58" i="30"/>
  <c r="AK48" i="30"/>
  <c r="AL55" i="30"/>
  <c r="AM50" i="30"/>
  <c r="AQ51" i="30" s="1"/>
  <c r="AL60" i="30"/>
  <c r="AJ59" i="30"/>
  <c r="AK51" i="30"/>
  <c r="AO49" i="30" s="1"/>
  <c r="AL59" i="30"/>
  <c r="AK49" i="30"/>
  <c r="AP48" i="30" s="1"/>
  <c r="AK50" i="30"/>
  <c r="AQ48" i="30" s="1"/>
  <c r="AM48" i="30"/>
  <c r="AL58" i="30"/>
  <c r="AJ55" i="30"/>
  <c r="AJ56" i="30"/>
  <c r="AM51" i="30"/>
  <c r="AO52" i="30" s="1"/>
  <c r="AM49" i="30"/>
  <c r="AP51" i="30" s="1"/>
  <c r="AL56" i="30"/>
  <c r="K166" i="27"/>
  <c r="J167" i="27" s="1"/>
  <c r="K127" i="27"/>
  <c r="J128" i="27" s="1"/>
  <c r="BI122" i="27"/>
  <c r="AZ127" i="27"/>
  <c r="BJ121" i="27" s="1"/>
  <c r="BG122" i="27"/>
  <c r="BK122" i="27"/>
  <c r="BG124" i="27"/>
  <c r="AZ166" i="27"/>
  <c r="BJ160" i="27" s="1"/>
  <c r="BI161" i="27"/>
  <c r="BG161" i="27"/>
  <c r="BI164" i="27"/>
  <c r="BB166" i="27"/>
  <c r="BJ163" i="27" s="1"/>
  <c r="AS161" i="27"/>
  <c r="AJ166" i="27"/>
  <c r="AQ161" i="27"/>
  <c r="AS167" i="27"/>
  <c r="AN166" i="27"/>
  <c r="AT166" i="27" s="1"/>
  <c r="AT162" i="27"/>
  <c r="AQ165" i="27"/>
  <c r="AC87" i="30"/>
  <c r="Y97" i="30"/>
  <c r="AB91" i="30"/>
  <c r="AE93" i="30" s="1"/>
  <c r="Y100" i="30"/>
  <c r="AA96" i="30"/>
  <c r="AB90" i="30"/>
  <c r="X99" i="30"/>
  <c r="Z93" i="30"/>
  <c r="AD91" i="30" s="1"/>
  <c r="Y98" i="30"/>
  <c r="Z91" i="30"/>
  <c r="AE90" i="30" s="1"/>
  <c r="AA97" i="30"/>
  <c r="Z94" i="30"/>
  <c r="AE91" i="30" s="1"/>
  <c r="Y101" i="30"/>
  <c r="Z90" i="30"/>
  <c r="AB93" i="30"/>
  <c r="AD94" i="30" s="1"/>
  <c r="AB92" i="30"/>
  <c r="AF93" i="30" s="1"/>
  <c r="AA101" i="30"/>
  <c r="AB94" i="30"/>
  <c r="AE94" i="30" s="1"/>
  <c r="AA98" i="30"/>
  <c r="Z92" i="30"/>
  <c r="AF90" i="30" s="1"/>
  <c r="Y96" i="30"/>
  <c r="AA102" i="30"/>
  <c r="AA100" i="30"/>
  <c r="Y102" i="30"/>
  <c r="BI123" i="27"/>
  <c r="BG125" i="27"/>
  <c r="BG165" i="27"/>
  <c r="BJ162" i="27"/>
  <c r="AB70" i="30"/>
  <c r="AE72" i="30" s="1"/>
  <c r="AB69" i="30"/>
  <c r="AA76" i="30"/>
  <c r="Y77" i="30"/>
  <c r="Z70" i="30"/>
  <c r="AE69" i="30" s="1"/>
  <c r="AC66" i="30"/>
  <c r="Z69" i="30"/>
  <c r="X78" i="30"/>
  <c r="AA79" i="30"/>
  <c r="Y80" i="30"/>
  <c r="Y79" i="30"/>
  <c r="Y75" i="30"/>
  <c r="Z71" i="30"/>
  <c r="AF69" i="30" s="1"/>
  <c r="AA77" i="30"/>
  <c r="AA81" i="30"/>
  <c r="AB73" i="30"/>
  <c r="AE73" i="30" s="1"/>
  <c r="AA75" i="30"/>
  <c r="Y81" i="30"/>
  <c r="Y76" i="30"/>
  <c r="Z72" i="30"/>
  <c r="AD70" i="30" s="1"/>
  <c r="Z73" i="30"/>
  <c r="AE70" i="30" s="1"/>
  <c r="AB72" i="30"/>
  <c r="AD73" i="30" s="1"/>
  <c r="AA80" i="30"/>
  <c r="AB71" i="30"/>
  <c r="AF72" i="30" s="1"/>
  <c r="AS123" i="27"/>
  <c r="AQ125" i="27"/>
  <c r="AU122" i="27"/>
  <c r="AQ124" i="27"/>
  <c r="AS128" i="27"/>
  <c r="AN127" i="27"/>
  <c r="AT127" i="27" s="1"/>
  <c r="AT122" i="27"/>
  <c r="AQ123" i="27"/>
  <c r="AQ122" i="27"/>
  <c r="AS122" i="27"/>
  <c r="AJ127" i="27"/>
  <c r="BI128" i="27"/>
  <c r="BD127" i="27"/>
  <c r="BJ127" i="27" s="1"/>
  <c r="V99" i="35"/>
  <c r="T99" i="35"/>
  <c r="U99" i="35"/>
  <c r="R97" i="35"/>
  <c r="S97" i="35" s="1"/>
  <c r="T97" i="35" s="1"/>
  <c r="U97" i="35" s="1"/>
  <c r="V97" i="35" s="1"/>
  <c r="W97" i="35" s="1"/>
  <c r="X97" i="35" s="1"/>
  <c r="Z100" i="35"/>
  <c r="Q99" i="35"/>
  <c r="Z99" i="35"/>
  <c r="W99" i="35"/>
  <c r="AB97" i="35"/>
  <c r="AB99" i="35"/>
  <c r="Q101" i="35"/>
  <c r="S99" i="35"/>
  <c r="T98" i="35"/>
  <c r="Q98" i="35"/>
  <c r="R99" i="35"/>
  <c r="AA99" i="35"/>
  <c r="Q100" i="35"/>
  <c r="AB98" i="35"/>
  <c r="X99" i="35"/>
  <c r="Y99" i="35"/>
  <c r="Z101" i="35"/>
  <c r="AA77" i="35"/>
  <c r="S77" i="35"/>
  <c r="R77" i="35"/>
  <c r="T76" i="35"/>
  <c r="AB76" i="35"/>
  <c r="X77" i="35"/>
  <c r="T77" i="35"/>
  <c r="R75" i="35"/>
  <c r="S75" i="35" s="1"/>
  <c r="T75" i="35" s="1"/>
  <c r="U75" i="35" s="1"/>
  <c r="V75" i="35" s="1"/>
  <c r="W75" i="35" s="1"/>
  <c r="X75" i="35" s="1"/>
  <c r="W77" i="35"/>
  <c r="U77" i="35"/>
  <c r="AB77" i="35"/>
  <c r="Q78" i="35"/>
  <c r="Q79" i="35"/>
  <c r="Z77" i="35"/>
  <c r="Y77" i="35"/>
  <c r="V77" i="35"/>
  <c r="Z79" i="35"/>
  <c r="Q77" i="35"/>
  <c r="Z78" i="35"/>
  <c r="AB75" i="35"/>
  <c r="Q76" i="35"/>
  <c r="AO101" i="35"/>
  <c r="AF101" i="35"/>
  <c r="AO79" i="35"/>
  <c r="AF79" i="35"/>
  <c r="AF98" i="35"/>
  <c r="AQ99" i="35"/>
  <c r="AG97" i="35"/>
  <c r="AH97" i="35" s="1"/>
  <c r="AI97" i="35" s="1"/>
  <c r="AJ97" i="35" s="1"/>
  <c r="AK97" i="35" s="1"/>
  <c r="AL97" i="35" s="1"/>
  <c r="AM97" i="35" s="1"/>
  <c r="AQ98" i="35"/>
  <c r="AH99" i="35"/>
  <c r="AF100" i="35"/>
  <c r="AO100" i="35"/>
  <c r="AF99" i="35"/>
  <c r="AP99" i="35"/>
  <c r="AQ97" i="35"/>
  <c r="AN99" i="35"/>
  <c r="AI98" i="35"/>
  <c r="AL99" i="35"/>
  <c r="AG99" i="35"/>
  <c r="AI99" i="35"/>
  <c r="AO99" i="35"/>
  <c r="AK99" i="35"/>
  <c r="AJ99" i="35"/>
  <c r="AM99" i="35"/>
  <c r="AJ77" i="35"/>
  <c r="AO77" i="35"/>
  <c r="AI77" i="35"/>
  <c r="AG77" i="35"/>
  <c r="AQ75" i="35"/>
  <c r="AF78" i="35"/>
  <c r="AK77" i="35"/>
  <c r="AH77" i="35"/>
  <c r="AF77" i="35"/>
  <c r="AG75" i="35"/>
  <c r="AH75" i="35" s="1"/>
  <c r="AI75" i="35" s="1"/>
  <c r="AJ75" i="35" s="1"/>
  <c r="AK75" i="35" s="1"/>
  <c r="AL75" i="35" s="1"/>
  <c r="AM75" i="35" s="1"/>
  <c r="AQ77" i="35"/>
  <c r="AP77" i="35"/>
  <c r="AF76" i="35"/>
  <c r="AM77" i="35"/>
  <c r="AI76" i="35"/>
  <c r="AN77" i="35"/>
  <c r="AQ76" i="35"/>
  <c r="AL77" i="35"/>
  <c r="AO78" i="35"/>
  <c r="BO11" i="27"/>
  <c r="BO10" i="27"/>
  <c r="BO9" i="27"/>
  <c r="BO12" i="27"/>
  <c r="BO3" i="27"/>
  <c r="BO16" i="27"/>
  <c r="BO17" i="27"/>
  <c r="BO19" i="27"/>
  <c r="BO18" i="27"/>
  <c r="BF77" i="35"/>
  <c r="BC77" i="35"/>
  <c r="AX77" i="35"/>
  <c r="BE77" i="35"/>
  <c r="BD77" i="35"/>
  <c r="AU76" i="35"/>
  <c r="BA77" i="35"/>
  <c r="BD79" i="35"/>
  <c r="AY77" i="35"/>
  <c r="AV77" i="35"/>
  <c r="AV75" i="35"/>
  <c r="AW75" i="35" s="1"/>
  <c r="AX75" i="35" s="1"/>
  <c r="AY75" i="35" s="1"/>
  <c r="AZ75" i="35" s="1"/>
  <c r="BA75" i="35" s="1"/>
  <c r="BB75" i="35" s="1"/>
  <c r="BF76" i="35"/>
  <c r="BD78" i="35"/>
  <c r="AU79" i="35"/>
  <c r="BF75" i="35"/>
  <c r="AZ77" i="35"/>
  <c r="AW77" i="35"/>
  <c r="AX76" i="35"/>
  <c r="AU78" i="35"/>
  <c r="BB77" i="35"/>
  <c r="AU77" i="35"/>
  <c r="BE99" i="35"/>
  <c r="AX99" i="35"/>
  <c r="AU99" i="35"/>
  <c r="BF99" i="35"/>
  <c r="AU100" i="35"/>
  <c r="BB99" i="35"/>
  <c r="AZ99" i="35"/>
  <c r="AX98" i="35"/>
  <c r="BD100" i="35"/>
  <c r="BA99" i="35"/>
  <c r="BD99" i="35"/>
  <c r="BF98" i="35"/>
  <c r="AW99" i="35"/>
  <c r="AU98" i="35"/>
  <c r="AU101" i="35"/>
  <c r="BD101" i="35"/>
  <c r="AY99" i="35"/>
  <c r="BC99" i="35"/>
  <c r="BF97" i="35"/>
  <c r="AV99" i="35"/>
  <c r="AV97" i="35"/>
  <c r="AW97" i="35" s="1"/>
  <c r="AX97" i="35" s="1"/>
  <c r="AY97" i="35" s="1"/>
  <c r="AZ97" i="35" s="1"/>
  <c r="BA97" i="35" s="1"/>
  <c r="BB97" i="35" s="1"/>
  <c r="AM364" i="31"/>
  <c r="AN364" i="31" s="1"/>
  <c r="AM854" i="31"/>
  <c r="AN854" i="31" s="1"/>
  <c r="AM428" i="31"/>
  <c r="AN428" i="31" s="1"/>
  <c r="AM954" i="31"/>
  <c r="AN954" i="31" s="1"/>
  <c r="AM102" i="31"/>
  <c r="AN102" i="31" s="1"/>
  <c r="AM900" i="31"/>
  <c r="AN900" i="31" s="1"/>
  <c r="AM1042" i="31"/>
  <c r="AN1042" i="31" s="1"/>
  <c r="AM620" i="31"/>
  <c r="AN620" i="31" s="1"/>
  <c r="AM244" i="31"/>
  <c r="AN244" i="31" s="1"/>
  <c r="AM226" i="31"/>
  <c r="AN226" i="31" s="1"/>
  <c r="AM256" i="31"/>
  <c r="AN256" i="31" s="1"/>
  <c r="AM46" i="31"/>
  <c r="AN46" i="31" s="1"/>
  <c r="AM138" i="31"/>
  <c r="AN138" i="31" s="1"/>
  <c r="AM206" i="31"/>
  <c r="AN206" i="31" s="1"/>
  <c r="AM750" i="31"/>
  <c r="AN750" i="31" s="1"/>
  <c r="AM1126" i="31"/>
  <c r="AN1126" i="31" s="1"/>
  <c r="AM1072" i="31"/>
  <c r="AN1072" i="31" s="1"/>
  <c r="AM486" i="31"/>
  <c r="AN486" i="31" s="1"/>
  <c r="AM1146" i="31"/>
  <c r="AN1146" i="31" s="1"/>
  <c r="AM516" i="31"/>
  <c r="AN516" i="31" s="1"/>
  <c r="AM1088" i="31"/>
  <c r="AN1088" i="31" s="1"/>
  <c r="AM896" i="31"/>
  <c r="AN896" i="31" s="1"/>
  <c r="AM164" i="31"/>
  <c r="AN164" i="31" s="1"/>
  <c r="AM490" i="31"/>
  <c r="AN490" i="31" s="1"/>
  <c r="AM566" i="31"/>
  <c r="AN566" i="31" s="1"/>
  <c r="AM360" i="31"/>
  <c r="AN360" i="31" s="1"/>
  <c r="AM1050" i="31"/>
  <c r="AN1050" i="31" s="1"/>
  <c r="AM1000" i="31"/>
  <c r="AN1000" i="31" s="1"/>
  <c r="AM916" i="31"/>
  <c r="AN916" i="31" s="1"/>
  <c r="AM332" i="31"/>
  <c r="AN332" i="31" s="1"/>
  <c r="AM30" i="31"/>
  <c r="AN30" i="31" s="1"/>
  <c r="AM448" i="31"/>
  <c r="AN448" i="31" s="1"/>
  <c r="AM1092" i="31"/>
  <c r="AN1092" i="31" s="1"/>
  <c r="AM240" i="31"/>
  <c r="AN240" i="31" s="1"/>
  <c r="AM804" i="31"/>
  <c r="AN804" i="31" s="1"/>
  <c r="AM704" i="31"/>
  <c r="AN704" i="31" s="1"/>
  <c r="AM992" i="31"/>
  <c r="AN992" i="31" s="1"/>
  <c r="AM976" i="31"/>
  <c r="AN976" i="31" s="1"/>
  <c r="AM754" i="31"/>
  <c r="AN754" i="31" s="1"/>
  <c r="AM260" i="31"/>
  <c r="AN260" i="31" s="1"/>
  <c r="AM80" i="31"/>
  <c r="AN80" i="31" s="1"/>
  <c r="AM424" i="31"/>
  <c r="AN424" i="31" s="1"/>
  <c r="AM130" i="31"/>
  <c r="AN130" i="31" s="1"/>
  <c r="AM56" i="31"/>
  <c r="AN56" i="31" s="1"/>
  <c r="AM26" i="31"/>
  <c r="AN26" i="31" s="1"/>
  <c r="AM874" i="31"/>
  <c r="AN874" i="31" s="1"/>
  <c r="AM862" i="31"/>
  <c r="AN862" i="31" s="1"/>
  <c r="AM524" i="31"/>
  <c r="AN524" i="31" s="1"/>
  <c r="AM792" i="31"/>
  <c r="AN792" i="31" s="1"/>
  <c r="AM248" i="31"/>
  <c r="AN248" i="31" s="1"/>
  <c r="AM368" i="31"/>
  <c r="AN368" i="31" s="1"/>
  <c r="AM920" i="31"/>
  <c r="AN920" i="31" s="1"/>
  <c r="AM470" i="31"/>
  <c r="AN470" i="31" s="1"/>
  <c r="AM214" i="31"/>
  <c r="AN214" i="31" s="1"/>
  <c r="AM654" i="31"/>
  <c r="AN654" i="31" s="1"/>
  <c r="AM1076" i="31"/>
  <c r="AN1076" i="31" s="1"/>
  <c r="AM336" i="31"/>
  <c r="AN336" i="31" s="1"/>
  <c r="AM134" i="31"/>
  <c r="AN134" i="31" s="1"/>
  <c r="AM562" i="31"/>
  <c r="AN562" i="31" s="1"/>
  <c r="AM210" i="31"/>
  <c r="AN210" i="31" s="1"/>
  <c r="AM76" i="31"/>
  <c r="AN76" i="31" s="1"/>
  <c r="AM908" i="31"/>
  <c r="AN908" i="31" s="1"/>
  <c r="AM286" i="31"/>
  <c r="AN286" i="31" s="1"/>
  <c r="AM938" i="31"/>
  <c r="AN938" i="31" s="1"/>
  <c r="AM294" i="31"/>
  <c r="AN294" i="31" s="1"/>
  <c r="AM762" i="31"/>
  <c r="AN762" i="31" s="1"/>
  <c r="AM318" i="31"/>
  <c r="AN318" i="31" s="1"/>
  <c r="AM828" i="31"/>
  <c r="AN828" i="31" s="1"/>
  <c r="AM528" i="31"/>
  <c r="AN528" i="31" s="1"/>
  <c r="AM390" i="31"/>
  <c r="AN390" i="31" s="1"/>
  <c r="AM782" i="31"/>
  <c r="AN782" i="31" s="1"/>
  <c r="AM122" i="31"/>
  <c r="AN122" i="31" s="1"/>
  <c r="AM114" i="31"/>
  <c r="AN114" i="31" s="1"/>
  <c r="AM72" i="31"/>
  <c r="AN72" i="31" s="1"/>
  <c r="AM962" i="31"/>
  <c r="AN962" i="31" s="1"/>
  <c r="AM946" i="31"/>
  <c r="AN946" i="31" s="1"/>
  <c r="AM682" i="31"/>
  <c r="AN682" i="31" s="1"/>
  <c r="AM686" i="31"/>
  <c r="AN686" i="31" s="1"/>
  <c r="AM18" i="31"/>
  <c r="AN18" i="31" s="1"/>
  <c r="AM452" i="31"/>
  <c r="AN452" i="31" s="1"/>
  <c r="AM302" i="31"/>
  <c r="AN302" i="31" s="1"/>
  <c r="AM820" i="31"/>
  <c r="AN820" i="31" s="1"/>
  <c r="AM1012" i="31"/>
  <c r="AN1012" i="31" s="1"/>
  <c r="AM38" i="31"/>
  <c r="AN38" i="31" s="1"/>
  <c r="AM520" i="31"/>
  <c r="AN520" i="31" s="1"/>
  <c r="AM574" i="31"/>
  <c r="AN574" i="31" s="1"/>
  <c r="AM796" i="31"/>
  <c r="AN796" i="31" s="1"/>
  <c r="AM980" i="31"/>
  <c r="AN980" i="31" s="1"/>
  <c r="AM118" i="31"/>
  <c r="AN118" i="31" s="1"/>
  <c r="AM712" i="31"/>
  <c r="AN712" i="31" s="1"/>
  <c r="AM1046" i="31"/>
  <c r="AN1046" i="31" s="1"/>
  <c r="AM866" i="31"/>
  <c r="AN866" i="31" s="1"/>
  <c r="AM160" i="31"/>
  <c r="AN160" i="31" s="1"/>
  <c r="AM1114" i="31"/>
  <c r="AN1114" i="31" s="1"/>
  <c r="AM352" i="31"/>
  <c r="AN352" i="31" s="1"/>
  <c r="AM892" i="31"/>
  <c r="AN892" i="31" s="1"/>
  <c r="AM268" i="31"/>
  <c r="AN268" i="31" s="1"/>
  <c r="AM732" i="31"/>
  <c r="AN732" i="31" s="1"/>
  <c r="AM640" i="31"/>
  <c r="AN640" i="31" s="1"/>
  <c r="AM690" i="31"/>
  <c r="AN690" i="31" s="1"/>
  <c r="AM958" i="31"/>
  <c r="AN958" i="31" s="1"/>
  <c r="AM632" i="31"/>
  <c r="AN632" i="31" s="1"/>
  <c r="AM402" i="31"/>
  <c r="AN402" i="31" s="1"/>
  <c r="AM202" i="31"/>
  <c r="AN202" i="31" s="1"/>
  <c r="AM498" i="31"/>
  <c r="AN498" i="31" s="1"/>
  <c r="AM1104" i="31"/>
  <c r="AN1104" i="31" s="1"/>
  <c r="AM148" i="31"/>
  <c r="AN148" i="31" s="1"/>
  <c r="AM168" i="31"/>
  <c r="AN168" i="31" s="1"/>
  <c r="AM758" i="31"/>
  <c r="AN758" i="31" s="1"/>
  <c r="AM106" i="31"/>
  <c r="AN106" i="31" s="1"/>
  <c r="AM290" i="31"/>
  <c r="AN290" i="31" s="1"/>
  <c r="AM590" i="31"/>
  <c r="AN590" i="31" s="1"/>
  <c r="AM594" i="31"/>
  <c r="AN594" i="31" s="1"/>
  <c r="AM444" i="31"/>
  <c r="AN444" i="31" s="1"/>
  <c r="AM386" i="31"/>
  <c r="AN386" i="31" s="1"/>
  <c r="AM608" i="31"/>
  <c r="AN608" i="31" s="1"/>
  <c r="AM34" i="31"/>
  <c r="AN34" i="31" s="1"/>
  <c r="AM838" i="31"/>
  <c r="AN838" i="31" s="1"/>
  <c r="AM126" i="31"/>
  <c r="AN126" i="31" s="1"/>
  <c r="AM432" i="31"/>
  <c r="AN432" i="31" s="1"/>
  <c r="AM502" i="31"/>
  <c r="AN502" i="31" s="1"/>
  <c r="AM552" i="31"/>
  <c r="AN552" i="31" s="1"/>
  <c r="AM1008" i="31"/>
  <c r="AN1008" i="31" s="1"/>
  <c r="AM194" i="31"/>
  <c r="AN194" i="31" s="1"/>
  <c r="AM996" i="31"/>
  <c r="AN996" i="31" s="1"/>
  <c r="AM310" i="31"/>
  <c r="AN310" i="31" s="1"/>
  <c r="AM904" i="31"/>
  <c r="AN904" i="31" s="1"/>
  <c r="AM1058" i="31"/>
  <c r="AN1058" i="31" s="1"/>
  <c r="AM176" i="31"/>
  <c r="AN176" i="31" s="1"/>
  <c r="AM662" i="31"/>
  <c r="AN662" i="31" s="1"/>
  <c r="AM88" i="31"/>
  <c r="AN88" i="31" s="1"/>
  <c r="AM678" i="31"/>
  <c r="AN678" i="31" s="1"/>
  <c r="AM1130" i="31"/>
  <c r="AN1130" i="31" s="1"/>
  <c r="AM356" i="31"/>
  <c r="AN356" i="31" s="1"/>
  <c r="AM532" i="31"/>
  <c r="AN532" i="31" s="1"/>
  <c r="AM378" i="31"/>
  <c r="AN378" i="31" s="1"/>
  <c r="AM770" i="31"/>
  <c r="AN770" i="31" s="1"/>
  <c r="AM616" i="31"/>
  <c r="AN616" i="31" s="1"/>
  <c r="AM394" i="31"/>
  <c r="AN394" i="31" s="1"/>
  <c r="AM1068" i="31"/>
  <c r="AN1068" i="31" s="1"/>
  <c r="AM276" i="31"/>
  <c r="AN276" i="31" s="1"/>
  <c r="AM950" i="31"/>
  <c r="AN950" i="31" s="1"/>
  <c r="AM340" i="31"/>
  <c r="AN340" i="31" s="1"/>
  <c r="AM778" i="31"/>
  <c r="AN778" i="31" s="1"/>
  <c r="AM934" i="31"/>
  <c r="AN934" i="31" s="1"/>
  <c r="AM110" i="31"/>
  <c r="AN110" i="31" s="1"/>
  <c r="AM92" i="31"/>
  <c r="AN92" i="31" s="1"/>
  <c r="AM440" i="31"/>
  <c r="AN440" i="31" s="1"/>
  <c r="AM494" i="31"/>
  <c r="AN494" i="31" s="1"/>
  <c r="AM884" i="31"/>
  <c r="AN884" i="31" s="1"/>
  <c r="AM60" i="31"/>
  <c r="AN60" i="31" s="1"/>
  <c r="AM1138" i="31"/>
  <c r="AN1138" i="31" s="1"/>
  <c r="AM68" i="31"/>
  <c r="AN68" i="31" s="1"/>
  <c r="AM1034" i="31"/>
  <c r="AN1034" i="31" s="1"/>
  <c r="AM14" i="31"/>
  <c r="AN14" i="31" s="1"/>
  <c r="AM846" i="31"/>
  <c r="AN846" i="31" s="1"/>
  <c r="AM540" i="31"/>
  <c r="AN540" i="31" s="1"/>
  <c r="AM184" i="31"/>
  <c r="AN184" i="31" s="1"/>
  <c r="AM10" i="31"/>
  <c r="AN10" i="31" s="1"/>
  <c r="AM1100" i="31"/>
  <c r="AN1100" i="31" s="1"/>
  <c r="AM298" i="31"/>
  <c r="AN298" i="31" s="1"/>
  <c r="AM1134" i="31"/>
  <c r="AN1134" i="31" s="1"/>
  <c r="AM218" i="31"/>
  <c r="AN218" i="31" s="1"/>
  <c r="AM1038" i="31"/>
  <c r="AN1038" i="31" s="1"/>
  <c r="AM808" i="31"/>
  <c r="AN808" i="31" s="1"/>
  <c r="AM478" i="31"/>
  <c r="AN478" i="31" s="1"/>
  <c r="AM850" i="31"/>
  <c r="AN850" i="31" s="1"/>
  <c r="AM230" i="31"/>
  <c r="AN230" i="31" s="1"/>
  <c r="AM582" i="31"/>
  <c r="AN582" i="31" s="1"/>
  <c r="AM1026" i="31"/>
  <c r="AN1026" i="31" s="1"/>
  <c r="AM624" i="31"/>
  <c r="AN624" i="31" s="1"/>
  <c r="AM506" i="31"/>
  <c r="AN506" i="31" s="1"/>
  <c r="AM156" i="31"/>
  <c r="AN156" i="31" s="1"/>
  <c r="AM180" i="31"/>
  <c r="AN180" i="31" s="1"/>
  <c r="AM636" i="31"/>
  <c r="AN636" i="31" s="1"/>
  <c r="AM456" i="31"/>
  <c r="AN456" i="31" s="1"/>
  <c r="AM1022" i="31"/>
  <c r="AN1022" i="31" s="1"/>
  <c r="AM314" i="31"/>
  <c r="AN314" i="31" s="1"/>
  <c r="AM198" i="31"/>
  <c r="AN198" i="31" s="1"/>
  <c r="AM570" i="31"/>
  <c r="AN570" i="31" s="1"/>
  <c r="AM598" i="31"/>
  <c r="AN598" i="31" s="1"/>
  <c r="AM1054" i="31"/>
  <c r="AN1054" i="31" s="1"/>
  <c r="AM912" i="31"/>
  <c r="AN912" i="31" s="1"/>
  <c r="AM84" i="31"/>
  <c r="AN84" i="31" s="1"/>
  <c r="AM1142" i="31"/>
  <c r="AN1142" i="31" s="1"/>
  <c r="AM252" i="31"/>
  <c r="AN252" i="31" s="1"/>
  <c r="AM700" i="31"/>
  <c r="AN700" i="31" s="1"/>
  <c r="AM644" i="31"/>
  <c r="AN644" i="31" s="1"/>
  <c r="AM344" i="31"/>
  <c r="AN344" i="31" s="1"/>
  <c r="AM460" i="31"/>
  <c r="AN460" i="31" s="1"/>
  <c r="AM716" i="31"/>
  <c r="AN716" i="31" s="1"/>
  <c r="AM306" i="31"/>
  <c r="AN306" i="31" s="1"/>
  <c r="AM1150" i="31"/>
  <c r="AN1150" i="31" s="1"/>
  <c r="AM774" i="31"/>
  <c r="AN774" i="31" s="1"/>
  <c r="AM842" i="31"/>
  <c r="AN842" i="31" s="1"/>
  <c r="AM674" i="31"/>
  <c r="AN674" i="31" s="1"/>
  <c r="AM870" i="31"/>
  <c r="AN870" i="31" s="1"/>
  <c r="AM720" i="31"/>
  <c r="AN720" i="31" s="1"/>
  <c r="AM410" i="31"/>
  <c r="AN410" i="31" s="1"/>
  <c r="AM548" i="31"/>
  <c r="AN548" i="31" s="1"/>
  <c r="AM988" i="31"/>
  <c r="AN988" i="31" s="1"/>
  <c r="AM1080" i="31"/>
  <c r="AN1080" i="31" s="1"/>
  <c r="AM858" i="31"/>
  <c r="AN858" i="31" s="1"/>
  <c r="AM42" i="31"/>
  <c r="AN42" i="31" s="1"/>
  <c r="AM22" i="31"/>
  <c r="AN22" i="31" s="1"/>
  <c r="AM612" i="31"/>
  <c r="AN612" i="31" s="1"/>
  <c r="AM824" i="31"/>
  <c r="AN824" i="31" s="1"/>
  <c r="AM816" i="31"/>
  <c r="AN816" i="31" s="1"/>
  <c r="AM436" i="31"/>
  <c r="AN436" i="31" s="1"/>
  <c r="AM1096" i="31"/>
  <c r="AN1096" i="31" s="1"/>
  <c r="AM724" i="31"/>
  <c r="AN724" i="31" s="1"/>
  <c r="AM812" i="31"/>
  <c r="AN812" i="31" s="1"/>
  <c r="AM474" i="31"/>
  <c r="AN474" i="31" s="1"/>
  <c r="AM800" i="31"/>
  <c r="AN800" i="31" s="1"/>
  <c r="AM966" i="31"/>
  <c r="AN966" i="31" s="1"/>
  <c r="AM536" i="31"/>
  <c r="AN536" i="31" s="1"/>
  <c r="AM222" i="31"/>
  <c r="AN222" i="31" s="1"/>
  <c r="AM1118" i="31"/>
  <c r="AN1118" i="31" s="1"/>
  <c r="AM984" i="31"/>
  <c r="AN984" i="31" s="1"/>
  <c r="AM670" i="31"/>
  <c r="AN670" i="31" s="1"/>
  <c r="AM172" i="31"/>
  <c r="AN172" i="31" s="1"/>
  <c r="AM544" i="31"/>
  <c r="AN544" i="31" s="1"/>
  <c r="AM578" i="31"/>
  <c r="AN578" i="31" s="1"/>
  <c r="AM1030" i="31"/>
  <c r="AN1030" i="31" s="1"/>
  <c r="AM152" i="31"/>
  <c r="AN152" i="31" s="1"/>
  <c r="AM264" i="31"/>
  <c r="AN264" i="31" s="1"/>
  <c r="AM1004" i="31"/>
  <c r="AN1004" i="31" s="1"/>
  <c r="AM586" i="31"/>
  <c r="AN586" i="31" s="1"/>
  <c r="AM1084" i="31"/>
  <c r="AN1084" i="31" s="1"/>
  <c r="AM1122" i="31"/>
  <c r="AN1122" i="31" s="1"/>
  <c r="AM888" i="31"/>
  <c r="AN888" i="31" s="1"/>
  <c r="AM64" i="31"/>
  <c r="AN64" i="31" s="1"/>
  <c r="AM930" i="31"/>
  <c r="AN930" i="31" s="1"/>
  <c r="AM746" i="31"/>
  <c r="AN746" i="31" s="1"/>
  <c r="AM658" i="31"/>
  <c r="AN658" i="31" s="1"/>
  <c r="AM406" i="31"/>
  <c r="AN406" i="31" s="1"/>
  <c r="AM942" i="31"/>
  <c r="AN942" i="31" s="1"/>
  <c r="AM322" i="31"/>
  <c r="AN322" i="31" s="1"/>
  <c r="AM628" i="31"/>
  <c r="AN628" i="31" s="1"/>
  <c r="AM272" i="31"/>
  <c r="AN272" i="31" s="1"/>
  <c r="AM728" i="31"/>
  <c r="AN728" i="31" s="1"/>
  <c r="AM666" i="31"/>
  <c r="AN666" i="31" s="1"/>
  <c r="AM348" i="31"/>
  <c r="AN348" i="31" s="1"/>
  <c r="AM766" i="31"/>
  <c r="AN766" i="31" s="1"/>
  <c r="AM482" i="31"/>
  <c r="AN482" i="31" s="1"/>
  <c r="AM736" i="31"/>
  <c r="AN736" i="31" s="1"/>
  <c r="AM382" i="31"/>
  <c r="AN382" i="31" s="1"/>
  <c r="AM398" i="31"/>
  <c r="AN398" i="31" s="1"/>
  <c r="AM708" i="31"/>
  <c r="AN708" i="31" s="1"/>
  <c r="AM414" i="31"/>
  <c r="AN414" i="31" s="1"/>
  <c r="K1162" i="31"/>
  <c r="K1161" i="31" s="1"/>
  <c r="E1162" i="31"/>
  <c r="H1162" i="31"/>
  <c r="AQ127" i="27" l="1"/>
  <c r="AP128" i="27" s="1"/>
  <c r="AD72" i="30"/>
  <c r="AB74" i="30"/>
  <c r="AE71" i="30" s="1"/>
  <c r="AQ166" i="27"/>
  <c r="AP167" i="27" s="1"/>
  <c r="AN87" i="30"/>
  <c r="AL100" i="30"/>
  <c r="AL96" i="30"/>
  <c r="AJ97" i="30"/>
  <c r="AM90" i="30"/>
  <c r="AM91" i="30"/>
  <c r="AP93" i="30" s="1"/>
  <c r="AK93" i="30"/>
  <c r="AO91" i="30" s="1"/>
  <c r="AJ96" i="30"/>
  <c r="AJ100" i="30"/>
  <c r="AL101" i="30"/>
  <c r="AK91" i="30"/>
  <c r="AP90" i="30" s="1"/>
  <c r="AJ98" i="30"/>
  <c r="AK94" i="30"/>
  <c r="AP91" i="30" s="1"/>
  <c r="AM92" i="30"/>
  <c r="AQ93" i="30" s="1"/>
  <c r="AL98" i="30"/>
  <c r="AI99" i="30"/>
  <c r="AL97" i="30"/>
  <c r="AK90" i="30"/>
  <c r="AL102" i="30"/>
  <c r="AJ101" i="30"/>
  <c r="AK92" i="30"/>
  <c r="AQ90" i="30" s="1"/>
  <c r="AJ102" i="30"/>
  <c r="AM94" i="30"/>
  <c r="AP94" i="30" s="1"/>
  <c r="AM93" i="30"/>
  <c r="AO94" i="30" s="1"/>
  <c r="AT160" i="27"/>
  <c r="BG166" i="27"/>
  <c r="BF167" i="27" s="1"/>
  <c r="AO51" i="30"/>
  <c r="AM53" i="30"/>
  <c r="AP50" i="30" s="1"/>
  <c r="AL80" i="30"/>
  <c r="AK69" i="30"/>
  <c r="AM72" i="30"/>
  <c r="AO73" i="30" s="1"/>
  <c r="AK73" i="30"/>
  <c r="AP70" i="30" s="1"/>
  <c r="AK72" i="30"/>
  <c r="AO70" i="30" s="1"/>
  <c r="AJ76" i="30"/>
  <c r="AL77" i="30"/>
  <c r="AM71" i="30"/>
  <c r="AQ72" i="30" s="1"/>
  <c r="AL79" i="30"/>
  <c r="AJ77" i="30"/>
  <c r="AJ81" i="30"/>
  <c r="AM73" i="30"/>
  <c r="AP73" i="30" s="1"/>
  <c r="AI78" i="30"/>
  <c r="AJ75" i="30"/>
  <c r="AM69" i="30"/>
  <c r="AN66" i="30"/>
  <c r="AJ79" i="30"/>
  <c r="AL81" i="30"/>
  <c r="AL75" i="30"/>
  <c r="AL76" i="30"/>
  <c r="AK70" i="30"/>
  <c r="AP69" i="30" s="1"/>
  <c r="AM70" i="30"/>
  <c r="AP72" i="30" s="1"/>
  <c r="AJ80" i="30"/>
  <c r="AK71" i="30"/>
  <c r="AQ69" i="30" s="1"/>
  <c r="N4" i="27"/>
  <c r="AT4" i="27"/>
  <c r="AD4" i="27"/>
  <c r="AD160" i="27"/>
  <c r="N44" i="27"/>
  <c r="AD82" i="27"/>
  <c r="AD44" i="27"/>
  <c r="N82" i="27"/>
  <c r="AD121" i="27"/>
  <c r="AT44" i="27"/>
  <c r="N121" i="27"/>
  <c r="Z95" i="30"/>
  <c r="AE89" i="30" s="1"/>
  <c r="AD90" i="30"/>
  <c r="AD93" i="30"/>
  <c r="AB95" i="30"/>
  <c r="AE92" i="30" s="1"/>
  <c r="BG127" i="27"/>
  <c r="BF128" i="27" s="1"/>
  <c r="AO48" i="30"/>
  <c r="AK53" i="30"/>
  <c r="AP47" i="30" s="1"/>
  <c r="AT121" i="27"/>
  <c r="AD69" i="30"/>
  <c r="Z74" i="30"/>
  <c r="AE68" i="30" s="1"/>
  <c r="AT82" i="27"/>
  <c r="N160" i="27"/>
  <c r="E1161" i="31"/>
  <c r="C1162" i="31"/>
  <c r="C1161" i="31" s="1"/>
  <c r="P1162" i="31"/>
  <c r="P1161" i="31" s="1"/>
  <c r="T1162" i="31"/>
  <c r="T1161" i="31" s="1"/>
  <c r="H1161" i="31"/>
  <c r="AO93" i="30" l="1"/>
  <c r="AM95" i="30"/>
  <c r="AP92" i="30" s="1"/>
  <c r="AO72" i="30"/>
  <c r="AM74" i="30"/>
  <c r="AP71" i="30" s="1"/>
  <c r="AO69" i="30"/>
  <c r="AK74" i="30"/>
  <c r="AP68" i="30" s="1"/>
  <c r="AK95" i="30"/>
  <c r="AP89" i="30" s="1"/>
  <c r="AO90" i="30"/>
</calcChain>
</file>

<file path=xl/sharedStrings.xml><?xml version="1.0" encoding="utf-8"?>
<sst xmlns="http://schemas.openxmlformats.org/spreadsheetml/2006/main" count="5307" uniqueCount="232">
  <si>
    <t>الاسم بالكامل</t>
  </si>
  <si>
    <t>رقم مسلسل</t>
  </si>
  <si>
    <t>المواد الدراسية</t>
  </si>
  <si>
    <t>التقدير</t>
  </si>
  <si>
    <t>مقبول</t>
  </si>
  <si>
    <t>جيد</t>
  </si>
  <si>
    <t>ممتاز</t>
  </si>
  <si>
    <t>ضعيف</t>
  </si>
  <si>
    <t>كتبه</t>
  </si>
  <si>
    <t>الاسم</t>
  </si>
  <si>
    <t>املاه</t>
  </si>
  <si>
    <t>التوقيع</t>
  </si>
  <si>
    <t>عدد الحصص</t>
  </si>
  <si>
    <t>النهايات</t>
  </si>
  <si>
    <t>التوقيعــــات</t>
  </si>
  <si>
    <t>مدير المدرسة</t>
  </si>
  <si>
    <t>التربية الفنية</t>
  </si>
  <si>
    <t>اللغة الإنجليزية</t>
  </si>
  <si>
    <t>التربية الإسلامية</t>
  </si>
  <si>
    <t>تقديرات</t>
  </si>
  <si>
    <t>الفترة الأولى 30%</t>
  </si>
  <si>
    <t>الفترة الثانية 30%</t>
  </si>
  <si>
    <t>الغترة الثالثة 40%</t>
  </si>
  <si>
    <t>النتيجة النهائية 100%</t>
  </si>
  <si>
    <t xml:space="preserve">المجموع </t>
  </si>
  <si>
    <t>النسبة المئوية</t>
  </si>
  <si>
    <t>تاريخ الميلاد</t>
  </si>
  <si>
    <t>اسم الام</t>
  </si>
  <si>
    <t>النتيجة النهائية للتلميذ</t>
  </si>
  <si>
    <t xml:space="preserve">الفترة الأولى </t>
  </si>
  <si>
    <t xml:space="preserve">الفترة الثانية </t>
  </si>
  <si>
    <t xml:space="preserve">الغترة الثالثة </t>
  </si>
  <si>
    <t xml:space="preserve">النتيجة النهائية </t>
  </si>
  <si>
    <t>متقدمون</t>
  </si>
  <si>
    <t>حاضرون</t>
  </si>
  <si>
    <t>ناجحون</t>
  </si>
  <si>
    <t>مرحلون</t>
  </si>
  <si>
    <t>غائبون</t>
  </si>
  <si>
    <t>دولة ليبيا</t>
  </si>
  <si>
    <t>وزارة التعليم</t>
  </si>
  <si>
    <t>المدرسة</t>
  </si>
  <si>
    <t>مكتب الامتحانات بمنطقة / تاجوراء</t>
  </si>
  <si>
    <t>المرحلة/</t>
  </si>
  <si>
    <t>التعليم الاساسي</t>
  </si>
  <si>
    <t>الفترات</t>
  </si>
  <si>
    <t>الفترة الأولي 30 %</t>
  </si>
  <si>
    <t>الفترة الثانية 30 %</t>
  </si>
  <si>
    <t>الفترة الثالثة 40%</t>
  </si>
  <si>
    <t>النتيجة النهائيــة 100%</t>
  </si>
  <si>
    <t>ملاحظــات عن نتيجة التلميذ خلال كل فترة :</t>
  </si>
  <si>
    <t>الدرجة الكبرى</t>
  </si>
  <si>
    <t>درجة التلميذ</t>
  </si>
  <si>
    <t>النهاية الكبرى</t>
  </si>
  <si>
    <t>النهاية الصغري</t>
  </si>
  <si>
    <r>
      <rPr>
        <b/>
        <u/>
        <sz val="12"/>
        <color theme="1"/>
        <rFont val="Arial"/>
        <family val="2"/>
        <scheme val="minor"/>
      </rPr>
      <t>الأولي</t>
    </r>
    <r>
      <rPr>
        <b/>
        <sz val="12"/>
        <color theme="1"/>
        <rFont val="Arial"/>
        <family val="2"/>
        <scheme val="minor"/>
      </rPr>
      <t xml:space="preserve"> :  </t>
    </r>
  </si>
  <si>
    <t>المجموع العـام</t>
  </si>
  <si>
    <t>بناء على الدرجات المبينة فى هذه البطاقة يعد التلميذ :</t>
  </si>
  <si>
    <t>الســــــلوك</t>
  </si>
  <si>
    <t>غياب مشروع</t>
  </si>
  <si>
    <t>غياب غير مشروع</t>
  </si>
  <si>
    <t>رائــد الصف</t>
  </si>
  <si>
    <t>مديـر المدرسة</t>
  </si>
  <si>
    <t>اعتماد النتيجة النهائيـــة للتلميــذ</t>
  </si>
  <si>
    <t>الفترة الاولى</t>
  </si>
  <si>
    <t>مدير المدرسة/</t>
  </si>
  <si>
    <t>الفترة الثانية</t>
  </si>
  <si>
    <t>التاريخ</t>
  </si>
  <si>
    <t xml:space="preserve"> </t>
  </si>
  <si>
    <t xml:space="preserve">الختـــم </t>
  </si>
  <si>
    <t>توجيهات الى أولياء الآمــــور :</t>
  </si>
  <si>
    <t>1- تحسب درجـــــات كل فترة عن طريق الاختبارات التحريرية والشفهية والمتابعة اليومية ويخصص للفترة الاولى 30 % وللفترة الثانيــة 30 % وللفترة الثالثــة 40 % من درجة النهائية الكبرى للمادة .</t>
  </si>
  <si>
    <t>2- يشتراط لنجاح التلميذ الحصول على النهاية الصغري المقررة لكل مادة على الاقل.</t>
  </si>
  <si>
    <t>1- تنظيم أوقات ابنائهم خارج المدرسة ومتابعة واجباتهم اليومية .</t>
  </si>
  <si>
    <t xml:space="preserve">2- الحضور للمدرسة من وقت لآخر والاستفسار عن سلوك أبنائهم ومستواهم التحصيلي ،ودراسة ما قد يعترضهم من مشكلات.                  </t>
  </si>
  <si>
    <t>تنبيه:-</t>
  </si>
  <si>
    <t xml:space="preserve">3- إفادة المدرسة بأسباب الغياب أولاً بأول. </t>
  </si>
  <si>
    <r>
      <t>يجب إعطاء هذه البطاقة للتلميذ فى نهاية كل فترة</t>
    </r>
    <r>
      <rPr>
        <sz val="11"/>
        <color rgb="FF000000"/>
        <rFont val="Calibri"/>
        <family val="2"/>
      </rPr>
      <t xml:space="preserve"> </t>
    </r>
  </si>
  <si>
    <t xml:space="preserve"> 4- الإسراع عند مرض التلميذ لعرضه على الطبيب المختص والالتزام بتعليمات.</t>
  </si>
  <si>
    <t xml:space="preserve">5- تشجيع الابناء على المشاركة فى النشاط المدرسي لانه متمم للعملية التعليمية.        </t>
  </si>
  <si>
    <t xml:space="preserve">  بطاقة تقدير الدرجات للصــــف</t>
  </si>
  <si>
    <t xml:space="preserve"> من التعليم الأساسي</t>
  </si>
  <si>
    <r>
      <rPr>
        <b/>
        <u/>
        <sz val="12"/>
        <color theme="1"/>
        <rFont val="Arial"/>
        <family val="2"/>
        <scheme val="minor"/>
      </rPr>
      <t>الثانية</t>
    </r>
    <r>
      <rPr>
        <b/>
        <sz val="12"/>
        <color theme="1"/>
        <rFont val="Arial"/>
        <family val="2"/>
        <scheme val="minor"/>
      </rPr>
      <t xml:space="preserve"> :  </t>
    </r>
  </si>
  <si>
    <r>
      <t>ملاحظات</t>
    </r>
    <r>
      <rPr>
        <b/>
        <u/>
        <sz val="11"/>
        <color rgb="FF000000"/>
        <rFont val="Calibri"/>
        <family val="2"/>
      </rPr>
      <t xml:space="preserve"> هامــة </t>
    </r>
    <r>
      <rPr>
        <b/>
        <u/>
        <sz val="11"/>
        <color rgb="FF000000"/>
        <rFont val="Calibri"/>
        <family val="2"/>
      </rPr>
      <t>:</t>
    </r>
  </si>
  <si>
    <r>
      <t>لما كان توثيق الصلة بين المدرسة والمنزل أمراً ضرورياً لتؤدي المدرسة رسالتها على الوجه الأكمل فـــــى تنميــة قدرات أبنائنا وترشيد سلوكهم واستثمار طاقاتهم لـــــذا يطلب من الأخوة أولياء الأمور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  <scheme val="minor"/>
      </rPr>
      <t>الاستجابة</t>
    </r>
    <r>
      <rPr>
        <b/>
        <sz val="11"/>
        <color rgb="FF000000"/>
        <rFont val="Calibri"/>
        <family val="2"/>
      </rPr>
      <t xml:space="preserve"> للتوجيهات التالية </t>
    </r>
    <r>
      <rPr>
        <sz val="11"/>
        <color rgb="FF000000"/>
        <rFont val="Calibri"/>
        <family val="2"/>
      </rPr>
      <t xml:space="preserve">:            </t>
    </r>
  </si>
  <si>
    <t>ولي الامر</t>
  </si>
  <si>
    <t>الفترة الثالثة</t>
  </si>
  <si>
    <t>رائد الفصل</t>
  </si>
  <si>
    <t>ولى الامر</t>
  </si>
  <si>
    <t>في حالة غياب الطالب اكتب امامه كلمة غائب</t>
  </si>
  <si>
    <r>
      <t>كل كشط أو تغيير في هذه البطاقة يلغيها.</t>
    </r>
    <r>
      <rPr>
        <b/>
        <i/>
        <sz val="18"/>
        <color rgb="FF000000"/>
        <rFont val="Calibri"/>
        <family val="2"/>
      </rPr>
      <t xml:space="preserve"> </t>
    </r>
  </si>
  <si>
    <t>السلوك</t>
  </si>
  <si>
    <t>الفترة الأولى</t>
  </si>
  <si>
    <t>الغياب</t>
  </si>
  <si>
    <t>مشروع</t>
  </si>
  <si>
    <t>غير مشروع</t>
  </si>
  <si>
    <t>توقيع مدير المدرسة</t>
  </si>
  <si>
    <t>أملاه</t>
  </si>
  <si>
    <t>ملاحظة/ - تكتب الاسماء بخط واضح مطابقة لشهادة الميلاد</t>
  </si>
  <si>
    <t>يشترط لنجاح التلميذ الحصول على 40 % من النهاية الكبرى للمادة</t>
  </si>
  <si>
    <t xml:space="preserve"> اي كشط أو تغيير في هذا الكشف يلغيه</t>
  </si>
  <si>
    <t>يتم ترتيب المواد حسب بطاقة تقدير الدرجات</t>
  </si>
  <si>
    <t>مدير مكتب الامتحانات</t>
  </si>
  <si>
    <t>تراتيب الفترة الثانية</t>
  </si>
  <si>
    <t>جيدجداً</t>
  </si>
  <si>
    <t>تراتيب الفترة الأولى</t>
  </si>
  <si>
    <t>الفترة الأولى 30% من النهاية العظمى لكل مادة</t>
  </si>
  <si>
    <t>الفترة الثانية 30% من النهاية العظمى لكل مادة</t>
  </si>
  <si>
    <t>الفترة الثالثة 40% من النهاية العظمى لكل مادة</t>
  </si>
  <si>
    <r>
      <rPr>
        <b/>
        <u/>
        <sz val="11"/>
        <color theme="1"/>
        <rFont val="Arial"/>
        <family val="2"/>
        <scheme val="minor"/>
      </rPr>
      <t>الأولي</t>
    </r>
    <r>
      <rPr>
        <b/>
        <sz val="11"/>
        <color theme="1"/>
        <rFont val="Arial"/>
        <family val="2"/>
        <scheme val="minor"/>
      </rPr>
      <t xml:space="preserve"> :  </t>
    </r>
  </si>
  <si>
    <t>الثالثة:</t>
  </si>
  <si>
    <t>تراتيب الفترة الثالثة</t>
  </si>
  <si>
    <t>تراتيب النتيجة النهائية</t>
  </si>
  <si>
    <t>شئون التعليم بمنطقة</t>
  </si>
  <si>
    <t>الصف</t>
  </si>
  <si>
    <t>العام الدراسي</t>
  </si>
  <si>
    <t>المرحلة</t>
  </si>
  <si>
    <t>الاساسي</t>
  </si>
  <si>
    <t>المدرسة كائنة بمنطقة</t>
  </si>
  <si>
    <t>اللقب</t>
  </si>
  <si>
    <t>الرقم الوطني</t>
  </si>
  <si>
    <t>مكان الميلاد</t>
  </si>
  <si>
    <t>جنسية الطالب</t>
  </si>
  <si>
    <t>مستجد/ معيد</t>
  </si>
  <si>
    <t>صفة القيد</t>
  </si>
  <si>
    <t xml:space="preserve">بطاقة تقدير الدرجات لمرحلة التعليم </t>
  </si>
  <si>
    <t>للصف</t>
  </si>
  <si>
    <t>هجرية</t>
  </si>
  <si>
    <t>الموافق</t>
  </si>
  <si>
    <t>ميلادية</t>
  </si>
  <si>
    <t>شؤون التعليم بمنطقة</t>
  </si>
  <si>
    <t>مدرســــــــــــــــــــــة</t>
  </si>
  <si>
    <t>الكــــائنة بـ :</t>
  </si>
  <si>
    <t>اسم التلميذ بالكـــامل</t>
  </si>
  <si>
    <t>اللقــــــــب</t>
  </si>
  <si>
    <t>مكان وتاريخ الميلاد</t>
  </si>
  <si>
    <t>اسم الوالدة بالكامل</t>
  </si>
  <si>
    <t>الرقم الوطنــــــــــي</t>
  </si>
  <si>
    <t xml:space="preserve">جنسيـــــة التلمــــيذ </t>
  </si>
  <si>
    <t>مستجد/</t>
  </si>
  <si>
    <t>معيد</t>
  </si>
  <si>
    <t>رائــــــد الصــــــف</t>
  </si>
  <si>
    <t>(يكتب اسم التلميذ مطابقاً لشهادة الميلاد)</t>
  </si>
  <si>
    <t xml:space="preserve">الانتقـــــــــال </t>
  </si>
  <si>
    <t>مدرســــــة</t>
  </si>
  <si>
    <t xml:space="preserve">يعتمد مديرالمدرسة </t>
  </si>
  <si>
    <t>يعتمد مكتب الامتحانات</t>
  </si>
  <si>
    <t>مستجد</t>
  </si>
  <si>
    <t xml:space="preserve">الفترة الثالثة  </t>
  </si>
  <si>
    <t>اكتب الرقم الوطني هنا</t>
  </si>
  <si>
    <t>نظامي</t>
  </si>
  <si>
    <t>غياب الانقطاع</t>
  </si>
  <si>
    <t>أسماء المراجعين</t>
  </si>
  <si>
    <t>المدرسة/</t>
  </si>
  <si>
    <t>تاجوراء</t>
  </si>
  <si>
    <t>اللغة العربية</t>
  </si>
  <si>
    <t>تقدير النتيجة النهائية</t>
  </si>
  <si>
    <t xml:space="preserve">الثانية :- </t>
  </si>
  <si>
    <t xml:space="preserve">الصف / </t>
  </si>
  <si>
    <t>التوقبع</t>
  </si>
  <si>
    <t>خاص بالصحيفة</t>
  </si>
  <si>
    <t>راسبون</t>
  </si>
  <si>
    <t xml:space="preserve">بناء على طلب ولي أمر التلميذ فإن إدارة هذه المدرسة توافق على انتقاله إلــــــى </t>
  </si>
  <si>
    <t>المركز الوطني للامتحانات</t>
  </si>
  <si>
    <t>الرياضيات</t>
  </si>
  <si>
    <t>الحاسوب</t>
  </si>
  <si>
    <t>مكتبة</t>
  </si>
  <si>
    <t>طارق محمد محمد رمضان</t>
  </si>
  <si>
    <t>18/8/1973</t>
  </si>
  <si>
    <t>سيدة محمد محمد</t>
  </si>
  <si>
    <t>تاجوراء الجنوبي</t>
  </si>
  <si>
    <t xml:space="preserve">مدرسة سهول العلم للتعيم الخاص </t>
  </si>
  <si>
    <t xml:space="preserve"> سهول العلم للتعليم الخاص </t>
  </si>
  <si>
    <t>التربية البدنية</t>
  </si>
  <si>
    <t>جيد جداَ</t>
  </si>
  <si>
    <t>2026 /2025م</t>
  </si>
  <si>
    <t>1446هـ/1447 هـ</t>
  </si>
  <si>
    <r>
      <t xml:space="preserve">العام الدراسي 1446 - 1447 هجرية/ الموافق :  2025 -2026 ميلادية   مكتب الامتحانات بمنطقة / </t>
    </r>
    <r>
      <rPr>
        <b/>
        <sz val="9"/>
        <color indexed="8"/>
        <rFont val="Arial"/>
        <family val="2"/>
      </rPr>
      <t>تاجوراء</t>
    </r>
  </si>
  <si>
    <t>الفترة الاول</t>
  </si>
  <si>
    <t>د. عبدالرحمن خليفة العريبي</t>
  </si>
  <si>
    <t>الثاني الابتدائي</t>
  </si>
  <si>
    <t>الثاني</t>
  </si>
  <si>
    <t xml:space="preserve">كشف رصد النتائج النهائية للصف الثاني من مرحلة التعليم الاساسي  </t>
  </si>
  <si>
    <t>مصراته</t>
  </si>
  <si>
    <t>ليبية</t>
  </si>
  <si>
    <t>ليبيا</t>
  </si>
  <si>
    <t>المغربي</t>
  </si>
  <si>
    <t>ليبي</t>
  </si>
  <si>
    <t>الترهوني</t>
  </si>
  <si>
    <t>طرابلس</t>
  </si>
  <si>
    <t xml:space="preserve">الجبير خليل الدوكالي اليونسي </t>
  </si>
  <si>
    <t>ديالا علي حمد القبائلي</t>
  </si>
  <si>
    <t>رؤى عبدالحميد سيد ابوبكر عبداللطيف</t>
  </si>
  <si>
    <t>زكريا محمد علي علي</t>
  </si>
  <si>
    <t>سارة ضياء محمد الترهونى</t>
  </si>
  <si>
    <t>سوزان عبدالباسط اللافى محمد</t>
  </si>
  <si>
    <t>عبدالرحمن فرج  محمد المغربي</t>
  </si>
  <si>
    <t>عبدالمجيد محمد عبدالمجيد عرابى</t>
  </si>
  <si>
    <t>قاسم عبدالمنعم موسي الشيخي</t>
  </si>
  <si>
    <t xml:space="preserve">ميرال صالح محمد  ديماس </t>
  </si>
  <si>
    <t>ندى علاء محمد سلطان</t>
  </si>
  <si>
    <t>نصير نور الدين عبدالله الشاوش</t>
  </si>
  <si>
    <t>وسام خليل محمد علي المغربي</t>
  </si>
  <si>
    <t>مفيدة اليونسي</t>
  </si>
  <si>
    <t>أمل حسين أبوبكر</t>
  </si>
  <si>
    <t>دنيا عرابي</t>
  </si>
  <si>
    <t>حنان خليفة نصر</t>
  </si>
  <si>
    <t xml:space="preserve">نشوة عاشور صالح </t>
  </si>
  <si>
    <t>حليمة على محمد</t>
  </si>
  <si>
    <t>منى على محمد المغربي</t>
  </si>
  <si>
    <t>سارة مصطفى ميلاد</t>
  </si>
  <si>
    <t>هاجر عبدالسلام ونيس</t>
  </si>
  <si>
    <t>امنهة صالح عبدالله</t>
  </si>
  <si>
    <t>دالين كحيل</t>
  </si>
  <si>
    <t>ايه إبراهيم</t>
  </si>
  <si>
    <t>عائشة سليمان بشير</t>
  </si>
  <si>
    <t>انتصار على محمد</t>
  </si>
  <si>
    <t>اليونسي</t>
  </si>
  <si>
    <t>القبائلي</t>
  </si>
  <si>
    <t>عبداللطيف</t>
  </si>
  <si>
    <t>مصرية</t>
  </si>
  <si>
    <t>على</t>
  </si>
  <si>
    <t>صبراته</t>
  </si>
  <si>
    <t>محمد</t>
  </si>
  <si>
    <t>عرابي</t>
  </si>
  <si>
    <t>الشيخي</t>
  </si>
  <si>
    <t>الذيب</t>
  </si>
  <si>
    <t>سورية</t>
  </si>
  <si>
    <t>الشاوش</t>
  </si>
  <si>
    <t>ديماس</t>
  </si>
  <si>
    <t>مثاب نورالدين احمد  الديب</t>
  </si>
  <si>
    <t>أحلام الشيباني</t>
  </si>
  <si>
    <t>سلطان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</si>
</sst>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10000]yyyy/mm/dd;@"/>
    <numFmt numFmtId="165" formatCode="[$-F800]dddd\,\ mmmm\ dd\,\ yyyy"/>
    <numFmt numFmtId="166" formatCode="0.0%"/>
    <numFmt numFmtId="167" formatCode="0.000"/>
  </numFmts>
  <fonts count="76">
    <font>
      <sz val="11"/>
      <color theme="1"/>
      <name val="Arial"/>
      <family val="2"/>
      <charset val="178"/>
      <scheme val="minor"/>
    </font>
    <font>
      <sz val="8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8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  <font>
      <sz val="9"/>
      <color theme="1"/>
      <name val="Arial"/>
      <family val="2"/>
      <charset val="178"/>
      <scheme val="minor"/>
    </font>
    <font>
      <sz val="6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PT Bold Heading"/>
      <charset val="178"/>
    </font>
    <font>
      <sz val="9"/>
      <color theme="1"/>
      <name val="Arial"/>
      <family val="2"/>
      <scheme val="minor"/>
    </font>
    <font>
      <b/>
      <i/>
      <sz val="20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8"/>
      <color theme="1"/>
      <name val="Arial"/>
      <family val="2"/>
      <scheme val="minor"/>
    </font>
    <font>
      <b/>
      <i/>
      <sz val="12"/>
      <color theme="1"/>
      <name val="Led Italic Font"/>
      <charset val="178"/>
    </font>
    <font>
      <b/>
      <sz val="9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1"/>
      <color rgb="FF000000"/>
      <name val="Arial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u/>
      <sz val="14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2"/>
      <color theme="1"/>
      <name val="Arial"/>
      <family val="2"/>
      <charset val="178"/>
      <scheme val="minor"/>
    </font>
    <font>
      <b/>
      <sz val="9"/>
      <color indexed="8"/>
      <name val="Arial"/>
      <family val="2"/>
    </font>
    <font>
      <b/>
      <i/>
      <sz val="18"/>
      <color rgb="FF000000"/>
      <name val="Arial"/>
      <family val="2"/>
      <scheme val="minor"/>
    </font>
    <font>
      <b/>
      <i/>
      <sz val="18"/>
      <color rgb="FF000000"/>
      <name val="Calibri"/>
      <family val="2"/>
    </font>
    <font>
      <sz val="12"/>
      <color theme="0"/>
      <name val="Arial"/>
      <family val="2"/>
      <scheme val="minor"/>
    </font>
    <font>
      <sz val="18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sz val="14"/>
      <color theme="1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i/>
      <sz val="8"/>
      <color theme="1"/>
      <name val="NSimSun"/>
      <family val="3"/>
    </font>
    <font>
      <b/>
      <u/>
      <sz val="11"/>
      <color theme="1"/>
      <name val="Arial"/>
      <family val="2"/>
      <scheme val="minor"/>
    </font>
    <font>
      <sz val="12"/>
      <color theme="1"/>
      <name val="Bernard MT Condensed"/>
      <family val="1"/>
    </font>
    <font>
      <sz val="28"/>
      <color theme="1"/>
      <name val="Arial"/>
      <family val="2"/>
      <charset val="178"/>
      <scheme val="minor"/>
    </font>
    <font>
      <sz val="7"/>
      <color theme="1"/>
      <name val="Arial"/>
      <family val="2"/>
      <charset val="178"/>
      <scheme val="minor"/>
    </font>
    <font>
      <sz val="24"/>
      <color theme="1"/>
      <name val="Arial"/>
      <family val="2"/>
      <charset val="178"/>
      <scheme val="minor"/>
    </font>
    <font>
      <sz val="24"/>
      <color theme="2" tint="-0.499984740745262"/>
      <name val="Arial"/>
      <family val="2"/>
      <charset val="178"/>
      <scheme val="minor"/>
    </font>
    <font>
      <sz val="24"/>
      <name val="Arial"/>
      <family val="2"/>
      <charset val="178"/>
      <scheme val="minor"/>
    </font>
    <font>
      <i/>
      <sz val="24"/>
      <name val="DecoType Naskh Swashes"/>
      <charset val="178"/>
    </font>
    <font>
      <sz val="22"/>
      <name val="Arial"/>
      <family val="2"/>
      <charset val="178"/>
      <scheme val="minor"/>
    </font>
    <font>
      <sz val="12"/>
      <name val="Bell MT"/>
      <family val="1"/>
    </font>
    <font>
      <sz val="16"/>
      <name val="DecoType Thuluth"/>
      <charset val="178"/>
    </font>
    <font>
      <sz val="16"/>
      <name val="Arial"/>
      <family val="2"/>
      <charset val="178"/>
      <scheme val="minor"/>
    </font>
    <font>
      <sz val="14"/>
      <name val="Bell MT"/>
      <family val="1"/>
    </font>
    <font>
      <sz val="22"/>
      <name val="DecoType Thuluth"/>
      <charset val="178"/>
    </font>
    <font>
      <sz val="18"/>
      <color theme="1"/>
      <name val="Arial"/>
      <family val="2"/>
      <charset val="178"/>
      <scheme val="minor"/>
    </font>
    <font>
      <i/>
      <sz val="22"/>
      <color theme="1"/>
      <name val="DecoType Naskh Swashes"/>
      <charset val="178"/>
    </font>
    <font>
      <sz val="20"/>
      <color theme="1"/>
      <name val="DecoType Naskh Variants"/>
      <charset val="178"/>
    </font>
    <font>
      <sz val="20"/>
      <color theme="1"/>
      <name val="Arial"/>
      <family val="2"/>
      <charset val="178"/>
      <scheme val="minor"/>
    </font>
    <font>
      <sz val="14"/>
      <color theme="1"/>
      <name val="Constantia"/>
      <family val="1"/>
    </font>
    <font>
      <sz val="15"/>
      <color theme="1"/>
      <name val="Arial"/>
      <family val="2"/>
      <charset val="178"/>
      <scheme val="minor"/>
    </font>
    <font>
      <sz val="12"/>
      <color theme="1"/>
      <name val="Andalus"/>
      <family val="1"/>
    </font>
    <font>
      <sz val="16"/>
      <color theme="1"/>
      <name val="Andalus"/>
      <family val="1"/>
    </font>
    <font>
      <sz val="16"/>
      <color theme="1"/>
      <name val="Arial"/>
      <family val="2"/>
    </font>
    <font>
      <b/>
      <i/>
      <sz val="8"/>
      <color theme="1"/>
      <name val="Arial"/>
      <family val="2"/>
      <charset val="178"/>
      <scheme val="minor"/>
    </font>
    <font>
      <sz val="26"/>
      <color theme="1"/>
      <name val="Arial"/>
      <family val="2"/>
      <charset val="178"/>
      <scheme val="minor"/>
    </font>
    <font>
      <b/>
      <i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8"/>
      <color theme="1"/>
      <name val="DecoType Naskh Variants"/>
      <charset val="178"/>
    </font>
    <font>
      <sz val="12"/>
      <color theme="1"/>
      <name val="AR DARLING"/>
    </font>
    <font>
      <sz val="7"/>
      <color theme="1"/>
      <name val="AR DARLING"/>
    </font>
    <font>
      <sz val="11"/>
      <color theme="1"/>
      <name val="AR DARLING"/>
    </font>
    <font>
      <sz val="9"/>
      <color theme="1"/>
      <name val="AR DARLING"/>
    </font>
    <font>
      <sz val="10"/>
      <color theme="1"/>
      <name val="AR DARLING"/>
    </font>
    <font>
      <b/>
      <sz val="8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77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shrinkToFit="1"/>
    </xf>
    <xf numFmtId="0" fontId="15" fillId="0" borderId="0" xfId="1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4" fillId="0" borderId="0" xfId="1" applyFont="1"/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0" fillId="0" borderId="22" xfId="0" applyBorder="1"/>
    <xf numFmtId="0" fontId="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5" fillId="0" borderId="0" xfId="0" applyFont="1"/>
    <xf numFmtId="0" fontId="5" fillId="0" borderId="5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4" xfId="0" applyBorder="1"/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65" xfId="0" applyFont="1" applyBorder="1" applyAlignment="1">
      <alignment vertical="center" wrapText="1"/>
    </xf>
    <xf numFmtId="0" fontId="11" fillId="0" borderId="65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shrinkToFit="1"/>
    </xf>
    <xf numFmtId="0" fontId="5" fillId="4" borderId="32" xfId="0" applyFont="1" applyFill="1" applyBorder="1" applyAlignment="1">
      <alignment horizontal="center" vertical="center" shrinkToFit="1"/>
    </xf>
    <xf numFmtId="0" fontId="5" fillId="2" borderId="30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4" borderId="33" xfId="0" applyFont="1" applyFill="1" applyBorder="1" applyAlignment="1">
      <alignment horizontal="center" vertical="center" shrinkToFit="1"/>
    </xf>
    <xf numFmtId="0" fontId="16" fillId="6" borderId="35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68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21" fillId="4" borderId="61" xfId="0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82" xfId="0" applyBorder="1"/>
    <xf numFmtId="0" fontId="0" fillId="0" borderId="20" xfId="0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83" xfId="0" applyBorder="1"/>
    <xf numFmtId="0" fontId="0" fillId="0" borderId="86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shrinkToFit="1"/>
    </xf>
    <xf numFmtId="0" fontId="8" fillId="0" borderId="0" xfId="0" applyFont="1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0" fontId="1" fillId="0" borderId="0" xfId="0" applyFont="1"/>
    <xf numFmtId="0" fontId="37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0" borderId="21" xfId="0" applyFont="1" applyBorder="1" applyAlignment="1" applyProtection="1">
      <alignment horizontal="center" vertical="center"/>
      <protection locked="0" hidden="1"/>
    </xf>
    <xf numFmtId="0" fontId="7" fillId="0" borderId="0" xfId="0" applyFont="1" applyAlignment="1">
      <alignment horizontal="center" vertical="center"/>
    </xf>
    <xf numFmtId="0" fontId="11" fillId="0" borderId="21" xfId="0" applyFont="1" applyBorder="1" applyAlignment="1" applyProtection="1">
      <alignment horizontal="center" vertical="center"/>
      <protection locked="0" hidden="1"/>
    </xf>
    <xf numFmtId="0" fontId="11" fillId="0" borderId="0" xfId="0" applyFont="1" applyAlignment="1">
      <alignment horizontal="center" vertical="center"/>
    </xf>
    <xf numFmtId="1" fontId="0" fillId="0" borderId="1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shrinkToFit="1"/>
    </xf>
    <xf numFmtId="0" fontId="8" fillId="0" borderId="5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 shrinkToFit="1"/>
    </xf>
    <xf numFmtId="0" fontId="10" fillId="0" borderId="37" xfId="0" applyFont="1" applyBorder="1" applyAlignment="1">
      <alignment horizontal="center" vertical="center" shrinkToFit="1"/>
    </xf>
    <xf numFmtId="0" fontId="10" fillId="0" borderId="70" xfId="0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 applyProtection="1">
      <alignment shrinkToFit="1"/>
      <protection locked="0" hidden="1"/>
    </xf>
    <xf numFmtId="0" fontId="6" fillId="0" borderId="3" xfId="0" applyFont="1" applyBorder="1" applyAlignment="1">
      <alignment horizontal="right" vertical="center" shrinkToFit="1"/>
    </xf>
    <xf numFmtId="0" fontId="16" fillId="0" borderId="6" xfId="0" applyFont="1" applyBorder="1" applyAlignment="1">
      <alignment horizontal="center" vertical="center" shrinkToFit="1"/>
    </xf>
    <xf numFmtId="0" fontId="5" fillId="0" borderId="0" xfId="0" applyFont="1" applyAlignment="1">
      <alignment shrinkToFit="1"/>
    </xf>
    <xf numFmtId="0" fontId="0" fillId="0" borderId="24" xfId="0" applyBorder="1" applyAlignment="1">
      <alignment shrinkToFit="1"/>
    </xf>
    <xf numFmtId="0" fontId="0" fillId="0" borderId="72" xfId="0" applyBorder="1" applyAlignment="1">
      <alignment shrinkToFit="1"/>
    </xf>
    <xf numFmtId="0" fontId="11" fillId="0" borderId="65" xfId="0" applyFont="1" applyBorder="1" applyAlignment="1">
      <alignment shrinkToFit="1"/>
    </xf>
    <xf numFmtId="0" fontId="11" fillId="0" borderId="87" xfId="0" applyFont="1" applyBorder="1" applyAlignment="1">
      <alignment shrinkToFit="1"/>
    </xf>
    <xf numFmtId="0" fontId="0" fillId="0" borderId="0" xfId="0" applyAlignment="1">
      <alignment shrinkToFit="1"/>
    </xf>
    <xf numFmtId="0" fontId="21" fillId="0" borderId="67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shrinkToFit="1"/>
    </xf>
    <xf numFmtId="0" fontId="0" fillId="0" borderId="23" xfId="0" applyBorder="1"/>
    <xf numFmtId="0" fontId="0" fillId="0" borderId="21" xfId="0" applyBorder="1"/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10" fillId="0" borderId="8" xfId="0" applyFont="1" applyBorder="1" applyAlignment="1">
      <alignment horizontal="center" vertical="center" shrinkToFit="1"/>
    </xf>
    <xf numFmtId="0" fontId="8" fillId="0" borderId="47" xfId="0" applyFont="1" applyBorder="1" applyAlignment="1">
      <alignment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0" fillId="0" borderId="90" xfId="0" applyBorder="1"/>
    <xf numFmtId="0" fontId="21" fillId="0" borderId="57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/>
    </xf>
    <xf numFmtId="0" fontId="16" fillId="0" borderId="22" xfId="0" applyFont="1" applyBorder="1"/>
    <xf numFmtId="0" fontId="16" fillId="0" borderId="63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9" fillId="0" borderId="22" xfId="0" applyFont="1" applyBorder="1"/>
    <xf numFmtId="0" fontId="16" fillId="0" borderId="22" xfId="0" applyFont="1" applyBorder="1" applyAlignment="1">
      <alignment vertical="center" wrapText="1"/>
    </xf>
    <xf numFmtId="0" fontId="16" fillId="0" borderId="64" xfId="0" applyFont="1" applyBorder="1" applyAlignment="1">
      <alignment vertical="center" wrapText="1"/>
    </xf>
    <xf numFmtId="0" fontId="9" fillId="0" borderId="0" xfId="0" applyFont="1"/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7" fillId="0" borderId="0" xfId="0" applyFont="1"/>
    <xf numFmtId="0" fontId="30" fillId="0" borderId="84" xfId="0" applyFont="1" applyBorder="1" applyAlignment="1">
      <alignment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74" xfId="0" applyFont="1" applyBorder="1" applyAlignment="1">
      <alignment horizontal="center" vertical="center" shrinkToFit="1"/>
    </xf>
    <xf numFmtId="0" fontId="30" fillId="0" borderId="24" xfId="0" applyFont="1" applyBorder="1" applyAlignment="1">
      <alignment shrinkToFit="1"/>
    </xf>
    <xf numFmtId="0" fontId="30" fillId="0" borderId="72" xfId="0" applyFont="1" applyBorder="1" applyAlignment="1">
      <alignment shrinkToFit="1"/>
    </xf>
    <xf numFmtId="0" fontId="5" fillId="0" borderId="65" xfId="0" applyFont="1" applyBorder="1" applyAlignment="1">
      <alignment shrinkToFit="1"/>
    </xf>
    <xf numFmtId="0" fontId="5" fillId="0" borderId="87" xfId="0" applyFont="1" applyBorder="1" applyAlignment="1">
      <alignment shrinkToFit="1"/>
    </xf>
    <xf numFmtId="0" fontId="30" fillId="0" borderId="0" xfId="0" applyFont="1" applyAlignment="1">
      <alignment shrinkToFit="1"/>
    </xf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37" fillId="3" borderId="0" xfId="0" applyFont="1" applyFill="1" applyAlignment="1">
      <alignment horizontal="center" wrapText="1"/>
    </xf>
    <xf numFmtId="0" fontId="1" fillId="0" borderId="82" xfId="0" applyFon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44" fillId="0" borderId="19" xfId="0" applyFont="1" applyBorder="1" applyProtection="1">
      <protection locked="0" hidden="1"/>
    </xf>
    <xf numFmtId="0" fontId="44" fillId="0" borderId="21" xfId="0" applyFont="1" applyBorder="1"/>
    <xf numFmtId="0" fontId="44" fillId="0" borderId="0" xfId="0" applyFont="1"/>
    <xf numFmtId="0" fontId="48" fillId="0" borderId="22" xfId="0" applyFont="1" applyBorder="1" applyAlignment="1">
      <alignment horizontal="left" vertical="center"/>
    </xf>
    <xf numFmtId="0" fontId="53" fillId="0" borderId="23" xfId="0" applyFont="1" applyBorder="1" applyAlignment="1">
      <alignment vertical="center"/>
    </xf>
    <xf numFmtId="0" fontId="54" fillId="0" borderId="22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0" xfId="0" applyFont="1"/>
    <xf numFmtId="0" fontId="37" fillId="0" borderId="23" xfId="0" applyFont="1" applyBorder="1" applyAlignment="1">
      <alignment horizontal="center" vertical="center"/>
    </xf>
    <xf numFmtId="0" fontId="59" fillId="0" borderId="0" xfId="0" applyFont="1"/>
    <xf numFmtId="0" fontId="57" fillId="0" borderId="22" xfId="0" applyFont="1" applyBorder="1" applyAlignment="1" applyProtection="1">
      <alignment horizontal="center" vertical="center"/>
      <protection locked="0" hidden="1"/>
    </xf>
    <xf numFmtId="0" fontId="57" fillId="0" borderId="23" xfId="0" applyFont="1" applyBorder="1" applyProtection="1">
      <protection locked="0" hidden="1"/>
    </xf>
    <xf numFmtId="0" fontId="44" fillId="0" borderId="22" xfId="0" applyFont="1" applyBorder="1" applyAlignment="1">
      <alignment horizontal="center" vertical="center"/>
    </xf>
    <xf numFmtId="0" fontId="44" fillId="0" borderId="23" xfId="0" applyFont="1" applyBorder="1"/>
    <xf numFmtId="0" fontId="44" fillId="0" borderId="64" xfId="0" applyFont="1" applyBorder="1" applyAlignment="1">
      <alignment horizontal="center" vertical="center"/>
    </xf>
    <xf numFmtId="0" fontId="44" fillId="0" borderId="65" xfId="0" applyFont="1" applyBorder="1"/>
    <xf numFmtId="0" fontId="44" fillId="0" borderId="66" xfId="0" applyFont="1" applyBorder="1"/>
    <xf numFmtId="164" fontId="1" fillId="0" borderId="49" xfId="0" applyNumberFormat="1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5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0" fillId="0" borderId="103" xfId="0" applyFont="1" applyBorder="1" applyAlignment="1">
      <alignment horizontal="center" vertical="center" shrinkToFit="1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shrinkToFit="1"/>
    </xf>
    <xf numFmtId="0" fontId="10" fillId="0" borderId="50" xfId="0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wrapText="1"/>
    </xf>
    <xf numFmtId="0" fontId="16" fillId="0" borderId="0" xfId="0" applyFont="1" applyAlignment="1">
      <alignment vertical="center"/>
    </xf>
    <xf numFmtId="0" fontId="14" fillId="0" borderId="0" xfId="1" applyFont="1" applyAlignment="1">
      <alignment horizontal="center"/>
    </xf>
    <xf numFmtId="167" fontId="0" fillId="0" borderId="0" xfId="0" applyNumberForma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4" fillId="0" borderId="0" xfId="1" applyFont="1" applyAlignment="1">
      <alignment vertical="center" textRotation="90"/>
    </xf>
    <xf numFmtId="0" fontId="2" fillId="0" borderId="53" xfId="0" applyFont="1" applyBorder="1" applyAlignment="1">
      <alignment horizontal="center" vertical="center" textRotation="90"/>
    </xf>
    <xf numFmtId="9" fontId="2" fillId="0" borderId="0" xfId="2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/>
    </xf>
    <xf numFmtId="0" fontId="37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vertical="center" wrapText="1"/>
    </xf>
    <xf numFmtId="0" fontId="14" fillId="0" borderId="0" xfId="1" applyFont="1" applyAlignment="1">
      <alignment vertical="center"/>
    </xf>
    <xf numFmtId="0" fontId="37" fillId="0" borderId="62" xfId="0" applyFont="1" applyBorder="1" applyAlignment="1">
      <alignment horizontal="left" vertical="center"/>
    </xf>
    <xf numFmtId="0" fontId="16" fillId="0" borderId="105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1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 textRotation="90" wrapText="1"/>
    </xf>
    <xf numFmtId="0" fontId="0" fillId="0" borderId="4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3" xfId="0" applyFont="1" applyBorder="1" applyAlignment="1" applyProtection="1">
      <alignment horizontal="center" vertical="center"/>
      <protection locked="0" hidden="1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 applyProtection="1">
      <alignment horizontal="center" vertical="center"/>
      <protection locked="0" hidden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/>
    </xf>
    <xf numFmtId="165" fontId="5" fillId="0" borderId="66" xfId="0" applyNumberFormat="1" applyFont="1" applyBorder="1" applyAlignment="1" applyProtection="1">
      <alignment horizontal="center" vertical="center"/>
      <protection locked="0" hidden="1"/>
    </xf>
    <xf numFmtId="0" fontId="5" fillId="0" borderId="21" xfId="0" applyFont="1" applyBorder="1" applyAlignment="1" applyProtection="1">
      <alignment horizontal="center" vertical="center"/>
      <protection locked="0" hidden="1"/>
    </xf>
    <xf numFmtId="0" fontId="5" fillId="0" borderId="25" xfId="0" applyFont="1" applyBorder="1" applyAlignment="1" applyProtection="1">
      <alignment horizontal="center" vertical="center"/>
      <protection locked="0" hidden="1"/>
    </xf>
    <xf numFmtId="0" fontId="5" fillId="0" borderId="25" xfId="0" applyFont="1" applyBorder="1" applyAlignment="1">
      <alignment horizontal="center" vertical="center"/>
    </xf>
    <xf numFmtId="165" fontId="5" fillId="0" borderId="28" xfId="0" applyNumberFormat="1" applyFont="1" applyBorder="1" applyAlignment="1" applyProtection="1">
      <alignment horizontal="center" vertical="center"/>
      <protection locked="0" hidden="1"/>
    </xf>
    <xf numFmtId="0" fontId="3" fillId="10" borderId="102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10" borderId="32" xfId="0" applyFont="1" applyFill="1" applyBorder="1" applyAlignment="1">
      <alignment horizontal="center" vertical="center"/>
    </xf>
    <xf numFmtId="0" fontId="3" fillId="10" borderId="34" xfId="0" applyFont="1" applyFill="1" applyBorder="1" applyAlignment="1">
      <alignment horizontal="center" vertical="center"/>
    </xf>
    <xf numFmtId="0" fontId="3" fillId="11" borderId="32" xfId="0" applyFont="1" applyFill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69" fillId="0" borderId="7" xfId="0" applyFont="1" applyBorder="1" applyAlignment="1">
      <alignment horizontal="center" vertical="center"/>
    </xf>
    <xf numFmtId="0" fontId="69" fillId="0" borderId="32" xfId="0" applyFont="1" applyBorder="1" applyAlignment="1">
      <alignment horizontal="center" vertical="center" shrinkToFit="1"/>
    </xf>
    <xf numFmtId="0" fontId="69" fillId="5" borderId="34" xfId="0" applyFont="1" applyFill="1" applyBorder="1" applyAlignment="1">
      <alignment horizontal="center" vertical="center"/>
    </xf>
    <xf numFmtId="0" fontId="69" fillId="0" borderId="34" xfId="0" applyFont="1" applyBorder="1" applyAlignment="1">
      <alignment horizontal="center" vertical="center"/>
    </xf>
    <xf numFmtId="0" fontId="70" fillId="0" borderId="7" xfId="0" applyFont="1" applyBorder="1" applyAlignment="1">
      <alignment horizontal="center" vertical="center" wrapText="1"/>
    </xf>
    <xf numFmtId="0" fontId="69" fillId="0" borderId="0" xfId="0" applyFont="1"/>
    <xf numFmtId="0" fontId="71" fillId="0" borderId="0" xfId="0" applyFont="1"/>
    <xf numFmtId="0" fontId="71" fillId="0" borderId="0" xfId="0" applyFont="1" applyAlignment="1">
      <alignment vertical="center" wrapText="1"/>
    </xf>
    <xf numFmtId="0" fontId="71" fillId="0" borderId="82" xfId="0" applyFont="1" applyBorder="1"/>
    <xf numFmtId="0" fontId="71" fillId="0" borderId="20" xfId="0" applyFont="1" applyBorder="1"/>
    <xf numFmtId="0" fontId="70" fillId="0" borderId="2" xfId="0" applyFont="1" applyBorder="1" applyAlignment="1">
      <alignment horizontal="center" vertical="center" wrapText="1"/>
    </xf>
    <xf numFmtId="0" fontId="71" fillId="0" borderId="20" xfId="0" applyFont="1" applyBorder="1" applyAlignment="1">
      <alignment vertical="center" wrapText="1"/>
    </xf>
    <xf numFmtId="0" fontId="71" fillId="0" borderId="23" xfId="0" applyFont="1" applyBorder="1" applyAlignment="1">
      <alignment vertical="center" wrapText="1"/>
    </xf>
    <xf numFmtId="0" fontId="71" fillId="0" borderId="21" xfId="0" applyFont="1" applyBorder="1" applyAlignment="1">
      <alignment vertical="center" wrapText="1"/>
    </xf>
    <xf numFmtId="0" fontId="71" fillId="0" borderId="65" xfId="0" applyFont="1" applyBorder="1" applyAlignment="1">
      <alignment vertical="center" wrapText="1"/>
    </xf>
    <xf numFmtId="0" fontId="69" fillId="0" borderId="20" xfId="0" applyFont="1" applyBorder="1" applyAlignment="1">
      <alignment vertical="center"/>
    </xf>
    <xf numFmtId="0" fontId="71" fillId="0" borderId="24" xfId="0" applyFont="1" applyBorder="1"/>
    <xf numFmtId="0" fontId="71" fillId="0" borderId="65" xfId="0" applyFont="1" applyBorder="1" applyAlignment="1">
      <alignment wrapText="1"/>
    </xf>
    <xf numFmtId="0" fontId="7" fillId="0" borderId="35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72" fillId="0" borderId="7" xfId="0" applyFont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3" fillId="0" borderId="20" xfId="0" applyFont="1" applyBorder="1" applyAlignment="1">
      <alignment horizontal="center" vertical="center"/>
    </xf>
    <xf numFmtId="0" fontId="71" fillId="0" borderId="27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69" fillId="0" borderId="2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" fillId="0" borderId="106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37" fillId="0" borderId="22" xfId="0" applyFont="1" applyBorder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0" fontId="9" fillId="0" borderId="0" xfId="0" applyFont="1" applyAlignment="1">
      <alignment horizontal="center" vertical="center" wrapText="1"/>
    </xf>
    <xf numFmtId="0" fontId="9" fillId="0" borderId="29" xfId="0" applyFont="1" applyBorder="1" applyAlignment="1">
      <alignment horizontal="center" vertical="center" shrinkToFit="1"/>
    </xf>
    <xf numFmtId="0" fontId="9" fillId="0" borderId="49" xfId="0" applyFont="1" applyBorder="1" applyAlignment="1">
      <alignment horizontal="center" vertical="center" shrinkToFit="1"/>
    </xf>
    <xf numFmtId="0" fontId="9" fillId="0" borderId="50" xfId="0" applyFont="1" applyBorder="1" applyAlignment="1">
      <alignment horizontal="center" vertical="center" shrinkToFit="1"/>
    </xf>
    <xf numFmtId="0" fontId="9" fillId="0" borderId="5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30" fillId="0" borderId="24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shrinkToFit="1"/>
    </xf>
    <xf numFmtId="0" fontId="16" fillId="8" borderId="1" xfId="0" applyFont="1" applyFill="1" applyBorder="1" applyAlignment="1">
      <alignment horizontal="center" vertical="center" shrinkToFit="1"/>
    </xf>
    <xf numFmtId="0" fontId="1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shrinkToFit="1"/>
    </xf>
    <xf numFmtId="0" fontId="16" fillId="10" borderId="1" xfId="0" applyFont="1" applyFill="1" applyBorder="1" applyAlignment="1">
      <alignment horizontal="center" vertical="center" shrinkToFit="1"/>
    </xf>
    <xf numFmtId="0" fontId="14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3" fillId="9" borderId="44" xfId="0" applyFont="1" applyFill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" fillId="0" borderId="29" xfId="0" applyFont="1" applyBorder="1" applyAlignment="1">
      <alignment horizontal="center" vertical="center" shrinkToFit="1"/>
    </xf>
    <xf numFmtId="0" fontId="1" fillId="0" borderId="17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shrinkToFit="1"/>
    </xf>
    <xf numFmtId="0" fontId="16" fillId="11" borderId="1" xfId="0" applyFont="1" applyFill="1" applyBorder="1" applyAlignment="1">
      <alignment horizontal="center" vertical="center" shrinkToFit="1"/>
    </xf>
    <xf numFmtId="0" fontId="14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5" fillId="6" borderId="68" xfId="0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/>
    </xf>
    <xf numFmtId="0" fontId="69" fillId="0" borderId="51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shrinkToFit="1"/>
    </xf>
    <xf numFmtId="0" fontId="8" fillId="0" borderId="49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2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shrinkToFit="1"/>
    </xf>
    <xf numFmtId="0" fontId="1" fillId="0" borderId="70" xfId="0" applyFont="1" applyBorder="1" applyAlignment="1">
      <alignment horizontal="center" vertical="center" shrinkToFit="1"/>
    </xf>
    <xf numFmtId="0" fontId="1" fillId="0" borderId="112" xfId="0" applyFont="1" applyBorder="1" applyAlignment="1">
      <alignment horizontal="center" vertical="center" wrapText="1" shrinkToFit="1"/>
    </xf>
    <xf numFmtId="0" fontId="43" fillId="0" borderId="32" xfId="0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74" fillId="0" borderId="0" xfId="1" applyFont="1" applyAlignment="1">
      <alignment vertical="center"/>
    </xf>
    <xf numFmtId="0" fontId="0" fillId="0" borderId="4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shrinkToFit="1"/>
    </xf>
    <xf numFmtId="0" fontId="10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/>
    </xf>
    <xf numFmtId="0" fontId="75" fillId="0" borderId="71" xfId="0" applyFont="1" applyBorder="1" applyAlignment="1">
      <alignment horizontal="right" vertical="center" wrapText="1" readingOrder="2"/>
    </xf>
    <xf numFmtId="0" fontId="57" fillId="0" borderId="22" xfId="0" applyFont="1" applyBorder="1" applyAlignment="1">
      <alignment horizontal="left"/>
    </xf>
    <xf numFmtId="0" fontId="57" fillId="0" borderId="0" xfId="0" applyFont="1" applyAlignment="1">
      <alignment horizontal="left"/>
    </xf>
    <xf numFmtId="0" fontId="57" fillId="0" borderId="0" xfId="0" applyFont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/>
    </xf>
    <xf numFmtId="0" fontId="57" fillId="0" borderId="96" xfId="0" applyFont="1" applyBorder="1" applyAlignment="1">
      <alignment horizontal="center" vertical="center"/>
    </xf>
    <xf numFmtId="0" fontId="57" fillId="0" borderId="97" xfId="0" applyFont="1" applyBorder="1" applyAlignment="1">
      <alignment horizontal="center" vertical="center"/>
    </xf>
    <xf numFmtId="0" fontId="57" fillId="0" borderId="98" xfId="0" applyFont="1" applyBorder="1" applyAlignment="1">
      <alignment horizontal="center" vertical="center"/>
    </xf>
    <xf numFmtId="0" fontId="57" fillId="0" borderId="99" xfId="0" applyFont="1" applyBorder="1" applyAlignment="1">
      <alignment horizontal="center"/>
    </xf>
    <xf numFmtId="0" fontId="57" fillId="0" borderId="100" xfId="0" applyFont="1" applyBorder="1" applyAlignment="1">
      <alignment horizontal="center"/>
    </xf>
    <xf numFmtId="0" fontId="57" fillId="0" borderId="101" xfId="0" applyFont="1" applyBorder="1" applyAlignment="1">
      <alignment horizontal="center"/>
    </xf>
    <xf numFmtId="0" fontId="56" fillId="0" borderId="0" xfId="0" applyFont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164" fontId="58" fillId="0" borderId="29" xfId="0" applyNumberFormat="1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46" fillId="0" borderId="22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0" fontId="46" fillId="0" borderId="23" xfId="0" applyFont="1" applyBorder="1" applyAlignment="1">
      <alignment horizontal="right" vertical="center"/>
    </xf>
    <xf numFmtId="0" fontId="47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right" vertical="center"/>
    </xf>
    <xf numFmtId="0" fontId="44" fillId="0" borderId="22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23" xfId="0" applyFont="1" applyBorder="1" applyAlignment="1">
      <alignment horizontal="center"/>
    </xf>
    <xf numFmtId="0" fontId="45" fillId="0" borderId="22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23" xfId="0" applyFont="1" applyBorder="1" applyAlignment="1">
      <alignment horizontal="center"/>
    </xf>
    <xf numFmtId="0" fontId="44" fillId="0" borderId="20" xfId="0" applyFont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" fontId="60" fillId="0" borderId="1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 readingOrder="2"/>
    </xf>
    <xf numFmtId="0" fontId="32" fillId="0" borderId="23" xfId="0" applyFont="1" applyBorder="1" applyAlignment="1">
      <alignment horizontal="center" vertical="center" wrapText="1" readingOrder="2"/>
    </xf>
    <xf numFmtId="0" fontId="32" fillId="0" borderId="29" xfId="0" applyFont="1" applyBorder="1" applyAlignment="1">
      <alignment horizontal="center" vertical="center" wrapText="1" readingOrder="2"/>
    </xf>
    <xf numFmtId="0" fontId="32" fillId="0" borderId="75" xfId="0" applyFont="1" applyBorder="1" applyAlignment="1">
      <alignment horizontal="center" vertical="center" wrapText="1" readingOrder="2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 textRotation="90"/>
    </xf>
    <xf numFmtId="0" fontId="21" fillId="6" borderId="29" xfId="0" applyFont="1" applyFill="1" applyBorder="1" applyAlignment="1">
      <alignment horizontal="center" vertical="center" textRotation="90"/>
    </xf>
    <xf numFmtId="0" fontId="21" fillId="0" borderId="58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7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 shrinkToFit="1"/>
    </xf>
    <xf numFmtId="0" fontId="36" fillId="0" borderId="4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12" fillId="0" borderId="72" xfId="0" applyFont="1" applyBorder="1" applyAlignment="1">
      <alignment horizontal="center" vertical="center" shrinkToFit="1"/>
    </xf>
    <xf numFmtId="0" fontId="41" fillId="0" borderId="4" xfId="0" applyFont="1" applyBorder="1" applyAlignment="1">
      <alignment horizontal="center" vertical="center" shrinkToFit="1"/>
    </xf>
    <xf numFmtId="0" fontId="41" fillId="0" borderId="73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readingOrder="2"/>
    </xf>
    <xf numFmtId="0" fontId="28" fillId="0" borderId="0" xfId="0" applyFont="1" applyAlignment="1">
      <alignment horizontal="center" vertical="center" readingOrder="2"/>
    </xf>
    <xf numFmtId="0" fontId="28" fillId="0" borderId="23" xfId="0" applyFont="1" applyBorder="1" applyAlignment="1">
      <alignment horizontal="center" vertical="center" readingOrder="2"/>
    </xf>
    <xf numFmtId="0" fontId="25" fillId="0" borderId="22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 wrapText="1" readingOrder="2"/>
    </xf>
    <xf numFmtId="0" fontId="25" fillId="0" borderId="23" xfId="0" applyFont="1" applyBorder="1" applyAlignment="1">
      <alignment horizontal="center" vertical="center" wrapText="1" readingOrder="2"/>
    </xf>
    <xf numFmtId="0" fontId="32" fillId="0" borderId="22" xfId="0" applyFont="1" applyBorder="1" applyAlignment="1">
      <alignment horizontal="center" vertical="center" wrapText="1" readingOrder="2"/>
    </xf>
    <xf numFmtId="0" fontId="32" fillId="0" borderId="64" xfId="0" applyFont="1" applyBorder="1" applyAlignment="1">
      <alignment horizontal="center" vertical="center" wrapText="1" readingOrder="2"/>
    </xf>
    <xf numFmtId="0" fontId="32" fillId="0" borderId="65" xfId="0" applyFont="1" applyBorder="1" applyAlignment="1">
      <alignment horizontal="center" vertical="center" wrapText="1" readingOrder="2"/>
    </xf>
    <xf numFmtId="0" fontId="32" fillId="0" borderId="66" xfId="0" applyFont="1" applyBorder="1" applyAlignment="1">
      <alignment horizontal="center" vertical="center" wrapText="1" readingOrder="2"/>
    </xf>
    <xf numFmtId="0" fontId="25" fillId="0" borderId="65" xfId="0" applyFont="1" applyBorder="1" applyAlignment="1">
      <alignment horizontal="center" vertical="center" wrapText="1" readingOrder="2"/>
    </xf>
    <xf numFmtId="0" fontId="25" fillId="0" borderId="66" xfId="0" applyFont="1" applyBorder="1" applyAlignment="1">
      <alignment horizontal="center" vertical="center" wrapText="1" readingOrder="2"/>
    </xf>
    <xf numFmtId="0" fontId="11" fillId="0" borderId="6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37" fillId="0" borderId="0" xfId="0" applyFont="1" applyAlignment="1">
      <alignment horizontal="right" vertical="center"/>
    </xf>
    <xf numFmtId="0" fontId="66" fillId="0" borderId="2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7" fillId="0" borderId="56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0" fontId="35" fillId="0" borderId="23" xfId="0" applyFont="1" applyBorder="1" applyAlignment="1">
      <alignment horizontal="center" vertical="center" shrinkToFit="1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23" fillId="0" borderId="19" xfId="0" applyFont="1" applyBorder="1" applyAlignment="1">
      <alignment horizontal="center" vertical="center" readingOrder="2"/>
    </xf>
    <xf numFmtId="0" fontId="23" fillId="0" borderId="20" xfId="0" applyFont="1" applyBorder="1" applyAlignment="1">
      <alignment horizontal="center" vertical="center" readingOrder="2"/>
    </xf>
    <xf numFmtId="0" fontId="38" fillId="0" borderId="109" xfId="0" applyFont="1" applyBorder="1" applyAlignment="1">
      <alignment horizontal="right" vertical="center" shrinkToFit="1"/>
    </xf>
    <xf numFmtId="0" fontId="38" fillId="0" borderId="27" xfId="0" applyFont="1" applyBorder="1" applyAlignment="1">
      <alignment horizontal="right" vertical="center" shrinkToFit="1"/>
    </xf>
    <xf numFmtId="0" fontId="34" fillId="0" borderId="36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23" fillId="0" borderId="19" xfId="0" applyFont="1" applyBorder="1" applyAlignment="1">
      <alignment horizontal="right" vertical="center" readingOrder="2"/>
    </xf>
    <xf numFmtId="0" fontId="23" fillId="0" borderId="20" xfId="0" applyFont="1" applyBorder="1" applyAlignment="1">
      <alignment horizontal="right" vertical="center" readingOrder="2"/>
    </xf>
    <xf numFmtId="0" fontId="23" fillId="0" borderId="21" xfId="0" applyFont="1" applyBorder="1" applyAlignment="1">
      <alignment horizontal="right" vertical="center" readingOrder="2"/>
    </xf>
    <xf numFmtId="0" fontId="27" fillId="0" borderId="19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readingOrder="2"/>
    </xf>
    <xf numFmtId="0" fontId="25" fillId="0" borderId="0" xfId="0" applyFont="1" applyAlignment="1">
      <alignment horizontal="center" vertical="center" readingOrder="2"/>
    </xf>
    <xf numFmtId="0" fontId="25" fillId="0" borderId="23" xfId="0" applyFont="1" applyBorder="1" applyAlignment="1">
      <alignment horizontal="center" vertical="center" readingOrder="2"/>
    </xf>
    <xf numFmtId="0" fontId="26" fillId="0" borderId="22" xfId="0" applyFont="1" applyBorder="1" applyAlignment="1">
      <alignment horizontal="center" vertical="center" wrapText="1" readingOrder="2"/>
    </xf>
    <xf numFmtId="0" fontId="26" fillId="0" borderId="0" xfId="0" applyFont="1" applyAlignment="1">
      <alignment horizontal="center" vertical="center" wrapText="1" readingOrder="2"/>
    </xf>
    <xf numFmtId="0" fontId="26" fillId="0" borderId="23" xfId="0" applyFont="1" applyBorder="1" applyAlignment="1">
      <alignment horizontal="center" vertical="center" wrapText="1" readingOrder="2"/>
    </xf>
    <xf numFmtId="0" fontId="28" fillId="0" borderId="22" xfId="0" applyFont="1" applyBorder="1" applyAlignment="1">
      <alignment horizontal="center" vertical="center" wrapText="1" readingOrder="2"/>
    </xf>
    <xf numFmtId="0" fontId="28" fillId="0" borderId="0" xfId="0" applyFont="1" applyAlignment="1">
      <alignment horizontal="center" vertical="center" wrapText="1" readingOrder="2"/>
    </xf>
    <xf numFmtId="0" fontId="28" fillId="0" borderId="23" xfId="0" applyFont="1" applyBorder="1" applyAlignment="1">
      <alignment horizontal="center" vertical="center" wrapText="1" readingOrder="2"/>
    </xf>
    <xf numFmtId="0" fontId="26" fillId="0" borderId="64" xfId="0" applyFont="1" applyBorder="1" applyAlignment="1">
      <alignment horizontal="center" vertical="center" wrapText="1" readingOrder="2"/>
    </xf>
    <xf numFmtId="0" fontId="26" fillId="0" borderId="65" xfId="0" applyFont="1" applyBorder="1" applyAlignment="1">
      <alignment horizontal="center" vertical="center" wrapText="1" readingOrder="2"/>
    </xf>
    <xf numFmtId="0" fontId="26" fillId="0" borderId="66" xfId="0" applyFont="1" applyBorder="1" applyAlignment="1">
      <alignment horizontal="center" vertical="center" wrapText="1" readingOrder="2"/>
    </xf>
    <xf numFmtId="0" fontId="41" fillId="0" borderId="5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65" fillId="0" borderId="11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 shrinkToFit="1"/>
    </xf>
    <xf numFmtId="0" fontId="65" fillId="0" borderId="23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 applyProtection="1">
      <alignment horizontal="center" vertical="center" shrinkToFit="1"/>
      <protection locked="0" hidden="1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 textRotation="90"/>
    </xf>
    <xf numFmtId="0" fontId="12" fillId="0" borderId="60" xfId="0" applyFont="1" applyBorder="1" applyAlignment="1">
      <alignment horizontal="center" vertical="center" textRotation="90"/>
    </xf>
    <xf numFmtId="0" fontId="61" fillId="0" borderId="13" xfId="0" applyFont="1" applyBorder="1" applyAlignment="1">
      <alignment horizontal="center" vertical="center"/>
    </xf>
    <xf numFmtId="0" fontId="61" fillId="0" borderId="88" xfId="0" applyFont="1" applyBorder="1" applyAlignment="1">
      <alignment horizontal="center" vertical="center"/>
    </xf>
    <xf numFmtId="1" fontId="62" fillId="0" borderId="12" xfId="0" applyNumberFormat="1" applyFont="1" applyBorder="1" applyAlignment="1">
      <alignment horizontal="center" vertical="center"/>
    </xf>
    <xf numFmtId="0" fontId="36" fillId="0" borderId="58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right" vertical="center" wrapText="1" readingOrder="2"/>
    </xf>
    <xf numFmtId="0" fontId="23" fillId="0" borderId="20" xfId="0" applyFont="1" applyBorder="1" applyAlignment="1">
      <alignment horizontal="right" vertical="center" wrapText="1" readingOrder="2"/>
    </xf>
    <xf numFmtId="0" fontId="23" fillId="0" borderId="21" xfId="0" applyFont="1" applyBorder="1" applyAlignment="1">
      <alignment horizontal="right" vertical="center" wrapText="1" readingOrder="2"/>
    </xf>
    <xf numFmtId="0" fontId="13" fillId="0" borderId="3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shrinkToFit="1"/>
    </xf>
    <xf numFmtId="164" fontId="13" fillId="0" borderId="3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6" fontId="2" fillId="0" borderId="25" xfId="2" applyNumberFormat="1" applyFont="1" applyFill="1" applyBorder="1" applyAlignment="1">
      <alignment horizontal="center" vertical="center" textRotation="90" wrapText="1"/>
    </xf>
    <xf numFmtId="166" fontId="2" fillId="0" borderId="26" xfId="2" applyNumberFormat="1" applyFont="1" applyFill="1" applyBorder="1" applyAlignment="1">
      <alignment horizontal="center" vertical="center" textRotation="90" wrapText="1"/>
    </xf>
    <xf numFmtId="166" fontId="2" fillId="0" borderId="28" xfId="2" applyNumberFormat="1" applyFont="1" applyFill="1" applyBorder="1" applyAlignment="1">
      <alignment horizontal="center" vertical="center" textRotation="90" wrapText="1"/>
    </xf>
    <xf numFmtId="0" fontId="8" fillId="0" borderId="32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 shrinkToFit="1"/>
    </xf>
    <xf numFmtId="0" fontId="14" fillId="0" borderId="0" xfId="1" applyFont="1" applyAlignment="1">
      <alignment horizontal="center" vertical="center"/>
    </xf>
    <xf numFmtId="0" fontId="39" fillId="0" borderId="0" xfId="1" applyFont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164" fontId="12" fillId="0" borderId="4" xfId="0" applyNumberFormat="1" applyFont="1" applyBorder="1" applyAlignment="1">
      <alignment horizontal="center" vertical="center" textRotation="90"/>
    </xf>
    <xf numFmtId="164" fontId="12" fillId="0" borderId="1" xfId="0" applyNumberFormat="1" applyFont="1" applyBorder="1" applyAlignment="1">
      <alignment horizontal="center" vertical="center" textRotation="90"/>
    </xf>
    <xf numFmtId="164" fontId="12" fillId="0" borderId="33" xfId="0" applyNumberFormat="1" applyFont="1" applyBorder="1" applyAlignment="1">
      <alignment horizontal="center" vertical="center" textRotation="90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3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textRotation="90"/>
    </xf>
    <xf numFmtId="0" fontId="8" fillId="0" borderId="39" xfId="0" applyFont="1" applyBorder="1" applyAlignment="1">
      <alignment horizontal="center" vertical="center" textRotation="90"/>
    </xf>
    <xf numFmtId="0" fontId="8" fillId="0" borderId="111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1" fillId="0" borderId="54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textRotation="90"/>
    </xf>
    <xf numFmtId="164" fontId="3" fillId="0" borderId="6" xfId="0" applyNumberFormat="1" applyFont="1" applyBorder="1" applyAlignment="1">
      <alignment horizontal="center" vertical="center" textRotation="90"/>
    </xf>
    <xf numFmtId="164" fontId="3" fillId="0" borderId="32" xfId="0" applyNumberFormat="1" applyFont="1" applyBorder="1" applyAlignment="1">
      <alignment horizontal="center" vertical="center" textRotation="90"/>
    </xf>
    <xf numFmtId="0" fontId="14" fillId="0" borderId="27" xfId="1" applyFont="1" applyBorder="1" applyAlignment="1">
      <alignment horizontal="center" vertical="center"/>
    </xf>
    <xf numFmtId="0" fontId="21" fillId="0" borderId="27" xfId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textRotation="90"/>
    </xf>
    <xf numFmtId="0" fontId="19" fillId="0" borderId="6" xfId="0" applyFont="1" applyBorder="1" applyAlignment="1">
      <alignment horizontal="center" vertical="center" textRotation="90"/>
    </xf>
    <xf numFmtId="0" fontId="19" fillId="0" borderId="14" xfId="0" applyFont="1" applyBorder="1" applyAlignment="1">
      <alignment horizontal="center" vertical="center" textRotation="90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64" fontId="67" fillId="0" borderId="56" xfId="0" applyNumberFormat="1" applyFont="1" applyBorder="1" applyAlignment="1">
      <alignment horizontal="center" vertical="center" textRotation="90" wrapText="1"/>
    </xf>
    <xf numFmtId="164" fontId="67" fillId="0" borderId="16" xfId="0" applyNumberFormat="1" applyFont="1" applyBorder="1" applyAlignment="1">
      <alignment horizontal="center" vertical="center" textRotation="90" wrapText="1"/>
    </xf>
    <xf numFmtId="0" fontId="18" fillId="0" borderId="56" xfId="0" applyFont="1" applyBorder="1" applyAlignment="1">
      <alignment horizontal="center" vertical="center" wrapText="1"/>
    </xf>
    <xf numFmtId="0" fontId="18" fillId="0" borderId="110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 shrinkToFit="1"/>
    </xf>
    <xf numFmtId="0" fontId="30" fillId="0" borderId="44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textRotation="90"/>
    </xf>
    <xf numFmtId="0" fontId="9" fillId="0" borderId="39" xfId="0" applyFont="1" applyBorder="1" applyAlignment="1">
      <alignment horizontal="center" vertical="center" textRotation="90"/>
    </xf>
    <xf numFmtId="0" fontId="9" fillId="0" borderId="111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1" fillId="0" borderId="55" xfId="0" applyFont="1" applyBorder="1" applyAlignment="1">
      <alignment horizontal="center" vertical="center" textRotation="90"/>
    </xf>
    <xf numFmtId="0" fontId="1" fillId="0" borderId="71" xfId="0" applyFont="1" applyBorder="1" applyAlignment="1">
      <alignment horizontal="center" vertical="center" textRotation="90"/>
    </xf>
    <xf numFmtId="0" fontId="8" fillId="0" borderId="52" xfId="0" applyFont="1" applyBorder="1" applyAlignment="1">
      <alignment horizontal="center" vertical="center" textRotation="90"/>
    </xf>
    <xf numFmtId="0" fontId="8" fillId="0" borderId="46" xfId="0" applyFont="1" applyBorder="1" applyAlignment="1">
      <alignment horizontal="center" vertical="center" textRotation="90"/>
    </xf>
    <xf numFmtId="0" fontId="8" fillId="0" borderId="38" xfId="0" applyFont="1" applyBorder="1" applyAlignment="1">
      <alignment horizontal="center" vertical="center" textRotation="90"/>
    </xf>
    <xf numFmtId="0" fontId="2" fillId="0" borderId="55" xfId="0" applyFont="1" applyBorder="1" applyAlignment="1">
      <alignment horizontal="center" vertical="center" textRotation="90"/>
    </xf>
    <xf numFmtId="0" fontId="2" fillId="0" borderId="54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shrinkToFit="1"/>
    </xf>
    <xf numFmtId="0" fontId="13" fillId="0" borderId="17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/>
    </xf>
    <xf numFmtId="9" fontId="13" fillId="0" borderId="33" xfId="2" applyFont="1" applyBorder="1" applyAlignment="1">
      <alignment horizontal="center" vertical="center"/>
    </xf>
    <xf numFmtId="9" fontId="13" fillId="0" borderId="34" xfId="2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9" fontId="13" fillId="0" borderId="17" xfId="2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wrapText="1"/>
    </xf>
    <xf numFmtId="0" fontId="37" fillId="0" borderId="5" xfId="0" applyFont="1" applyBorder="1" applyAlignment="1">
      <alignment horizontal="center" wrapText="1"/>
    </xf>
    <xf numFmtId="0" fontId="21" fillId="0" borderId="0" xfId="1" applyFont="1" applyAlignment="1">
      <alignment horizontal="center" vertical="center"/>
    </xf>
    <xf numFmtId="0" fontId="64" fillId="7" borderId="3" xfId="0" applyFont="1" applyFill="1" applyBorder="1" applyAlignment="1">
      <alignment horizontal="center" vertical="center"/>
    </xf>
    <xf numFmtId="0" fontId="64" fillId="7" borderId="4" xfId="0" applyFont="1" applyFill="1" applyBorder="1" applyAlignment="1">
      <alignment horizontal="center" vertical="center"/>
    </xf>
    <xf numFmtId="0" fontId="64" fillId="7" borderId="5" xfId="0" applyFont="1" applyFill="1" applyBorder="1" applyAlignment="1">
      <alignment horizontal="center" vertical="center"/>
    </xf>
    <xf numFmtId="0" fontId="64" fillId="7" borderId="6" xfId="0" applyFont="1" applyFill="1" applyBorder="1" applyAlignment="1">
      <alignment horizontal="center" vertical="center"/>
    </xf>
    <xf numFmtId="0" fontId="64" fillId="7" borderId="1" xfId="0" applyFont="1" applyFill="1" applyBorder="1" applyAlignment="1">
      <alignment horizontal="center" vertical="center"/>
    </xf>
    <xf numFmtId="0" fontId="64" fillId="7" borderId="7" xfId="0" applyFont="1" applyFill="1" applyBorder="1" applyAlignment="1">
      <alignment horizontal="center" vertical="center"/>
    </xf>
    <xf numFmtId="0" fontId="64" fillId="7" borderId="14" xfId="0" applyFont="1" applyFill="1" applyBorder="1" applyAlignment="1">
      <alignment horizontal="center" vertical="center"/>
    </xf>
    <xf numFmtId="0" fontId="64" fillId="7" borderId="12" xfId="0" applyFont="1" applyFill="1" applyBorder="1" applyAlignment="1">
      <alignment horizontal="center" vertical="center"/>
    </xf>
    <xf numFmtId="0" fontId="64" fillId="7" borderId="15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textRotation="90"/>
    </xf>
    <xf numFmtId="0" fontId="30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textRotation="90"/>
    </xf>
    <xf numFmtId="0" fontId="1" fillId="10" borderId="1" xfId="0" applyFont="1" applyFill="1" applyBorder="1" applyAlignment="1">
      <alignment horizontal="center" vertical="center" textRotation="90"/>
    </xf>
    <xf numFmtId="0" fontId="1" fillId="11" borderId="1" xfId="0" applyFont="1" applyFill="1" applyBorder="1" applyAlignment="1">
      <alignment horizontal="center" vertical="center" textRotation="90"/>
    </xf>
    <xf numFmtId="0" fontId="30" fillId="10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textRotation="90"/>
    </xf>
    <xf numFmtId="0" fontId="16" fillId="8" borderId="1" xfId="0" applyFont="1" applyFill="1" applyBorder="1" applyAlignment="1">
      <alignment horizontal="center" vertical="center" textRotation="90" wrapText="1"/>
    </xf>
    <xf numFmtId="0" fontId="0" fillId="0" borderId="93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textRotation="90"/>
    </xf>
    <xf numFmtId="0" fontId="16" fillId="11" borderId="3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/>
    </xf>
    <xf numFmtId="0" fontId="16" fillId="11" borderId="35" xfId="0" applyFont="1" applyFill="1" applyBorder="1" applyAlignment="1">
      <alignment horizontal="center" vertical="center"/>
    </xf>
    <xf numFmtId="0" fontId="16" fillId="11" borderId="30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10" borderId="35" xfId="0" applyFont="1" applyFill="1" applyBorder="1" applyAlignment="1">
      <alignment horizontal="center" vertical="center"/>
    </xf>
    <xf numFmtId="0" fontId="16" fillId="10" borderId="30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35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textRotation="90" wrapText="1"/>
    </xf>
    <xf numFmtId="0" fontId="54" fillId="7" borderId="43" xfId="0" applyFont="1" applyFill="1" applyBorder="1" applyAlignment="1">
      <alignment horizontal="center" vertical="center"/>
    </xf>
    <xf numFmtId="0" fontId="54" fillId="7" borderId="4" xfId="0" applyFont="1" applyFill="1" applyBorder="1" applyAlignment="1">
      <alignment horizontal="center" vertical="center"/>
    </xf>
    <xf numFmtId="0" fontId="54" fillId="7" borderId="5" xfId="0" applyFont="1" applyFill="1" applyBorder="1" applyAlignment="1">
      <alignment horizontal="center" vertical="center"/>
    </xf>
    <xf numFmtId="0" fontId="54" fillId="7" borderId="30" xfId="0" applyFont="1" applyFill="1" applyBorder="1" applyAlignment="1">
      <alignment horizontal="center" vertical="center"/>
    </xf>
    <xf numFmtId="0" fontId="54" fillId="7" borderId="1" xfId="0" applyFont="1" applyFill="1" applyBorder="1" applyAlignment="1">
      <alignment horizontal="center" vertical="center"/>
    </xf>
    <xf numFmtId="0" fontId="54" fillId="7" borderId="7" xfId="0" applyFont="1" applyFill="1" applyBorder="1" applyAlignment="1">
      <alignment horizontal="center" vertical="center"/>
    </xf>
    <xf numFmtId="0" fontId="54" fillId="7" borderId="88" xfId="0" applyFont="1" applyFill="1" applyBorder="1" applyAlignment="1">
      <alignment horizontal="center" vertical="center"/>
    </xf>
    <xf numFmtId="0" fontId="54" fillId="7" borderId="12" xfId="0" applyFont="1" applyFill="1" applyBorder="1" applyAlignment="1">
      <alignment horizontal="center" vertical="center"/>
    </xf>
    <xf numFmtId="0" fontId="54" fillId="7" borderId="1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 textRotation="90"/>
    </xf>
    <xf numFmtId="0" fontId="19" fillId="7" borderId="6" xfId="0" applyFont="1" applyFill="1" applyBorder="1" applyAlignment="1">
      <alignment horizontal="center" vertical="center" textRotation="90"/>
    </xf>
    <xf numFmtId="0" fontId="19" fillId="7" borderId="14" xfId="0" applyFont="1" applyFill="1" applyBorder="1" applyAlignment="1">
      <alignment horizontal="center" vertical="center" textRotation="90"/>
    </xf>
    <xf numFmtId="0" fontId="18" fillId="7" borderId="4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8" fillId="7" borderId="36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63" fillId="7" borderId="4" xfId="0" applyFont="1" applyFill="1" applyBorder="1" applyAlignment="1">
      <alignment horizontal="center" vertical="center" wrapText="1"/>
    </xf>
    <xf numFmtId="0" fontId="63" fillId="7" borderId="1" xfId="0" applyFont="1" applyFill="1" applyBorder="1" applyAlignment="1">
      <alignment horizontal="center" vertical="center" wrapText="1"/>
    </xf>
    <xf numFmtId="0" fontId="63" fillId="7" borderId="12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textRotation="90" wrapText="1"/>
    </xf>
  </cellXfs>
  <cellStyles count="3">
    <cellStyle name="Normal 2 2" xfId="1" xr:uid="{00000000-0005-0000-0000-000001000000}"/>
    <cellStyle name="Percent" xfId="2" builtinId="5"/>
    <cellStyle name="عادي" xfId="0" builtinId="0"/>
  </cellStyles>
  <dxfs count="216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&#1575;&#1583;&#1582;&#1575;&#1604;1!BH1"/><Relationship Id="rId3" Type="http://schemas.openxmlformats.org/officeDocument/2006/relationships/hyperlink" Target="#'&#1575;&#1604;&#1589;&#1581;&#1610;&#1601;&#1577; &#1575;&#1604;&#1606;&#1607;&#1575;&#1574;&#1610;&#1577;'!A1"/><Relationship Id="rId7" Type="http://schemas.openxmlformats.org/officeDocument/2006/relationships/hyperlink" Target="#&#1575;&#1583;&#1582;&#1575;&#1604;1!CC1"/><Relationship Id="rId2" Type="http://schemas.openxmlformats.org/officeDocument/2006/relationships/hyperlink" Target="#&#1575;&#1583;&#1582;&#1575;&#1604;1!A1"/><Relationship Id="rId1" Type="http://schemas.openxmlformats.org/officeDocument/2006/relationships/hyperlink" Target="#&#1575;&#1604;&#1585;&#1574;&#1610;&#1587;&#1610;&#1577;!A1"/><Relationship Id="rId6" Type="http://schemas.openxmlformats.org/officeDocument/2006/relationships/hyperlink" Target="#'&#1589;&#1581;&#1610;&#1601;&#1577; &#1575;&#1604;&#1601;&#1578;&#1585;&#1575;&#1578;'!A1"/><Relationship Id="rId5" Type="http://schemas.openxmlformats.org/officeDocument/2006/relationships/hyperlink" Target="#'&#1576;&#1610;&#1575;&#1606;&#1575;&#1578; &#1575;&#1604;&#1589;&#1581;&#1610;&#1601;&#1577; '!A1"/><Relationship Id="rId4" Type="http://schemas.openxmlformats.org/officeDocument/2006/relationships/hyperlink" Target="#'&#1575;&#1604;&#1606;&#1578;&#1610;&#1580;&#1577; &#1575;&#1604;&#1606;&#1607;&#1575;&#1574;&#1610;&#1577;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1173480</xdr:colOff>
      <xdr:row>1</xdr:row>
      <xdr:rowOff>243840</xdr:rowOff>
    </xdr:from>
    <xdr:to>
      <xdr:col>0</xdr:col>
      <xdr:colOff>1615440</xdr:colOff>
      <xdr:row>2</xdr:row>
      <xdr:rowOff>45720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973531520" y="746760"/>
          <a:ext cx="441960" cy="304800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</xdr:colOff>
      <xdr:row>0</xdr:row>
      <xdr:rowOff>9525</xdr:rowOff>
    </xdr:from>
    <xdr:to>
      <xdr:col>0</xdr:col>
      <xdr:colOff>1732</xdr:colOff>
      <xdr:row>5</xdr:row>
      <xdr:rowOff>133349</xdr:rowOff>
    </xdr:to>
    <xdr:sp macro="" textlink="">
      <xdr:nvSpPr>
        <xdr:cNvPr id="2" name="تمرير أفقي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971068" y="9525"/>
          <a:ext cx="866" cy="1000124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15</xdr:col>
      <xdr:colOff>657225</xdr:colOff>
      <xdr:row>0</xdr:row>
      <xdr:rowOff>29441</xdr:rowOff>
    </xdr:from>
    <xdr:to>
      <xdr:col>16384</xdr:col>
      <xdr:colOff>392257</xdr:colOff>
      <xdr:row>0</xdr:row>
      <xdr:rowOff>172316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-392257" y="29441"/>
          <a:ext cx="420832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657226</xdr:colOff>
      <xdr:row>37</xdr:row>
      <xdr:rowOff>88377</xdr:rowOff>
    </xdr:to>
    <xdr:grpSp>
      <xdr:nvGrpSpPr>
        <xdr:cNvPr id="4" name="مجموعة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28574" y="0"/>
          <a:ext cx="10944226" cy="6532720"/>
          <a:chOff x="26843" y="29441"/>
          <a:chExt cx="10918249" cy="6823364"/>
        </a:xfrm>
      </xdr:grpSpPr>
      <xdr:grpSp>
        <xdr:nvGrpSpPr>
          <xdr:cNvPr id="5" name="مجموعة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26843" y="29441"/>
            <a:ext cx="10918249" cy="6823364"/>
            <a:chOff x="26843" y="0"/>
            <a:chExt cx="10918249" cy="6823364"/>
          </a:xfrm>
        </xdr:grpSpPr>
        <xdr:sp macro="" textlink="">
          <xdr:nvSpPr>
            <xdr:cNvPr id="7" name="مستطيل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26843" y="0"/>
              <a:ext cx="10918248" cy="1788968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</xdr:txBody>
        </xdr:sp>
        <xdr:sp macro="" textlink="">
          <xdr:nvSpPr>
            <xdr:cNvPr id="8" name="مستطيل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26843" y="1814410"/>
              <a:ext cx="10918248" cy="3655868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900"/>
            </a:p>
          </xdr:txBody>
        </xdr:sp>
        <xdr:sp macro="" textlink="">
          <xdr:nvSpPr>
            <xdr:cNvPr id="9" name="مستطيل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26844" y="4421357"/>
              <a:ext cx="10918248" cy="1788968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0" name="قمر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5005821" y="2707698"/>
              <a:ext cx="998393" cy="1732684"/>
            </a:xfrm>
            <a:prstGeom prst="moon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1" name="نجمة ذات 5 نقاط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>
            <a:xfrm>
              <a:off x="5623214" y="3215120"/>
              <a:ext cx="626918" cy="670214"/>
            </a:xfrm>
            <a:prstGeom prst="star5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2" name="شكل بيضاوي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/>
          </xdr:nvSpPr>
          <xdr:spPr>
            <a:xfrm>
              <a:off x="8858249" y="2000250"/>
              <a:ext cx="1652155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200"/>
                <a:t>ادخال</a:t>
              </a:r>
              <a:r>
                <a:rPr lang="ar-LY" sz="1400" baseline="0"/>
                <a:t> </a:t>
              </a:r>
              <a:r>
                <a:rPr lang="ar-LY" sz="1400"/>
                <a:t>درجات الفترة</a:t>
              </a:r>
              <a:r>
                <a:rPr lang="ar-LY" sz="1400" baseline="0"/>
                <a:t> الاولى</a:t>
              </a:r>
              <a:endParaRPr lang="ar-LY" sz="900"/>
            </a:p>
          </xdr:txBody>
        </xdr:sp>
        <xdr:sp macro="" textlink="">
          <xdr:nvSpPr>
            <xdr:cNvPr id="13" name="شكل بيضاوي 12">
              <a:hlinkClick xmlns:r="http://schemas.openxmlformats.org/officeDocument/2006/relationships" r:id="rId3" tooltip="صحيفة الفصل الثاني"/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2782166" y="3253220"/>
              <a:ext cx="1653886" cy="747280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الصحيفة</a:t>
              </a:r>
              <a:r>
                <a:rPr lang="ar-LY" sz="1400"/>
                <a:t> النهائية</a:t>
              </a:r>
            </a:p>
          </xdr:txBody>
        </xdr:sp>
        <xdr:sp macro="" textlink="">
          <xdr:nvSpPr>
            <xdr:cNvPr id="14" name="شكل بيضاوي 13">
              <a:hlinkClick xmlns:r="http://schemas.openxmlformats.org/officeDocument/2006/relationships" r:id="rId4" tooltip="نتيجة الفصل الثاني"/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/>
          </xdr:nvSpPr>
          <xdr:spPr>
            <a:xfrm>
              <a:off x="2669598" y="1970809"/>
              <a:ext cx="1652154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600"/>
                <a:t>النتيجة النهائية</a:t>
              </a:r>
            </a:p>
          </xdr:txBody>
        </xdr:sp>
        <xdr:sp macro="" textlink="">
          <xdr:nvSpPr>
            <xdr:cNvPr id="15" name="شكل بيضاوي 14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9081655" y="4392757"/>
              <a:ext cx="1653886" cy="746413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400"/>
                <a:t>واجهة</a:t>
              </a:r>
              <a:r>
                <a:rPr lang="ar-LY" sz="1400" baseline="0"/>
                <a:t> الصحيفة</a:t>
              </a:r>
              <a:endParaRPr lang="ar-LY" sz="1400"/>
            </a:p>
          </xdr:txBody>
        </xdr:sp>
        <xdr:sp macro="" textlink="">
          <xdr:nvSpPr>
            <xdr:cNvPr id="16" name="شكل بيضاوي 15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9014980" y="3234170"/>
              <a:ext cx="1653886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صحيفة</a:t>
              </a:r>
              <a:r>
                <a:rPr lang="ar-SA" sz="1600"/>
                <a:t> </a:t>
              </a:r>
              <a:r>
                <a:rPr lang="ar-LY" sz="1600"/>
                <a:t>الفترات</a:t>
              </a:r>
            </a:p>
          </xdr:txBody>
        </xdr:sp>
        <xdr:sp macro="" textlink="">
          <xdr:nvSpPr>
            <xdr:cNvPr id="18" name="شكل بيضاوي 1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/>
          </xdr:nvSpPr>
          <xdr:spPr>
            <a:xfrm>
              <a:off x="701386" y="6076950"/>
              <a:ext cx="1653887" cy="746414"/>
            </a:xfrm>
            <a:prstGeom prst="ellipse">
              <a:avLst/>
            </a:prstGeom>
            <a:solidFill>
              <a:srgbClr val="00B05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style>
            <a:lnRef idx="1">
              <a:schemeClr val="accent6"/>
            </a:lnRef>
            <a:fillRef idx="1003">
              <a:schemeClr val="dk1"/>
            </a:fillRef>
            <a:effectRef idx="2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بيانات الصحيفة</a:t>
              </a:r>
              <a:endParaRPr lang="ar-LY" sz="14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19" name="تمرير أفقي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6639790" y="883228"/>
              <a:ext cx="4113934" cy="750743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800"/>
                <a:t>مراقبة تعليم تاجوراء</a:t>
              </a:r>
              <a:endParaRPr lang="ar-LY" sz="2800"/>
            </a:p>
          </xdr:txBody>
        </xdr:sp>
        <xdr:sp macro="" textlink="">
          <xdr:nvSpPr>
            <xdr:cNvPr id="20" name="تمرير أفقي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827811" y="874568"/>
              <a:ext cx="3822122" cy="783648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000"/>
                <a:t>منظومة مكتب امتحانات تاجوراء</a:t>
              </a:r>
              <a:endParaRPr lang="ar-LY" sz="2000"/>
            </a:p>
          </xdr:txBody>
        </xdr:sp>
        <xdr:sp macro="" textlink="">
          <xdr:nvSpPr>
            <xdr:cNvPr id="21" name="شكل بيضاوي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5403273" y="943841"/>
              <a:ext cx="658091" cy="658091"/>
            </a:xfrm>
            <a:prstGeom prst="ellipse">
              <a:avLst/>
            </a:prstGeom>
            <a:solidFill>
              <a:srgbClr val="C0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400"/>
                <a:t>&amp;</a:t>
              </a:r>
              <a:endParaRPr lang="ar-LY" sz="2400"/>
            </a:p>
          </xdr:txBody>
        </xdr:sp>
      </xdr:grpSp>
      <xdr:sp macro="" textlink="">
        <xdr:nvSpPr>
          <xdr:cNvPr id="6" name="مخطط انسيابي: معالجة معرّفة مسبقاً 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649432" y="3463636"/>
            <a:ext cx="1653886" cy="1143000"/>
          </a:xfrm>
          <a:prstGeom prst="flowChartPredefinedProcess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r>
              <a:rPr lang="ar-LY" sz="1800"/>
              <a:t>ادخال اسماء المراجعين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40822</xdr:colOff>
      <xdr:row>0</xdr:row>
      <xdr:rowOff>163285</xdr:rowOff>
    </xdr:from>
    <xdr:to>
      <xdr:col>8</xdr:col>
      <xdr:colOff>462644</xdr:colOff>
      <xdr:row>1</xdr:row>
      <xdr:rowOff>27213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1132656714" y="163285"/>
          <a:ext cx="421822" cy="2041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22</xdr:row>
      <xdr:rowOff>163285</xdr:rowOff>
    </xdr:from>
    <xdr:to>
      <xdr:col>8</xdr:col>
      <xdr:colOff>462644</xdr:colOff>
      <xdr:row>23</xdr:row>
      <xdr:rowOff>27213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22</xdr:row>
      <xdr:rowOff>163285</xdr:rowOff>
    </xdr:from>
    <xdr:to>
      <xdr:col>19</xdr:col>
      <xdr:colOff>462644</xdr:colOff>
      <xdr:row>23</xdr:row>
      <xdr:rowOff>27213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22</xdr:row>
      <xdr:rowOff>163285</xdr:rowOff>
    </xdr:from>
    <xdr:to>
      <xdr:col>30</xdr:col>
      <xdr:colOff>462644</xdr:colOff>
      <xdr:row>23</xdr:row>
      <xdr:rowOff>27213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22</xdr:row>
      <xdr:rowOff>163285</xdr:rowOff>
    </xdr:from>
    <xdr:to>
      <xdr:col>41</xdr:col>
      <xdr:colOff>462644</xdr:colOff>
      <xdr:row>23</xdr:row>
      <xdr:rowOff>27213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43</xdr:row>
      <xdr:rowOff>163285</xdr:rowOff>
    </xdr:from>
    <xdr:to>
      <xdr:col>8</xdr:col>
      <xdr:colOff>462644</xdr:colOff>
      <xdr:row>44</xdr:row>
      <xdr:rowOff>27213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43</xdr:row>
      <xdr:rowOff>163285</xdr:rowOff>
    </xdr:from>
    <xdr:to>
      <xdr:col>19</xdr:col>
      <xdr:colOff>462644</xdr:colOff>
      <xdr:row>44</xdr:row>
      <xdr:rowOff>27213</xdr:rowOff>
    </xdr:to>
    <xdr:sp macro="" textlink="">
      <xdr:nvSpPr>
        <xdr:cNvPr id="8" name="سهم إلى اليمين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43</xdr:row>
      <xdr:rowOff>163285</xdr:rowOff>
    </xdr:from>
    <xdr:to>
      <xdr:col>30</xdr:col>
      <xdr:colOff>462644</xdr:colOff>
      <xdr:row>44</xdr:row>
      <xdr:rowOff>27213</xdr:rowOff>
    </xdr:to>
    <xdr:sp macro="" textlink="">
      <xdr:nvSpPr>
        <xdr:cNvPr id="9" name="سهم إلى اليمين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43</xdr:row>
      <xdr:rowOff>163285</xdr:rowOff>
    </xdr:from>
    <xdr:to>
      <xdr:col>41</xdr:col>
      <xdr:colOff>462644</xdr:colOff>
      <xdr:row>44</xdr:row>
      <xdr:rowOff>27213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64</xdr:row>
      <xdr:rowOff>163285</xdr:rowOff>
    </xdr:from>
    <xdr:to>
      <xdr:col>8</xdr:col>
      <xdr:colOff>462644</xdr:colOff>
      <xdr:row>65</xdr:row>
      <xdr:rowOff>27213</xdr:rowOff>
    </xdr:to>
    <xdr:sp macro="" textlink="">
      <xdr:nvSpPr>
        <xdr:cNvPr id="11" name="سهم إلى اليمين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64</xdr:row>
      <xdr:rowOff>163285</xdr:rowOff>
    </xdr:from>
    <xdr:to>
      <xdr:col>19</xdr:col>
      <xdr:colOff>462644</xdr:colOff>
      <xdr:row>65</xdr:row>
      <xdr:rowOff>27213</xdr:rowOff>
    </xdr:to>
    <xdr:sp macro="" textlink="">
      <xdr:nvSpPr>
        <xdr:cNvPr id="12" name="سهم إلى اليمين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64</xdr:row>
      <xdr:rowOff>163285</xdr:rowOff>
    </xdr:from>
    <xdr:to>
      <xdr:col>30</xdr:col>
      <xdr:colOff>462644</xdr:colOff>
      <xdr:row>65</xdr:row>
      <xdr:rowOff>27213</xdr:rowOff>
    </xdr:to>
    <xdr:sp macro="" textlink="">
      <xdr:nvSpPr>
        <xdr:cNvPr id="13" name="سهم إلى اليمين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64</xdr:row>
      <xdr:rowOff>163285</xdr:rowOff>
    </xdr:from>
    <xdr:to>
      <xdr:col>41</xdr:col>
      <xdr:colOff>462644</xdr:colOff>
      <xdr:row>65</xdr:row>
      <xdr:rowOff>27213</xdr:rowOff>
    </xdr:to>
    <xdr:sp macro="" textlink="">
      <xdr:nvSpPr>
        <xdr:cNvPr id="14" name="سهم إلى اليمين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85</xdr:row>
      <xdr:rowOff>163285</xdr:rowOff>
    </xdr:from>
    <xdr:to>
      <xdr:col>8</xdr:col>
      <xdr:colOff>462644</xdr:colOff>
      <xdr:row>86</xdr:row>
      <xdr:rowOff>27213</xdr:rowOff>
    </xdr:to>
    <xdr:sp macro="" textlink="">
      <xdr:nvSpPr>
        <xdr:cNvPr id="15" name="سهم إلى اليمين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85</xdr:row>
      <xdr:rowOff>163285</xdr:rowOff>
    </xdr:from>
    <xdr:to>
      <xdr:col>19</xdr:col>
      <xdr:colOff>462644</xdr:colOff>
      <xdr:row>86</xdr:row>
      <xdr:rowOff>27213</xdr:rowOff>
    </xdr:to>
    <xdr:sp macro="" textlink="">
      <xdr:nvSpPr>
        <xdr:cNvPr id="16" name="سهم إلى اليمين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85</xdr:row>
      <xdr:rowOff>163285</xdr:rowOff>
    </xdr:from>
    <xdr:to>
      <xdr:col>30</xdr:col>
      <xdr:colOff>462644</xdr:colOff>
      <xdr:row>86</xdr:row>
      <xdr:rowOff>27213</xdr:rowOff>
    </xdr:to>
    <xdr:sp macro="" textlink="">
      <xdr:nvSpPr>
        <xdr:cNvPr id="17" name="سهم إلى اليمين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85</xdr:row>
      <xdr:rowOff>163285</xdr:rowOff>
    </xdr:from>
    <xdr:to>
      <xdr:col>41</xdr:col>
      <xdr:colOff>462644</xdr:colOff>
      <xdr:row>86</xdr:row>
      <xdr:rowOff>27213</xdr:rowOff>
    </xdr:to>
    <xdr:sp macro="" textlink="">
      <xdr:nvSpPr>
        <xdr:cNvPr id="18" name="سهم إلى اليمين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18143</xdr:colOff>
      <xdr:row>1</xdr:row>
      <xdr:rowOff>63499</xdr:rowOff>
    </xdr:from>
    <xdr:to>
      <xdr:col>19</xdr:col>
      <xdr:colOff>131535</xdr:colOff>
      <xdr:row>1</xdr:row>
      <xdr:rowOff>253999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0006316393" y="335642"/>
          <a:ext cx="371928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14</xdr:row>
      <xdr:rowOff>101600</xdr:rowOff>
    </xdr:from>
    <xdr:to>
      <xdr:col>12</xdr:col>
      <xdr:colOff>152400</xdr:colOff>
      <xdr:row>14</xdr:row>
      <xdr:rowOff>253999</xdr:rowOff>
    </xdr:to>
    <xdr:sp macro="" textlink="">
      <xdr:nvSpPr>
        <xdr:cNvPr id="2" name="سهم إلى اليسار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4" name="سهم إلى اليسار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5" name="سهم إلى اليسار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6" name="سهم إلى اليسار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24" name="سهم إلى اليسار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25" name="سهم إلى اليسار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26" name="سهم إلى اليسار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43" name="سهم إلى اليسار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44" name="سهم إلى اليسار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45" name="سهم إلى اليسار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63" name="سهم إلى اليسار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65" name="سهم إلى اليسار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67" name="سهم إلى اليسار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190500</xdr:colOff>
      <xdr:row>170</xdr:row>
      <xdr:rowOff>101600</xdr:rowOff>
    </xdr:from>
    <xdr:to>
      <xdr:col>28</xdr:col>
      <xdr:colOff>114300</xdr:colOff>
      <xdr:row>170</xdr:row>
      <xdr:rowOff>253999</xdr:rowOff>
    </xdr:to>
    <xdr:sp macro="" textlink="">
      <xdr:nvSpPr>
        <xdr:cNvPr id="88" name="سهم إلى اليسار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>
          <a:off x="9959320950" y="473646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83" name="سهم إلى اليسار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89" name="سهم إلى اليسار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91" name="سهم إلى اليسار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133350</xdr:colOff>
      <xdr:row>170</xdr:row>
      <xdr:rowOff>101600</xdr:rowOff>
    </xdr:from>
    <xdr:to>
      <xdr:col>44</xdr:col>
      <xdr:colOff>57150</xdr:colOff>
      <xdr:row>170</xdr:row>
      <xdr:rowOff>253999</xdr:rowOff>
    </xdr:to>
    <xdr:sp macro="" textlink="">
      <xdr:nvSpPr>
        <xdr:cNvPr id="107" name="سهم إلى اليسار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9953320200" y="473646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170</xdr:row>
      <xdr:rowOff>120650</xdr:rowOff>
    </xdr:from>
    <xdr:to>
      <xdr:col>60</xdr:col>
      <xdr:colOff>152400</xdr:colOff>
      <xdr:row>170</xdr:row>
      <xdr:rowOff>273049</xdr:rowOff>
    </xdr:to>
    <xdr:sp macro="" textlink="">
      <xdr:nvSpPr>
        <xdr:cNvPr id="108" name="سهم إلى اليسار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/>
      </xdr:nvSpPr>
      <xdr:spPr>
        <a:xfrm>
          <a:off x="9947186100" y="47383700"/>
          <a:ext cx="3619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09" name="سهم إلى اليسار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10" name="سهم إلى اليسار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11" name="سهم إلى اليسار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48" name="سهم إلى اليسار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49" name="سهم إلى اليسار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50" name="سهم إلى اليسار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51" name="سهم إلى اليسار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68" name="سهم إلى اليسار 167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>
          <a:off x="10009411564" y="4442279"/>
          <a:ext cx="29119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69" name="سهم إلى اليسار 168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/>
      </xdr:nvSpPr>
      <xdr:spPr>
        <a:xfrm>
          <a:off x="10009411564" y="4442279"/>
          <a:ext cx="29119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70" name="سهم إلى اليسار 169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/>
      </xdr:nvSpPr>
      <xdr:spPr>
        <a:xfrm>
          <a:off x="986134997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54</xdr:row>
      <xdr:rowOff>101600</xdr:rowOff>
    </xdr:from>
    <xdr:to>
      <xdr:col>12</xdr:col>
      <xdr:colOff>152400</xdr:colOff>
      <xdr:row>54</xdr:row>
      <xdr:rowOff>253999</xdr:rowOff>
    </xdr:to>
    <xdr:sp macro="" textlink="">
      <xdr:nvSpPr>
        <xdr:cNvPr id="171" name="سهم إلى اليسار 170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54</xdr:row>
      <xdr:rowOff>101600</xdr:rowOff>
    </xdr:from>
    <xdr:to>
      <xdr:col>28</xdr:col>
      <xdr:colOff>152400</xdr:colOff>
      <xdr:row>54</xdr:row>
      <xdr:rowOff>253999</xdr:rowOff>
    </xdr:to>
    <xdr:sp macro="" textlink="">
      <xdr:nvSpPr>
        <xdr:cNvPr id="172" name="سهم إلى اليسار 171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54</xdr:row>
      <xdr:rowOff>101600</xdr:rowOff>
    </xdr:from>
    <xdr:to>
      <xdr:col>44</xdr:col>
      <xdr:colOff>152400</xdr:colOff>
      <xdr:row>54</xdr:row>
      <xdr:rowOff>253999</xdr:rowOff>
    </xdr:to>
    <xdr:sp macro="" textlink="">
      <xdr:nvSpPr>
        <xdr:cNvPr id="173" name="سهم إلى اليسار 172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54</xdr:row>
      <xdr:rowOff>101600</xdr:rowOff>
    </xdr:from>
    <xdr:to>
      <xdr:col>60</xdr:col>
      <xdr:colOff>152400</xdr:colOff>
      <xdr:row>54</xdr:row>
      <xdr:rowOff>253999</xdr:rowOff>
    </xdr:to>
    <xdr:sp macro="" textlink="">
      <xdr:nvSpPr>
        <xdr:cNvPr id="174" name="سهم إلى اليسار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92</xdr:row>
      <xdr:rowOff>101600</xdr:rowOff>
    </xdr:from>
    <xdr:to>
      <xdr:col>12</xdr:col>
      <xdr:colOff>152400</xdr:colOff>
      <xdr:row>92</xdr:row>
      <xdr:rowOff>253999</xdr:rowOff>
    </xdr:to>
    <xdr:sp macro="" textlink="">
      <xdr:nvSpPr>
        <xdr:cNvPr id="175" name="سهم إلى اليسار 174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92</xdr:row>
      <xdr:rowOff>101600</xdr:rowOff>
    </xdr:from>
    <xdr:to>
      <xdr:col>28</xdr:col>
      <xdr:colOff>152400</xdr:colOff>
      <xdr:row>92</xdr:row>
      <xdr:rowOff>253999</xdr:rowOff>
    </xdr:to>
    <xdr:sp macro="" textlink="">
      <xdr:nvSpPr>
        <xdr:cNvPr id="176" name="سهم إلى اليسار 175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92</xdr:row>
      <xdr:rowOff>101600</xdr:rowOff>
    </xdr:from>
    <xdr:to>
      <xdr:col>44</xdr:col>
      <xdr:colOff>152400</xdr:colOff>
      <xdr:row>92</xdr:row>
      <xdr:rowOff>253999</xdr:rowOff>
    </xdr:to>
    <xdr:sp macro="" textlink="">
      <xdr:nvSpPr>
        <xdr:cNvPr id="177" name="سهم إلى اليسار 176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92</xdr:row>
      <xdr:rowOff>101600</xdr:rowOff>
    </xdr:from>
    <xdr:to>
      <xdr:col>60</xdr:col>
      <xdr:colOff>152400</xdr:colOff>
      <xdr:row>92</xdr:row>
      <xdr:rowOff>253999</xdr:rowOff>
    </xdr:to>
    <xdr:sp macro="" textlink="">
      <xdr:nvSpPr>
        <xdr:cNvPr id="178" name="سهم إلى اليسار 177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131</xdr:row>
      <xdr:rowOff>101600</xdr:rowOff>
    </xdr:from>
    <xdr:to>
      <xdr:col>12</xdr:col>
      <xdr:colOff>152400</xdr:colOff>
      <xdr:row>131</xdr:row>
      <xdr:rowOff>253999</xdr:rowOff>
    </xdr:to>
    <xdr:sp macro="" textlink="">
      <xdr:nvSpPr>
        <xdr:cNvPr id="179" name="سهم إلى اليسار 178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131</xdr:row>
      <xdr:rowOff>101600</xdr:rowOff>
    </xdr:from>
    <xdr:to>
      <xdr:col>28</xdr:col>
      <xdr:colOff>152400</xdr:colOff>
      <xdr:row>131</xdr:row>
      <xdr:rowOff>253999</xdr:rowOff>
    </xdr:to>
    <xdr:sp macro="" textlink="">
      <xdr:nvSpPr>
        <xdr:cNvPr id="180" name="سهم إلى اليسار 179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131</xdr:row>
      <xdr:rowOff>101600</xdr:rowOff>
    </xdr:from>
    <xdr:to>
      <xdr:col>44</xdr:col>
      <xdr:colOff>152400</xdr:colOff>
      <xdr:row>131</xdr:row>
      <xdr:rowOff>253999</xdr:rowOff>
    </xdr:to>
    <xdr:sp macro="" textlink="">
      <xdr:nvSpPr>
        <xdr:cNvPr id="181" name="سهم إلى اليسار 180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131</xdr:row>
      <xdr:rowOff>101600</xdr:rowOff>
    </xdr:from>
    <xdr:to>
      <xdr:col>60</xdr:col>
      <xdr:colOff>152400</xdr:colOff>
      <xdr:row>131</xdr:row>
      <xdr:rowOff>253999</xdr:rowOff>
    </xdr:to>
    <xdr:sp macro="" textlink="">
      <xdr:nvSpPr>
        <xdr:cNvPr id="182" name="سهم إلى اليسار 181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170</xdr:row>
      <xdr:rowOff>101600</xdr:rowOff>
    </xdr:from>
    <xdr:to>
      <xdr:col>12</xdr:col>
      <xdr:colOff>152400</xdr:colOff>
      <xdr:row>170</xdr:row>
      <xdr:rowOff>253999</xdr:rowOff>
    </xdr:to>
    <xdr:sp macro="" textlink="">
      <xdr:nvSpPr>
        <xdr:cNvPr id="183" name="سهم إلى اليسار 182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171450</xdr:rowOff>
    </xdr:from>
    <xdr:to>
      <xdr:col>3</xdr:col>
      <xdr:colOff>400050</xdr:colOff>
      <xdr:row>1</xdr:row>
      <xdr:rowOff>85725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815988750" y="171450"/>
          <a:ext cx="304800" cy="16192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2</xdr:row>
      <xdr:rowOff>0</xdr:rowOff>
    </xdr:from>
    <xdr:to>
      <xdr:col>48</xdr:col>
      <xdr:colOff>419100</xdr:colOff>
      <xdr:row>2</xdr:row>
      <xdr:rowOff>142875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1209315275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84</xdr:col>
      <xdr:colOff>0</xdr:colOff>
      <xdr:row>2</xdr:row>
      <xdr:rowOff>0</xdr:rowOff>
    </xdr:from>
    <xdr:to>
      <xdr:col>84</xdr:col>
      <xdr:colOff>419100</xdr:colOff>
      <xdr:row>2</xdr:row>
      <xdr:rowOff>142875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1200752300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187036</xdr:colOff>
      <xdr:row>1</xdr:row>
      <xdr:rowOff>69273</xdr:rowOff>
    </xdr:from>
    <xdr:to>
      <xdr:col>1</xdr:col>
      <xdr:colOff>349827</xdr:colOff>
      <xdr:row>1</xdr:row>
      <xdr:rowOff>212148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223113537" y="24245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419100</xdr:colOff>
      <xdr:row>2</xdr:row>
      <xdr:rowOff>142875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1206276800" y="426720"/>
          <a:ext cx="12954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0"/>
  <sheetViews>
    <sheetView rightToLeft="1" view="pageBreakPreview" zoomScale="60" zoomScaleNormal="70" workbookViewId="0">
      <selection activeCell="A2" sqref="A2:N2"/>
    </sheetView>
  </sheetViews>
  <sheetFormatPr defaultRowHeight="13.8"/>
  <cols>
    <col min="1" max="1" width="27.5" style="1" customWidth="1"/>
    <col min="2" max="4" width="3.59765625" customWidth="1"/>
    <col min="5" max="5" width="8.19921875" customWidth="1"/>
    <col min="6" max="13" width="3.59765625" customWidth="1"/>
    <col min="14" max="14" width="27.8984375" customWidth="1"/>
    <col min="15" max="15" width="3.09765625" customWidth="1"/>
    <col min="16" max="16" width="29" customWidth="1"/>
    <col min="17" max="28" width="3.59765625" customWidth="1"/>
    <col min="29" max="29" width="24.8984375" customWidth="1"/>
    <col min="30" max="30" width="2.19921875" customWidth="1"/>
    <col min="31" max="31" width="28.09765625" customWidth="1"/>
    <col min="32" max="43" width="3.59765625" customWidth="1"/>
    <col min="44" max="44" width="27.19921875" customWidth="1"/>
    <col min="45" max="45" width="1.3984375" customWidth="1"/>
    <col min="46" max="46" width="26.09765625" customWidth="1"/>
    <col min="47" max="58" width="3.59765625" customWidth="1"/>
    <col min="59" max="59" width="28.3984375" customWidth="1"/>
  </cols>
  <sheetData>
    <row r="1" spans="1:59" s="164" customFormat="1" ht="39.9" customHeight="1" thickTop="1">
      <c r="A1" s="162">
        <v>1</v>
      </c>
      <c r="B1" s="447" t="s">
        <v>38</v>
      </c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163"/>
      <c r="P1" s="162">
        <f>A1-5</f>
        <v>-4</v>
      </c>
      <c r="Q1" s="447" t="s">
        <v>38</v>
      </c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163"/>
      <c r="AE1" s="162">
        <f>P1-5</f>
        <v>-9</v>
      </c>
      <c r="AF1" s="447" t="s">
        <v>38</v>
      </c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163"/>
      <c r="AT1" s="162">
        <f>AE1-5</f>
        <v>-14</v>
      </c>
      <c r="AU1" s="447" t="s">
        <v>38</v>
      </c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163"/>
    </row>
    <row r="2" spans="1:59" s="164" customFormat="1" ht="39.9" customHeight="1">
      <c r="A2" s="441" t="s">
        <v>39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3"/>
      <c r="P2" s="441" t="s">
        <v>39</v>
      </c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3"/>
      <c r="AE2" s="441" t="s">
        <v>39</v>
      </c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3"/>
      <c r="AT2" s="441" t="s">
        <v>39</v>
      </c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3"/>
    </row>
    <row r="3" spans="1:59" s="164" customFormat="1" ht="39.9" customHeight="1">
      <c r="A3" s="444" t="s">
        <v>162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6"/>
      <c r="P3" s="444" t="s">
        <v>162</v>
      </c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6"/>
      <c r="AE3" s="444" t="s">
        <v>162</v>
      </c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6"/>
      <c r="AT3" s="444" t="s">
        <v>162</v>
      </c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6"/>
    </row>
    <row r="4" spans="1:59" s="164" customFormat="1" ht="39.9" customHeight="1">
      <c r="A4" s="435" t="s">
        <v>124</v>
      </c>
      <c r="B4" s="436"/>
      <c r="C4" s="436"/>
      <c r="D4" s="436"/>
      <c r="E4" s="436"/>
      <c r="F4" s="436"/>
      <c r="G4" s="436"/>
      <c r="H4" s="436"/>
      <c r="I4" s="436"/>
      <c r="J4" s="436"/>
      <c r="K4" s="437" t="str">
        <f>ادخال1!$CD$7</f>
        <v>الاساسي</v>
      </c>
      <c r="L4" s="437"/>
      <c r="M4" s="437"/>
      <c r="N4" s="438"/>
      <c r="P4" s="435" t="s">
        <v>124</v>
      </c>
      <c r="Q4" s="436"/>
      <c r="R4" s="436"/>
      <c r="S4" s="436"/>
      <c r="T4" s="436"/>
      <c r="U4" s="436"/>
      <c r="V4" s="436"/>
      <c r="W4" s="436"/>
      <c r="X4" s="436"/>
      <c r="Y4" s="436"/>
      <c r="Z4" s="437" t="str">
        <f>ادخال1!$CD$7</f>
        <v>الاساسي</v>
      </c>
      <c r="AA4" s="437"/>
      <c r="AB4" s="437"/>
      <c r="AC4" s="438"/>
      <c r="AE4" s="435" t="s">
        <v>124</v>
      </c>
      <c r="AF4" s="436"/>
      <c r="AG4" s="436"/>
      <c r="AH4" s="436"/>
      <c r="AI4" s="436"/>
      <c r="AJ4" s="436"/>
      <c r="AK4" s="436"/>
      <c r="AL4" s="436"/>
      <c r="AM4" s="436"/>
      <c r="AN4" s="436"/>
      <c r="AO4" s="437" t="str">
        <f>ادخال1!$CD$7</f>
        <v>الاساسي</v>
      </c>
      <c r="AP4" s="437"/>
      <c r="AQ4" s="437"/>
      <c r="AR4" s="438"/>
      <c r="AT4" s="435" t="s">
        <v>124</v>
      </c>
      <c r="AU4" s="436"/>
      <c r="AV4" s="436"/>
      <c r="AW4" s="436"/>
      <c r="AX4" s="436"/>
      <c r="AY4" s="436"/>
      <c r="AZ4" s="436"/>
      <c r="BA4" s="436"/>
      <c r="BB4" s="436"/>
      <c r="BC4" s="436"/>
      <c r="BD4" s="437" t="str">
        <f>ادخال1!$CD$7</f>
        <v>الاساسي</v>
      </c>
      <c r="BE4" s="437"/>
      <c r="BF4" s="437"/>
      <c r="BG4" s="438"/>
    </row>
    <row r="5" spans="1:59" s="164" customFormat="1" ht="39.9" customHeight="1">
      <c r="A5" s="435" t="s">
        <v>125</v>
      </c>
      <c r="B5" s="436"/>
      <c r="C5" s="436"/>
      <c r="D5" s="436"/>
      <c r="E5" s="436"/>
      <c r="F5" s="436"/>
      <c r="G5" s="439" t="str">
        <f>ادخال1!$CB$5</f>
        <v>الثاني الابتدائي</v>
      </c>
      <c r="H5" s="439"/>
      <c r="I5" s="439"/>
      <c r="J5" s="439"/>
      <c r="K5" s="439"/>
      <c r="L5" s="439"/>
      <c r="M5" s="439"/>
      <c r="N5" s="440"/>
      <c r="P5" s="435" t="s">
        <v>125</v>
      </c>
      <c r="Q5" s="436"/>
      <c r="R5" s="436"/>
      <c r="S5" s="436"/>
      <c r="T5" s="436"/>
      <c r="U5" s="436"/>
      <c r="V5" s="439" t="str">
        <f>ادخال1!$CB$5</f>
        <v>الثاني الابتدائي</v>
      </c>
      <c r="W5" s="439"/>
      <c r="X5" s="439"/>
      <c r="Y5" s="439"/>
      <c r="Z5" s="439"/>
      <c r="AA5" s="439"/>
      <c r="AB5" s="439"/>
      <c r="AC5" s="440"/>
      <c r="AE5" s="435" t="s">
        <v>125</v>
      </c>
      <c r="AF5" s="436"/>
      <c r="AG5" s="436"/>
      <c r="AH5" s="436"/>
      <c r="AI5" s="436"/>
      <c r="AJ5" s="436"/>
      <c r="AK5" s="439" t="str">
        <f>ادخال1!$CB$5</f>
        <v>الثاني الابتدائي</v>
      </c>
      <c r="AL5" s="439"/>
      <c r="AM5" s="439"/>
      <c r="AN5" s="439"/>
      <c r="AO5" s="439"/>
      <c r="AP5" s="439"/>
      <c r="AQ5" s="439"/>
      <c r="AR5" s="440"/>
      <c r="AT5" s="435" t="s">
        <v>125</v>
      </c>
      <c r="AU5" s="436"/>
      <c r="AV5" s="436"/>
      <c r="AW5" s="436"/>
      <c r="AX5" s="436"/>
      <c r="AY5" s="436"/>
      <c r="AZ5" s="439" t="str">
        <f>ادخال1!$CB$5</f>
        <v>الثاني الابتدائي</v>
      </c>
      <c r="BA5" s="439"/>
      <c r="BB5" s="439"/>
      <c r="BC5" s="439"/>
      <c r="BD5" s="439"/>
      <c r="BE5" s="439"/>
      <c r="BF5" s="439"/>
      <c r="BG5" s="440"/>
    </row>
    <row r="6" spans="1:59" s="164" customFormat="1" ht="39.9" customHeight="1">
      <c r="A6" s="165" t="s">
        <v>114</v>
      </c>
      <c r="B6" s="429" t="str">
        <f>ادخال1!$CA$8</f>
        <v>1446هـ/1447 هـ</v>
      </c>
      <c r="C6" s="429"/>
      <c r="D6" s="429"/>
      <c r="E6" s="429"/>
      <c r="F6" s="430" t="s">
        <v>126</v>
      </c>
      <c r="G6" s="430"/>
      <c r="H6" s="431" t="s">
        <v>127</v>
      </c>
      <c r="I6" s="431"/>
      <c r="J6" s="432" t="str">
        <f>ادخال1!$CB$8</f>
        <v>2026 /2025م</v>
      </c>
      <c r="K6" s="432"/>
      <c r="L6" s="432"/>
      <c r="M6" s="432"/>
      <c r="N6" s="166" t="s">
        <v>128</v>
      </c>
      <c r="P6" s="165" t="s">
        <v>114</v>
      </c>
      <c r="Q6" s="429" t="str">
        <f>ادخال1!$CA$8</f>
        <v>1446هـ/1447 هـ</v>
      </c>
      <c r="R6" s="429"/>
      <c r="S6" s="429"/>
      <c r="T6" s="429"/>
      <c r="U6" s="430" t="s">
        <v>126</v>
      </c>
      <c r="V6" s="430"/>
      <c r="W6" s="431" t="s">
        <v>127</v>
      </c>
      <c r="X6" s="431"/>
      <c r="Y6" s="432" t="str">
        <f>ادخال1!$CB$8</f>
        <v>2026 /2025م</v>
      </c>
      <c r="Z6" s="432"/>
      <c r="AA6" s="432"/>
      <c r="AB6" s="432"/>
      <c r="AC6" s="166" t="s">
        <v>128</v>
      </c>
      <c r="AE6" s="165" t="s">
        <v>114</v>
      </c>
      <c r="AF6" s="429" t="str">
        <f>ادخال1!$CA$8</f>
        <v>1446هـ/1447 هـ</v>
      </c>
      <c r="AG6" s="429"/>
      <c r="AH6" s="429"/>
      <c r="AI6" s="429"/>
      <c r="AJ6" s="430" t="s">
        <v>126</v>
      </c>
      <c r="AK6" s="430"/>
      <c r="AL6" s="431" t="s">
        <v>127</v>
      </c>
      <c r="AM6" s="431"/>
      <c r="AN6" s="432" t="str">
        <f>ادخال1!$CB$8</f>
        <v>2026 /2025م</v>
      </c>
      <c r="AO6" s="432"/>
      <c r="AP6" s="432"/>
      <c r="AQ6" s="432"/>
      <c r="AR6" s="166" t="s">
        <v>128</v>
      </c>
      <c r="AT6" s="165" t="s">
        <v>114</v>
      </c>
      <c r="AU6" s="429" t="str">
        <f>ادخال1!$CA$8</f>
        <v>1446هـ/1447 هـ</v>
      </c>
      <c r="AV6" s="429"/>
      <c r="AW6" s="429"/>
      <c r="AX6" s="429"/>
      <c r="AY6" s="430" t="s">
        <v>126</v>
      </c>
      <c r="AZ6" s="430"/>
      <c r="BA6" s="431" t="s">
        <v>127</v>
      </c>
      <c r="BB6" s="431"/>
      <c r="BC6" s="432" t="str">
        <f>ادخال1!$CB$8</f>
        <v>2026 /2025م</v>
      </c>
      <c r="BD6" s="432"/>
      <c r="BE6" s="432"/>
      <c r="BF6" s="432"/>
      <c r="BG6" s="166" t="s">
        <v>128</v>
      </c>
    </row>
    <row r="7" spans="1:59" ht="45" customHeight="1">
      <c r="A7" s="329" t="s">
        <v>129</v>
      </c>
      <c r="B7" s="433" t="str">
        <f>ادخال1!$CB$4</f>
        <v>تاجوراء</v>
      </c>
      <c r="C7" s="433"/>
      <c r="D7" s="433"/>
      <c r="E7" s="433"/>
      <c r="F7" s="433"/>
      <c r="G7" s="433"/>
      <c r="H7" s="433"/>
      <c r="I7" s="433"/>
      <c r="J7" s="433"/>
      <c r="K7" s="433"/>
      <c r="L7" s="433"/>
      <c r="M7" s="433"/>
      <c r="N7" s="434"/>
      <c r="P7" s="329" t="s">
        <v>129</v>
      </c>
      <c r="Q7" s="433" t="str">
        <f>ادخال1!$CB$4</f>
        <v>تاجوراء</v>
      </c>
      <c r="R7" s="433"/>
      <c r="S7" s="433"/>
      <c r="T7" s="433"/>
      <c r="U7" s="433"/>
      <c r="V7" s="433"/>
      <c r="W7" s="433"/>
      <c r="X7" s="433"/>
      <c r="Y7" s="433"/>
      <c r="Z7" s="433"/>
      <c r="AA7" s="433"/>
      <c r="AB7" s="433"/>
      <c r="AC7" s="434"/>
      <c r="AE7" s="329" t="s">
        <v>129</v>
      </c>
      <c r="AF7" s="433" t="str">
        <f>ادخال1!$CB$4</f>
        <v>تاجوراء</v>
      </c>
      <c r="AG7" s="433"/>
      <c r="AH7" s="433"/>
      <c r="AI7" s="433"/>
      <c r="AJ7" s="433"/>
      <c r="AK7" s="433"/>
      <c r="AL7" s="433"/>
      <c r="AM7" s="433"/>
      <c r="AN7" s="433"/>
      <c r="AO7" s="433"/>
      <c r="AP7" s="433"/>
      <c r="AQ7" s="433"/>
      <c r="AR7" s="434"/>
      <c r="AT7" s="329" t="s">
        <v>129</v>
      </c>
      <c r="AU7" s="433" t="str">
        <f>ادخال1!$CB$4</f>
        <v>تاجوراء</v>
      </c>
      <c r="AV7" s="433"/>
      <c r="AW7" s="433"/>
      <c r="AX7" s="433"/>
      <c r="AY7" s="433"/>
      <c r="AZ7" s="433"/>
      <c r="BA7" s="433"/>
      <c r="BB7" s="433"/>
      <c r="BC7" s="433"/>
      <c r="BD7" s="433"/>
      <c r="BE7" s="433"/>
      <c r="BF7" s="433"/>
      <c r="BG7" s="434"/>
    </row>
    <row r="8" spans="1:59" ht="45" customHeight="1">
      <c r="A8" s="167" t="s">
        <v>130</v>
      </c>
      <c r="B8" s="422" t="str">
        <f>ادخال1!$BZ$6</f>
        <v xml:space="preserve">مدرسة سهول العلم للتعيم الخاص </v>
      </c>
      <c r="C8" s="422"/>
      <c r="D8" s="422"/>
      <c r="E8" s="422"/>
      <c r="F8" s="422"/>
      <c r="G8" s="422"/>
      <c r="H8" s="422"/>
      <c r="I8" s="422"/>
      <c r="J8" s="428" t="s">
        <v>131</v>
      </c>
      <c r="K8" s="428"/>
      <c r="L8" s="428"/>
      <c r="M8" s="422" t="str">
        <f>ادخال1!$BZ$8</f>
        <v>تاجوراء الجنوبي</v>
      </c>
      <c r="N8" s="423"/>
      <c r="P8" s="167" t="s">
        <v>130</v>
      </c>
      <c r="Q8" s="422" t="str">
        <f>ادخال1!$BZ$6</f>
        <v xml:space="preserve">مدرسة سهول العلم للتعيم الخاص </v>
      </c>
      <c r="R8" s="422"/>
      <c r="S8" s="422"/>
      <c r="T8" s="422"/>
      <c r="U8" s="422"/>
      <c r="V8" s="422"/>
      <c r="W8" s="422"/>
      <c r="X8" s="422"/>
      <c r="Y8" s="428" t="s">
        <v>131</v>
      </c>
      <c r="Z8" s="428"/>
      <c r="AA8" s="428"/>
      <c r="AB8" s="422" t="str">
        <f>ادخال1!$BZ$8</f>
        <v>تاجوراء الجنوبي</v>
      </c>
      <c r="AC8" s="423"/>
      <c r="AE8" s="167" t="s">
        <v>130</v>
      </c>
      <c r="AF8" s="422" t="str">
        <f>ادخال1!$BZ$6</f>
        <v xml:space="preserve">مدرسة سهول العلم للتعيم الخاص </v>
      </c>
      <c r="AG8" s="422"/>
      <c r="AH8" s="422"/>
      <c r="AI8" s="422"/>
      <c r="AJ8" s="422"/>
      <c r="AK8" s="422"/>
      <c r="AL8" s="422"/>
      <c r="AM8" s="422"/>
      <c r="AN8" s="428" t="s">
        <v>131</v>
      </c>
      <c r="AO8" s="428"/>
      <c r="AP8" s="428"/>
      <c r="AQ8" s="422" t="str">
        <f>ادخال1!$BZ$8</f>
        <v>تاجوراء الجنوبي</v>
      </c>
      <c r="AR8" s="423"/>
      <c r="AT8" s="167" t="s">
        <v>130</v>
      </c>
      <c r="AU8" s="422" t="str">
        <f>ادخال1!$BZ$6</f>
        <v xml:space="preserve">مدرسة سهول العلم للتعيم الخاص </v>
      </c>
      <c r="AV8" s="422"/>
      <c r="AW8" s="422"/>
      <c r="AX8" s="422"/>
      <c r="AY8" s="422"/>
      <c r="AZ8" s="422"/>
      <c r="BA8" s="422"/>
      <c r="BB8" s="422"/>
      <c r="BC8" s="428" t="s">
        <v>131</v>
      </c>
      <c r="BD8" s="428"/>
      <c r="BE8" s="428"/>
      <c r="BF8" s="422" t="str">
        <f>ادخال1!$BZ$8</f>
        <v>تاجوراء الجنوبي</v>
      </c>
      <c r="BG8" s="423"/>
    </row>
    <row r="9" spans="1:59" ht="45" customHeight="1">
      <c r="A9" s="167" t="s">
        <v>132</v>
      </c>
      <c r="B9" s="427" t="str">
        <f>IFERROR(VLOOKUP(A1,مسلسل,2,0),0)</f>
        <v xml:space="preserve">الجبير خليل الدوكالي اليونسي </v>
      </c>
      <c r="C9" s="427">
        <f t="shared" ref="C9" si="0">IFERROR(VLOOKUP(B9,مسلسل,2,0),0)</f>
        <v>0</v>
      </c>
      <c r="D9" s="427">
        <f t="shared" ref="D9" si="1">IFERROR(VLOOKUP(C9,مسلسل,2,0),0)</f>
        <v>0</v>
      </c>
      <c r="E9" s="427">
        <f t="shared" ref="E9" si="2">IFERROR(VLOOKUP(D9,مسلسل,2,0),0)</f>
        <v>0</v>
      </c>
      <c r="F9" s="427">
        <f t="shared" ref="F9" si="3">IFERROR(VLOOKUP(E9,مسلسل,2,0),0)</f>
        <v>0</v>
      </c>
      <c r="G9" s="427">
        <f t="shared" ref="G9" si="4">IFERROR(VLOOKUP(F9,مسلسل,2,0),0)</f>
        <v>0</v>
      </c>
      <c r="H9" s="427">
        <f t="shared" ref="H9" si="5">IFERROR(VLOOKUP(G9,مسلسل,2,0),0)</f>
        <v>0</v>
      </c>
      <c r="I9" s="427">
        <f t="shared" ref="I9" si="6">IFERROR(VLOOKUP(H9,مسلسل,2,0),0)</f>
        <v>0</v>
      </c>
      <c r="J9" s="428" t="s">
        <v>133</v>
      </c>
      <c r="K9" s="428"/>
      <c r="L9" s="428"/>
      <c r="M9" s="422" t="str">
        <f>IFERROR(VLOOKUP(B9,اسماء,63,0),"")</f>
        <v>اليونسي</v>
      </c>
      <c r="N9" s="423"/>
      <c r="P9" s="329" t="s">
        <v>132</v>
      </c>
      <c r="Q9" s="427">
        <f>IFERROR(VLOOKUP(P1,مسلسل,2,0),0)</f>
        <v>0</v>
      </c>
      <c r="R9" s="427">
        <f t="shared" ref="R9" si="7">IFERROR(VLOOKUP(Q9,مسلسل,2,0),0)</f>
        <v>0</v>
      </c>
      <c r="S9" s="427">
        <f t="shared" ref="S9" si="8">IFERROR(VLOOKUP(R9,مسلسل,2,0),0)</f>
        <v>0</v>
      </c>
      <c r="T9" s="427">
        <f t="shared" ref="T9" si="9">IFERROR(VLOOKUP(S9,مسلسل,2,0),0)</f>
        <v>0</v>
      </c>
      <c r="U9" s="427">
        <f t="shared" ref="U9" si="10">IFERROR(VLOOKUP(T9,مسلسل,2,0),0)</f>
        <v>0</v>
      </c>
      <c r="V9" s="427">
        <f t="shared" ref="V9" si="11">IFERROR(VLOOKUP(U9,مسلسل,2,0),0)</f>
        <v>0</v>
      </c>
      <c r="W9" s="427">
        <f t="shared" ref="W9" si="12">IFERROR(VLOOKUP(V9,مسلسل,2,0),0)</f>
        <v>0</v>
      </c>
      <c r="X9" s="427">
        <f t="shared" ref="X9" si="13">IFERROR(VLOOKUP(W9,مسلسل,2,0),0)</f>
        <v>0</v>
      </c>
      <c r="Y9" s="428" t="s">
        <v>133</v>
      </c>
      <c r="Z9" s="428"/>
      <c r="AA9" s="428"/>
      <c r="AB9" s="422" t="str">
        <f>IFERROR(VLOOKUP(Q9,اسماء,63,0),"")</f>
        <v/>
      </c>
      <c r="AC9" s="423"/>
      <c r="AE9" s="329" t="s">
        <v>132</v>
      </c>
      <c r="AF9" s="427">
        <f>IFERROR(VLOOKUP(AE1,مسلسل,2,0),0)</f>
        <v>0</v>
      </c>
      <c r="AG9" s="427">
        <f t="shared" ref="AG9" si="14">IFERROR(VLOOKUP(AF9,مسلسل,2,0),0)</f>
        <v>0</v>
      </c>
      <c r="AH9" s="427">
        <f t="shared" ref="AH9" si="15">IFERROR(VLOOKUP(AG9,مسلسل,2,0),0)</f>
        <v>0</v>
      </c>
      <c r="AI9" s="427">
        <f t="shared" ref="AI9" si="16">IFERROR(VLOOKUP(AH9,مسلسل,2,0),0)</f>
        <v>0</v>
      </c>
      <c r="AJ9" s="427">
        <f t="shared" ref="AJ9" si="17">IFERROR(VLOOKUP(AI9,مسلسل,2,0),0)</f>
        <v>0</v>
      </c>
      <c r="AK9" s="427">
        <f t="shared" ref="AK9" si="18">IFERROR(VLOOKUP(AJ9,مسلسل,2,0),0)</f>
        <v>0</v>
      </c>
      <c r="AL9" s="427">
        <f t="shared" ref="AL9" si="19">IFERROR(VLOOKUP(AK9,مسلسل,2,0),0)</f>
        <v>0</v>
      </c>
      <c r="AM9" s="427">
        <f t="shared" ref="AM9" si="20">IFERROR(VLOOKUP(AL9,مسلسل,2,0),0)</f>
        <v>0</v>
      </c>
      <c r="AN9" s="428" t="s">
        <v>133</v>
      </c>
      <c r="AO9" s="428"/>
      <c r="AP9" s="428"/>
      <c r="AQ9" s="422" t="str">
        <f>IFERROR(VLOOKUP(AF9,اسماء,63,0),"")</f>
        <v/>
      </c>
      <c r="AR9" s="423"/>
      <c r="AT9" s="329" t="s">
        <v>132</v>
      </c>
      <c r="AU9" s="427">
        <f>IFERROR(VLOOKUP(AT1,مسلسل,2,0),0)</f>
        <v>0</v>
      </c>
      <c r="AV9" s="427">
        <f t="shared" ref="AV9" si="21">IFERROR(VLOOKUP(AU9,مسلسل,2,0),0)</f>
        <v>0</v>
      </c>
      <c r="AW9" s="427">
        <f t="shared" ref="AW9" si="22">IFERROR(VLOOKUP(AV9,مسلسل,2,0),0)</f>
        <v>0</v>
      </c>
      <c r="AX9" s="427">
        <f t="shared" ref="AX9" si="23">IFERROR(VLOOKUP(AW9,مسلسل,2,0),0)</f>
        <v>0</v>
      </c>
      <c r="AY9" s="427">
        <f t="shared" ref="AY9" si="24">IFERROR(VLOOKUP(AX9,مسلسل,2,0),0)</f>
        <v>0</v>
      </c>
      <c r="AZ9" s="427">
        <f t="shared" ref="AZ9" si="25">IFERROR(VLOOKUP(AY9,مسلسل,2,0),0)</f>
        <v>0</v>
      </c>
      <c r="BA9" s="427">
        <f t="shared" ref="BA9" si="26">IFERROR(VLOOKUP(AZ9,مسلسل,2,0),0)</f>
        <v>0</v>
      </c>
      <c r="BB9" s="427">
        <f t="shared" ref="BB9" si="27">IFERROR(VLOOKUP(BA9,مسلسل,2,0),0)</f>
        <v>0</v>
      </c>
      <c r="BC9" s="428" t="s">
        <v>133</v>
      </c>
      <c r="BD9" s="428"/>
      <c r="BE9" s="428"/>
      <c r="BF9" s="422" t="str">
        <f>IFERROR(VLOOKUP(AU9,اسماء,63,0),"")</f>
        <v/>
      </c>
      <c r="BG9" s="423"/>
    </row>
    <row r="10" spans="1:59" ht="45" customHeight="1">
      <c r="A10" s="167" t="s">
        <v>134</v>
      </c>
      <c r="B10" s="413" t="str">
        <f>IFERROR(VLOOKUP(B9,اسماء,76,0),"")</f>
        <v>تاجوراء</v>
      </c>
      <c r="C10" s="413"/>
      <c r="D10" s="413"/>
      <c r="E10" s="425">
        <f>IFERROR(VLOOKUP(B9,اسماء,2,0),"")</f>
        <v>43087</v>
      </c>
      <c r="F10" s="425"/>
      <c r="G10" s="425"/>
      <c r="H10" s="425"/>
      <c r="I10" s="426" t="s">
        <v>135</v>
      </c>
      <c r="J10" s="426"/>
      <c r="K10" s="426"/>
      <c r="L10" s="426"/>
      <c r="M10" s="422" t="str">
        <f>IFERROR(VLOOKUP(B9,اسماء,3,0),"")</f>
        <v>مفيدة اليونسي</v>
      </c>
      <c r="N10" s="423"/>
      <c r="P10" s="167" t="s">
        <v>134</v>
      </c>
      <c r="Q10" s="413" t="str">
        <f>IFERROR(VLOOKUP(Q9,اسماء,76,0),"")</f>
        <v/>
      </c>
      <c r="R10" s="413"/>
      <c r="S10" s="413"/>
      <c r="T10" s="425" t="str">
        <f>IFERROR(VLOOKUP(Q9,اسماء,2,0),"")</f>
        <v/>
      </c>
      <c r="U10" s="425"/>
      <c r="V10" s="425"/>
      <c r="W10" s="425"/>
      <c r="X10" s="426" t="s">
        <v>135</v>
      </c>
      <c r="Y10" s="426"/>
      <c r="Z10" s="426"/>
      <c r="AA10" s="426"/>
      <c r="AB10" s="422" t="str">
        <f>IFERROR(VLOOKUP(Q9,اسماء,3,0),"")</f>
        <v/>
      </c>
      <c r="AC10" s="423"/>
      <c r="AE10" s="167" t="s">
        <v>134</v>
      </c>
      <c r="AF10" s="413" t="str">
        <f>IFERROR(VLOOKUP(AF9,اسماء,76,0),"")</f>
        <v/>
      </c>
      <c r="AG10" s="413"/>
      <c r="AH10" s="413"/>
      <c r="AI10" s="425" t="str">
        <f>IFERROR(VLOOKUP(AF9,اسماء,2,0),"")</f>
        <v/>
      </c>
      <c r="AJ10" s="425"/>
      <c r="AK10" s="425"/>
      <c r="AL10" s="425"/>
      <c r="AM10" s="426" t="s">
        <v>135</v>
      </c>
      <c r="AN10" s="426"/>
      <c r="AO10" s="426"/>
      <c r="AP10" s="426"/>
      <c r="AQ10" s="422" t="str">
        <f>IFERROR(VLOOKUP(AF9,اسماء,3,0),"")</f>
        <v/>
      </c>
      <c r="AR10" s="423"/>
      <c r="AT10" s="167" t="s">
        <v>134</v>
      </c>
      <c r="AU10" s="413" t="str">
        <f>IFERROR(VLOOKUP(AU9,اسماء,76,0),"")</f>
        <v/>
      </c>
      <c r="AV10" s="413"/>
      <c r="AW10" s="413"/>
      <c r="AX10" s="425" t="str">
        <f>IFERROR(VLOOKUP(AU9,اسماء,2,0),"")</f>
        <v/>
      </c>
      <c r="AY10" s="425"/>
      <c r="AZ10" s="425"/>
      <c r="BA10" s="425"/>
      <c r="BB10" s="426" t="s">
        <v>135</v>
      </c>
      <c r="BC10" s="426"/>
      <c r="BD10" s="426"/>
      <c r="BE10" s="426"/>
      <c r="BF10" s="422" t="str">
        <f>IFERROR(VLOOKUP(AU9,اسماء,3,0),"")</f>
        <v/>
      </c>
      <c r="BG10" s="423"/>
    </row>
    <row r="11" spans="1:59" ht="35.1" customHeight="1">
      <c r="A11" s="167" t="s">
        <v>136</v>
      </c>
      <c r="B11" s="168" t="str">
        <f>IFERROR(VLOOKUP(B9,اسماء,64,0),"")</f>
        <v>5</v>
      </c>
      <c r="C11" s="168" t="str">
        <f>IFERROR(VLOOKUP(B9,اسماء,65,0),"")</f>
        <v>2</v>
      </c>
      <c r="D11" s="168" t="str">
        <f>IFERROR(VLOOKUP(B9,اسماء,66,0),"")</f>
        <v>7</v>
      </c>
      <c r="E11" s="168" t="str">
        <f>IFERROR(VLOOKUP(B9,اسماء,67,0),"")</f>
        <v>4</v>
      </c>
      <c r="F11" s="168" t="str">
        <f>IFERROR(VLOOKUP(B9,اسماء,68,0),"")</f>
        <v>6</v>
      </c>
      <c r="G11" s="168" t="str">
        <f>IFERROR(VLOOKUP(B9,اسماء,69,0),"")</f>
        <v>0</v>
      </c>
      <c r="H11" s="168" t="str">
        <f>IFERROR(VLOOKUP(B9,اسماء,70,0),"")</f>
        <v>1</v>
      </c>
      <c r="I11" s="168" t="str">
        <f>IFERROR(VLOOKUP(B9,اسماء,71,0),"")</f>
        <v>7</v>
      </c>
      <c r="J11" s="168" t="str">
        <f>IFERROR(VLOOKUP(B9,اسماء,72,0),"")</f>
        <v>1</v>
      </c>
      <c r="K11" s="168" t="str">
        <f>IFERROR(VLOOKUP(B9,اسماء,73,0),"")</f>
        <v>0</v>
      </c>
      <c r="L11" s="168" t="str">
        <f>IFERROR(VLOOKUP(B9,اسماء,74,0),"")</f>
        <v>2</v>
      </c>
      <c r="M11" s="168" t="str">
        <f>IFERROR(VLOOKUP(B9,اسماء,75,0),"")</f>
        <v>1</v>
      </c>
      <c r="N11" s="330"/>
      <c r="P11" s="167" t="s">
        <v>136</v>
      </c>
      <c r="Q11" s="168" t="str">
        <f>IFERROR(VLOOKUP(Q9,اسماء,64,0),"")</f>
        <v/>
      </c>
      <c r="R11" s="168" t="str">
        <f>IFERROR(VLOOKUP(Q9,اسماء,65,0),"")</f>
        <v/>
      </c>
      <c r="S11" s="168" t="str">
        <f>IFERROR(VLOOKUP(Q9,اسماء,66,0),"")</f>
        <v/>
      </c>
      <c r="T11" s="168" t="str">
        <f>IFERROR(VLOOKUP(Q9,اسماء,67,0),"")</f>
        <v/>
      </c>
      <c r="U11" s="168" t="str">
        <f>IFERROR(VLOOKUP(Q9,اسماء,68,0),"")</f>
        <v/>
      </c>
      <c r="V11" s="168" t="str">
        <f>IFERROR(VLOOKUP(Q9,اسماء,69,0),"")</f>
        <v/>
      </c>
      <c r="W11" s="168" t="str">
        <f>IFERROR(VLOOKUP(Q9,اسماء,70,0),"")</f>
        <v/>
      </c>
      <c r="X11" s="168" t="str">
        <f>IFERROR(VLOOKUP(Q9,اسماء,71,0),"")</f>
        <v/>
      </c>
      <c r="Y11" s="168" t="str">
        <f>IFERROR(VLOOKUP(Q9,اسماء,72,0),"")</f>
        <v/>
      </c>
      <c r="Z11" s="168" t="str">
        <f>IFERROR(VLOOKUP(Q9,اسماء,73,0),"")</f>
        <v/>
      </c>
      <c r="AA11" s="168" t="str">
        <f>IFERROR(VLOOKUP(Q9,اسماء,74,0),"")</f>
        <v/>
      </c>
      <c r="AB11" s="168" t="str">
        <f>IFERROR(VLOOKUP(Q9,اسماء,75,0),"")</f>
        <v/>
      </c>
      <c r="AC11" s="330"/>
      <c r="AE11" s="167" t="s">
        <v>136</v>
      </c>
      <c r="AF11" s="168" t="str">
        <f>IFERROR(VLOOKUP(AF9,اسماء,64,0),"")</f>
        <v/>
      </c>
      <c r="AG11" s="168" t="str">
        <f>IFERROR(VLOOKUP(AF9,اسماء,65,0),"")</f>
        <v/>
      </c>
      <c r="AH11" s="168" t="str">
        <f>IFERROR(VLOOKUP(AF9,اسماء,66,0),"")</f>
        <v/>
      </c>
      <c r="AI11" s="168" t="str">
        <f>IFERROR(VLOOKUP(AF9,اسماء,67,0),"")</f>
        <v/>
      </c>
      <c r="AJ11" s="168" t="str">
        <f>IFERROR(VLOOKUP(AF9,اسماء,68,0),"")</f>
        <v/>
      </c>
      <c r="AK11" s="168" t="str">
        <f>IFERROR(VLOOKUP(AF9,اسماء,69,0),"")</f>
        <v/>
      </c>
      <c r="AL11" s="168" t="str">
        <f>IFERROR(VLOOKUP(AF9,اسماء,70,0),"")</f>
        <v/>
      </c>
      <c r="AM11" s="168" t="str">
        <f>IFERROR(VLOOKUP(AF9,اسماء,71,0),"")</f>
        <v/>
      </c>
      <c r="AN11" s="168" t="str">
        <f>IFERROR(VLOOKUP(AF9,اسماء,72,0),"")</f>
        <v/>
      </c>
      <c r="AO11" s="168" t="str">
        <f>IFERROR(VLOOKUP(AF9,اسماء,73,0),"")</f>
        <v/>
      </c>
      <c r="AP11" s="168" t="str">
        <f>IFERROR(VLOOKUP(AF9,اسماء,74,0),"")</f>
        <v/>
      </c>
      <c r="AQ11" s="168" t="str">
        <f>IFERROR(VLOOKUP(AF9,اسماء,75,0),"")</f>
        <v/>
      </c>
      <c r="AR11" s="330"/>
      <c r="AT11" s="167" t="s">
        <v>136</v>
      </c>
      <c r="AU11" s="168" t="str">
        <f>IFERROR(VLOOKUP(AU9,اسماء,64,0),"")</f>
        <v/>
      </c>
      <c r="AV11" s="168" t="str">
        <f>IFERROR(VLOOKUP(AU9,اسماء,65,0),"")</f>
        <v/>
      </c>
      <c r="AW11" s="168" t="str">
        <f>IFERROR(VLOOKUP(AU9,اسماء,66,0),"")</f>
        <v/>
      </c>
      <c r="AX11" s="168" t="str">
        <f>IFERROR(VLOOKUP(AU9,اسماء,67,0),"")</f>
        <v/>
      </c>
      <c r="AY11" s="168" t="str">
        <f>IFERROR(VLOOKUP(AU9,اسماء,68,0),"")</f>
        <v/>
      </c>
      <c r="AZ11" s="168" t="str">
        <f>IFERROR(VLOOKUP(AU9,اسماء,69,0),"")</f>
        <v/>
      </c>
      <c r="BA11" s="168" t="str">
        <f>IFERROR(VLOOKUP(AU9,اسماء,70,0),"")</f>
        <v/>
      </c>
      <c r="BB11" s="168" t="str">
        <f>IFERROR(VLOOKUP(AU9,اسماء,71,0),"")</f>
        <v/>
      </c>
      <c r="BC11" s="168" t="str">
        <f>IFERROR(VLOOKUP(AU9,اسماء,72,0),"")</f>
        <v/>
      </c>
      <c r="BD11" s="168" t="str">
        <f>IFERROR(VLOOKUP(AU9,اسماء,73,0),"")</f>
        <v/>
      </c>
      <c r="BE11" s="168" t="str">
        <f>IFERROR(VLOOKUP(AU9,اسماء,74,0),"")</f>
        <v/>
      </c>
      <c r="BF11" s="168" t="str">
        <f>IFERROR(VLOOKUP(AU9,اسماء,75,0),"")</f>
        <v/>
      </c>
      <c r="BG11" s="330"/>
    </row>
    <row r="12" spans="1:59" ht="45" customHeight="1">
      <c r="A12" s="167" t="s">
        <v>137</v>
      </c>
      <c r="B12" s="424" t="str">
        <f>IFERROR(VLOOKUP(B9,اسماء,77,0),"")</f>
        <v>ليبي</v>
      </c>
      <c r="C12" s="424"/>
      <c r="D12" s="424"/>
      <c r="E12" s="424"/>
      <c r="F12" s="424"/>
      <c r="G12" s="413" t="s">
        <v>138</v>
      </c>
      <c r="H12" s="413"/>
      <c r="I12" s="413" t="s">
        <v>139</v>
      </c>
      <c r="J12" s="413"/>
      <c r="K12" s="422" t="str">
        <f>IFERROR(VLOOKUP(B9,اسماء,78,0),"")</f>
        <v>مستجد</v>
      </c>
      <c r="L12" s="422"/>
      <c r="M12" s="422"/>
      <c r="N12" s="423"/>
      <c r="P12" s="167" t="s">
        <v>137</v>
      </c>
      <c r="Q12" s="424" t="str">
        <f>IFERROR(VLOOKUP(Q9,اسماء,77,0),"")</f>
        <v/>
      </c>
      <c r="R12" s="424"/>
      <c r="S12" s="424"/>
      <c r="T12" s="424"/>
      <c r="U12" s="424"/>
      <c r="V12" s="413" t="s">
        <v>138</v>
      </c>
      <c r="W12" s="413"/>
      <c r="X12" s="413" t="s">
        <v>139</v>
      </c>
      <c r="Y12" s="413"/>
      <c r="Z12" s="422" t="str">
        <f>IFERROR(VLOOKUP(Q9,اسماء,78,0),"")</f>
        <v/>
      </c>
      <c r="AA12" s="422"/>
      <c r="AB12" s="422"/>
      <c r="AC12" s="423"/>
      <c r="AE12" s="167" t="s">
        <v>137</v>
      </c>
      <c r="AF12" s="424" t="str">
        <f>IFERROR(VLOOKUP(AF9,اسماء,77,0),"")</f>
        <v/>
      </c>
      <c r="AG12" s="424"/>
      <c r="AH12" s="424"/>
      <c r="AI12" s="424"/>
      <c r="AJ12" s="424"/>
      <c r="AK12" s="413" t="s">
        <v>138</v>
      </c>
      <c r="AL12" s="413"/>
      <c r="AM12" s="413" t="s">
        <v>139</v>
      </c>
      <c r="AN12" s="413"/>
      <c r="AO12" s="422" t="str">
        <f>IFERROR(VLOOKUP(AF9,اسماء,78,0),"")</f>
        <v/>
      </c>
      <c r="AP12" s="422"/>
      <c r="AQ12" s="422"/>
      <c r="AR12" s="423"/>
      <c r="AT12" s="167" t="s">
        <v>137</v>
      </c>
      <c r="AU12" s="424" t="str">
        <f>IFERROR(VLOOKUP(AU9,اسماء,77,0),"")</f>
        <v/>
      </c>
      <c r="AV12" s="424"/>
      <c r="AW12" s="424"/>
      <c r="AX12" s="424"/>
      <c r="AY12" s="424"/>
      <c r="AZ12" s="413" t="s">
        <v>138</v>
      </c>
      <c r="BA12" s="413"/>
      <c r="BB12" s="413" t="s">
        <v>139</v>
      </c>
      <c r="BC12" s="413"/>
      <c r="BD12" s="422" t="str">
        <f>IFERROR(VLOOKUP(AU9,اسماء,78,0),"")</f>
        <v/>
      </c>
      <c r="BE12" s="422"/>
      <c r="BF12" s="422"/>
      <c r="BG12" s="423"/>
    </row>
    <row r="13" spans="1:59" ht="45" customHeight="1">
      <c r="A13" s="167" t="s">
        <v>140</v>
      </c>
      <c r="B13" s="422" t="str">
        <f>IFERROR(VLOOKUP(B9,اسماء,80,0),"")</f>
        <v>أحلام الشيباني</v>
      </c>
      <c r="C13" s="422"/>
      <c r="D13" s="422"/>
      <c r="E13" s="422"/>
      <c r="F13" s="422"/>
      <c r="G13" s="413" t="s">
        <v>123</v>
      </c>
      <c r="H13" s="413"/>
      <c r="I13" s="413"/>
      <c r="J13" s="413"/>
      <c r="K13" s="422" t="str">
        <f>IFERROR(VLOOKUP(B9,اسماء,79,0),"")</f>
        <v>نظامي</v>
      </c>
      <c r="L13" s="422"/>
      <c r="M13" s="422"/>
      <c r="N13" s="423"/>
      <c r="P13" s="167" t="s">
        <v>140</v>
      </c>
      <c r="Q13" s="422" t="str">
        <f>IFERROR(VLOOKUP(Q9,اسماء,80,0),"")</f>
        <v/>
      </c>
      <c r="R13" s="422"/>
      <c r="S13" s="422"/>
      <c r="T13" s="422"/>
      <c r="U13" s="422"/>
      <c r="V13" s="413" t="s">
        <v>123</v>
      </c>
      <c r="W13" s="413"/>
      <c r="X13" s="413"/>
      <c r="Y13" s="413"/>
      <c r="Z13" s="422" t="str">
        <f>IFERROR(VLOOKUP(Q9,اسماء,79,0),"")</f>
        <v/>
      </c>
      <c r="AA13" s="422"/>
      <c r="AB13" s="422"/>
      <c r="AC13" s="423"/>
      <c r="AE13" s="167" t="s">
        <v>140</v>
      </c>
      <c r="AF13" s="422" t="str">
        <f>IFERROR(VLOOKUP(AF9,اسماء,80,0),"")</f>
        <v/>
      </c>
      <c r="AG13" s="422"/>
      <c r="AH13" s="422"/>
      <c r="AI13" s="422"/>
      <c r="AJ13" s="422"/>
      <c r="AK13" s="413" t="s">
        <v>123</v>
      </c>
      <c r="AL13" s="413"/>
      <c r="AM13" s="413"/>
      <c r="AN13" s="413"/>
      <c r="AO13" s="422" t="str">
        <f>IFERROR(VLOOKUP(AF9,اسماء,79,0),"")</f>
        <v/>
      </c>
      <c r="AP13" s="422"/>
      <c r="AQ13" s="422"/>
      <c r="AR13" s="423"/>
      <c r="AT13" s="167" t="s">
        <v>140</v>
      </c>
      <c r="AU13" s="422" t="str">
        <f>IFERROR(VLOOKUP(AU9,اسماء,77,0),"")</f>
        <v/>
      </c>
      <c r="AV13" s="422"/>
      <c r="AW13" s="422"/>
      <c r="AX13" s="422"/>
      <c r="AY13" s="422"/>
      <c r="AZ13" s="413" t="s">
        <v>123</v>
      </c>
      <c r="BA13" s="413"/>
      <c r="BB13" s="413"/>
      <c r="BC13" s="413"/>
      <c r="BD13" s="422" t="str">
        <f>IFERROR(VLOOKUP(AU9,اسماء,76,0),"")</f>
        <v/>
      </c>
      <c r="BE13" s="422"/>
      <c r="BF13" s="422"/>
      <c r="BG13" s="423"/>
    </row>
    <row r="14" spans="1:59" ht="45" customHeight="1" thickBot="1">
      <c r="A14" s="416" t="s">
        <v>141</v>
      </c>
      <c r="B14" s="417"/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418"/>
      <c r="P14" s="416" t="s">
        <v>141</v>
      </c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8"/>
      <c r="AE14" s="416" t="s">
        <v>141</v>
      </c>
      <c r="AF14" s="417"/>
      <c r="AG14" s="417"/>
      <c r="AH14" s="417"/>
      <c r="AI14" s="417"/>
      <c r="AJ14" s="417"/>
      <c r="AK14" s="417"/>
      <c r="AL14" s="417"/>
      <c r="AM14" s="417"/>
      <c r="AN14" s="417"/>
      <c r="AO14" s="417"/>
      <c r="AP14" s="417"/>
      <c r="AQ14" s="417"/>
      <c r="AR14" s="418"/>
      <c r="AT14" s="416" t="s">
        <v>141</v>
      </c>
      <c r="AU14" s="417"/>
      <c r="AV14" s="417"/>
      <c r="AW14" s="417"/>
      <c r="AX14" s="417"/>
      <c r="AY14" s="417"/>
      <c r="AZ14" s="417"/>
      <c r="BA14" s="417"/>
      <c r="BB14" s="417"/>
      <c r="BC14" s="417"/>
      <c r="BD14" s="417"/>
      <c r="BE14" s="417"/>
      <c r="BF14" s="417"/>
      <c r="BG14" s="418"/>
    </row>
    <row r="15" spans="1:59" ht="45" customHeight="1" thickTop="1">
      <c r="A15" s="419" t="s">
        <v>142</v>
      </c>
      <c r="B15" s="420"/>
      <c r="C15" s="420"/>
      <c r="D15" s="420"/>
      <c r="E15" s="420"/>
      <c r="F15" s="420"/>
      <c r="G15" s="420"/>
      <c r="H15" s="420"/>
      <c r="I15" s="420"/>
      <c r="J15" s="420"/>
      <c r="K15" s="420"/>
      <c r="L15" s="420"/>
      <c r="M15" s="420"/>
      <c r="N15" s="421"/>
      <c r="P15" s="419" t="s">
        <v>142</v>
      </c>
      <c r="Q15" s="420"/>
      <c r="R15" s="420"/>
      <c r="S15" s="420"/>
      <c r="T15" s="420"/>
      <c r="U15" s="420"/>
      <c r="V15" s="420"/>
      <c r="W15" s="420"/>
      <c r="X15" s="420"/>
      <c r="Y15" s="420"/>
      <c r="Z15" s="420"/>
      <c r="AA15" s="420"/>
      <c r="AB15" s="420"/>
      <c r="AC15" s="421"/>
      <c r="AE15" s="419" t="s">
        <v>142</v>
      </c>
      <c r="AF15" s="420"/>
      <c r="AG15" s="420"/>
      <c r="AH15" s="420"/>
      <c r="AI15" s="420"/>
      <c r="AJ15" s="420"/>
      <c r="AK15" s="420"/>
      <c r="AL15" s="420"/>
      <c r="AM15" s="420"/>
      <c r="AN15" s="420"/>
      <c r="AO15" s="420"/>
      <c r="AP15" s="420"/>
      <c r="AQ15" s="420"/>
      <c r="AR15" s="421"/>
      <c r="AT15" s="419" t="s">
        <v>142</v>
      </c>
      <c r="AU15" s="420"/>
      <c r="AV15" s="420"/>
      <c r="AW15" s="420"/>
      <c r="AX15" s="420"/>
      <c r="AY15" s="420"/>
      <c r="AZ15" s="420"/>
      <c r="BA15" s="420"/>
      <c r="BB15" s="420"/>
      <c r="BC15" s="420"/>
      <c r="BD15" s="420"/>
      <c r="BE15" s="420"/>
      <c r="BF15" s="420"/>
      <c r="BG15" s="421"/>
    </row>
    <row r="16" spans="1:59" s="58" customFormat="1" ht="33" customHeight="1">
      <c r="A16" s="415" t="s">
        <v>161</v>
      </c>
      <c r="B16" s="413"/>
      <c r="C16" s="413"/>
      <c r="D16" s="413"/>
      <c r="E16" s="413"/>
      <c r="F16" s="413"/>
      <c r="G16" s="413"/>
      <c r="H16" s="413"/>
      <c r="I16" s="413"/>
      <c r="J16" s="413"/>
      <c r="K16" s="413"/>
      <c r="L16" s="413"/>
      <c r="M16" s="413"/>
      <c r="N16" s="414"/>
      <c r="P16" s="415" t="s">
        <v>161</v>
      </c>
      <c r="Q16" s="413"/>
      <c r="R16" s="413"/>
      <c r="S16" s="413"/>
      <c r="T16" s="413"/>
      <c r="U16" s="413"/>
      <c r="V16" s="413"/>
      <c r="W16" s="413"/>
      <c r="X16" s="413"/>
      <c r="Y16" s="413"/>
      <c r="Z16" s="413"/>
      <c r="AA16" s="413"/>
      <c r="AB16" s="413"/>
      <c r="AC16" s="414"/>
      <c r="AE16" s="415" t="s">
        <v>161</v>
      </c>
      <c r="AF16" s="413"/>
      <c r="AG16" s="413"/>
      <c r="AH16" s="413"/>
      <c r="AI16" s="413"/>
      <c r="AJ16" s="413"/>
      <c r="AK16" s="413"/>
      <c r="AL16" s="413"/>
      <c r="AM16" s="413"/>
      <c r="AN16" s="413"/>
      <c r="AO16" s="413"/>
      <c r="AP16" s="413"/>
      <c r="AQ16" s="413"/>
      <c r="AR16" s="414"/>
      <c r="AT16" s="415" t="s">
        <v>161</v>
      </c>
      <c r="AU16" s="413"/>
      <c r="AV16" s="413"/>
      <c r="AW16" s="413"/>
      <c r="AX16" s="413"/>
      <c r="AY16" s="413"/>
      <c r="AZ16" s="413"/>
      <c r="BA16" s="413"/>
      <c r="BB16" s="413"/>
      <c r="BC16" s="413"/>
      <c r="BD16" s="413"/>
      <c r="BE16" s="413"/>
      <c r="BF16" s="413"/>
      <c r="BG16" s="414"/>
    </row>
    <row r="17" spans="1:59" ht="33" customHeight="1">
      <c r="A17" s="411" t="s">
        <v>143</v>
      </c>
      <c r="B17" s="412"/>
      <c r="C17" s="412"/>
      <c r="D17" s="412"/>
      <c r="E17" s="412"/>
      <c r="F17" s="412"/>
      <c r="G17" s="413"/>
      <c r="H17" s="413"/>
      <c r="I17" s="413"/>
      <c r="J17" s="413"/>
      <c r="K17" s="413"/>
      <c r="L17" s="413"/>
      <c r="M17" s="413"/>
      <c r="N17" s="414"/>
      <c r="P17" s="411" t="s">
        <v>143</v>
      </c>
      <c r="Q17" s="412"/>
      <c r="R17" s="412"/>
      <c r="S17" s="412"/>
      <c r="T17" s="412"/>
      <c r="U17" s="412"/>
      <c r="V17" s="413"/>
      <c r="W17" s="413"/>
      <c r="X17" s="413"/>
      <c r="Y17" s="413"/>
      <c r="Z17" s="413"/>
      <c r="AA17" s="413"/>
      <c r="AB17" s="413"/>
      <c r="AC17" s="414"/>
      <c r="AE17" s="411" t="s">
        <v>143</v>
      </c>
      <c r="AF17" s="412"/>
      <c r="AG17" s="412"/>
      <c r="AH17" s="412"/>
      <c r="AI17" s="412"/>
      <c r="AJ17" s="412"/>
      <c r="AK17" s="413"/>
      <c r="AL17" s="413"/>
      <c r="AM17" s="413"/>
      <c r="AN17" s="413"/>
      <c r="AO17" s="413"/>
      <c r="AP17" s="413"/>
      <c r="AQ17" s="413"/>
      <c r="AR17" s="414"/>
      <c r="AT17" s="411" t="s">
        <v>143</v>
      </c>
      <c r="AU17" s="412"/>
      <c r="AV17" s="412"/>
      <c r="AW17" s="412"/>
      <c r="AX17" s="412"/>
      <c r="AY17" s="412"/>
      <c r="AZ17" s="413"/>
      <c r="BA17" s="413"/>
      <c r="BB17" s="413"/>
      <c r="BC17" s="413"/>
      <c r="BD17" s="413"/>
      <c r="BE17" s="413"/>
      <c r="BF17" s="413"/>
      <c r="BG17" s="414"/>
    </row>
    <row r="18" spans="1:59" s="171" customFormat="1" ht="30" customHeight="1">
      <c r="A18" s="167" t="s">
        <v>144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70" t="s">
        <v>145</v>
      </c>
      <c r="P18" s="167" t="s">
        <v>144</v>
      </c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70" t="s">
        <v>145</v>
      </c>
      <c r="AE18" s="167" t="s">
        <v>144</v>
      </c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70" t="s">
        <v>145</v>
      </c>
      <c r="AT18" s="167" t="s">
        <v>144</v>
      </c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70" t="s">
        <v>145</v>
      </c>
    </row>
    <row r="19" spans="1:59" ht="30" customHeight="1">
      <c r="A19" s="172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73"/>
      <c r="P19" s="172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73"/>
      <c r="AE19" s="172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73"/>
      <c r="AT19" s="172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73"/>
    </row>
    <row r="20" spans="1:59" ht="24.9" customHeight="1">
      <c r="A20" s="174"/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75"/>
      <c r="P20" s="17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75"/>
      <c r="AE20" s="17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75"/>
      <c r="AT20" s="17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75"/>
    </row>
    <row r="21" spans="1:59" ht="24.9" customHeight="1" thickBot="1">
      <c r="A21" s="176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8"/>
      <c r="P21" s="176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8"/>
      <c r="AE21" s="176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8"/>
      <c r="AT21" s="176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8"/>
    </row>
    <row r="22" spans="1:59" ht="15" thickTop="1" thickBot="1"/>
    <row r="23" spans="1:59" s="164" customFormat="1" ht="39.9" customHeight="1" thickTop="1">
      <c r="A23" s="162">
        <f>A1-1</f>
        <v>0</v>
      </c>
      <c r="B23" s="447" t="s">
        <v>38</v>
      </c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7"/>
      <c r="N23" s="163"/>
      <c r="P23" s="162">
        <f>P1-1</f>
        <v>-5</v>
      </c>
      <c r="Q23" s="447" t="s">
        <v>38</v>
      </c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  <c r="AC23" s="163"/>
      <c r="AE23" s="162">
        <f>AE1-1</f>
        <v>-10</v>
      </c>
      <c r="AF23" s="447" t="s">
        <v>38</v>
      </c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163"/>
      <c r="AT23" s="162">
        <f>AT1-1</f>
        <v>-15</v>
      </c>
      <c r="AU23" s="447" t="s">
        <v>38</v>
      </c>
      <c r="AV23" s="447"/>
      <c r="AW23" s="447"/>
      <c r="AX23" s="447"/>
      <c r="AY23" s="447"/>
      <c r="AZ23" s="447"/>
      <c r="BA23" s="447"/>
      <c r="BB23" s="447"/>
      <c r="BC23" s="447"/>
      <c r="BD23" s="447"/>
      <c r="BE23" s="447"/>
      <c r="BF23" s="447"/>
      <c r="BG23" s="163"/>
    </row>
    <row r="24" spans="1:59" s="164" customFormat="1" ht="39.9" customHeight="1">
      <c r="A24" s="441" t="s">
        <v>39</v>
      </c>
      <c r="B24" s="442"/>
      <c r="C24" s="442"/>
      <c r="D24" s="442"/>
      <c r="E24" s="442"/>
      <c r="F24" s="442"/>
      <c r="G24" s="442"/>
      <c r="H24" s="442"/>
      <c r="I24" s="442"/>
      <c r="J24" s="442"/>
      <c r="K24" s="442"/>
      <c r="L24" s="442"/>
      <c r="M24" s="442"/>
      <c r="N24" s="443"/>
      <c r="P24" s="441" t="s">
        <v>39</v>
      </c>
      <c r="Q24" s="442"/>
      <c r="R24" s="442"/>
      <c r="S24" s="442"/>
      <c r="T24" s="442"/>
      <c r="U24" s="442"/>
      <c r="V24" s="442"/>
      <c r="W24" s="442"/>
      <c r="X24" s="442"/>
      <c r="Y24" s="442"/>
      <c r="Z24" s="442"/>
      <c r="AA24" s="442"/>
      <c r="AB24" s="442"/>
      <c r="AC24" s="443"/>
      <c r="AE24" s="441" t="s">
        <v>39</v>
      </c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3"/>
      <c r="AT24" s="441" t="s">
        <v>39</v>
      </c>
      <c r="AU24" s="442"/>
      <c r="AV24" s="442"/>
      <c r="AW24" s="442"/>
      <c r="AX24" s="442"/>
      <c r="AY24" s="442"/>
      <c r="AZ24" s="442"/>
      <c r="BA24" s="442"/>
      <c r="BB24" s="442"/>
      <c r="BC24" s="442"/>
      <c r="BD24" s="442"/>
      <c r="BE24" s="442"/>
      <c r="BF24" s="442"/>
      <c r="BG24" s="443"/>
    </row>
    <row r="25" spans="1:59" s="164" customFormat="1" ht="39.9" customHeight="1">
      <c r="A25" s="444" t="s">
        <v>162</v>
      </c>
      <c r="B25" s="445"/>
      <c r="C25" s="445"/>
      <c r="D25" s="445"/>
      <c r="E25" s="445"/>
      <c r="F25" s="445"/>
      <c r="G25" s="445"/>
      <c r="H25" s="445"/>
      <c r="I25" s="445"/>
      <c r="J25" s="445"/>
      <c r="K25" s="445"/>
      <c r="L25" s="445"/>
      <c r="M25" s="445"/>
      <c r="N25" s="446"/>
      <c r="P25" s="444" t="s">
        <v>162</v>
      </c>
      <c r="Q25" s="445"/>
      <c r="R25" s="445"/>
      <c r="S25" s="445"/>
      <c r="T25" s="445"/>
      <c r="U25" s="445"/>
      <c r="V25" s="445"/>
      <c r="W25" s="445"/>
      <c r="X25" s="445"/>
      <c r="Y25" s="445"/>
      <c r="Z25" s="445"/>
      <c r="AA25" s="445"/>
      <c r="AB25" s="445"/>
      <c r="AC25" s="446"/>
      <c r="AE25" s="444" t="s">
        <v>162</v>
      </c>
      <c r="AF25" s="445"/>
      <c r="AG25" s="445"/>
      <c r="AH25" s="445"/>
      <c r="AI25" s="445"/>
      <c r="AJ25" s="445"/>
      <c r="AK25" s="445"/>
      <c r="AL25" s="445"/>
      <c r="AM25" s="445"/>
      <c r="AN25" s="445"/>
      <c r="AO25" s="445"/>
      <c r="AP25" s="445"/>
      <c r="AQ25" s="445"/>
      <c r="AR25" s="446"/>
      <c r="AT25" s="444" t="s">
        <v>162</v>
      </c>
      <c r="AU25" s="445"/>
      <c r="AV25" s="445"/>
      <c r="AW25" s="445"/>
      <c r="AX25" s="445"/>
      <c r="AY25" s="445"/>
      <c r="AZ25" s="445"/>
      <c r="BA25" s="445"/>
      <c r="BB25" s="445"/>
      <c r="BC25" s="445"/>
      <c r="BD25" s="445"/>
      <c r="BE25" s="445"/>
      <c r="BF25" s="445"/>
      <c r="BG25" s="446"/>
    </row>
    <row r="26" spans="1:59" s="164" customFormat="1" ht="39.9" customHeight="1">
      <c r="A26" s="435" t="s">
        <v>124</v>
      </c>
      <c r="B26" s="436"/>
      <c r="C26" s="436"/>
      <c r="D26" s="436"/>
      <c r="E26" s="436"/>
      <c r="F26" s="436"/>
      <c r="G26" s="436"/>
      <c r="H26" s="436"/>
      <c r="I26" s="436"/>
      <c r="J26" s="436"/>
      <c r="K26" s="437" t="str">
        <f>ادخال1!$CD$7</f>
        <v>الاساسي</v>
      </c>
      <c r="L26" s="437"/>
      <c r="M26" s="437"/>
      <c r="N26" s="438"/>
      <c r="P26" s="435" t="s">
        <v>124</v>
      </c>
      <c r="Q26" s="436"/>
      <c r="R26" s="436"/>
      <c r="S26" s="436"/>
      <c r="T26" s="436"/>
      <c r="U26" s="436"/>
      <c r="V26" s="436"/>
      <c r="W26" s="436"/>
      <c r="X26" s="436"/>
      <c r="Y26" s="436"/>
      <c r="Z26" s="437" t="str">
        <f>ادخال1!$CD$7</f>
        <v>الاساسي</v>
      </c>
      <c r="AA26" s="437"/>
      <c r="AB26" s="437"/>
      <c r="AC26" s="438"/>
      <c r="AE26" s="435" t="s">
        <v>124</v>
      </c>
      <c r="AF26" s="436"/>
      <c r="AG26" s="436"/>
      <c r="AH26" s="436"/>
      <c r="AI26" s="436"/>
      <c r="AJ26" s="436"/>
      <c r="AK26" s="436"/>
      <c r="AL26" s="436"/>
      <c r="AM26" s="436"/>
      <c r="AN26" s="436"/>
      <c r="AO26" s="437" t="str">
        <f>ادخال1!$CD$7</f>
        <v>الاساسي</v>
      </c>
      <c r="AP26" s="437"/>
      <c r="AQ26" s="437"/>
      <c r="AR26" s="438"/>
      <c r="AT26" s="435" t="s">
        <v>124</v>
      </c>
      <c r="AU26" s="436"/>
      <c r="AV26" s="436"/>
      <c r="AW26" s="436"/>
      <c r="AX26" s="436"/>
      <c r="AY26" s="436"/>
      <c r="AZ26" s="436"/>
      <c r="BA26" s="436"/>
      <c r="BB26" s="436"/>
      <c r="BC26" s="436"/>
      <c r="BD26" s="437" t="str">
        <f>ادخال1!$CD$7</f>
        <v>الاساسي</v>
      </c>
      <c r="BE26" s="437"/>
      <c r="BF26" s="437"/>
      <c r="BG26" s="438"/>
    </row>
    <row r="27" spans="1:59" s="164" customFormat="1" ht="39.9" customHeight="1">
      <c r="A27" s="435" t="s">
        <v>125</v>
      </c>
      <c r="B27" s="436"/>
      <c r="C27" s="436"/>
      <c r="D27" s="436"/>
      <c r="E27" s="436"/>
      <c r="F27" s="436"/>
      <c r="G27" s="439" t="str">
        <f>ادخال1!$CB$5</f>
        <v>الثاني الابتدائي</v>
      </c>
      <c r="H27" s="439"/>
      <c r="I27" s="439"/>
      <c r="J27" s="439"/>
      <c r="K27" s="439"/>
      <c r="L27" s="439"/>
      <c r="M27" s="439"/>
      <c r="N27" s="440"/>
      <c r="P27" s="435" t="s">
        <v>125</v>
      </c>
      <c r="Q27" s="436"/>
      <c r="R27" s="436"/>
      <c r="S27" s="436"/>
      <c r="T27" s="436"/>
      <c r="U27" s="436"/>
      <c r="V27" s="439" t="str">
        <f>ادخال1!$CB$5</f>
        <v>الثاني الابتدائي</v>
      </c>
      <c r="W27" s="439"/>
      <c r="X27" s="439"/>
      <c r="Y27" s="439"/>
      <c r="Z27" s="439"/>
      <c r="AA27" s="439"/>
      <c r="AB27" s="439"/>
      <c r="AC27" s="440"/>
      <c r="AE27" s="435" t="s">
        <v>125</v>
      </c>
      <c r="AF27" s="436"/>
      <c r="AG27" s="436"/>
      <c r="AH27" s="436"/>
      <c r="AI27" s="436"/>
      <c r="AJ27" s="436"/>
      <c r="AK27" s="439" t="str">
        <f>ادخال1!$CB$5</f>
        <v>الثاني الابتدائي</v>
      </c>
      <c r="AL27" s="439"/>
      <c r="AM27" s="439"/>
      <c r="AN27" s="439"/>
      <c r="AO27" s="439"/>
      <c r="AP27" s="439"/>
      <c r="AQ27" s="439"/>
      <c r="AR27" s="440"/>
      <c r="AT27" s="435" t="s">
        <v>125</v>
      </c>
      <c r="AU27" s="436"/>
      <c r="AV27" s="436"/>
      <c r="AW27" s="436"/>
      <c r="AX27" s="436"/>
      <c r="AY27" s="436"/>
      <c r="AZ27" s="439" t="str">
        <f>ادخال1!$CB$5</f>
        <v>الثاني الابتدائي</v>
      </c>
      <c r="BA27" s="439"/>
      <c r="BB27" s="439"/>
      <c r="BC27" s="439"/>
      <c r="BD27" s="439"/>
      <c r="BE27" s="439"/>
      <c r="BF27" s="439"/>
      <c r="BG27" s="440"/>
    </row>
    <row r="28" spans="1:59" s="164" customFormat="1" ht="39.9" customHeight="1">
      <c r="A28" s="165" t="s">
        <v>114</v>
      </c>
      <c r="B28" s="429" t="str">
        <f>ادخال1!$CA$8</f>
        <v>1446هـ/1447 هـ</v>
      </c>
      <c r="C28" s="429"/>
      <c r="D28" s="429"/>
      <c r="E28" s="429"/>
      <c r="F28" s="430" t="s">
        <v>126</v>
      </c>
      <c r="G28" s="430"/>
      <c r="H28" s="431" t="s">
        <v>127</v>
      </c>
      <c r="I28" s="431"/>
      <c r="J28" s="432" t="str">
        <f>ادخال1!$CB$8</f>
        <v>2026 /2025م</v>
      </c>
      <c r="K28" s="432"/>
      <c r="L28" s="432"/>
      <c r="M28" s="432"/>
      <c r="N28" s="166" t="s">
        <v>128</v>
      </c>
      <c r="P28" s="165" t="s">
        <v>114</v>
      </c>
      <c r="Q28" s="429" t="str">
        <f>ادخال1!$CA$8</f>
        <v>1446هـ/1447 هـ</v>
      </c>
      <c r="R28" s="429"/>
      <c r="S28" s="429"/>
      <c r="T28" s="429"/>
      <c r="U28" s="430" t="s">
        <v>126</v>
      </c>
      <c r="V28" s="430"/>
      <c r="W28" s="431" t="s">
        <v>127</v>
      </c>
      <c r="X28" s="431"/>
      <c r="Y28" s="432" t="str">
        <f>ادخال1!$CB$8</f>
        <v>2026 /2025م</v>
      </c>
      <c r="Z28" s="432"/>
      <c r="AA28" s="432"/>
      <c r="AB28" s="432"/>
      <c r="AC28" s="166" t="s">
        <v>128</v>
      </c>
      <c r="AE28" s="165" t="s">
        <v>114</v>
      </c>
      <c r="AF28" s="429" t="str">
        <f>ادخال1!$CA$8</f>
        <v>1446هـ/1447 هـ</v>
      </c>
      <c r="AG28" s="429"/>
      <c r="AH28" s="429"/>
      <c r="AI28" s="429"/>
      <c r="AJ28" s="430" t="s">
        <v>126</v>
      </c>
      <c r="AK28" s="430"/>
      <c r="AL28" s="431" t="s">
        <v>127</v>
      </c>
      <c r="AM28" s="431"/>
      <c r="AN28" s="432" t="str">
        <f>ادخال1!$CB$8</f>
        <v>2026 /2025م</v>
      </c>
      <c r="AO28" s="432"/>
      <c r="AP28" s="432"/>
      <c r="AQ28" s="432"/>
      <c r="AR28" s="166" t="s">
        <v>128</v>
      </c>
      <c r="AT28" s="165" t="s">
        <v>114</v>
      </c>
      <c r="AU28" s="429" t="str">
        <f>ادخال1!$CA$8</f>
        <v>1446هـ/1447 هـ</v>
      </c>
      <c r="AV28" s="429"/>
      <c r="AW28" s="429"/>
      <c r="AX28" s="429"/>
      <c r="AY28" s="430" t="s">
        <v>126</v>
      </c>
      <c r="AZ28" s="430"/>
      <c r="BA28" s="431" t="s">
        <v>127</v>
      </c>
      <c r="BB28" s="431"/>
      <c r="BC28" s="432" t="str">
        <f>ادخال1!$CB$8</f>
        <v>2026 /2025م</v>
      </c>
      <c r="BD28" s="432"/>
      <c r="BE28" s="432"/>
      <c r="BF28" s="432"/>
      <c r="BG28" s="166" t="s">
        <v>128</v>
      </c>
    </row>
    <row r="29" spans="1:59" ht="45" customHeight="1">
      <c r="A29" s="329" t="s">
        <v>129</v>
      </c>
      <c r="B29" s="433" t="str">
        <f>ادخال1!$CB$4</f>
        <v>تاجوراء</v>
      </c>
      <c r="C29" s="433"/>
      <c r="D29" s="433"/>
      <c r="E29" s="433"/>
      <c r="F29" s="433"/>
      <c r="G29" s="433"/>
      <c r="H29" s="433"/>
      <c r="I29" s="433"/>
      <c r="J29" s="433"/>
      <c r="K29" s="433"/>
      <c r="L29" s="433"/>
      <c r="M29" s="433"/>
      <c r="N29" s="434"/>
      <c r="P29" s="329" t="s">
        <v>129</v>
      </c>
      <c r="Q29" s="433" t="str">
        <f>ادخال1!$CB$4</f>
        <v>تاجوراء</v>
      </c>
      <c r="R29" s="433"/>
      <c r="S29" s="433"/>
      <c r="T29" s="433"/>
      <c r="U29" s="433"/>
      <c r="V29" s="433"/>
      <c r="W29" s="433"/>
      <c r="X29" s="433"/>
      <c r="Y29" s="433"/>
      <c r="Z29" s="433"/>
      <c r="AA29" s="433"/>
      <c r="AB29" s="433"/>
      <c r="AC29" s="434"/>
      <c r="AE29" s="329" t="s">
        <v>129</v>
      </c>
      <c r="AF29" s="433" t="str">
        <f>ادخال1!$CB$4</f>
        <v>تاجوراء</v>
      </c>
      <c r="AG29" s="433"/>
      <c r="AH29" s="433"/>
      <c r="AI29" s="433"/>
      <c r="AJ29" s="433"/>
      <c r="AK29" s="433"/>
      <c r="AL29" s="433"/>
      <c r="AM29" s="433"/>
      <c r="AN29" s="433"/>
      <c r="AO29" s="433"/>
      <c r="AP29" s="433"/>
      <c r="AQ29" s="433"/>
      <c r="AR29" s="434"/>
      <c r="AT29" s="329" t="s">
        <v>129</v>
      </c>
      <c r="AU29" s="433" t="str">
        <f>ادخال1!$CB$4</f>
        <v>تاجوراء</v>
      </c>
      <c r="AV29" s="433"/>
      <c r="AW29" s="433"/>
      <c r="AX29" s="433"/>
      <c r="AY29" s="433"/>
      <c r="AZ29" s="433"/>
      <c r="BA29" s="433"/>
      <c r="BB29" s="433"/>
      <c r="BC29" s="433"/>
      <c r="BD29" s="433"/>
      <c r="BE29" s="433"/>
      <c r="BF29" s="433"/>
      <c r="BG29" s="434"/>
    </row>
    <row r="30" spans="1:59" ht="45" customHeight="1">
      <c r="A30" s="167" t="s">
        <v>130</v>
      </c>
      <c r="B30" s="422" t="str">
        <f>ادخال1!$BZ$6</f>
        <v xml:space="preserve">مدرسة سهول العلم للتعيم الخاص </v>
      </c>
      <c r="C30" s="422"/>
      <c r="D30" s="422"/>
      <c r="E30" s="422"/>
      <c r="F30" s="422"/>
      <c r="G30" s="422"/>
      <c r="H30" s="422"/>
      <c r="I30" s="422"/>
      <c r="J30" s="428" t="s">
        <v>131</v>
      </c>
      <c r="K30" s="428"/>
      <c r="L30" s="428"/>
      <c r="M30" s="422" t="str">
        <f>ادخال1!$BZ$8</f>
        <v>تاجوراء الجنوبي</v>
      </c>
      <c r="N30" s="423"/>
      <c r="P30" s="167" t="s">
        <v>130</v>
      </c>
      <c r="Q30" s="422" t="str">
        <f>ادخال1!$BZ$6</f>
        <v xml:space="preserve">مدرسة سهول العلم للتعيم الخاص </v>
      </c>
      <c r="R30" s="422"/>
      <c r="S30" s="422"/>
      <c r="T30" s="422"/>
      <c r="U30" s="422"/>
      <c r="V30" s="422"/>
      <c r="W30" s="422"/>
      <c r="X30" s="422"/>
      <c r="Y30" s="428" t="s">
        <v>131</v>
      </c>
      <c r="Z30" s="428"/>
      <c r="AA30" s="428"/>
      <c r="AB30" s="422" t="str">
        <f>ادخال1!$BZ$8</f>
        <v>تاجوراء الجنوبي</v>
      </c>
      <c r="AC30" s="423"/>
      <c r="AE30" s="167" t="s">
        <v>130</v>
      </c>
      <c r="AF30" s="422" t="str">
        <f>ادخال1!$BZ$6</f>
        <v xml:space="preserve">مدرسة سهول العلم للتعيم الخاص </v>
      </c>
      <c r="AG30" s="422"/>
      <c r="AH30" s="422"/>
      <c r="AI30" s="422"/>
      <c r="AJ30" s="422"/>
      <c r="AK30" s="422"/>
      <c r="AL30" s="422"/>
      <c r="AM30" s="422"/>
      <c r="AN30" s="428" t="s">
        <v>131</v>
      </c>
      <c r="AO30" s="428"/>
      <c r="AP30" s="428"/>
      <c r="AQ30" s="422" t="str">
        <f>ادخال1!$BZ$8</f>
        <v>تاجوراء الجنوبي</v>
      </c>
      <c r="AR30" s="423"/>
      <c r="AT30" s="167" t="s">
        <v>130</v>
      </c>
      <c r="AU30" s="422" t="str">
        <f>ادخال1!$BZ$6</f>
        <v xml:space="preserve">مدرسة سهول العلم للتعيم الخاص </v>
      </c>
      <c r="AV30" s="422"/>
      <c r="AW30" s="422"/>
      <c r="AX30" s="422"/>
      <c r="AY30" s="422"/>
      <c r="AZ30" s="422"/>
      <c r="BA30" s="422"/>
      <c r="BB30" s="422"/>
      <c r="BC30" s="428" t="s">
        <v>131</v>
      </c>
      <c r="BD30" s="428"/>
      <c r="BE30" s="428"/>
      <c r="BF30" s="422" t="str">
        <f>ادخال1!$BZ$8</f>
        <v>تاجوراء الجنوبي</v>
      </c>
      <c r="BG30" s="423"/>
    </row>
    <row r="31" spans="1:59" ht="45" customHeight="1">
      <c r="A31" s="167" t="s">
        <v>132</v>
      </c>
      <c r="B31" s="427">
        <f>IFERROR(VLOOKUP(A23,مسلسل,2,0),0)</f>
        <v>0</v>
      </c>
      <c r="C31" s="427">
        <f t="shared" ref="C31" si="28">IFERROR(VLOOKUP(B31,مسلسل,2,0),0)</f>
        <v>0</v>
      </c>
      <c r="D31" s="427">
        <f t="shared" ref="D31" si="29">IFERROR(VLOOKUP(C31,مسلسل,2,0),0)</f>
        <v>0</v>
      </c>
      <c r="E31" s="427">
        <f t="shared" ref="E31" si="30">IFERROR(VLOOKUP(D31,مسلسل,2,0),0)</f>
        <v>0</v>
      </c>
      <c r="F31" s="427">
        <f t="shared" ref="F31" si="31">IFERROR(VLOOKUP(E31,مسلسل,2,0),0)</f>
        <v>0</v>
      </c>
      <c r="G31" s="427">
        <f t="shared" ref="G31" si="32">IFERROR(VLOOKUP(F31,مسلسل,2,0),0)</f>
        <v>0</v>
      </c>
      <c r="H31" s="427">
        <f t="shared" ref="H31" si="33">IFERROR(VLOOKUP(G31,مسلسل,2,0),0)</f>
        <v>0</v>
      </c>
      <c r="I31" s="427">
        <f t="shared" ref="I31" si="34">IFERROR(VLOOKUP(H31,مسلسل,2,0),0)</f>
        <v>0</v>
      </c>
      <c r="J31" s="428" t="s">
        <v>133</v>
      </c>
      <c r="K31" s="428"/>
      <c r="L31" s="428"/>
      <c r="M31" s="422" t="str">
        <f>IFERROR(VLOOKUP(B31,اسماء,63,0),"")</f>
        <v/>
      </c>
      <c r="N31" s="423"/>
      <c r="P31" s="329" t="s">
        <v>132</v>
      </c>
      <c r="Q31" s="427">
        <f>IFERROR(VLOOKUP(P23,مسلسل,2,0),0)</f>
        <v>0</v>
      </c>
      <c r="R31" s="427">
        <f t="shared" ref="R31" si="35">IFERROR(VLOOKUP(Q31,مسلسل,2,0),0)</f>
        <v>0</v>
      </c>
      <c r="S31" s="427">
        <f t="shared" ref="S31" si="36">IFERROR(VLOOKUP(R31,مسلسل,2,0),0)</f>
        <v>0</v>
      </c>
      <c r="T31" s="427">
        <f t="shared" ref="T31" si="37">IFERROR(VLOOKUP(S31,مسلسل,2,0),0)</f>
        <v>0</v>
      </c>
      <c r="U31" s="427">
        <f t="shared" ref="U31" si="38">IFERROR(VLOOKUP(T31,مسلسل,2,0),0)</f>
        <v>0</v>
      </c>
      <c r="V31" s="427">
        <f t="shared" ref="V31" si="39">IFERROR(VLOOKUP(U31,مسلسل,2,0),0)</f>
        <v>0</v>
      </c>
      <c r="W31" s="427">
        <f t="shared" ref="W31" si="40">IFERROR(VLOOKUP(V31,مسلسل,2,0),0)</f>
        <v>0</v>
      </c>
      <c r="X31" s="427">
        <f t="shared" ref="X31" si="41">IFERROR(VLOOKUP(W31,مسلسل,2,0),0)</f>
        <v>0</v>
      </c>
      <c r="Y31" s="428" t="s">
        <v>133</v>
      </c>
      <c r="Z31" s="428"/>
      <c r="AA31" s="428"/>
      <c r="AB31" s="422" t="str">
        <f>IFERROR(VLOOKUP(Q31,اسماء,63,0),"")</f>
        <v/>
      </c>
      <c r="AC31" s="423"/>
      <c r="AE31" s="329" t="s">
        <v>132</v>
      </c>
      <c r="AF31" s="427">
        <f>IFERROR(VLOOKUP(AE23,مسلسل,2,0),0)</f>
        <v>0</v>
      </c>
      <c r="AG31" s="427">
        <f t="shared" ref="AG31" si="42">IFERROR(VLOOKUP(AF31,مسلسل,2,0),0)</f>
        <v>0</v>
      </c>
      <c r="AH31" s="427">
        <f t="shared" ref="AH31" si="43">IFERROR(VLOOKUP(AG31,مسلسل,2,0),0)</f>
        <v>0</v>
      </c>
      <c r="AI31" s="427">
        <f t="shared" ref="AI31" si="44">IFERROR(VLOOKUP(AH31,مسلسل,2,0),0)</f>
        <v>0</v>
      </c>
      <c r="AJ31" s="427">
        <f t="shared" ref="AJ31" si="45">IFERROR(VLOOKUP(AI31,مسلسل,2,0),0)</f>
        <v>0</v>
      </c>
      <c r="AK31" s="427">
        <f t="shared" ref="AK31" si="46">IFERROR(VLOOKUP(AJ31,مسلسل,2,0),0)</f>
        <v>0</v>
      </c>
      <c r="AL31" s="427">
        <f t="shared" ref="AL31" si="47">IFERROR(VLOOKUP(AK31,مسلسل,2,0),0)</f>
        <v>0</v>
      </c>
      <c r="AM31" s="427">
        <f t="shared" ref="AM31" si="48">IFERROR(VLOOKUP(AL31,مسلسل,2,0),0)</f>
        <v>0</v>
      </c>
      <c r="AN31" s="428" t="s">
        <v>133</v>
      </c>
      <c r="AO31" s="428"/>
      <c r="AP31" s="428"/>
      <c r="AQ31" s="422" t="str">
        <f>IFERROR(VLOOKUP(AF31,اسماء,63,0),"")</f>
        <v/>
      </c>
      <c r="AR31" s="423"/>
      <c r="AT31" s="329" t="s">
        <v>132</v>
      </c>
      <c r="AU31" s="427">
        <f>IFERROR(VLOOKUP(AT23,مسلسل,2,0),0)</f>
        <v>0</v>
      </c>
      <c r="AV31" s="427">
        <f t="shared" ref="AV31" si="49">IFERROR(VLOOKUP(AU31,مسلسل,2,0),0)</f>
        <v>0</v>
      </c>
      <c r="AW31" s="427">
        <f t="shared" ref="AW31" si="50">IFERROR(VLOOKUP(AV31,مسلسل,2,0),0)</f>
        <v>0</v>
      </c>
      <c r="AX31" s="427">
        <f t="shared" ref="AX31" si="51">IFERROR(VLOOKUP(AW31,مسلسل,2,0),0)</f>
        <v>0</v>
      </c>
      <c r="AY31" s="427">
        <f t="shared" ref="AY31" si="52">IFERROR(VLOOKUP(AX31,مسلسل,2,0),0)</f>
        <v>0</v>
      </c>
      <c r="AZ31" s="427">
        <f t="shared" ref="AZ31" si="53">IFERROR(VLOOKUP(AY31,مسلسل,2,0),0)</f>
        <v>0</v>
      </c>
      <c r="BA31" s="427">
        <f t="shared" ref="BA31" si="54">IFERROR(VLOOKUP(AZ31,مسلسل,2,0),0)</f>
        <v>0</v>
      </c>
      <c r="BB31" s="427">
        <f t="shared" ref="BB31" si="55">IFERROR(VLOOKUP(BA31,مسلسل,2,0),0)</f>
        <v>0</v>
      </c>
      <c r="BC31" s="428" t="s">
        <v>133</v>
      </c>
      <c r="BD31" s="428"/>
      <c r="BE31" s="428"/>
      <c r="BF31" s="422" t="str">
        <f>IFERROR(VLOOKUP(AU31,اسماء,63,0),"")</f>
        <v/>
      </c>
      <c r="BG31" s="423"/>
    </row>
    <row r="32" spans="1:59" ht="45" customHeight="1">
      <c r="A32" s="167" t="s">
        <v>134</v>
      </c>
      <c r="B32" s="413" t="str">
        <f>IFERROR(VLOOKUP(B31,اسماء,76,0),"")</f>
        <v/>
      </c>
      <c r="C32" s="413"/>
      <c r="D32" s="413"/>
      <c r="E32" s="425" t="str">
        <f>IFERROR(VLOOKUP(B31,اسماء,2,0),"")</f>
        <v/>
      </c>
      <c r="F32" s="425"/>
      <c r="G32" s="425"/>
      <c r="H32" s="425"/>
      <c r="I32" s="426" t="s">
        <v>135</v>
      </c>
      <c r="J32" s="426"/>
      <c r="K32" s="426"/>
      <c r="L32" s="426"/>
      <c r="M32" s="422" t="str">
        <f>IFERROR(VLOOKUP(B31,اسماء,3,0),"")</f>
        <v/>
      </c>
      <c r="N32" s="423"/>
      <c r="P32" s="167" t="s">
        <v>134</v>
      </c>
      <c r="Q32" s="413" t="str">
        <f>IFERROR(VLOOKUP(Q31,اسماء,76,0),"")</f>
        <v/>
      </c>
      <c r="R32" s="413"/>
      <c r="S32" s="413"/>
      <c r="T32" s="425" t="str">
        <f>IFERROR(VLOOKUP(Q31,اسماء,2,0),"")</f>
        <v/>
      </c>
      <c r="U32" s="425"/>
      <c r="V32" s="425"/>
      <c r="W32" s="425"/>
      <c r="X32" s="426" t="s">
        <v>135</v>
      </c>
      <c r="Y32" s="426"/>
      <c r="Z32" s="426"/>
      <c r="AA32" s="426"/>
      <c r="AB32" s="422" t="str">
        <f>IFERROR(VLOOKUP(Q31,اسماء,3,0),"")</f>
        <v/>
      </c>
      <c r="AC32" s="423"/>
      <c r="AE32" s="167" t="s">
        <v>134</v>
      </c>
      <c r="AF32" s="413" t="str">
        <f>IFERROR(VLOOKUP(AF31,اسماء,76,0),"")</f>
        <v/>
      </c>
      <c r="AG32" s="413"/>
      <c r="AH32" s="413"/>
      <c r="AI32" s="425" t="str">
        <f>IFERROR(VLOOKUP(AF31,اسماء,2,0),"")</f>
        <v/>
      </c>
      <c r="AJ32" s="425"/>
      <c r="AK32" s="425"/>
      <c r="AL32" s="425"/>
      <c r="AM32" s="426" t="s">
        <v>135</v>
      </c>
      <c r="AN32" s="426"/>
      <c r="AO32" s="426"/>
      <c r="AP32" s="426"/>
      <c r="AQ32" s="422" t="str">
        <f>IFERROR(VLOOKUP(AF31,اسماء,3,0),"")</f>
        <v/>
      </c>
      <c r="AR32" s="423"/>
      <c r="AT32" s="167" t="s">
        <v>134</v>
      </c>
      <c r="AU32" s="413" t="str">
        <f>IFERROR(VLOOKUP(AU31,اسماء,76,0),"")</f>
        <v/>
      </c>
      <c r="AV32" s="413"/>
      <c r="AW32" s="413"/>
      <c r="AX32" s="425" t="str">
        <f>IFERROR(VLOOKUP(AU31,اسماء,2,0),"")</f>
        <v/>
      </c>
      <c r="AY32" s="425"/>
      <c r="AZ32" s="425"/>
      <c r="BA32" s="425"/>
      <c r="BB32" s="426" t="s">
        <v>135</v>
      </c>
      <c r="BC32" s="426"/>
      <c r="BD32" s="426"/>
      <c r="BE32" s="426"/>
      <c r="BF32" s="422" t="str">
        <f>IFERROR(VLOOKUP(AU31,اسماء,3,0),"")</f>
        <v/>
      </c>
      <c r="BG32" s="423"/>
    </row>
    <row r="33" spans="1:59" ht="35.1" customHeight="1">
      <c r="A33" s="167" t="s">
        <v>136</v>
      </c>
      <c r="B33" s="168" t="str">
        <f>IFERROR(VLOOKUP(B31,اسماء,64,0),"")</f>
        <v/>
      </c>
      <c r="C33" s="168" t="str">
        <f>IFERROR(VLOOKUP(B31,اسماء,65,0),"")</f>
        <v/>
      </c>
      <c r="D33" s="168" t="str">
        <f>IFERROR(VLOOKUP(B31,اسماء,66,0),"")</f>
        <v/>
      </c>
      <c r="E33" s="168" t="str">
        <f>IFERROR(VLOOKUP(B31,اسماء,67,0),"")</f>
        <v/>
      </c>
      <c r="F33" s="168" t="str">
        <f>IFERROR(VLOOKUP(B31,اسماء,68,0),"")</f>
        <v/>
      </c>
      <c r="G33" s="168" t="str">
        <f>IFERROR(VLOOKUP(B31,اسماء,69,0),"")</f>
        <v/>
      </c>
      <c r="H33" s="168" t="str">
        <f>IFERROR(VLOOKUP(B31,اسماء,70,0),"")</f>
        <v/>
      </c>
      <c r="I33" s="168" t="str">
        <f>IFERROR(VLOOKUP(B31,اسماء,71,0),"")</f>
        <v/>
      </c>
      <c r="J33" s="168" t="str">
        <f>IFERROR(VLOOKUP(B31,اسماء,72,0),"")</f>
        <v/>
      </c>
      <c r="K33" s="168" t="str">
        <f>IFERROR(VLOOKUP(B31,اسماء,73,0),"")</f>
        <v/>
      </c>
      <c r="L33" s="168" t="str">
        <f>IFERROR(VLOOKUP(B31,اسماء,74,0),"")</f>
        <v/>
      </c>
      <c r="M33" s="168" t="str">
        <f>IFERROR(VLOOKUP(B31,اسماء,75,0),"")</f>
        <v/>
      </c>
      <c r="N33" s="330"/>
      <c r="P33" s="167" t="s">
        <v>136</v>
      </c>
      <c r="Q33" s="168" t="str">
        <f>IFERROR(VLOOKUP(Q31,اسماء,64,0),"")</f>
        <v/>
      </c>
      <c r="R33" s="168" t="str">
        <f>IFERROR(VLOOKUP(Q31,اسماء,65,0),"")</f>
        <v/>
      </c>
      <c r="S33" s="168" t="str">
        <f>IFERROR(VLOOKUP(Q31,اسماء,66,0),"")</f>
        <v/>
      </c>
      <c r="T33" s="168" t="str">
        <f>IFERROR(VLOOKUP(Q31,اسماء,67,0),"")</f>
        <v/>
      </c>
      <c r="U33" s="168" t="str">
        <f>IFERROR(VLOOKUP(Q31,اسماء,68,0),"")</f>
        <v/>
      </c>
      <c r="V33" s="168" t="str">
        <f>IFERROR(VLOOKUP(Q31,اسماء,69,0),"")</f>
        <v/>
      </c>
      <c r="W33" s="168" t="str">
        <f>IFERROR(VLOOKUP(Q31,اسماء,70,0),"")</f>
        <v/>
      </c>
      <c r="X33" s="168" t="str">
        <f>IFERROR(VLOOKUP(Q31,اسماء,71,0),"")</f>
        <v/>
      </c>
      <c r="Y33" s="168" t="str">
        <f>IFERROR(VLOOKUP(Q31,اسماء,72,0),"")</f>
        <v/>
      </c>
      <c r="Z33" s="168" t="str">
        <f>IFERROR(VLOOKUP(Q31,اسماء,73,0),"")</f>
        <v/>
      </c>
      <c r="AA33" s="168" t="str">
        <f>IFERROR(VLOOKUP(Q31,اسماء,74,0),"")</f>
        <v/>
      </c>
      <c r="AB33" s="168" t="str">
        <f>IFERROR(VLOOKUP(Q31,اسماء,75,0),"")</f>
        <v/>
      </c>
      <c r="AC33" s="330"/>
      <c r="AE33" s="167" t="s">
        <v>136</v>
      </c>
      <c r="AF33" s="168" t="str">
        <f>IFERROR(VLOOKUP(AF31,اسماء,64,0),"")</f>
        <v/>
      </c>
      <c r="AG33" s="168" t="str">
        <f>IFERROR(VLOOKUP(AF31,اسماء,65,0),"")</f>
        <v/>
      </c>
      <c r="AH33" s="168" t="str">
        <f>IFERROR(VLOOKUP(AF31,اسماء,66,0),"")</f>
        <v/>
      </c>
      <c r="AI33" s="168" t="str">
        <f>IFERROR(VLOOKUP(AF31,اسماء,67,0),"")</f>
        <v/>
      </c>
      <c r="AJ33" s="168" t="str">
        <f>IFERROR(VLOOKUP(AF31,اسماء,68,0),"")</f>
        <v/>
      </c>
      <c r="AK33" s="168" t="str">
        <f>IFERROR(VLOOKUP(AF31,اسماء,69,0),"")</f>
        <v/>
      </c>
      <c r="AL33" s="168" t="str">
        <f>IFERROR(VLOOKUP(AF31,اسماء,70,0),"")</f>
        <v/>
      </c>
      <c r="AM33" s="168" t="str">
        <f>IFERROR(VLOOKUP(AF31,اسماء,71,0),"")</f>
        <v/>
      </c>
      <c r="AN33" s="168" t="str">
        <f>IFERROR(VLOOKUP(AF31,اسماء,72,0),"")</f>
        <v/>
      </c>
      <c r="AO33" s="168" t="str">
        <f>IFERROR(VLOOKUP(AF31,اسماء,73,0),"")</f>
        <v/>
      </c>
      <c r="AP33" s="168" t="str">
        <f>IFERROR(VLOOKUP(AF31,اسماء,74,0),"")</f>
        <v/>
      </c>
      <c r="AQ33" s="168" t="str">
        <f>IFERROR(VLOOKUP(AF31,اسماء,75,0),"")</f>
        <v/>
      </c>
      <c r="AR33" s="330"/>
      <c r="AT33" s="167" t="s">
        <v>136</v>
      </c>
      <c r="AU33" s="168" t="str">
        <f>IFERROR(VLOOKUP(AU31,اسماء,64,0),"")</f>
        <v/>
      </c>
      <c r="AV33" s="168" t="str">
        <f>IFERROR(VLOOKUP(AU31,اسماء,65,0),"")</f>
        <v/>
      </c>
      <c r="AW33" s="168" t="str">
        <f>IFERROR(VLOOKUP(AU31,اسماء,66,0),"")</f>
        <v/>
      </c>
      <c r="AX33" s="168" t="str">
        <f>IFERROR(VLOOKUP(AU31,اسماء,67,0),"")</f>
        <v/>
      </c>
      <c r="AY33" s="168" t="str">
        <f>IFERROR(VLOOKUP(AU31,اسماء,68,0),"")</f>
        <v/>
      </c>
      <c r="AZ33" s="168" t="str">
        <f>IFERROR(VLOOKUP(AU31,اسماء,69,0),"")</f>
        <v/>
      </c>
      <c r="BA33" s="168" t="str">
        <f>IFERROR(VLOOKUP(AU31,اسماء,70,0),"")</f>
        <v/>
      </c>
      <c r="BB33" s="168" t="str">
        <f>IFERROR(VLOOKUP(AU31,اسماء,71,0),"")</f>
        <v/>
      </c>
      <c r="BC33" s="168" t="str">
        <f>IFERROR(VLOOKUP(AU31,اسماء,72,0),"")</f>
        <v/>
      </c>
      <c r="BD33" s="168" t="str">
        <f>IFERROR(VLOOKUP(AU31,اسماء,73,0),"")</f>
        <v/>
      </c>
      <c r="BE33" s="168" t="str">
        <f>IFERROR(VLOOKUP(AU31,اسماء,74,0),"")</f>
        <v/>
      </c>
      <c r="BF33" s="168" t="str">
        <f>IFERROR(VLOOKUP(AU31,اسماء,75,0),"")</f>
        <v/>
      </c>
      <c r="BG33" s="330"/>
    </row>
    <row r="34" spans="1:59" ht="45" customHeight="1">
      <c r="A34" s="167" t="s">
        <v>137</v>
      </c>
      <c r="B34" s="424" t="str">
        <f>IFERROR(VLOOKUP(B31,اسماء,77,0),"")</f>
        <v/>
      </c>
      <c r="C34" s="424"/>
      <c r="D34" s="424"/>
      <c r="E34" s="424"/>
      <c r="F34" s="424"/>
      <c r="G34" s="413" t="s">
        <v>138</v>
      </c>
      <c r="H34" s="413"/>
      <c r="I34" s="413" t="s">
        <v>139</v>
      </c>
      <c r="J34" s="413"/>
      <c r="K34" s="422" t="str">
        <f>IFERROR(VLOOKUP(B31,اسماء,78,0),"")</f>
        <v/>
      </c>
      <c r="L34" s="422"/>
      <c r="M34" s="422"/>
      <c r="N34" s="423"/>
      <c r="P34" s="167" t="s">
        <v>137</v>
      </c>
      <c r="Q34" s="424" t="str">
        <f>IFERROR(VLOOKUP(Q31,اسماء,77,0),"")</f>
        <v/>
      </c>
      <c r="R34" s="424"/>
      <c r="S34" s="424"/>
      <c r="T34" s="424"/>
      <c r="U34" s="424"/>
      <c r="V34" s="413" t="s">
        <v>138</v>
      </c>
      <c r="W34" s="413"/>
      <c r="X34" s="413" t="s">
        <v>139</v>
      </c>
      <c r="Y34" s="413"/>
      <c r="Z34" s="422" t="str">
        <f>IFERROR(VLOOKUP(Q31,اسماء,78,0),"")</f>
        <v/>
      </c>
      <c r="AA34" s="422"/>
      <c r="AB34" s="422"/>
      <c r="AC34" s="423"/>
      <c r="AE34" s="167" t="s">
        <v>137</v>
      </c>
      <c r="AF34" s="424" t="str">
        <f>IFERROR(VLOOKUP(AF31,اسماء,77,0),"")</f>
        <v/>
      </c>
      <c r="AG34" s="424"/>
      <c r="AH34" s="424"/>
      <c r="AI34" s="424"/>
      <c r="AJ34" s="424"/>
      <c r="AK34" s="413" t="s">
        <v>138</v>
      </c>
      <c r="AL34" s="413"/>
      <c r="AM34" s="413" t="s">
        <v>139</v>
      </c>
      <c r="AN34" s="413"/>
      <c r="AO34" s="422" t="str">
        <f>IFERROR(VLOOKUP(AF31,اسماء,78,0),"")</f>
        <v/>
      </c>
      <c r="AP34" s="422"/>
      <c r="AQ34" s="422"/>
      <c r="AR34" s="423"/>
      <c r="AT34" s="167" t="s">
        <v>137</v>
      </c>
      <c r="AU34" s="424" t="str">
        <f>IFERROR(VLOOKUP(AU31,اسماء,77,0),"")</f>
        <v/>
      </c>
      <c r="AV34" s="424"/>
      <c r="AW34" s="424"/>
      <c r="AX34" s="424"/>
      <c r="AY34" s="424"/>
      <c r="AZ34" s="413" t="s">
        <v>138</v>
      </c>
      <c r="BA34" s="413"/>
      <c r="BB34" s="413" t="s">
        <v>139</v>
      </c>
      <c r="BC34" s="413"/>
      <c r="BD34" s="422" t="str">
        <f>IFERROR(VLOOKUP(AU31,اسماء,78,0),"")</f>
        <v/>
      </c>
      <c r="BE34" s="422"/>
      <c r="BF34" s="422"/>
      <c r="BG34" s="423"/>
    </row>
    <row r="35" spans="1:59" ht="45" customHeight="1">
      <c r="A35" s="167" t="s">
        <v>140</v>
      </c>
      <c r="B35" s="422" t="str">
        <f>IFERROR(VLOOKUP(B31,اسماء,80,0),"")</f>
        <v/>
      </c>
      <c r="C35" s="422"/>
      <c r="D35" s="422"/>
      <c r="E35" s="422"/>
      <c r="F35" s="422"/>
      <c r="G35" s="413" t="s">
        <v>123</v>
      </c>
      <c r="H35" s="413"/>
      <c r="I35" s="413"/>
      <c r="J35" s="413"/>
      <c r="K35" s="422" t="str">
        <f>IFERROR(VLOOKUP(B31,اسماء,79,0),"")</f>
        <v/>
      </c>
      <c r="L35" s="422"/>
      <c r="M35" s="422"/>
      <c r="N35" s="423"/>
      <c r="P35" s="167" t="s">
        <v>140</v>
      </c>
      <c r="Q35" s="422" t="str">
        <f>IFERROR(VLOOKUP(Q31,اسماء,80,0),"")</f>
        <v/>
      </c>
      <c r="R35" s="422"/>
      <c r="S35" s="422"/>
      <c r="T35" s="422"/>
      <c r="U35" s="422"/>
      <c r="V35" s="413" t="s">
        <v>123</v>
      </c>
      <c r="W35" s="413"/>
      <c r="X35" s="413"/>
      <c r="Y35" s="413"/>
      <c r="Z35" s="422" t="str">
        <f>IFERROR(VLOOKUP(Q31,اسماء,79,0),"")</f>
        <v/>
      </c>
      <c r="AA35" s="422"/>
      <c r="AB35" s="422"/>
      <c r="AC35" s="423"/>
      <c r="AE35" s="167" t="s">
        <v>140</v>
      </c>
      <c r="AF35" s="422" t="str">
        <f>IFERROR(VLOOKUP(AF31,اسماء,80,0),"")</f>
        <v/>
      </c>
      <c r="AG35" s="422"/>
      <c r="AH35" s="422"/>
      <c r="AI35" s="422"/>
      <c r="AJ35" s="422"/>
      <c r="AK35" s="413" t="s">
        <v>123</v>
      </c>
      <c r="AL35" s="413"/>
      <c r="AM35" s="413"/>
      <c r="AN35" s="413"/>
      <c r="AO35" s="422" t="str">
        <f>IFERROR(VLOOKUP(AF31,اسماء,79,0),"")</f>
        <v/>
      </c>
      <c r="AP35" s="422"/>
      <c r="AQ35" s="422"/>
      <c r="AR35" s="423"/>
      <c r="AT35" s="167" t="s">
        <v>140</v>
      </c>
      <c r="AU35" s="422" t="str">
        <f>IFERROR(VLOOKUP(AU31,اسماء,77,0),"")</f>
        <v/>
      </c>
      <c r="AV35" s="422"/>
      <c r="AW35" s="422"/>
      <c r="AX35" s="422"/>
      <c r="AY35" s="422"/>
      <c r="AZ35" s="413" t="s">
        <v>123</v>
      </c>
      <c r="BA35" s="413"/>
      <c r="BB35" s="413"/>
      <c r="BC35" s="413"/>
      <c r="BD35" s="422" t="str">
        <f>IFERROR(VLOOKUP(AU31,اسماء,76,0),"")</f>
        <v/>
      </c>
      <c r="BE35" s="422"/>
      <c r="BF35" s="422"/>
      <c r="BG35" s="423"/>
    </row>
    <row r="36" spans="1:59" ht="45" customHeight="1" thickBot="1">
      <c r="A36" s="416" t="s">
        <v>141</v>
      </c>
      <c r="B36" s="417"/>
      <c r="C36" s="417"/>
      <c r="D36" s="417"/>
      <c r="E36" s="417"/>
      <c r="F36" s="417"/>
      <c r="G36" s="417"/>
      <c r="H36" s="417"/>
      <c r="I36" s="417"/>
      <c r="J36" s="417"/>
      <c r="K36" s="417"/>
      <c r="L36" s="417"/>
      <c r="M36" s="417"/>
      <c r="N36" s="418"/>
      <c r="P36" s="416" t="s">
        <v>141</v>
      </c>
      <c r="Q36" s="417"/>
      <c r="R36" s="417"/>
      <c r="S36" s="417"/>
      <c r="T36" s="417"/>
      <c r="U36" s="417"/>
      <c r="V36" s="417"/>
      <c r="W36" s="417"/>
      <c r="X36" s="417"/>
      <c r="Y36" s="417"/>
      <c r="Z36" s="417"/>
      <c r="AA36" s="417"/>
      <c r="AB36" s="417"/>
      <c r="AC36" s="418"/>
      <c r="AE36" s="416" t="s">
        <v>141</v>
      </c>
      <c r="AF36" s="417"/>
      <c r="AG36" s="417"/>
      <c r="AH36" s="417"/>
      <c r="AI36" s="417"/>
      <c r="AJ36" s="417"/>
      <c r="AK36" s="417"/>
      <c r="AL36" s="417"/>
      <c r="AM36" s="417"/>
      <c r="AN36" s="417"/>
      <c r="AO36" s="417"/>
      <c r="AP36" s="417"/>
      <c r="AQ36" s="417"/>
      <c r="AR36" s="418"/>
      <c r="AT36" s="416" t="s">
        <v>141</v>
      </c>
      <c r="AU36" s="417"/>
      <c r="AV36" s="417"/>
      <c r="AW36" s="417"/>
      <c r="AX36" s="417"/>
      <c r="AY36" s="417"/>
      <c r="AZ36" s="417"/>
      <c r="BA36" s="417"/>
      <c r="BB36" s="417"/>
      <c r="BC36" s="417"/>
      <c r="BD36" s="417"/>
      <c r="BE36" s="417"/>
      <c r="BF36" s="417"/>
      <c r="BG36" s="418"/>
    </row>
    <row r="37" spans="1:59" ht="45" customHeight="1" thickTop="1">
      <c r="A37" s="419" t="s">
        <v>142</v>
      </c>
      <c r="B37" s="420"/>
      <c r="C37" s="420"/>
      <c r="D37" s="420"/>
      <c r="E37" s="420"/>
      <c r="F37" s="420"/>
      <c r="G37" s="420"/>
      <c r="H37" s="420"/>
      <c r="I37" s="420"/>
      <c r="J37" s="420"/>
      <c r="K37" s="420"/>
      <c r="L37" s="420"/>
      <c r="M37" s="420"/>
      <c r="N37" s="421"/>
      <c r="P37" s="419" t="s">
        <v>142</v>
      </c>
      <c r="Q37" s="420"/>
      <c r="R37" s="420"/>
      <c r="S37" s="420"/>
      <c r="T37" s="420"/>
      <c r="U37" s="420"/>
      <c r="V37" s="420"/>
      <c r="W37" s="420"/>
      <c r="X37" s="420"/>
      <c r="Y37" s="420"/>
      <c r="Z37" s="420"/>
      <c r="AA37" s="420"/>
      <c r="AB37" s="420"/>
      <c r="AC37" s="421"/>
      <c r="AE37" s="419" t="s">
        <v>142</v>
      </c>
      <c r="AF37" s="420"/>
      <c r="AG37" s="420"/>
      <c r="AH37" s="420"/>
      <c r="AI37" s="420"/>
      <c r="AJ37" s="420"/>
      <c r="AK37" s="420"/>
      <c r="AL37" s="420"/>
      <c r="AM37" s="420"/>
      <c r="AN37" s="420"/>
      <c r="AO37" s="420"/>
      <c r="AP37" s="420"/>
      <c r="AQ37" s="420"/>
      <c r="AR37" s="421"/>
      <c r="AT37" s="419" t="s">
        <v>142</v>
      </c>
      <c r="AU37" s="420"/>
      <c r="AV37" s="420"/>
      <c r="AW37" s="420"/>
      <c r="AX37" s="420"/>
      <c r="AY37" s="420"/>
      <c r="AZ37" s="420"/>
      <c r="BA37" s="420"/>
      <c r="BB37" s="420"/>
      <c r="BC37" s="420"/>
      <c r="BD37" s="420"/>
      <c r="BE37" s="420"/>
      <c r="BF37" s="420"/>
      <c r="BG37" s="421"/>
    </row>
    <row r="38" spans="1:59" s="58" customFormat="1" ht="33" customHeight="1">
      <c r="A38" s="415" t="s">
        <v>161</v>
      </c>
      <c r="B38" s="413"/>
      <c r="C38" s="413"/>
      <c r="D38" s="413"/>
      <c r="E38" s="413"/>
      <c r="F38" s="413"/>
      <c r="G38" s="413"/>
      <c r="H38" s="413"/>
      <c r="I38" s="413"/>
      <c r="J38" s="413"/>
      <c r="K38" s="413"/>
      <c r="L38" s="413"/>
      <c r="M38" s="413"/>
      <c r="N38" s="414"/>
      <c r="P38" s="415" t="s">
        <v>161</v>
      </c>
      <c r="Q38" s="413"/>
      <c r="R38" s="413"/>
      <c r="S38" s="413"/>
      <c r="T38" s="413"/>
      <c r="U38" s="413"/>
      <c r="V38" s="413"/>
      <c r="W38" s="413"/>
      <c r="X38" s="413"/>
      <c r="Y38" s="413"/>
      <c r="Z38" s="413"/>
      <c r="AA38" s="413"/>
      <c r="AB38" s="413"/>
      <c r="AC38" s="414"/>
      <c r="AE38" s="415" t="s">
        <v>161</v>
      </c>
      <c r="AF38" s="413"/>
      <c r="AG38" s="413"/>
      <c r="AH38" s="413"/>
      <c r="AI38" s="413"/>
      <c r="AJ38" s="413"/>
      <c r="AK38" s="413"/>
      <c r="AL38" s="413"/>
      <c r="AM38" s="413"/>
      <c r="AN38" s="413"/>
      <c r="AO38" s="413"/>
      <c r="AP38" s="413"/>
      <c r="AQ38" s="413"/>
      <c r="AR38" s="414"/>
      <c r="AT38" s="415" t="s">
        <v>161</v>
      </c>
      <c r="AU38" s="413"/>
      <c r="AV38" s="413"/>
      <c r="AW38" s="413"/>
      <c r="AX38" s="413"/>
      <c r="AY38" s="413"/>
      <c r="AZ38" s="413"/>
      <c r="BA38" s="413"/>
      <c r="BB38" s="413"/>
      <c r="BC38" s="413"/>
      <c r="BD38" s="413"/>
      <c r="BE38" s="413"/>
      <c r="BF38" s="413"/>
      <c r="BG38" s="414"/>
    </row>
    <row r="39" spans="1:59" ht="33" customHeight="1">
      <c r="A39" s="411" t="s">
        <v>143</v>
      </c>
      <c r="B39" s="412"/>
      <c r="C39" s="412"/>
      <c r="D39" s="412"/>
      <c r="E39" s="412"/>
      <c r="F39" s="412"/>
      <c r="G39" s="413"/>
      <c r="H39" s="413"/>
      <c r="I39" s="413"/>
      <c r="J39" s="413"/>
      <c r="K39" s="413"/>
      <c r="L39" s="413"/>
      <c r="M39" s="413"/>
      <c r="N39" s="414"/>
      <c r="P39" s="411" t="s">
        <v>143</v>
      </c>
      <c r="Q39" s="412"/>
      <c r="R39" s="412"/>
      <c r="S39" s="412"/>
      <c r="T39" s="412"/>
      <c r="U39" s="412"/>
      <c r="V39" s="413"/>
      <c r="W39" s="413"/>
      <c r="X39" s="413"/>
      <c r="Y39" s="413"/>
      <c r="Z39" s="413"/>
      <c r="AA39" s="413"/>
      <c r="AB39" s="413"/>
      <c r="AC39" s="414"/>
      <c r="AE39" s="411" t="s">
        <v>143</v>
      </c>
      <c r="AF39" s="412"/>
      <c r="AG39" s="412"/>
      <c r="AH39" s="412"/>
      <c r="AI39" s="412"/>
      <c r="AJ39" s="412"/>
      <c r="AK39" s="413"/>
      <c r="AL39" s="413"/>
      <c r="AM39" s="413"/>
      <c r="AN39" s="413"/>
      <c r="AO39" s="413"/>
      <c r="AP39" s="413"/>
      <c r="AQ39" s="413"/>
      <c r="AR39" s="414"/>
      <c r="AT39" s="411" t="s">
        <v>143</v>
      </c>
      <c r="AU39" s="412"/>
      <c r="AV39" s="412"/>
      <c r="AW39" s="412"/>
      <c r="AX39" s="412"/>
      <c r="AY39" s="412"/>
      <c r="AZ39" s="413"/>
      <c r="BA39" s="413"/>
      <c r="BB39" s="413"/>
      <c r="BC39" s="413"/>
      <c r="BD39" s="413"/>
      <c r="BE39" s="413"/>
      <c r="BF39" s="413"/>
      <c r="BG39" s="414"/>
    </row>
    <row r="40" spans="1:59" s="171" customFormat="1" ht="30" customHeight="1">
      <c r="A40" s="167" t="s">
        <v>144</v>
      </c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70" t="s">
        <v>145</v>
      </c>
      <c r="P40" s="167" t="s">
        <v>144</v>
      </c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70" t="s">
        <v>145</v>
      </c>
      <c r="AE40" s="167" t="s">
        <v>144</v>
      </c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70" t="s">
        <v>145</v>
      </c>
      <c r="AT40" s="167" t="s">
        <v>144</v>
      </c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70" t="s">
        <v>145</v>
      </c>
    </row>
    <row r="41" spans="1:59" ht="30" customHeight="1">
      <c r="A41" s="172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73"/>
      <c r="P41" s="172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73"/>
      <c r="AE41" s="172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73"/>
      <c r="AT41" s="172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73"/>
    </row>
    <row r="42" spans="1:59" ht="24.9" customHeight="1">
      <c r="A42" s="17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75"/>
      <c r="P42" s="17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75"/>
      <c r="AE42" s="17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75"/>
      <c r="AT42" s="17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75"/>
    </row>
    <row r="43" spans="1:59" ht="24.9" customHeight="1" thickBot="1">
      <c r="A43" s="176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8"/>
      <c r="P43" s="176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8"/>
      <c r="AE43" s="176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8"/>
      <c r="AT43" s="176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8"/>
    </row>
    <row r="44" spans="1:59" ht="15" thickTop="1" thickBot="1"/>
    <row r="45" spans="1:59" s="164" customFormat="1" ht="39.9" customHeight="1" thickTop="1">
      <c r="A45" s="162">
        <f>A23-1</f>
        <v>-1</v>
      </c>
      <c r="B45" s="447" t="s">
        <v>38</v>
      </c>
      <c r="C45" s="447"/>
      <c r="D45" s="447"/>
      <c r="E45" s="447"/>
      <c r="F45" s="447"/>
      <c r="G45" s="447"/>
      <c r="H45" s="447"/>
      <c r="I45" s="447"/>
      <c r="J45" s="447"/>
      <c r="K45" s="447"/>
      <c r="L45" s="447"/>
      <c r="M45" s="447"/>
      <c r="N45" s="163"/>
      <c r="P45" s="162">
        <f>P23-1</f>
        <v>-6</v>
      </c>
      <c r="Q45" s="447" t="s">
        <v>38</v>
      </c>
      <c r="R45" s="447"/>
      <c r="S45" s="447"/>
      <c r="T45" s="447"/>
      <c r="U45" s="447"/>
      <c r="V45" s="447"/>
      <c r="W45" s="447"/>
      <c r="X45" s="447"/>
      <c r="Y45" s="447"/>
      <c r="Z45" s="447"/>
      <c r="AA45" s="447"/>
      <c r="AB45" s="447"/>
      <c r="AC45" s="163"/>
      <c r="AE45" s="162">
        <f>AE23-1</f>
        <v>-11</v>
      </c>
      <c r="AF45" s="447" t="s">
        <v>38</v>
      </c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163"/>
      <c r="AT45" s="162">
        <f>AT23-1</f>
        <v>-16</v>
      </c>
      <c r="AU45" s="447" t="s">
        <v>38</v>
      </c>
      <c r="AV45" s="447"/>
      <c r="AW45" s="447"/>
      <c r="AX45" s="447"/>
      <c r="AY45" s="447"/>
      <c r="AZ45" s="447"/>
      <c r="BA45" s="447"/>
      <c r="BB45" s="447"/>
      <c r="BC45" s="447"/>
      <c r="BD45" s="447"/>
      <c r="BE45" s="447"/>
      <c r="BF45" s="447"/>
      <c r="BG45" s="163"/>
    </row>
    <row r="46" spans="1:59" s="164" customFormat="1" ht="39.9" customHeight="1">
      <c r="A46" s="441" t="s">
        <v>39</v>
      </c>
      <c r="B46" s="442"/>
      <c r="C46" s="442"/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3"/>
      <c r="P46" s="441" t="s">
        <v>39</v>
      </c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3"/>
      <c r="AE46" s="441" t="s">
        <v>39</v>
      </c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3"/>
      <c r="AT46" s="441" t="s">
        <v>39</v>
      </c>
      <c r="AU46" s="442"/>
      <c r="AV46" s="442"/>
      <c r="AW46" s="442"/>
      <c r="AX46" s="442"/>
      <c r="AY46" s="442"/>
      <c r="AZ46" s="442"/>
      <c r="BA46" s="442"/>
      <c r="BB46" s="442"/>
      <c r="BC46" s="442"/>
      <c r="BD46" s="442"/>
      <c r="BE46" s="442"/>
      <c r="BF46" s="442"/>
      <c r="BG46" s="443"/>
    </row>
    <row r="47" spans="1:59" s="164" customFormat="1" ht="39.9" customHeight="1">
      <c r="A47" s="444" t="s">
        <v>162</v>
      </c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6"/>
      <c r="P47" s="444" t="s">
        <v>162</v>
      </c>
      <c r="Q47" s="445"/>
      <c r="R47" s="445"/>
      <c r="S47" s="445"/>
      <c r="T47" s="445"/>
      <c r="U47" s="445"/>
      <c r="V47" s="445"/>
      <c r="W47" s="445"/>
      <c r="X47" s="445"/>
      <c r="Y47" s="445"/>
      <c r="Z47" s="445"/>
      <c r="AA47" s="445"/>
      <c r="AB47" s="445"/>
      <c r="AC47" s="446"/>
      <c r="AE47" s="444" t="s">
        <v>162</v>
      </c>
      <c r="AF47" s="445"/>
      <c r="AG47" s="445"/>
      <c r="AH47" s="445"/>
      <c r="AI47" s="445"/>
      <c r="AJ47" s="445"/>
      <c r="AK47" s="445"/>
      <c r="AL47" s="445"/>
      <c r="AM47" s="445"/>
      <c r="AN47" s="445"/>
      <c r="AO47" s="445"/>
      <c r="AP47" s="445"/>
      <c r="AQ47" s="445"/>
      <c r="AR47" s="446"/>
      <c r="AT47" s="444" t="s">
        <v>162</v>
      </c>
      <c r="AU47" s="445"/>
      <c r="AV47" s="445"/>
      <c r="AW47" s="445"/>
      <c r="AX47" s="445"/>
      <c r="AY47" s="445"/>
      <c r="AZ47" s="445"/>
      <c r="BA47" s="445"/>
      <c r="BB47" s="445"/>
      <c r="BC47" s="445"/>
      <c r="BD47" s="445"/>
      <c r="BE47" s="445"/>
      <c r="BF47" s="445"/>
      <c r="BG47" s="446"/>
    </row>
    <row r="48" spans="1:59" s="164" customFormat="1" ht="39.9" customHeight="1">
      <c r="A48" s="435" t="s">
        <v>124</v>
      </c>
      <c r="B48" s="436"/>
      <c r="C48" s="436"/>
      <c r="D48" s="436"/>
      <c r="E48" s="436"/>
      <c r="F48" s="436"/>
      <c r="G48" s="436"/>
      <c r="H48" s="436"/>
      <c r="I48" s="436"/>
      <c r="J48" s="436"/>
      <c r="K48" s="437" t="str">
        <f>ادخال1!$CD$7</f>
        <v>الاساسي</v>
      </c>
      <c r="L48" s="437"/>
      <c r="M48" s="437"/>
      <c r="N48" s="438"/>
      <c r="P48" s="435" t="s">
        <v>124</v>
      </c>
      <c r="Q48" s="436"/>
      <c r="R48" s="436"/>
      <c r="S48" s="436"/>
      <c r="T48" s="436"/>
      <c r="U48" s="436"/>
      <c r="V48" s="436"/>
      <c r="W48" s="436"/>
      <c r="X48" s="436"/>
      <c r="Y48" s="436"/>
      <c r="Z48" s="437" t="str">
        <f>ادخال1!$CD$7</f>
        <v>الاساسي</v>
      </c>
      <c r="AA48" s="437"/>
      <c r="AB48" s="437"/>
      <c r="AC48" s="438"/>
      <c r="AE48" s="435" t="s">
        <v>124</v>
      </c>
      <c r="AF48" s="436"/>
      <c r="AG48" s="436"/>
      <c r="AH48" s="436"/>
      <c r="AI48" s="436"/>
      <c r="AJ48" s="436"/>
      <c r="AK48" s="436"/>
      <c r="AL48" s="436"/>
      <c r="AM48" s="436"/>
      <c r="AN48" s="436"/>
      <c r="AO48" s="437" t="str">
        <f>ادخال1!$CD$7</f>
        <v>الاساسي</v>
      </c>
      <c r="AP48" s="437"/>
      <c r="AQ48" s="437"/>
      <c r="AR48" s="438"/>
      <c r="AT48" s="435" t="s">
        <v>124</v>
      </c>
      <c r="AU48" s="436"/>
      <c r="AV48" s="436"/>
      <c r="AW48" s="436"/>
      <c r="AX48" s="436"/>
      <c r="AY48" s="436"/>
      <c r="AZ48" s="436"/>
      <c r="BA48" s="436"/>
      <c r="BB48" s="436"/>
      <c r="BC48" s="436"/>
      <c r="BD48" s="437" t="str">
        <f>ادخال1!$CD$7</f>
        <v>الاساسي</v>
      </c>
      <c r="BE48" s="437"/>
      <c r="BF48" s="437"/>
      <c r="BG48" s="438"/>
    </row>
    <row r="49" spans="1:59" s="164" customFormat="1" ht="39.9" customHeight="1">
      <c r="A49" s="435" t="s">
        <v>125</v>
      </c>
      <c r="B49" s="436"/>
      <c r="C49" s="436"/>
      <c r="D49" s="436"/>
      <c r="E49" s="436"/>
      <c r="F49" s="436"/>
      <c r="G49" s="439" t="str">
        <f>ادخال1!$CB$5</f>
        <v>الثاني الابتدائي</v>
      </c>
      <c r="H49" s="439"/>
      <c r="I49" s="439"/>
      <c r="J49" s="439"/>
      <c r="K49" s="439"/>
      <c r="L49" s="439"/>
      <c r="M49" s="439"/>
      <c r="N49" s="440"/>
      <c r="P49" s="435" t="s">
        <v>125</v>
      </c>
      <c r="Q49" s="436"/>
      <c r="R49" s="436"/>
      <c r="S49" s="436"/>
      <c r="T49" s="436"/>
      <c r="U49" s="436"/>
      <c r="V49" s="439" t="str">
        <f>ادخال1!$CB$5</f>
        <v>الثاني الابتدائي</v>
      </c>
      <c r="W49" s="439"/>
      <c r="X49" s="439"/>
      <c r="Y49" s="439"/>
      <c r="Z49" s="439"/>
      <c r="AA49" s="439"/>
      <c r="AB49" s="439"/>
      <c r="AC49" s="440"/>
      <c r="AE49" s="435" t="s">
        <v>125</v>
      </c>
      <c r="AF49" s="436"/>
      <c r="AG49" s="436"/>
      <c r="AH49" s="436"/>
      <c r="AI49" s="436"/>
      <c r="AJ49" s="436"/>
      <c r="AK49" s="439" t="str">
        <f>ادخال1!$CB$5</f>
        <v>الثاني الابتدائي</v>
      </c>
      <c r="AL49" s="439"/>
      <c r="AM49" s="439"/>
      <c r="AN49" s="439"/>
      <c r="AO49" s="439"/>
      <c r="AP49" s="439"/>
      <c r="AQ49" s="439"/>
      <c r="AR49" s="440"/>
      <c r="AT49" s="435" t="s">
        <v>125</v>
      </c>
      <c r="AU49" s="436"/>
      <c r="AV49" s="436"/>
      <c r="AW49" s="436"/>
      <c r="AX49" s="436"/>
      <c r="AY49" s="436"/>
      <c r="AZ49" s="439" t="str">
        <f>ادخال1!$CB$5</f>
        <v>الثاني الابتدائي</v>
      </c>
      <c r="BA49" s="439"/>
      <c r="BB49" s="439"/>
      <c r="BC49" s="439"/>
      <c r="BD49" s="439"/>
      <c r="BE49" s="439"/>
      <c r="BF49" s="439"/>
      <c r="BG49" s="440"/>
    </row>
    <row r="50" spans="1:59" s="164" customFormat="1" ht="39.9" customHeight="1">
      <c r="A50" s="165" t="s">
        <v>114</v>
      </c>
      <c r="B50" s="429" t="str">
        <f>ادخال1!$CA$8</f>
        <v>1446هـ/1447 هـ</v>
      </c>
      <c r="C50" s="429"/>
      <c r="D50" s="429"/>
      <c r="E50" s="429"/>
      <c r="F50" s="430" t="s">
        <v>126</v>
      </c>
      <c r="G50" s="430"/>
      <c r="H50" s="431" t="s">
        <v>127</v>
      </c>
      <c r="I50" s="431"/>
      <c r="J50" s="432" t="str">
        <f>ادخال1!$CB$8</f>
        <v>2026 /2025م</v>
      </c>
      <c r="K50" s="432"/>
      <c r="L50" s="432"/>
      <c r="M50" s="432"/>
      <c r="N50" s="166" t="s">
        <v>128</v>
      </c>
      <c r="P50" s="165" t="s">
        <v>114</v>
      </c>
      <c r="Q50" s="429" t="str">
        <f>ادخال1!$CA$8</f>
        <v>1446هـ/1447 هـ</v>
      </c>
      <c r="R50" s="429"/>
      <c r="S50" s="429"/>
      <c r="T50" s="429"/>
      <c r="U50" s="430" t="s">
        <v>126</v>
      </c>
      <c r="V50" s="430"/>
      <c r="W50" s="431" t="s">
        <v>127</v>
      </c>
      <c r="X50" s="431"/>
      <c r="Y50" s="432" t="str">
        <f>ادخال1!$CB$8</f>
        <v>2026 /2025م</v>
      </c>
      <c r="Z50" s="432"/>
      <c r="AA50" s="432"/>
      <c r="AB50" s="432"/>
      <c r="AC50" s="166" t="s">
        <v>128</v>
      </c>
      <c r="AE50" s="165" t="s">
        <v>114</v>
      </c>
      <c r="AF50" s="429" t="str">
        <f>ادخال1!$CA$8</f>
        <v>1446هـ/1447 هـ</v>
      </c>
      <c r="AG50" s="429"/>
      <c r="AH50" s="429"/>
      <c r="AI50" s="429"/>
      <c r="AJ50" s="430" t="s">
        <v>126</v>
      </c>
      <c r="AK50" s="430"/>
      <c r="AL50" s="431" t="s">
        <v>127</v>
      </c>
      <c r="AM50" s="431"/>
      <c r="AN50" s="432" t="str">
        <f>ادخال1!$CB$8</f>
        <v>2026 /2025م</v>
      </c>
      <c r="AO50" s="432"/>
      <c r="AP50" s="432"/>
      <c r="AQ50" s="432"/>
      <c r="AR50" s="166" t="s">
        <v>128</v>
      </c>
      <c r="AT50" s="165" t="s">
        <v>114</v>
      </c>
      <c r="AU50" s="429" t="str">
        <f>ادخال1!$CA$8</f>
        <v>1446هـ/1447 هـ</v>
      </c>
      <c r="AV50" s="429"/>
      <c r="AW50" s="429"/>
      <c r="AX50" s="429"/>
      <c r="AY50" s="430" t="s">
        <v>126</v>
      </c>
      <c r="AZ50" s="430"/>
      <c r="BA50" s="431" t="s">
        <v>127</v>
      </c>
      <c r="BB50" s="431"/>
      <c r="BC50" s="432" t="str">
        <f>ادخال1!$CB$8</f>
        <v>2026 /2025م</v>
      </c>
      <c r="BD50" s="432"/>
      <c r="BE50" s="432"/>
      <c r="BF50" s="432"/>
      <c r="BG50" s="166" t="s">
        <v>128</v>
      </c>
    </row>
    <row r="51" spans="1:59" ht="45" customHeight="1">
      <c r="A51" s="329" t="s">
        <v>129</v>
      </c>
      <c r="B51" s="433" t="str">
        <f>ادخال1!$CB$4</f>
        <v>تاجوراء</v>
      </c>
      <c r="C51" s="433"/>
      <c r="D51" s="433"/>
      <c r="E51" s="433"/>
      <c r="F51" s="433"/>
      <c r="G51" s="433"/>
      <c r="H51" s="433"/>
      <c r="I51" s="433"/>
      <c r="J51" s="433"/>
      <c r="K51" s="433"/>
      <c r="L51" s="433"/>
      <c r="M51" s="433"/>
      <c r="N51" s="434"/>
      <c r="P51" s="329" t="s">
        <v>129</v>
      </c>
      <c r="Q51" s="433" t="str">
        <f>ادخال1!$CB$4</f>
        <v>تاجوراء</v>
      </c>
      <c r="R51" s="433"/>
      <c r="S51" s="433"/>
      <c r="T51" s="433"/>
      <c r="U51" s="433"/>
      <c r="V51" s="433"/>
      <c r="W51" s="433"/>
      <c r="X51" s="433"/>
      <c r="Y51" s="433"/>
      <c r="Z51" s="433"/>
      <c r="AA51" s="433"/>
      <c r="AB51" s="433"/>
      <c r="AC51" s="434"/>
      <c r="AE51" s="329" t="s">
        <v>129</v>
      </c>
      <c r="AF51" s="433" t="str">
        <f>ادخال1!$CB$4</f>
        <v>تاجوراء</v>
      </c>
      <c r="AG51" s="433"/>
      <c r="AH51" s="433"/>
      <c r="AI51" s="433"/>
      <c r="AJ51" s="433"/>
      <c r="AK51" s="433"/>
      <c r="AL51" s="433"/>
      <c r="AM51" s="433"/>
      <c r="AN51" s="433"/>
      <c r="AO51" s="433"/>
      <c r="AP51" s="433"/>
      <c r="AQ51" s="433"/>
      <c r="AR51" s="434"/>
      <c r="AT51" s="329" t="s">
        <v>129</v>
      </c>
      <c r="AU51" s="433" t="str">
        <f>ادخال1!$CB$4</f>
        <v>تاجوراء</v>
      </c>
      <c r="AV51" s="433"/>
      <c r="AW51" s="433"/>
      <c r="AX51" s="433"/>
      <c r="AY51" s="433"/>
      <c r="AZ51" s="433"/>
      <c r="BA51" s="433"/>
      <c r="BB51" s="433"/>
      <c r="BC51" s="433"/>
      <c r="BD51" s="433"/>
      <c r="BE51" s="433"/>
      <c r="BF51" s="433"/>
      <c r="BG51" s="434"/>
    </row>
    <row r="52" spans="1:59" ht="45" customHeight="1">
      <c r="A52" s="167" t="s">
        <v>130</v>
      </c>
      <c r="B52" s="422" t="str">
        <f>ادخال1!$BZ$6</f>
        <v xml:space="preserve">مدرسة سهول العلم للتعيم الخاص </v>
      </c>
      <c r="C52" s="422"/>
      <c r="D52" s="422"/>
      <c r="E52" s="422"/>
      <c r="F52" s="422"/>
      <c r="G52" s="422"/>
      <c r="H52" s="422"/>
      <c r="I52" s="422"/>
      <c r="J52" s="428" t="s">
        <v>131</v>
      </c>
      <c r="K52" s="428"/>
      <c r="L52" s="428"/>
      <c r="M52" s="422" t="str">
        <f>ادخال1!$BZ$8</f>
        <v>تاجوراء الجنوبي</v>
      </c>
      <c r="N52" s="423"/>
      <c r="P52" s="167" t="s">
        <v>130</v>
      </c>
      <c r="Q52" s="422" t="str">
        <f>ادخال1!$BZ$6</f>
        <v xml:space="preserve">مدرسة سهول العلم للتعيم الخاص </v>
      </c>
      <c r="R52" s="422"/>
      <c r="S52" s="422"/>
      <c r="T52" s="422"/>
      <c r="U52" s="422"/>
      <c r="V52" s="422"/>
      <c r="W52" s="422"/>
      <c r="X52" s="422"/>
      <c r="Y52" s="428" t="s">
        <v>131</v>
      </c>
      <c r="Z52" s="428"/>
      <c r="AA52" s="428"/>
      <c r="AB52" s="422" t="str">
        <f>ادخال1!$BZ$8</f>
        <v>تاجوراء الجنوبي</v>
      </c>
      <c r="AC52" s="423"/>
      <c r="AE52" s="167" t="s">
        <v>130</v>
      </c>
      <c r="AF52" s="422" t="str">
        <f>ادخال1!$BZ$6</f>
        <v xml:space="preserve">مدرسة سهول العلم للتعيم الخاص </v>
      </c>
      <c r="AG52" s="422"/>
      <c r="AH52" s="422"/>
      <c r="AI52" s="422"/>
      <c r="AJ52" s="422"/>
      <c r="AK52" s="422"/>
      <c r="AL52" s="422"/>
      <c r="AM52" s="422"/>
      <c r="AN52" s="428" t="s">
        <v>131</v>
      </c>
      <c r="AO52" s="428"/>
      <c r="AP52" s="428"/>
      <c r="AQ52" s="422" t="str">
        <f>ادخال1!$BZ$8</f>
        <v>تاجوراء الجنوبي</v>
      </c>
      <c r="AR52" s="423"/>
      <c r="AT52" s="167" t="s">
        <v>130</v>
      </c>
      <c r="AU52" s="422" t="str">
        <f>ادخال1!$BZ$6</f>
        <v xml:space="preserve">مدرسة سهول العلم للتعيم الخاص </v>
      </c>
      <c r="AV52" s="422"/>
      <c r="AW52" s="422"/>
      <c r="AX52" s="422"/>
      <c r="AY52" s="422"/>
      <c r="AZ52" s="422"/>
      <c r="BA52" s="422"/>
      <c r="BB52" s="422"/>
      <c r="BC52" s="428" t="s">
        <v>131</v>
      </c>
      <c r="BD52" s="428"/>
      <c r="BE52" s="428"/>
      <c r="BF52" s="422" t="str">
        <f>ادخال1!$BZ$8</f>
        <v>تاجوراء الجنوبي</v>
      </c>
      <c r="BG52" s="423"/>
    </row>
    <row r="53" spans="1:59" ht="45" customHeight="1">
      <c r="A53" s="167" t="s">
        <v>132</v>
      </c>
      <c r="B53" s="427">
        <f>IFERROR(VLOOKUP(A45,مسلسل,2,0),0)</f>
        <v>0</v>
      </c>
      <c r="C53" s="427">
        <f t="shared" ref="C53" si="56">IFERROR(VLOOKUP(B53,مسلسل,2,0),0)</f>
        <v>0</v>
      </c>
      <c r="D53" s="427">
        <f t="shared" ref="D53" si="57">IFERROR(VLOOKUP(C53,مسلسل,2,0),0)</f>
        <v>0</v>
      </c>
      <c r="E53" s="427">
        <f t="shared" ref="E53" si="58">IFERROR(VLOOKUP(D53,مسلسل,2,0),0)</f>
        <v>0</v>
      </c>
      <c r="F53" s="427">
        <f t="shared" ref="F53" si="59">IFERROR(VLOOKUP(E53,مسلسل,2,0),0)</f>
        <v>0</v>
      </c>
      <c r="G53" s="427">
        <f t="shared" ref="G53" si="60">IFERROR(VLOOKUP(F53,مسلسل,2,0),0)</f>
        <v>0</v>
      </c>
      <c r="H53" s="427">
        <f t="shared" ref="H53" si="61">IFERROR(VLOOKUP(G53,مسلسل,2,0),0)</f>
        <v>0</v>
      </c>
      <c r="I53" s="427">
        <f t="shared" ref="I53" si="62">IFERROR(VLOOKUP(H53,مسلسل,2,0),0)</f>
        <v>0</v>
      </c>
      <c r="J53" s="428" t="s">
        <v>133</v>
      </c>
      <c r="K53" s="428"/>
      <c r="L53" s="428"/>
      <c r="M53" s="422" t="str">
        <f>IFERROR(VLOOKUP(B53,اسماء,63,0),"")</f>
        <v/>
      </c>
      <c r="N53" s="423"/>
      <c r="P53" s="329" t="s">
        <v>132</v>
      </c>
      <c r="Q53" s="427">
        <f>IFERROR(VLOOKUP(P45,مسلسل,2,0),0)</f>
        <v>0</v>
      </c>
      <c r="R53" s="427">
        <f t="shared" ref="R53" si="63">IFERROR(VLOOKUP(Q53,مسلسل,2,0),0)</f>
        <v>0</v>
      </c>
      <c r="S53" s="427">
        <f t="shared" ref="S53" si="64">IFERROR(VLOOKUP(R53,مسلسل,2,0),0)</f>
        <v>0</v>
      </c>
      <c r="T53" s="427">
        <f t="shared" ref="T53" si="65">IFERROR(VLOOKUP(S53,مسلسل,2,0),0)</f>
        <v>0</v>
      </c>
      <c r="U53" s="427">
        <f t="shared" ref="U53" si="66">IFERROR(VLOOKUP(T53,مسلسل,2,0),0)</f>
        <v>0</v>
      </c>
      <c r="V53" s="427">
        <f t="shared" ref="V53" si="67">IFERROR(VLOOKUP(U53,مسلسل,2,0),0)</f>
        <v>0</v>
      </c>
      <c r="W53" s="427">
        <f t="shared" ref="W53" si="68">IFERROR(VLOOKUP(V53,مسلسل,2,0),0)</f>
        <v>0</v>
      </c>
      <c r="X53" s="427">
        <f t="shared" ref="X53" si="69">IFERROR(VLOOKUP(W53,مسلسل,2,0),0)</f>
        <v>0</v>
      </c>
      <c r="Y53" s="428" t="s">
        <v>133</v>
      </c>
      <c r="Z53" s="428"/>
      <c r="AA53" s="428"/>
      <c r="AB53" s="422" t="str">
        <f>IFERROR(VLOOKUP(Q53,اسماء,63,0),"")</f>
        <v/>
      </c>
      <c r="AC53" s="423"/>
      <c r="AE53" s="329" t="s">
        <v>132</v>
      </c>
      <c r="AF53" s="427">
        <f>IFERROR(VLOOKUP(AE45,مسلسل,2,0),0)</f>
        <v>0</v>
      </c>
      <c r="AG53" s="427">
        <f t="shared" ref="AG53" si="70">IFERROR(VLOOKUP(AF53,مسلسل,2,0),0)</f>
        <v>0</v>
      </c>
      <c r="AH53" s="427">
        <f t="shared" ref="AH53" si="71">IFERROR(VLOOKUP(AG53,مسلسل,2,0),0)</f>
        <v>0</v>
      </c>
      <c r="AI53" s="427">
        <f t="shared" ref="AI53" si="72">IFERROR(VLOOKUP(AH53,مسلسل,2,0),0)</f>
        <v>0</v>
      </c>
      <c r="AJ53" s="427">
        <f t="shared" ref="AJ53" si="73">IFERROR(VLOOKUP(AI53,مسلسل,2,0),0)</f>
        <v>0</v>
      </c>
      <c r="AK53" s="427">
        <f t="shared" ref="AK53" si="74">IFERROR(VLOOKUP(AJ53,مسلسل,2,0),0)</f>
        <v>0</v>
      </c>
      <c r="AL53" s="427">
        <f t="shared" ref="AL53" si="75">IFERROR(VLOOKUP(AK53,مسلسل,2,0),0)</f>
        <v>0</v>
      </c>
      <c r="AM53" s="427">
        <f t="shared" ref="AM53" si="76">IFERROR(VLOOKUP(AL53,مسلسل,2,0),0)</f>
        <v>0</v>
      </c>
      <c r="AN53" s="428" t="s">
        <v>133</v>
      </c>
      <c r="AO53" s="428"/>
      <c r="AP53" s="428"/>
      <c r="AQ53" s="422" t="str">
        <f>IFERROR(VLOOKUP(AF53,اسماء,63,0),"")</f>
        <v/>
      </c>
      <c r="AR53" s="423"/>
      <c r="AT53" s="329" t="s">
        <v>132</v>
      </c>
      <c r="AU53" s="427">
        <f>IFERROR(VLOOKUP(AT45,مسلسل,2,0),0)</f>
        <v>0</v>
      </c>
      <c r="AV53" s="427">
        <f t="shared" ref="AV53" si="77">IFERROR(VLOOKUP(AU53,مسلسل,2,0),0)</f>
        <v>0</v>
      </c>
      <c r="AW53" s="427">
        <f t="shared" ref="AW53" si="78">IFERROR(VLOOKUP(AV53,مسلسل,2,0),0)</f>
        <v>0</v>
      </c>
      <c r="AX53" s="427">
        <f t="shared" ref="AX53" si="79">IFERROR(VLOOKUP(AW53,مسلسل,2,0),0)</f>
        <v>0</v>
      </c>
      <c r="AY53" s="427">
        <f t="shared" ref="AY53" si="80">IFERROR(VLOOKUP(AX53,مسلسل,2,0),0)</f>
        <v>0</v>
      </c>
      <c r="AZ53" s="427">
        <f t="shared" ref="AZ53" si="81">IFERROR(VLOOKUP(AY53,مسلسل,2,0),0)</f>
        <v>0</v>
      </c>
      <c r="BA53" s="427">
        <f t="shared" ref="BA53" si="82">IFERROR(VLOOKUP(AZ53,مسلسل,2,0),0)</f>
        <v>0</v>
      </c>
      <c r="BB53" s="427">
        <f t="shared" ref="BB53" si="83">IFERROR(VLOOKUP(BA53,مسلسل,2,0),0)</f>
        <v>0</v>
      </c>
      <c r="BC53" s="428" t="s">
        <v>133</v>
      </c>
      <c r="BD53" s="428"/>
      <c r="BE53" s="428"/>
      <c r="BF53" s="422" t="str">
        <f>IFERROR(VLOOKUP(AU53,اسماء,63,0),"")</f>
        <v/>
      </c>
      <c r="BG53" s="423"/>
    </row>
    <row r="54" spans="1:59" ht="45" customHeight="1">
      <c r="A54" s="167" t="s">
        <v>134</v>
      </c>
      <c r="B54" s="413" t="str">
        <f>IFERROR(VLOOKUP(B53,اسماء,76,0),"")</f>
        <v/>
      </c>
      <c r="C54" s="413"/>
      <c r="D54" s="413"/>
      <c r="E54" s="425" t="str">
        <f>IFERROR(VLOOKUP(B53,اسماء,2,0),"")</f>
        <v/>
      </c>
      <c r="F54" s="425"/>
      <c r="G54" s="425"/>
      <c r="H54" s="425"/>
      <c r="I54" s="426" t="s">
        <v>135</v>
      </c>
      <c r="J54" s="426"/>
      <c r="K54" s="426"/>
      <c r="L54" s="426"/>
      <c r="M54" s="422" t="str">
        <f>IFERROR(VLOOKUP(B53,اسماء,3,0),"")</f>
        <v/>
      </c>
      <c r="N54" s="423"/>
      <c r="P54" s="167" t="s">
        <v>134</v>
      </c>
      <c r="Q54" s="413" t="str">
        <f>IFERROR(VLOOKUP(Q53,اسماء,76,0),"")</f>
        <v/>
      </c>
      <c r="R54" s="413"/>
      <c r="S54" s="413"/>
      <c r="T54" s="425" t="str">
        <f>IFERROR(VLOOKUP(Q53,اسماء,2,0),"")</f>
        <v/>
      </c>
      <c r="U54" s="425"/>
      <c r="V54" s="425"/>
      <c r="W54" s="425"/>
      <c r="X54" s="426" t="s">
        <v>135</v>
      </c>
      <c r="Y54" s="426"/>
      <c r="Z54" s="426"/>
      <c r="AA54" s="426"/>
      <c r="AB54" s="422" t="str">
        <f>IFERROR(VLOOKUP(Q53,اسماء,3,0),"")</f>
        <v/>
      </c>
      <c r="AC54" s="423"/>
      <c r="AE54" s="167" t="s">
        <v>134</v>
      </c>
      <c r="AF54" s="413" t="str">
        <f>IFERROR(VLOOKUP(AF53,اسماء,76,0),"")</f>
        <v/>
      </c>
      <c r="AG54" s="413"/>
      <c r="AH54" s="413"/>
      <c r="AI54" s="425" t="str">
        <f>IFERROR(VLOOKUP(AF53,اسماء,2,0),"")</f>
        <v/>
      </c>
      <c r="AJ54" s="425"/>
      <c r="AK54" s="425"/>
      <c r="AL54" s="425"/>
      <c r="AM54" s="426" t="s">
        <v>135</v>
      </c>
      <c r="AN54" s="426"/>
      <c r="AO54" s="426"/>
      <c r="AP54" s="426"/>
      <c r="AQ54" s="422" t="str">
        <f>IFERROR(VLOOKUP(AF53,اسماء,3,0),"")</f>
        <v/>
      </c>
      <c r="AR54" s="423"/>
      <c r="AT54" s="167" t="s">
        <v>134</v>
      </c>
      <c r="AU54" s="413" t="str">
        <f>IFERROR(VLOOKUP(AU53,اسماء,76,0),"")</f>
        <v/>
      </c>
      <c r="AV54" s="413"/>
      <c r="AW54" s="413"/>
      <c r="AX54" s="425" t="str">
        <f>IFERROR(VLOOKUP(AU53,اسماء,2,0),"")</f>
        <v/>
      </c>
      <c r="AY54" s="425"/>
      <c r="AZ54" s="425"/>
      <c r="BA54" s="425"/>
      <c r="BB54" s="426" t="s">
        <v>135</v>
      </c>
      <c r="BC54" s="426"/>
      <c r="BD54" s="426"/>
      <c r="BE54" s="426"/>
      <c r="BF54" s="422" t="str">
        <f>IFERROR(VLOOKUP(AU53,اسماء,3,0),"")</f>
        <v/>
      </c>
      <c r="BG54" s="423"/>
    </row>
    <row r="55" spans="1:59" ht="35.1" customHeight="1">
      <c r="A55" s="167" t="s">
        <v>136</v>
      </c>
      <c r="B55" s="168" t="str">
        <f>IFERROR(VLOOKUP(B53,اسماء,64,0),"")</f>
        <v/>
      </c>
      <c r="C55" s="168" t="str">
        <f>IFERROR(VLOOKUP(B53,اسماء,65,0),"")</f>
        <v/>
      </c>
      <c r="D55" s="168" t="str">
        <f>IFERROR(VLOOKUP(B53,اسماء,66,0),"")</f>
        <v/>
      </c>
      <c r="E55" s="168" t="str">
        <f>IFERROR(VLOOKUP(B53,اسماء,67,0),"")</f>
        <v/>
      </c>
      <c r="F55" s="168" t="str">
        <f>IFERROR(VLOOKUP(B53,اسماء,68,0),"")</f>
        <v/>
      </c>
      <c r="G55" s="168" t="str">
        <f>IFERROR(VLOOKUP(B53,اسماء,69,0),"")</f>
        <v/>
      </c>
      <c r="H55" s="168" t="str">
        <f>IFERROR(VLOOKUP(B53,اسماء,70,0),"")</f>
        <v/>
      </c>
      <c r="I55" s="168" t="str">
        <f>IFERROR(VLOOKUP(B53,اسماء,71,0),"")</f>
        <v/>
      </c>
      <c r="J55" s="168" t="str">
        <f>IFERROR(VLOOKUP(B53,اسماء,72,0),"")</f>
        <v/>
      </c>
      <c r="K55" s="168" t="str">
        <f>IFERROR(VLOOKUP(B53,اسماء,73,0),"")</f>
        <v/>
      </c>
      <c r="L55" s="168" t="str">
        <f>IFERROR(VLOOKUP(B53,اسماء,74,0),"")</f>
        <v/>
      </c>
      <c r="M55" s="168" t="str">
        <f>IFERROR(VLOOKUP(B53,اسماء,75,0),"")</f>
        <v/>
      </c>
      <c r="N55" s="330"/>
      <c r="P55" s="167" t="s">
        <v>136</v>
      </c>
      <c r="Q55" s="168" t="str">
        <f>IFERROR(VLOOKUP(Q53,اسماء,64,0),"")</f>
        <v/>
      </c>
      <c r="R55" s="168" t="str">
        <f>IFERROR(VLOOKUP(Q53,اسماء,65,0),"")</f>
        <v/>
      </c>
      <c r="S55" s="168" t="str">
        <f>IFERROR(VLOOKUP(Q53,اسماء,66,0),"")</f>
        <v/>
      </c>
      <c r="T55" s="168" t="str">
        <f>IFERROR(VLOOKUP(Q53,اسماء,67,0),"")</f>
        <v/>
      </c>
      <c r="U55" s="168" t="str">
        <f>IFERROR(VLOOKUP(Q53,اسماء,68,0),"")</f>
        <v/>
      </c>
      <c r="V55" s="168" t="str">
        <f>IFERROR(VLOOKUP(Q53,اسماء,69,0),"")</f>
        <v/>
      </c>
      <c r="W55" s="168" t="str">
        <f>IFERROR(VLOOKUP(Q53,اسماء,70,0),"")</f>
        <v/>
      </c>
      <c r="X55" s="168" t="str">
        <f>IFERROR(VLOOKUP(Q53,اسماء,71,0),"")</f>
        <v/>
      </c>
      <c r="Y55" s="168" t="str">
        <f>IFERROR(VLOOKUP(Q53,اسماء,72,0),"")</f>
        <v/>
      </c>
      <c r="Z55" s="168" t="str">
        <f>IFERROR(VLOOKUP(Q53,اسماء,73,0),"")</f>
        <v/>
      </c>
      <c r="AA55" s="168" t="str">
        <f>IFERROR(VLOOKUP(Q53,اسماء,74,0),"")</f>
        <v/>
      </c>
      <c r="AB55" s="168" t="str">
        <f>IFERROR(VLOOKUP(Q53,اسماء,75,0),"")</f>
        <v/>
      </c>
      <c r="AC55" s="330"/>
      <c r="AE55" s="167" t="s">
        <v>136</v>
      </c>
      <c r="AF55" s="168" t="str">
        <f>IFERROR(VLOOKUP(AF53,اسماء,64,0),"")</f>
        <v/>
      </c>
      <c r="AG55" s="168" t="str">
        <f>IFERROR(VLOOKUP(AF53,اسماء,65,0),"")</f>
        <v/>
      </c>
      <c r="AH55" s="168" t="str">
        <f>IFERROR(VLOOKUP(AF53,اسماء,66,0),"")</f>
        <v/>
      </c>
      <c r="AI55" s="168" t="str">
        <f>IFERROR(VLOOKUP(AF53,اسماء,67,0),"")</f>
        <v/>
      </c>
      <c r="AJ55" s="168" t="str">
        <f>IFERROR(VLOOKUP(AF53,اسماء,68,0),"")</f>
        <v/>
      </c>
      <c r="AK55" s="168" t="str">
        <f>IFERROR(VLOOKUP(AF53,اسماء,69,0),"")</f>
        <v/>
      </c>
      <c r="AL55" s="168" t="str">
        <f>IFERROR(VLOOKUP(AF53,اسماء,70,0),"")</f>
        <v/>
      </c>
      <c r="AM55" s="168" t="str">
        <f>IFERROR(VLOOKUP(AF53,اسماء,71,0),"")</f>
        <v/>
      </c>
      <c r="AN55" s="168" t="str">
        <f>IFERROR(VLOOKUP(AF53,اسماء,72,0),"")</f>
        <v/>
      </c>
      <c r="AO55" s="168" t="str">
        <f>IFERROR(VLOOKUP(AF53,اسماء,73,0),"")</f>
        <v/>
      </c>
      <c r="AP55" s="168" t="str">
        <f>IFERROR(VLOOKUP(AF53,اسماء,74,0),"")</f>
        <v/>
      </c>
      <c r="AQ55" s="168" t="str">
        <f>IFERROR(VLOOKUP(AF53,اسماء,75,0),"")</f>
        <v/>
      </c>
      <c r="AR55" s="330"/>
      <c r="AT55" s="167" t="s">
        <v>136</v>
      </c>
      <c r="AU55" s="168" t="str">
        <f>IFERROR(VLOOKUP(AU53,اسماء,64,0),"")</f>
        <v/>
      </c>
      <c r="AV55" s="168" t="str">
        <f>IFERROR(VLOOKUP(AU53,اسماء,65,0),"")</f>
        <v/>
      </c>
      <c r="AW55" s="168" t="str">
        <f>IFERROR(VLOOKUP(AU53,اسماء,66,0),"")</f>
        <v/>
      </c>
      <c r="AX55" s="168" t="str">
        <f>IFERROR(VLOOKUP(AU53,اسماء,67,0),"")</f>
        <v/>
      </c>
      <c r="AY55" s="168" t="str">
        <f>IFERROR(VLOOKUP(AU53,اسماء,68,0),"")</f>
        <v/>
      </c>
      <c r="AZ55" s="168" t="str">
        <f>IFERROR(VLOOKUP(AU53,اسماء,69,0),"")</f>
        <v/>
      </c>
      <c r="BA55" s="168" t="str">
        <f>IFERROR(VLOOKUP(AU53,اسماء,70,0),"")</f>
        <v/>
      </c>
      <c r="BB55" s="168" t="str">
        <f>IFERROR(VLOOKUP(AU53,اسماء,71,0),"")</f>
        <v/>
      </c>
      <c r="BC55" s="168" t="str">
        <f>IFERROR(VLOOKUP(AU53,اسماء,72,0),"")</f>
        <v/>
      </c>
      <c r="BD55" s="168" t="str">
        <f>IFERROR(VLOOKUP(AU53,اسماء,73,0),"")</f>
        <v/>
      </c>
      <c r="BE55" s="168" t="str">
        <f>IFERROR(VLOOKUP(AU53,اسماء,74,0),"")</f>
        <v/>
      </c>
      <c r="BF55" s="168" t="str">
        <f>IFERROR(VLOOKUP(AU53,اسماء,75,0),"")</f>
        <v/>
      </c>
      <c r="BG55" s="330"/>
    </row>
    <row r="56" spans="1:59" ht="45" customHeight="1">
      <c r="A56" s="167" t="s">
        <v>137</v>
      </c>
      <c r="B56" s="424" t="str">
        <f>IFERROR(VLOOKUP(B53,اسماء,77,0),"")</f>
        <v/>
      </c>
      <c r="C56" s="424"/>
      <c r="D56" s="424"/>
      <c r="E56" s="424"/>
      <c r="F56" s="424"/>
      <c r="G56" s="413" t="s">
        <v>138</v>
      </c>
      <c r="H56" s="413"/>
      <c r="I56" s="413" t="s">
        <v>139</v>
      </c>
      <c r="J56" s="413"/>
      <c r="K56" s="422" t="str">
        <f>IFERROR(VLOOKUP(B53,اسماء,78,0),"")</f>
        <v/>
      </c>
      <c r="L56" s="422"/>
      <c r="M56" s="422"/>
      <c r="N56" s="423"/>
      <c r="P56" s="167" t="s">
        <v>137</v>
      </c>
      <c r="Q56" s="424" t="str">
        <f>IFERROR(VLOOKUP(Q53,اسماء,77,0),"")</f>
        <v/>
      </c>
      <c r="R56" s="424"/>
      <c r="S56" s="424"/>
      <c r="T56" s="424"/>
      <c r="U56" s="424"/>
      <c r="V56" s="413" t="s">
        <v>138</v>
      </c>
      <c r="W56" s="413"/>
      <c r="X56" s="413" t="s">
        <v>139</v>
      </c>
      <c r="Y56" s="413"/>
      <c r="Z56" s="422" t="str">
        <f>IFERROR(VLOOKUP(Q53,اسماء,78,0),"")</f>
        <v/>
      </c>
      <c r="AA56" s="422"/>
      <c r="AB56" s="422"/>
      <c r="AC56" s="423"/>
      <c r="AE56" s="167" t="s">
        <v>137</v>
      </c>
      <c r="AF56" s="424" t="str">
        <f>IFERROR(VLOOKUP(AF53,اسماء,77,0),"")</f>
        <v/>
      </c>
      <c r="AG56" s="424"/>
      <c r="AH56" s="424"/>
      <c r="AI56" s="424"/>
      <c r="AJ56" s="424"/>
      <c r="AK56" s="413" t="s">
        <v>138</v>
      </c>
      <c r="AL56" s="413"/>
      <c r="AM56" s="413" t="s">
        <v>139</v>
      </c>
      <c r="AN56" s="413"/>
      <c r="AO56" s="422" t="str">
        <f>IFERROR(VLOOKUP(AF53,اسماء,78,0),"")</f>
        <v/>
      </c>
      <c r="AP56" s="422"/>
      <c r="AQ56" s="422"/>
      <c r="AR56" s="423"/>
      <c r="AT56" s="167" t="s">
        <v>137</v>
      </c>
      <c r="AU56" s="424" t="str">
        <f>IFERROR(VLOOKUP(AU53,اسماء,77,0),"")</f>
        <v/>
      </c>
      <c r="AV56" s="424"/>
      <c r="AW56" s="424"/>
      <c r="AX56" s="424"/>
      <c r="AY56" s="424"/>
      <c r="AZ56" s="413" t="s">
        <v>138</v>
      </c>
      <c r="BA56" s="413"/>
      <c r="BB56" s="413" t="s">
        <v>139</v>
      </c>
      <c r="BC56" s="413"/>
      <c r="BD56" s="422" t="str">
        <f>IFERROR(VLOOKUP(AU53,اسماء,78,0),"")</f>
        <v/>
      </c>
      <c r="BE56" s="422"/>
      <c r="BF56" s="422"/>
      <c r="BG56" s="423"/>
    </row>
    <row r="57" spans="1:59" ht="45" customHeight="1">
      <c r="A57" s="167" t="s">
        <v>140</v>
      </c>
      <c r="B57" s="422" t="str">
        <f>IFERROR(VLOOKUP(B53,اسماء,80,0),"")</f>
        <v/>
      </c>
      <c r="C57" s="422"/>
      <c r="D57" s="422"/>
      <c r="E57" s="422"/>
      <c r="F57" s="422"/>
      <c r="G57" s="413" t="s">
        <v>123</v>
      </c>
      <c r="H57" s="413"/>
      <c r="I57" s="413"/>
      <c r="J57" s="413"/>
      <c r="K57" s="422" t="str">
        <f>IFERROR(VLOOKUP(B53,اسماء,79,0),"")</f>
        <v/>
      </c>
      <c r="L57" s="422"/>
      <c r="M57" s="422"/>
      <c r="N57" s="423"/>
      <c r="P57" s="167" t="s">
        <v>140</v>
      </c>
      <c r="Q57" s="422" t="str">
        <f>IFERROR(VLOOKUP(Q53,اسماء,80,0),"")</f>
        <v/>
      </c>
      <c r="R57" s="422"/>
      <c r="S57" s="422"/>
      <c r="T57" s="422"/>
      <c r="U57" s="422"/>
      <c r="V57" s="413" t="s">
        <v>123</v>
      </c>
      <c r="W57" s="413"/>
      <c r="X57" s="413"/>
      <c r="Y57" s="413"/>
      <c r="Z57" s="422" t="str">
        <f>IFERROR(VLOOKUP(Q53,اسماء,79,0),"")</f>
        <v/>
      </c>
      <c r="AA57" s="422"/>
      <c r="AB57" s="422"/>
      <c r="AC57" s="423"/>
      <c r="AE57" s="167" t="s">
        <v>140</v>
      </c>
      <c r="AF57" s="422" t="str">
        <f>IFERROR(VLOOKUP(AF53,اسماء,80,0),"")</f>
        <v/>
      </c>
      <c r="AG57" s="422"/>
      <c r="AH57" s="422"/>
      <c r="AI57" s="422"/>
      <c r="AJ57" s="422"/>
      <c r="AK57" s="413" t="s">
        <v>123</v>
      </c>
      <c r="AL57" s="413"/>
      <c r="AM57" s="413"/>
      <c r="AN57" s="413"/>
      <c r="AO57" s="422" t="str">
        <f>IFERROR(VLOOKUP(AF53,اسماء,79,0),"")</f>
        <v/>
      </c>
      <c r="AP57" s="422"/>
      <c r="AQ57" s="422"/>
      <c r="AR57" s="423"/>
      <c r="AT57" s="167" t="s">
        <v>140</v>
      </c>
      <c r="AU57" s="422" t="str">
        <f>IFERROR(VLOOKUP(AU53,اسماء,77,0),"")</f>
        <v/>
      </c>
      <c r="AV57" s="422"/>
      <c r="AW57" s="422"/>
      <c r="AX57" s="422"/>
      <c r="AY57" s="422"/>
      <c r="AZ57" s="413" t="s">
        <v>123</v>
      </c>
      <c r="BA57" s="413"/>
      <c r="BB57" s="413"/>
      <c r="BC57" s="413"/>
      <c r="BD57" s="422" t="str">
        <f>IFERROR(VLOOKUP(AU53,اسماء,76,0),"")</f>
        <v/>
      </c>
      <c r="BE57" s="422"/>
      <c r="BF57" s="422"/>
      <c r="BG57" s="423"/>
    </row>
    <row r="58" spans="1:59" ht="45" customHeight="1" thickBot="1">
      <c r="A58" s="416" t="s">
        <v>141</v>
      </c>
      <c r="B58" s="417"/>
      <c r="C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8"/>
      <c r="P58" s="416" t="s">
        <v>141</v>
      </c>
      <c r="Q58" s="417"/>
      <c r="R58" s="417"/>
      <c r="S58" s="417"/>
      <c r="T58" s="417"/>
      <c r="U58" s="417"/>
      <c r="V58" s="417"/>
      <c r="W58" s="417"/>
      <c r="X58" s="417"/>
      <c r="Y58" s="417"/>
      <c r="Z58" s="417"/>
      <c r="AA58" s="417"/>
      <c r="AB58" s="417"/>
      <c r="AC58" s="418"/>
      <c r="AE58" s="416" t="s">
        <v>141</v>
      </c>
      <c r="AF58" s="417"/>
      <c r="AG58" s="417"/>
      <c r="AH58" s="417"/>
      <c r="AI58" s="417"/>
      <c r="AJ58" s="417"/>
      <c r="AK58" s="417"/>
      <c r="AL58" s="417"/>
      <c r="AM58" s="417"/>
      <c r="AN58" s="417"/>
      <c r="AO58" s="417"/>
      <c r="AP58" s="417"/>
      <c r="AQ58" s="417"/>
      <c r="AR58" s="418"/>
      <c r="AT58" s="416" t="s">
        <v>141</v>
      </c>
      <c r="AU58" s="417"/>
      <c r="AV58" s="417"/>
      <c r="AW58" s="417"/>
      <c r="AX58" s="417"/>
      <c r="AY58" s="417"/>
      <c r="AZ58" s="417"/>
      <c r="BA58" s="417"/>
      <c r="BB58" s="417"/>
      <c r="BC58" s="417"/>
      <c r="BD58" s="417"/>
      <c r="BE58" s="417"/>
      <c r="BF58" s="417"/>
      <c r="BG58" s="418"/>
    </row>
    <row r="59" spans="1:59" ht="45" customHeight="1" thickTop="1">
      <c r="A59" s="419" t="s">
        <v>142</v>
      </c>
      <c r="B59" s="420"/>
      <c r="C59" s="420"/>
      <c r="D59" s="420"/>
      <c r="E59" s="420"/>
      <c r="F59" s="420"/>
      <c r="G59" s="420"/>
      <c r="H59" s="420"/>
      <c r="I59" s="420"/>
      <c r="J59" s="420"/>
      <c r="K59" s="420"/>
      <c r="L59" s="420"/>
      <c r="M59" s="420"/>
      <c r="N59" s="421"/>
      <c r="P59" s="419" t="s">
        <v>142</v>
      </c>
      <c r="Q59" s="420"/>
      <c r="R59" s="420"/>
      <c r="S59" s="420"/>
      <c r="T59" s="420"/>
      <c r="U59" s="420"/>
      <c r="V59" s="420"/>
      <c r="W59" s="420"/>
      <c r="X59" s="420"/>
      <c r="Y59" s="420"/>
      <c r="Z59" s="420"/>
      <c r="AA59" s="420"/>
      <c r="AB59" s="420"/>
      <c r="AC59" s="421"/>
      <c r="AE59" s="419" t="s">
        <v>142</v>
      </c>
      <c r="AF59" s="420"/>
      <c r="AG59" s="420"/>
      <c r="AH59" s="420"/>
      <c r="AI59" s="420"/>
      <c r="AJ59" s="420"/>
      <c r="AK59" s="420"/>
      <c r="AL59" s="420"/>
      <c r="AM59" s="420"/>
      <c r="AN59" s="420"/>
      <c r="AO59" s="420"/>
      <c r="AP59" s="420"/>
      <c r="AQ59" s="420"/>
      <c r="AR59" s="421"/>
      <c r="AT59" s="419" t="s">
        <v>142</v>
      </c>
      <c r="AU59" s="420"/>
      <c r="AV59" s="420"/>
      <c r="AW59" s="420"/>
      <c r="AX59" s="420"/>
      <c r="AY59" s="420"/>
      <c r="AZ59" s="420"/>
      <c r="BA59" s="420"/>
      <c r="BB59" s="420"/>
      <c r="BC59" s="420"/>
      <c r="BD59" s="420"/>
      <c r="BE59" s="420"/>
      <c r="BF59" s="420"/>
      <c r="BG59" s="421"/>
    </row>
    <row r="60" spans="1:59" s="58" customFormat="1" ht="33" customHeight="1">
      <c r="A60" s="415" t="s">
        <v>161</v>
      </c>
      <c r="B60" s="413"/>
      <c r="C60" s="413"/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4"/>
      <c r="P60" s="415" t="s">
        <v>161</v>
      </c>
      <c r="Q60" s="413"/>
      <c r="R60" s="413"/>
      <c r="S60" s="413"/>
      <c r="T60" s="413"/>
      <c r="U60" s="413"/>
      <c r="V60" s="413"/>
      <c r="W60" s="413"/>
      <c r="X60" s="413"/>
      <c r="Y60" s="413"/>
      <c r="Z60" s="413"/>
      <c r="AA60" s="413"/>
      <c r="AB60" s="413"/>
      <c r="AC60" s="414"/>
      <c r="AE60" s="415" t="s">
        <v>161</v>
      </c>
      <c r="AF60" s="413"/>
      <c r="AG60" s="413"/>
      <c r="AH60" s="413"/>
      <c r="AI60" s="413"/>
      <c r="AJ60" s="413"/>
      <c r="AK60" s="413"/>
      <c r="AL60" s="413"/>
      <c r="AM60" s="413"/>
      <c r="AN60" s="413"/>
      <c r="AO60" s="413"/>
      <c r="AP60" s="413"/>
      <c r="AQ60" s="413"/>
      <c r="AR60" s="414"/>
      <c r="AT60" s="415" t="s">
        <v>161</v>
      </c>
      <c r="AU60" s="413"/>
      <c r="AV60" s="413"/>
      <c r="AW60" s="413"/>
      <c r="AX60" s="413"/>
      <c r="AY60" s="413"/>
      <c r="AZ60" s="413"/>
      <c r="BA60" s="413"/>
      <c r="BB60" s="413"/>
      <c r="BC60" s="413"/>
      <c r="BD60" s="413"/>
      <c r="BE60" s="413"/>
      <c r="BF60" s="413"/>
      <c r="BG60" s="414"/>
    </row>
    <row r="61" spans="1:59" ht="33" customHeight="1">
      <c r="A61" s="411" t="s">
        <v>143</v>
      </c>
      <c r="B61" s="412"/>
      <c r="C61" s="412"/>
      <c r="D61" s="412"/>
      <c r="E61" s="412"/>
      <c r="F61" s="412"/>
      <c r="G61" s="413"/>
      <c r="H61" s="413"/>
      <c r="I61" s="413"/>
      <c r="J61" s="413"/>
      <c r="K61" s="413"/>
      <c r="L61" s="413"/>
      <c r="M61" s="413"/>
      <c r="N61" s="414"/>
      <c r="P61" s="411" t="s">
        <v>143</v>
      </c>
      <c r="Q61" s="412"/>
      <c r="R61" s="412"/>
      <c r="S61" s="412"/>
      <c r="T61" s="412"/>
      <c r="U61" s="412"/>
      <c r="V61" s="413"/>
      <c r="W61" s="413"/>
      <c r="X61" s="413"/>
      <c r="Y61" s="413"/>
      <c r="Z61" s="413"/>
      <c r="AA61" s="413"/>
      <c r="AB61" s="413"/>
      <c r="AC61" s="414"/>
      <c r="AE61" s="411" t="s">
        <v>143</v>
      </c>
      <c r="AF61" s="412"/>
      <c r="AG61" s="412"/>
      <c r="AH61" s="412"/>
      <c r="AI61" s="412"/>
      <c r="AJ61" s="412"/>
      <c r="AK61" s="413"/>
      <c r="AL61" s="413"/>
      <c r="AM61" s="413"/>
      <c r="AN61" s="413"/>
      <c r="AO61" s="413"/>
      <c r="AP61" s="413"/>
      <c r="AQ61" s="413"/>
      <c r="AR61" s="414"/>
      <c r="AT61" s="411" t="s">
        <v>143</v>
      </c>
      <c r="AU61" s="412"/>
      <c r="AV61" s="412"/>
      <c r="AW61" s="412"/>
      <c r="AX61" s="412"/>
      <c r="AY61" s="412"/>
      <c r="AZ61" s="413"/>
      <c r="BA61" s="413"/>
      <c r="BB61" s="413"/>
      <c r="BC61" s="413"/>
      <c r="BD61" s="413"/>
      <c r="BE61" s="413"/>
      <c r="BF61" s="413"/>
      <c r="BG61" s="414"/>
    </row>
    <row r="62" spans="1:59" s="171" customFormat="1" ht="30" customHeight="1">
      <c r="A62" s="167" t="s">
        <v>144</v>
      </c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70" t="s">
        <v>145</v>
      </c>
      <c r="P62" s="167" t="s">
        <v>144</v>
      </c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70" t="s">
        <v>145</v>
      </c>
      <c r="AE62" s="167" t="s">
        <v>144</v>
      </c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70" t="s">
        <v>145</v>
      </c>
      <c r="AT62" s="167" t="s">
        <v>144</v>
      </c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70" t="s">
        <v>145</v>
      </c>
    </row>
    <row r="63" spans="1:59" ht="30" customHeight="1">
      <c r="A63" s="172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73"/>
      <c r="P63" s="172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73"/>
      <c r="AE63" s="172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73"/>
      <c r="AT63" s="172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  <c r="BE63" s="169"/>
      <c r="BF63" s="169"/>
      <c r="BG63" s="173"/>
    </row>
    <row r="64" spans="1:59" ht="24.9" customHeight="1">
      <c r="A64" s="17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75"/>
      <c r="P64" s="17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75"/>
      <c r="AE64" s="17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75"/>
      <c r="AT64" s="17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75"/>
    </row>
    <row r="65" spans="1:59" ht="24.9" customHeight="1" thickBot="1">
      <c r="A65" s="176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8"/>
      <c r="P65" s="176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8"/>
      <c r="AE65" s="176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8"/>
      <c r="AT65" s="176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8"/>
    </row>
    <row r="66" spans="1:59" ht="15" thickTop="1" thickBot="1"/>
    <row r="67" spans="1:59" s="164" customFormat="1" ht="39.9" customHeight="1" thickTop="1">
      <c r="A67" s="162">
        <f>A45-1</f>
        <v>-2</v>
      </c>
      <c r="B67" s="447" t="s">
        <v>38</v>
      </c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163"/>
      <c r="P67" s="162">
        <f>P45-1</f>
        <v>-7</v>
      </c>
      <c r="Q67" s="447" t="s">
        <v>38</v>
      </c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163"/>
      <c r="AE67" s="162">
        <f>AE45-1</f>
        <v>-12</v>
      </c>
      <c r="AF67" s="447" t="s">
        <v>38</v>
      </c>
      <c r="AG67" s="447"/>
      <c r="AH67" s="447"/>
      <c r="AI67" s="447"/>
      <c r="AJ67" s="447"/>
      <c r="AK67" s="447"/>
      <c r="AL67" s="447"/>
      <c r="AM67" s="447"/>
      <c r="AN67" s="447"/>
      <c r="AO67" s="447"/>
      <c r="AP67" s="447"/>
      <c r="AQ67" s="447"/>
      <c r="AR67" s="163"/>
      <c r="AT67" s="162">
        <f>AT45-1</f>
        <v>-17</v>
      </c>
      <c r="AU67" s="447" t="s">
        <v>38</v>
      </c>
      <c r="AV67" s="447"/>
      <c r="AW67" s="447"/>
      <c r="AX67" s="447"/>
      <c r="AY67" s="447"/>
      <c r="AZ67" s="447"/>
      <c r="BA67" s="447"/>
      <c r="BB67" s="447"/>
      <c r="BC67" s="447"/>
      <c r="BD67" s="447"/>
      <c r="BE67" s="447"/>
      <c r="BF67" s="447"/>
      <c r="BG67" s="163"/>
    </row>
    <row r="68" spans="1:59" s="164" customFormat="1" ht="39.9" customHeight="1">
      <c r="A68" s="441" t="s">
        <v>39</v>
      </c>
      <c r="B68" s="442"/>
      <c r="C68" s="442"/>
      <c r="D68" s="442"/>
      <c r="E68" s="442"/>
      <c r="F68" s="442"/>
      <c r="G68" s="442"/>
      <c r="H68" s="442"/>
      <c r="I68" s="442"/>
      <c r="J68" s="442"/>
      <c r="K68" s="442"/>
      <c r="L68" s="442"/>
      <c r="M68" s="442"/>
      <c r="N68" s="443"/>
      <c r="P68" s="441" t="s">
        <v>39</v>
      </c>
      <c r="Q68" s="442"/>
      <c r="R68" s="442"/>
      <c r="S68" s="442"/>
      <c r="T68" s="442"/>
      <c r="U68" s="442"/>
      <c r="V68" s="442"/>
      <c r="W68" s="442"/>
      <c r="X68" s="442"/>
      <c r="Y68" s="442"/>
      <c r="Z68" s="442"/>
      <c r="AA68" s="442"/>
      <c r="AB68" s="442"/>
      <c r="AC68" s="443"/>
      <c r="AE68" s="441" t="s">
        <v>39</v>
      </c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3"/>
      <c r="AT68" s="441" t="s">
        <v>39</v>
      </c>
      <c r="AU68" s="442"/>
      <c r="AV68" s="442"/>
      <c r="AW68" s="442"/>
      <c r="AX68" s="442"/>
      <c r="AY68" s="442"/>
      <c r="AZ68" s="442"/>
      <c r="BA68" s="442"/>
      <c r="BB68" s="442"/>
      <c r="BC68" s="442"/>
      <c r="BD68" s="442"/>
      <c r="BE68" s="442"/>
      <c r="BF68" s="442"/>
      <c r="BG68" s="443"/>
    </row>
    <row r="69" spans="1:59" s="164" customFormat="1" ht="39.9" customHeight="1">
      <c r="A69" s="444" t="s">
        <v>162</v>
      </c>
      <c r="B69" s="445"/>
      <c r="C69" s="445"/>
      <c r="D69" s="445"/>
      <c r="E69" s="445"/>
      <c r="F69" s="445"/>
      <c r="G69" s="445"/>
      <c r="H69" s="445"/>
      <c r="I69" s="445"/>
      <c r="J69" s="445"/>
      <c r="K69" s="445"/>
      <c r="L69" s="445"/>
      <c r="M69" s="445"/>
      <c r="N69" s="446"/>
      <c r="P69" s="444" t="s">
        <v>162</v>
      </c>
      <c r="Q69" s="445"/>
      <c r="R69" s="445"/>
      <c r="S69" s="445"/>
      <c r="T69" s="445"/>
      <c r="U69" s="445"/>
      <c r="V69" s="445"/>
      <c r="W69" s="445"/>
      <c r="X69" s="445"/>
      <c r="Y69" s="445"/>
      <c r="Z69" s="445"/>
      <c r="AA69" s="445"/>
      <c r="AB69" s="445"/>
      <c r="AC69" s="446"/>
      <c r="AE69" s="444" t="s">
        <v>162</v>
      </c>
      <c r="AF69" s="445"/>
      <c r="AG69" s="445"/>
      <c r="AH69" s="445"/>
      <c r="AI69" s="445"/>
      <c r="AJ69" s="445"/>
      <c r="AK69" s="445"/>
      <c r="AL69" s="445"/>
      <c r="AM69" s="445"/>
      <c r="AN69" s="445"/>
      <c r="AO69" s="445"/>
      <c r="AP69" s="445"/>
      <c r="AQ69" s="445"/>
      <c r="AR69" s="446"/>
      <c r="AT69" s="444" t="s">
        <v>162</v>
      </c>
      <c r="AU69" s="445"/>
      <c r="AV69" s="445"/>
      <c r="AW69" s="445"/>
      <c r="AX69" s="445"/>
      <c r="AY69" s="445"/>
      <c r="AZ69" s="445"/>
      <c r="BA69" s="445"/>
      <c r="BB69" s="445"/>
      <c r="BC69" s="445"/>
      <c r="BD69" s="445"/>
      <c r="BE69" s="445"/>
      <c r="BF69" s="445"/>
      <c r="BG69" s="446"/>
    </row>
    <row r="70" spans="1:59" s="164" customFormat="1" ht="39.9" customHeight="1">
      <c r="A70" s="435" t="s">
        <v>124</v>
      </c>
      <c r="B70" s="436"/>
      <c r="C70" s="436"/>
      <c r="D70" s="436"/>
      <c r="E70" s="436"/>
      <c r="F70" s="436"/>
      <c r="G70" s="436"/>
      <c r="H70" s="436"/>
      <c r="I70" s="436"/>
      <c r="J70" s="436"/>
      <c r="K70" s="437" t="str">
        <f>ادخال1!$CD$7</f>
        <v>الاساسي</v>
      </c>
      <c r="L70" s="437"/>
      <c r="M70" s="437"/>
      <c r="N70" s="438"/>
      <c r="P70" s="435" t="s">
        <v>124</v>
      </c>
      <c r="Q70" s="436"/>
      <c r="R70" s="436"/>
      <c r="S70" s="436"/>
      <c r="T70" s="436"/>
      <c r="U70" s="436"/>
      <c r="V70" s="436"/>
      <c r="W70" s="436"/>
      <c r="X70" s="436"/>
      <c r="Y70" s="436"/>
      <c r="Z70" s="437" t="str">
        <f>ادخال1!$CD$7</f>
        <v>الاساسي</v>
      </c>
      <c r="AA70" s="437"/>
      <c r="AB70" s="437"/>
      <c r="AC70" s="438"/>
      <c r="AE70" s="435" t="s">
        <v>124</v>
      </c>
      <c r="AF70" s="436"/>
      <c r="AG70" s="436"/>
      <c r="AH70" s="436"/>
      <c r="AI70" s="436"/>
      <c r="AJ70" s="436"/>
      <c r="AK70" s="436"/>
      <c r="AL70" s="436"/>
      <c r="AM70" s="436"/>
      <c r="AN70" s="436"/>
      <c r="AO70" s="437" t="str">
        <f>ادخال1!$CD$7</f>
        <v>الاساسي</v>
      </c>
      <c r="AP70" s="437"/>
      <c r="AQ70" s="437"/>
      <c r="AR70" s="438"/>
      <c r="AT70" s="435" t="s">
        <v>124</v>
      </c>
      <c r="AU70" s="436"/>
      <c r="AV70" s="436"/>
      <c r="AW70" s="436"/>
      <c r="AX70" s="436"/>
      <c r="AY70" s="436"/>
      <c r="AZ70" s="436"/>
      <c r="BA70" s="436"/>
      <c r="BB70" s="436"/>
      <c r="BC70" s="436"/>
      <c r="BD70" s="437" t="str">
        <f>ادخال1!$CD$7</f>
        <v>الاساسي</v>
      </c>
      <c r="BE70" s="437"/>
      <c r="BF70" s="437"/>
      <c r="BG70" s="438"/>
    </row>
    <row r="71" spans="1:59" s="164" customFormat="1" ht="39.9" customHeight="1">
      <c r="A71" s="435" t="s">
        <v>125</v>
      </c>
      <c r="B71" s="436"/>
      <c r="C71" s="436"/>
      <c r="D71" s="436"/>
      <c r="E71" s="436"/>
      <c r="F71" s="436"/>
      <c r="G71" s="439" t="str">
        <f>ادخال1!$CB$5</f>
        <v>الثاني الابتدائي</v>
      </c>
      <c r="H71" s="439"/>
      <c r="I71" s="439"/>
      <c r="J71" s="439"/>
      <c r="K71" s="439"/>
      <c r="L71" s="439"/>
      <c r="M71" s="439"/>
      <c r="N71" s="440"/>
      <c r="P71" s="435" t="s">
        <v>125</v>
      </c>
      <c r="Q71" s="436"/>
      <c r="R71" s="436"/>
      <c r="S71" s="436"/>
      <c r="T71" s="436"/>
      <c r="U71" s="436"/>
      <c r="V71" s="439" t="str">
        <f>ادخال1!$CB$5</f>
        <v>الثاني الابتدائي</v>
      </c>
      <c r="W71" s="439"/>
      <c r="X71" s="439"/>
      <c r="Y71" s="439"/>
      <c r="Z71" s="439"/>
      <c r="AA71" s="439"/>
      <c r="AB71" s="439"/>
      <c r="AC71" s="440"/>
      <c r="AE71" s="435" t="s">
        <v>125</v>
      </c>
      <c r="AF71" s="436"/>
      <c r="AG71" s="436"/>
      <c r="AH71" s="436"/>
      <c r="AI71" s="436"/>
      <c r="AJ71" s="436"/>
      <c r="AK71" s="439" t="str">
        <f>ادخال1!$CB$5</f>
        <v>الثاني الابتدائي</v>
      </c>
      <c r="AL71" s="439"/>
      <c r="AM71" s="439"/>
      <c r="AN71" s="439"/>
      <c r="AO71" s="439"/>
      <c r="AP71" s="439"/>
      <c r="AQ71" s="439"/>
      <c r="AR71" s="440"/>
      <c r="AT71" s="435" t="s">
        <v>125</v>
      </c>
      <c r="AU71" s="436"/>
      <c r="AV71" s="436"/>
      <c r="AW71" s="436"/>
      <c r="AX71" s="436"/>
      <c r="AY71" s="436"/>
      <c r="AZ71" s="439" t="str">
        <f>ادخال1!$CB$5</f>
        <v>الثاني الابتدائي</v>
      </c>
      <c r="BA71" s="439"/>
      <c r="BB71" s="439"/>
      <c r="BC71" s="439"/>
      <c r="BD71" s="439"/>
      <c r="BE71" s="439"/>
      <c r="BF71" s="439"/>
      <c r="BG71" s="440"/>
    </row>
    <row r="72" spans="1:59" s="164" customFormat="1" ht="39.9" customHeight="1">
      <c r="A72" s="165" t="s">
        <v>114</v>
      </c>
      <c r="B72" s="429" t="str">
        <f>ادخال1!$CA$8</f>
        <v>1446هـ/1447 هـ</v>
      </c>
      <c r="C72" s="429"/>
      <c r="D72" s="429"/>
      <c r="E72" s="429"/>
      <c r="F72" s="430" t="s">
        <v>126</v>
      </c>
      <c r="G72" s="430"/>
      <c r="H72" s="431" t="s">
        <v>127</v>
      </c>
      <c r="I72" s="431"/>
      <c r="J72" s="432" t="str">
        <f>ادخال1!$CB$8</f>
        <v>2026 /2025م</v>
      </c>
      <c r="K72" s="432"/>
      <c r="L72" s="432"/>
      <c r="M72" s="432"/>
      <c r="N72" s="166" t="s">
        <v>128</v>
      </c>
      <c r="P72" s="165" t="s">
        <v>114</v>
      </c>
      <c r="Q72" s="429" t="str">
        <f>ادخال1!$CA$8</f>
        <v>1446هـ/1447 هـ</v>
      </c>
      <c r="R72" s="429"/>
      <c r="S72" s="429"/>
      <c r="T72" s="429"/>
      <c r="U72" s="430" t="s">
        <v>126</v>
      </c>
      <c r="V72" s="430"/>
      <c r="W72" s="431" t="s">
        <v>127</v>
      </c>
      <c r="X72" s="431"/>
      <c r="Y72" s="432" t="str">
        <f>ادخال1!$CB$8</f>
        <v>2026 /2025م</v>
      </c>
      <c r="Z72" s="432"/>
      <c r="AA72" s="432"/>
      <c r="AB72" s="432"/>
      <c r="AC72" s="166" t="s">
        <v>128</v>
      </c>
      <c r="AE72" s="165" t="s">
        <v>114</v>
      </c>
      <c r="AF72" s="429" t="str">
        <f>ادخال1!$CA$8</f>
        <v>1446هـ/1447 هـ</v>
      </c>
      <c r="AG72" s="429"/>
      <c r="AH72" s="429"/>
      <c r="AI72" s="429"/>
      <c r="AJ72" s="430" t="s">
        <v>126</v>
      </c>
      <c r="AK72" s="430"/>
      <c r="AL72" s="431" t="s">
        <v>127</v>
      </c>
      <c r="AM72" s="431"/>
      <c r="AN72" s="432" t="str">
        <f>ادخال1!$CB$8</f>
        <v>2026 /2025م</v>
      </c>
      <c r="AO72" s="432"/>
      <c r="AP72" s="432"/>
      <c r="AQ72" s="432"/>
      <c r="AR72" s="166" t="s">
        <v>128</v>
      </c>
      <c r="AT72" s="165" t="s">
        <v>114</v>
      </c>
      <c r="AU72" s="429" t="str">
        <f>ادخال1!$CA$8</f>
        <v>1446هـ/1447 هـ</v>
      </c>
      <c r="AV72" s="429"/>
      <c r="AW72" s="429"/>
      <c r="AX72" s="429"/>
      <c r="AY72" s="430" t="s">
        <v>126</v>
      </c>
      <c r="AZ72" s="430"/>
      <c r="BA72" s="431" t="s">
        <v>127</v>
      </c>
      <c r="BB72" s="431"/>
      <c r="BC72" s="432" t="str">
        <f>ادخال1!$CB$8</f>
        <v>2026 /2025م</v>
      </c>
      <c r="BD72" s="432"/>
      <c r="BE72" s="432"/>
      <c r="BF72" s="432"/>
      <c r="BG72" s="166" t="s">
        <v>128</v>
      </c>
    </row>
    <row r="73" spans="1:59" ht="45" customHeight="1">
      <c r="A73" s="329" t="s">
        <v>129</v>
      </c>
      <c r="B73" s="433" t="str">
        <f>ادخال1!$CB$4</f>
        <v>تاجوراء</v>
      </c>
      <c r="C73" s="433"/>
      <c r="D73" s="433"/>
      <c r="E73" s="433"/>
      <c r="F73" s="433"/>
      <c r="G73" s="433"/>
      <c r="H73" s="433"/>
      <c r="I73" s="433"/>
      <c r="J73" s="433"/>
      <c r="K73" s="433"/>
      <c r="L73" s="433"/>
      <c r="M73" s="433"/>
      <c r="N73" s="434"/>
      <c r="P73" s="329" t="s">
        <v>129</v>
      </c>
      <c r="Q73" s="433" t="str">
        <f>ادخال1!$CB$4</f>
        <v>تاجوراء</v>
      </c>
      <c r="R73" s="433"/>
      <c r="S73" s="433"/>
      <c r="T73" s="433"/>
      <c r="U73" s="433"/>
      <c r="V73" s="433"/>
      <c r="W73" s="433"/>
      <c r="X73" s="433"/>
      <c r="Y73" s="433"/>
      <c r="Z73" s="433"/>
      <c r="AA73" s="433"/>
      <c r="AB73" s="433"/>
      <c r="AC73" s="434"/>
      <c r="AE73" s="329" t="s">
        <v>129</v>
      </c>
      <c r="AF73" s="433" t="str">
        <f>ادخال1!$CB$4</f>
        <v>تاجوراء</v>
      </c>
      <c r="AG73" s="433"/>
      <c r="AH73" s="433"/>
      <c r="AI73" s="433"/>
      <c r="AJ73" s="433"/>
      <c r="AK73" s="433"/>
      <c r="AL73" s="433"/>
      <c r="AM73" s="433"/>
      <c r="AN73" s="433"/>
      <c r="AO73" s="433"/>
      <c r="AP73" s="433"/>
      <c r="AQ73" s="433"/>
      <c r="AR73" s="434"/>
      <c r="AT73" s="329" t="s">
        <v>129</v>
      </c>
      <c r="AU73" s="433" t="str">
        <f>ادخال1!$CB$4</f>
        <v>تاجوراء</v>
      </c>
      <c r="AV73" s="433"/>
      <c r="AW73" s="433"/>
      <c r="AX73" s="433"/>
      <c r="AY73" s="433"/>
      <c r="AZ73" s="433"/>
      <c r="BA73" s="433"/>
      <c r="BB73" s="433"/>
      <c r="BC73" s="433"/>
      <c r="BD73" s="433"/>
      <c r="BE73" s="433"/>
      <c r="BF73" s="433"/>
      <c r="BG73" s="434"/>
    </row>
    <row r="74" spans="1:59" ht="45" customHeight="1">
      <c r="A74" s="167" t="s">
        <v>130</v>
      </c>
      <c r="B74" s="422" t="str">
        <f>ادخال1!$BZ$6</f>
        <v xml:space="preserve">مدرسة سهول العلم للتعيم الخاص </v>
      </c>
      <c r="C74" s="422"/>
      <c r="D74" s="422"/>
      <c r="E74" s="422"/>
      <c r="F74" s="422"/>
      <c r="G74" s="422"/>
      <c r="H74" s="422"/>
      <c r="I74" s="422"/>
      <c r="J74" s="428" t="s">
        <v>131</v>
      </c>
      <c r="K74" s="428"/>
      <c r="L74" s="428"/>
      <c r="M74" s="422" t="str">
        <f>ادخال1!$BZ$8</f>
        <v>تاجوراء الجنوبي</v>
      </c>
      <c r="N74" s="423"/>
      <c r="P74" s="167" t="s">
        <v>130</v>
      </c>
      <c r="Q74" s="422" t="str">
        <f>ادخال1!$BZ$6</f>
        <v xml:space="preserve">مدرسة سهول العلم للتعيم الخاص </v>
      </c>
      <c r="R74" s="422"/>
      <c r="S74" s="422"/>
      <c r="T74" s="422"/>
      <c r="U74" s="422"/>
      <c r="V74" s="422"/>
      <c r="W74" s="422"/>
      <c r="X74" s="422"/>
      <c r="Y74" s="428" t="s">
        <v>131</v>
      </c>
      <c r="Z74" s="428"/>
      <c r="AA74" s="428"/>
      <c r="AB74" s="422" t="str">
        <f>ادخال1!$BZ$8</f>
        <v>تاجوراء الجنوبي</v>
      </c>
      <c r="AC74" s="423"/>
      <c r="AE74" s="167" t="s">
        <v>130</v>
      </c>
      <c r="AF74" s="422" t="str">
        <f>ادخال1!$BZ$6</f>
        <v xml:space="preserve">مدرسة سهول العلم للتعيم الخاص </v>
      </c>
      <c r="AG74" s="422"/>
      <c r="AH74" s="422"/>
      <c r="AI74" s="422"/>
      <c r="AJ74" s="422"/>
      <c r="AK74" s="422"/>
      <c r="AL74" s="422"/>
      <c r="AM74" s="422"/>
      <c r="AN74" s="428" t="s">
        <v>131</v>
      </c>
      <c r="AO74" s="428"/>
      <c r="AP74" s="428"/>
      <c r="AQ74" s="422" t="str">
        <f>ادخال1!$BZ$8</f>
        <v>تاجوراء الجنوبي</v>
      </c>
      <c r="AR74" s="423"/>
      <c r="AT74" s="167" t="s">
        <v>130</v>
      </c>
      <c r="AU74" s="422" t="str">
        <f>ادخال1!$BZ$6</f>
        <v xml:space="preserve">مدرسة سهول العلم للتعيم الخاص </v>
      </c>
      <c r="AV74" s="422"/>
      <c r="AW74" s="422"/>
      <c r="AX74" s="422"/>
      <c r="AY74" s="422"/>
      <c r="AZ74" s="422"/>
      <c r="BA74" s="422"/>
      <c r="BB74" s="422"/>
      <c r="BC74" s="428" t="s">
        <v>131</v>
      </c>
      <c r="BD74" s="428"/>
      <c r="BE74" s="428"/>
      <c r="BF74" s="422" t="str">
        <f>ادخال1!$BZ$8</f>
        <v>تاجوراء الجنوبي</v>
      </c>
      <c r="BG74" s="423"/>
    </row>
    <row r="75" spans="1:59" ht="45" customHeight="1">
      <c r="A75" s="167" t="s">
        <v>132</v>
      </c>
      <c r="B75" s="427">
        <f>IFERROR(VLOOKUP(A67,مسلسل,2,0),0)</f>
        <v>0</v>
      </c>
      <c r="C75" s="427">
        <f t="shared" ref="C75" si="84">IFERROR(VLOOKUP(B75,مسلسل,2,0),0)</f>
        <v>0</v>
      </c>
      <c r="D75" s="427">
        <f t="shared" ref="D75" si="85">IFERROR(VLOOKUP(C75,مسلسل,2,0),0)</f>
        <v>0</v>
      </c>
      <c r="E75" s="427">
        <f t="shared" ref="E75" si="86">IFERROR(VLOOKUP(D75,مسلسل,2,0),0)</f>
        <v>0</v>
      </c>
      <c r="F75" s="427">
        <f t="shared" ref="F75" si="87">IFERROR(VLOOKUP(E75,مسلسل,2,0),0)</f>
        <v>0</v>
      </c>
      <c r="G75" s="427">
        <f t="shared" ref="G75" si="88">IFERROR(VLOOKUP(F75,مسلسل,2,0),0)</f>
        <v>0</v>
      </c>
      <c r="H75" s="427">
        <f t="shared" ref="H75" si="89">IFERROR(VLOOKUP(G75,مسلسل,2,0),0)</f>
        <v>0</v>
      </c>
      <c r="I75" s="427">
        <f t="shared" ref="I75" si="90">IFERROR(VLOOKUP(H75,مسلسل,2,0),0)</f>
        <v>0</v>
      </c>
      <c r="J75" s="428" t="s">
        <v>133</v>
      </c>
      <c r="K75" s="428"/>
      <c r="L75" s="428"/>
      <c r="M75" s="422" t="str">
        <f>IFERROR(VLOOKUP(B75,اسماء,63,0),"")</f>
        <v/>
      </c>
      <c r="N75" s="423"/>
      <c r="P75" s="329" t="s">
        <v>132</v>
      </c>
      <c r="Q75" s="427">
        <f>IFERROR(VLOOKUP(P67,مسلسل,2,0),0)</f>
        <v>0</v>
      </c>
      <c r="R75" s="427">
        <f t="shared" ref="R75" si="91">IFERROR(VLOOKUP(Q75,مسلسل,2,0),0)</f>
        <v>0</v>
      </c>
      <c r="S75" s="427">
        <f t="shared" ref="S75" si="92">IFERROR(VLOOKUP(R75,مسلسل,2,0),0)</f>
        <v>0</v>
      </c>
      <c r="T75" s="427">
        <f t="shared" ref="T75" si="93">IFERROR(VLOOKUP(S75,مسلسل,2,0),0)</f>
        <v>0</v>
      </c>
      <c r="U75" s="427">
        <f t="shared" ref="U75" si="94">IFERROR(VLOOKUP(T75,مسلسل,2,0),0)</f>
        <v>0</v>
      </c>
      <c r="V75" s="427">
        <f t="shared" ref="V75" si="95">IFERROR(VLOOKUP(U75,مسلسل,2,0),0)</f>
        <v>0</v>
      </c>
      <c r="W75" s="427">
        <f t="shared" ref="W75" si="96">IFERROR(VLOOKUP(V75,مسلسل,2,0),0)</f>
        <v>0</v>
      </c>
      <c r="X75" s="427">
        <f t="shared" ref="X75" si="97">IFERROR(VLOOKUP(W75,مسلسل,2,0),0)</f>
        <v>0</v>
      </c>
      <c r="Y75" s="428" t="s">
        <v>133</v>
      </c>
      <c r="Z75" s="428"/>
      <c r="AA75" s="428"/>
      <c r="AB75" s="422" t="str">
        <f>IFERROR(VLOOKUP(Q75,اسماء,63,0),"")</f>
        <v/>
      </c>
      <c r="AC75" s="423"/>
      <c r="AE75" s="329" t="s">
        <v>132</v>
      </c>
      <c r="AF75" s="427">
        <f>IFERROR(VLOOKUP(AE67,مسلسل,2,0),0)</f>
        <v>0</v>
      </c>
      <c r="AG75" s="427">
        <f t="shared" ref="AG75" si="98">IFERROR(VLOOKUP(AF75,مسلسل,2,0),0)</f>
        <v>0</v>
      </c>
      <c r="AH75" s="427">
        <f t="shared" ref="AH75" si="99">IFERROR(VLOOKUP(AG75,مسلسل,2,0),0)</f>
        <v>0</v>
      </c>
      <c r="AI75" s="427">
        <f t="shared" ref="AI75" si="100">IFERROR(VLOOKUP(AH75,مسلسل,2,0),0)</f>
        <v>0</v>
      </c>
      <c r="AJ75" s="427">
        <f t="shared" ref="AJ75" si="101">IFERROR(VLOOKUP(AI75,مسلسل,2,0),0)</f>
        <v>0</v>
      </c>
      <c r="AK75" s="427">
        <f t="shared" ref="AK75" si="102">IFERROR(VLOOKUP(AJ75,مسلسل,2,0),0)</f>
        <v>0</v>
      </c>
      <c r="AL75" s="427">
        <f t="shared" ref="AL75" si="103">IFERROR(VLOOKUP(AK75,مسلسل,2,0),0)</f>
        <v>0</v>
      </c>
      <c r="AM75" s="427">
        <f t="shared" ref="AM75" si="104">IFERROR(VLOOKUP(AL75,مسلسل,2,0),0)</f>
        <v>0</v>
      </c>
      <c r="AN75" s="428" t="s">
        <v>133</v>
      </c>
      <c r="AO75" s="428"/>
      <c r="AP75" s="428"/>
      <c r="AQ75" s="422" t="str">
        <f>IFERROR(VLOOKUP(AF75,اسماء,63,0),"")</f>
        <v/>
      </c>
      <c r="AR75" s="423"/>
      <c r="AT75" s="329" t="s">
        <v>132</v>
      </c>
      <c r="AU75" s="427">
        <f>IFERROR(VLOOKUP(AT67,مسلسل,2,0),0)</f>
        <v>0</v>
      </c>
      <c r="AV75" s="427">
        <f t="shared" ref="AV75" si="105">IFERROR(VLOOKUP(AU75,مسلسل,2,0),0)</f>
        <v>0</v>
      </c>
      <c r="AW75" s="427">
        <f t="shared" ref="AW75" si="106">IFERROR(VLOOKUP(AV75,مسلسل,2,0),0)</f>
        <v>0</v>
      </c>
      <c r="AX75" s="427">
        <f t="shared" ref="AX75" si="107">IFERROR(VLOOKUP(AW75,مسلسل,2,0),0)</f>
        <v>0</v>
      </c>
      <c r="AY75" s="427">
        <f t="shared" ref="AY75" si="108">IFERROR(VLOOKUP(AX75,مسلسل,2,0),0)</f>
        <v>0</v>
      </c>
      <c r="AZ75" s="427">
        <f t="shared" ref="AZ75" si="109">IFERROR(VLOOKUP(AY75,مسلسل,2,0),0)</f>
        <v>0</v>
      </c>
      <c r="BA75" s="427">
        <f t="shared" ref="BA75" si="110">IFERROR(VLOOKUP(AZ75,مسلسل,2,0),0)</f>
        <v>0</v>
      </c>
      <c r="BB75" s="427">
        <f t="shared" ref="BB75" si="111">IFERROR(VLOOKUP(BA75,مسلسل,2,0),0)</f>
        <v>0</v>
      </c>
      <c r="BC75" s="428" t="s">
        <v>133</v>
      </c>
      <c r="BD75" s="428"/>
      <c r="BE75" s="428"/>
      <c r="BF75" s="422" t="str">
        <f>IFERROR(VLOOKUP(AU75,اسماء,63,0),"")</f>
        <v/>
      </c>
      <c r="BG75" s="423"/>
    </row>
    <row r="76" spans="1:59" ht="45" customHeight="1">
      <c r="A76" s="167" t="s">
        <v>134</v>
      </c>
      <c r="B76" s="413" t="str">
        <f>IFERROR(VLOOKUP(B75,اسماء,76,0),"")</f>
        <v/>
      </c>
      <c r="C76" s="413"/>
      <c r="D76" s="413"/>
      <c r="E76" s="425" t="str">
        <f>IFERROR(VLOOKUP(B75,اسماء,2,0),"")</f>
        <v/>
      </c>
      <c r="F76" s="425"/>
      <c r="G76" s="425"/>
      <c r="H76" s="425"/>
      <c r="I76" s="426" t="s">
        <v>135</v>
      </c>
      <c r="J76" s="426"/>
      <c r="K76" s="426"/>
      <c r="L76" s="426"/>
      <c r="M76" s="422" t="str">
        <f>IFERROR(VLOOKUP(B75,اسماء,3,0),"")</f>
        <v/>
      </c>
      <c r="N76" s="423"/>
      <c r="P76" s="167" t="s">
        <v>134</v>
      </c>
      <c r="Q76" s="413" t="str">
        <f>IFERROR(VLOOKUP(Q75,اسماء,76,0),"")</f>
        <v/>
      </c>
      <c r="R76" s="413"/>
      <c r="S76" s="413"/>
      <c r="T76" s="425" t="str">
        <f>IFERROR(VLOOKUP(Q75,اسماء,2,0),"")</f>
        <v/>
      </c>
      <c r="U76" s="425"/>
      <c r="V76" s="425"/>
      <c r="W76" s="425"/>
      <c r="X76" s="426" t="s">
        <v>135</v>
      </c>
      <c r="Y76" s="426"/>
      <c r="Z76" s="426"/>
      <c r="AA76" s="426"/>
      <c r="AB76" s="422" t="str">
        <f>IFERROR(VLOOKUP(Q75,اسماء,3,0),"")</f>
        <v/>
      </c>
      <c r="AC76" s="423"/>
      <c r="AE76" s="167" t="s">
        <v>134</v>
      </c>
      <c r="AF76" s="413" t="str">
        <f>IFERROR(VLOOKUP(AF75,اسماء,76,0),"")</f>
        <v/>
      </c>
      <c r="AG76" s="413"/>
      <c r="AH76" s="413"/>
      <c r="AI76" s="425" t="str">
        <f>IFERROR(VLOOKUP(AF75,اسماء,2,0),"")</f>
        <v/>
      </c>
      <c r="AJ76" s="425"/>
      <c r="AK76" s="425"/>
      <c r="AL76" s="425"/>
      <c r="AM76" s="426" t="s">
        <v>135</v>
      </c>
      <c r="AN76" s="426"/>
      <c r="AO76" s="426"/>
      <c r="AP76" s="426"/>
      <c r="AQ76" s="422" t="str">
        <f>IFERROR(VLOOKUP(AF75,اسماء,3,0),"")</f>
        <v/>
      </c>
      <c r="AR76" s="423"/>
      <c r="AT76" s="167" t="s">
        <v>134</v>
      </c>
      <c r="AU76" s="413" t="str">
        <f>IFERROR(VLOOKUP(AU75,اسماء,76,0),"")</f>
        <v/>
      </c>
      <c r="AV76" s="413"/>
      <c r="AW76" s="413"/>
      <c r="AX76" s="425" t="str">
        <f>IFERROR(VLOOKUP(AU75,اسماء,2,0),"")</f>
        <v/>
      </c>
      <c r="AY76" s="425"/>
      <c r="AZ76" s="425"/>
      <c r="BA76" s="425"/>
      <c r="BB76" s="426" t="s">
        <v>135</v>
      </c>
      <c r="BC76" s="426"/>
      <c r="BD76" s="426"/>
      <c r="BE76" s="426"/>
      <c r="BF76" s="422" t="str">
        <f>IFERROR(VLOOKUP(AU75,اسماء,3,0),"")</f>
        <v/>
      </c>
      <c r="BG76" s="423"/>
    </row>
    <row r="77" spans="1:59" ht="35.1" customHeight="1">
      <c r="A77" s="167" t="s">
        <v>136</v>
      </c>
      <c r="B77" s="168" t="str">
        <f>IFERROR(VLOOKUP(B75,اسماء,64,0),"")</f>
        <v/>
      </c>
      <c r="C77" s="168" t="str">
        <f>IFERROR(VLOOKUP(B75,اسماء,65,0),"")</f>
        <v/>
      </c>
      <c r="D77" s="168" t="str">
        <f>IFERROR(VLOOKUP(B75,اسماء,66,0),"")</f>
        <v/>
      </c>
      <c r="E77" s="168" t="str">
        <f>IFERROR(VLOOKUP(B75,اسماء,67,0),"")</f>
        <v/>
      </c>
      <c r="F77" s="168" t="str">
        <f>IFERROR(VLOOKUP(B75,اسماء,68,0),"")</f>
        <v/>
      </c>
      <c r="G77" s="168" t="str">
        <f>IFERROR(VLOOKUP(B75,اسماء,69,0),"")</f>
        <v/>
      </c>
      <c r="H77" s="168" t="str">
        <f>IFERROR(VLOOKUP(B75,اسماء,70,0),"")</f>
        <v/>
      </c>
      <c r="I77" s="168" t="str">
        <f>IFERROR(VLOOKUP(B75,اسماء,71,0),"")</f>
        <v/>
      </c>
      <c r="J77" s="168" t="str">
        <f>IFERROR(VLOOKUP(B75,اسماء,72,0),"")</f>
        <v/>
      </c>
      <c r="K77" s="168" t="str">
        <f>IFERROR(VLOOKUP(B75,اسماء,73,0),"")</f>
        <v/>
      </c>
      <c r="L77" s="168" t="str">
        <f>IFERROR(VLOOKUP(B75,اسماء,74,0),"")</f>
        <v/>
      </c>
      <c r="M77" s="168" t="str">
        <f>IFERROR(VLOOKUP(B75,اسماء,75,0),"")</f>
        <v/>
      </c>
      <c r="N77" s="330"/>
      <c r="P77" s="167" t="s">
        <v>136</v>
      </c>
      <c r="Q77" s="168" t="str">
        <f>IFERROR(VLOOKUP(Q75,اسماء,64,0),"")</f>
        <v/>
      </c>
      <c r="R77" s="168" t="str">
        <f>IFERROR(VLOOKUP(Q75,اسماء,65,0),"")</f>
        <v/>
      </c>
      <c r="S77" s="168" t="str">
        <f>IFERROR(VLOOKUP(Q75,اسماء,66,0),"")</f>
        <v/>
      </c>
      <c r="T77" s="168" t="str">
        <f>IFERROR(VLOOKUP(Q75,اسماء,67,0),"")</f>
        <v/>
      </c>
      <c r="U77" s="168" t="str">
        <f>IFERROR(VLOOKUP(Q75,اسماء,68,0),"")</f>
        <v/>
      </c>
      <c r="V77" s="168" t="str">
        <f>IFERROR(VLOOKUP(Q75,اسماء,69,0),"")</f>
        <v/>
      </c>
      <c r="W77" s="168" t="str">
        <f>IFERROR(VLOOKUP(Q75,اسماء,70,0),"")</f>
        <v/>
      </c>
      <c r="X77" s="168" t="str">
        <f>IFERROR(VLOOKUP(Q75,اسماء,71,0),"")</f>
        <v/>
      </c>
      <c r="Y77" s="168" t="str">
        <f>IFERROR(VLOOKUP(Q75,اسماء,72,0),"")</f>
        <v/>
      </c>
      <c r="Z77" s="168" t="str">
        <f>IFERROR(VLOOKUP(Q75,اسماء,73,0),"")</f>
        <v/>
      </c>
      <c r="AA77" s="168" t="str">
        <f>IFERROR(VLOOKUP(Q75,اسماء,74,0),"")</f>
        <v/>
      </c>
      <c r="AB77" s="168" t="str">
        <f>IFERROR(VLOOKUP(Q75,اسماء,75,0),"")</f>
        <v/>
      </c>
      <c r="AC77" s="330"/>
      <c r="AE77" s="167" t="s">
        <v>136</v>
      </c>
      <c r="AF77" s="168" t="str">
        <f>IFERROR(VLOOKUP(AF75,اسماء,64,0),"")</f>
        <v/>
      </c>
      <c r="AG77" s="168" t="str">
        <f>IFERROR(VLOOKUP(AF75,اسماء,65,0),"")</f>
        <v/>
      </c>
      <c r="AH77" s="168" t="str">
        <f>IFERROR(VLOOKUP(AF75,اسماء,66,0),"")</f>
        <v/>
      </c>
      <c r="AI77" s="168" t="str">
        <f>IFERROR(VLOOKUP(AF75,اسماء,67,0),"")</f>
        <v/>
      </c>
      <c r="AJ77" s="168" t="str">
        <f>IFERROR(VLOOKUP(AF75,اسماء,68,0),"")</f>
        <v/>
      </c>
      <c r="AK77" s="168" t="str">
        <f>IFERROR(VLOOKUP(AF75,اسماء,69,0),"")</f>
        <v/>
      </c>
      <c r="AL77" s="168" t="str">
        <f>IFERROR(VLOOKUP(AF75,اسماء,70,0),"")</f>
        <v/>
      </c>
      <c r="AM77" s="168" t="str">
        <f>IFERROR(VLOOKUP(AF75,اسماء,71,0),"")</f>
        <v/>
      </c>
      <c r="AN77" s="168" t="str">
        <f>IFERROR(VLOOKUP(AF75,اسماء,72,0),"")</f>
        <v/>
      </c>
      <c r="AO77" s="168" t="str">
        <f>IFERROR(VLOOKUP(AF75,اسماء,73,0),"")</f>
        <v/>
      </c>
      <c r="AP77" s="168" t="str">
        <f>IFERROR(VLOOKUP(AF75,اسماء,74,0),"")</f>
        <v/>
      </c>
      <c r="AQ77" s="168" t="str">
        <f>IFERROR(VLOOKUP(AF75,اسماء,75,0),"")</f>
        <v/>
      </c>
      <c r="AR77" s="330"/>
      <c r="AT77" s="167" t="s">
        <v>136</v>
      </c>
      <c r="AU77" s="168" t="str">
        <f>IFERROR(VLOOKUP(AU75,اسماء,64,0),"")</f>
        <v/>
      </c>
      <c r="AV77" s="168" t="str">
        <f>IFERROR(VLOOKUP(AU75,اسماء,65,0),"")</f>
        <v/>
      </c>
      <c r="AW77" s="168" t="str">
        <f>IFERROR(VLOOKUP(AU75,اسماء,66,0),"")</f>
        <v/>
      </c>
      <c r="AX77" s="168" t="str">
        <f>IFERROR(VLOOKUP(AU75,اسماء,67,0),"")</f>
        <v/>
      </c>
      <c r="AY77" s="168" t="str">
        <f>IFERROR(VLOOKUP(AU75,اسماء,68,0),"")</f>
        <v/>
      </c>
      <c r="AZ77" s="168" t="str">
        <f>IFERROR(VLOOKUP(AU75,اسماء,69,0),"")</f>
        <v/>
      </c>
      <c r="BA77" s="168" t="str">
        <f>IFERROR(VLOOKUP(AU75,اسماء,70,0),"")</f>
        <v/>
      </c>
      <c r="BB77" s="168" t="str">
        <f>IFERROR(VLOOKUP(AU75,اسماء,71,0),"")</f>
        <v/>
      </c>
      <c r="BC77" s="168" t="str">
        <f>IFERROR(VLOOKUP(AU75,اسماء,72,0),"")</f>
        <v/>
      </c>
      <c r="BD77" s="168" t="str">
        <f>IFERROR(VLOOKUP(AU75,اسماء,73,0),"")</f>
        <v/>
      </c>
      <c r="BE77" s="168" t="str">
        <f>IFERROR(VLOOKUP(AU75,اسماء,74,0),"")</f>
        <v/>
      </c>
      <c r="BF77" s="168" t="str">
        <f>IFERROR(VLOOKUP(AU75,اسماء,75,0),"")</f>
        <v/>
      </c>
      <c r="BG77" s="330"/>
    </row>
    <row r="78" spans="1:59" ht="45" customHeight="1">
      <c r="A78" s="167" t="s">
        <v>137</v>
      </c>
      <c r="B78" s="424" t="str">
        <f>IFERROR(VLOOKUP(B75,اسماء,77,0),"")</f>
        <v/>
      </c>
      <c r="C78" s="424"/>
      <c r="D78" s="424"/>
      <c r="E78" s="424"/>
      <c r="F78" s="424"/>
      <c r="G78" s="413" t="s">
        <v>138</v>
      </c>
      <c r="H78" s="413"/>
      <c r="I78" s="413" t="s">
        <v>139</v>
      </c>
      <c r="J78" s="413"/>
      <c r="K78" s="422" t="str">
        <f>IFERROR(VLOOKUP(B75,اسماء,78,0),"")</f>
        <v/>
      </c>
      <c r="L78" s="422"/>
      <c r="M78" s="422"/>
      <c r="N78" s="423"/>
      <c r="P78" s="167" t="s">
        <v>137</v>
      </c>
      <c r="Q78" s="424" t="str">
        <f>IFERROR(VLOOKUP(Q75,اسماء,77,0),"")</f>
        <v/>
      </c>
      <c r="R78" s="424"/>
      <c r="S78" s="424"/>
      <c r="T78" s="424"/>
      <c r="U78" s="424"/>
      <c r="V78" s="413" t="s">
        <v>138</v>
      </c>
      <c r="W78" s="413"/>
      <c r="X78" s="413" t="s">
        <v>139</v>
      </c>
      <c r="Y78" s="413"/>
      <c r="Z78" s="422" t="str">
        <f>IFERROR(VLOOKUP(Q75,اسماء,78,0),"")</f>
        <v/>
      </c>
      <c r="AA78" s="422"/>
      <c r="AB78" s="422"/>
      <c r="AC78" s="423"/>
      <c r="AE78" s="167" t="s">
        <v>137</v>
      </c>
      <c r="AF78" s="424" t="str">
        <f>IFERROR(VLOOKUP(AF75,اسماء,77,0),"")</f>
        <v/>
      </c>
      <c r="AG78" s="424"/>
      <c r="AH78" s="424"/>
      <c r="AI78" s="424"/>
      <c r="AJ78" s="424"/>
      <c r="AK78" s="413" t="s">
        <v>138</v>
      </c>
      <c r="AL78" s="413"/>
      <c r="AM78" s="413" t="s">
        <v>139</v>
      </c>
      <c r="AN78" s="413"/>
      <c r="AO78" s="422" t="str">
        <f>IFERROR(VLOOKUP(AF75,اسماء,78,0),"")</f>
        <v/>
      </c>
      <c r="AP78" s="422"/>
      <c r="AQ78" s="422"/>
      <c r="AR78" s="423"/>
      <c r="AT78" s="167" t="s">
        <v>137</v>
      </c>
      <c r="AU78" s="424" t="str">
        <f>IFERROR(VLOOKUP(AU75,اسماء,77,0),"")</f>
        <v/>
      </c>
      <c r="AV78" s="424"/>
      <c r="AW78" s="424"/>
      <c r="AX78" s="424"/>
      <c r="AY78" s="424"/>
      <c r="AZ78" s="413" t="s">
        <v>138</v>
      </c>
      <c r="BA78" s="413"/>
      <c r="BB78" s="413" t="s">
        <v>139</v>
      </c>
      <c r="BC78" s="413"/>
      <c r="BD78" s="422" t="str">
        <f>IFERROR(VLOOKUP(AU75,اسماء,78,0),"")</f>
        <v/>
      </c>
      <c r="BE78" s="422"/>
      <c r="BF78" s="422"/>
      <c r="BG78" s="423"/>
    </row>
    <row r="79" spans="1:59" ht="45" customHeight="1">
      <c r="A79" s="167" t="s">
        <v>140</v>
      </c>
      <c r="B79" s="422" t="str">
        <f>IFERROR(VLOOKUP(B75,اسماء,80,0),"")</f>
        <v/>
      </c>
      <c r="C79" s="422"/>
      <c r="D79" s="422"/>
      <c r="E79" s="422"/>
      <c r="F79" s="422"/>
      <c r="G79" s="413" t="s">
        <v>123</v>
      </c>
      <c r="H79" s="413"/>
      <c r="I79" s="413"/>
      <c r="J79" s="413"/>
      <c r="K79" s="422" t="str">
        <f>IFERROR(VLOOKUP(B75,اسماء,79,0),"")</f>
        <v/>
      </c>
      <c r="L79" s="422"/>
      <c r="M79" s="422"/>
      <c r="N79" s="423"/>
      <c r="P79" s="167" t="s">
        <v>140</v>
      </c>
      <c r="Q79" s="422" t="str">
        <f>IFERROR(VLOOKUP(Q75,اسماء,80,0),"")</f>
        <v/>
      </c>
      <c r="R79" s="422"/>
      <c r="S79" s="422"/>
      <c r="T79" s="422"/>
      <c r="U79" s="422"/>
      <c r="V79" s="413" t="s">
        <v>123</v>
      </c>
      <c r="W79" s="413"/>
      <c r="X79" s="413"/>
      <c r="Y79" s="413"/>
      <c r="Z79" s="422" t="str">
        <f>IFERROR(VLOOKUP(Q75,اسماء,79,0),"")</f>
        <v/>
      </c>
      <c r="AA79" s="422"/>
      <c r="AB79" s="422"/>
      <c r="AC79" s="423"/>
      <c r="AE79" s="167" t="s">
        <v>140</v>
      </c>
      <c r="AF79" s="422" t="str">
        <f>IFERROR(VLOOKUP(AF75,اسماء,80,0),"")</f>
        <v/>
      </c>
      <c r="AG79" s="422"/>
      <c r="AH79" s="422"/>
      <c r="AI79" s="422"/>
      <c r="AJ79" s="422"/>
      <c r="AK79" s="413" t="s">
        <v>123</v>
      </c>
      <c r="AL79" s="413"/>
      <c r="AM79" s="413"/>
      <c r="AN79" s="413"/>
      <c r="AO79" s="422" t="str">
        <f>IFERROR(VLOOKUP(AF75,اسماء,79,0),"")</f>
        <v/>
      </c>
      <c r="AP79" s="422"/>
      <c r="AQ79" s="422"/>
      <c r="AR79" s="423"/>
      <c r="AT79" s="167" t="s">
        <v>140</v>
      </c>
      <c r="AU79" s="422" t="str">
        <f>IFERROR(VLOOKUP(AU75,اسماء,77,0),"")</f>
        <v/>
      </c>
      <c r="AV79" s="422"/>
      <c r="AW79" s="422"/>
      <c r="AX79" s="422"/>
      <c r="AY79" s="422"/>
      <c r="AZ79" s="413" t="s">
        <v>123</v>
      </c>
      <c r="BA79" s="413"/>
      <c r="BB79" s="413"/>
      <c r="BC79" s="413"/>
      <c r="BD79" s="422" t="str">
        <f>IFERROR(VLOOKUP(AU75,اسماء,76,0),"")</f>
        <v/>
      </c>
      <c r="BE79" s="422"/>
      <c r="BF79" s="422"/>
      <c r="BG79" s="423"/>
    </row>
    <row r="80" spans="1:59" ht="45" customHeight="1" thickBot="1">
      <c r="A80" s="416" t="s">
        <v>141</v>
      </c>
      <c r="B80" s="417"/>
      <c r="C80" s="417"/>
      <c r="D80" s="417"/>
      <c r="E80" s="417"/>
      <c r="F80" s="417"/>
      <c r="G80" s="417"/>
      <c r="H80" s="417"/>
      <c r="I80" s="417"/>
      <c r="J80" s="417"/>
      <c r="K80" s="417"/>
      <c r="L80" s="417"/>
      <c r="M80" s="417"/>
      <c r="N80" s="418"/>
      <c r="P80" s="416" t="s">
        <v>141</v>
      </c>
      <c r="Q80" s="417"/>
      <c r="R80" s="417"/>
      <c r="S80" s="417"/>
      <c r="T80" s="417"/>
      <c r="U80" s="417"/>
      <c r="V80" s="417"/>
      <c r="W80" s="417"/>
      <c r="X80" s="417"/>
      <c r="Y80" s="417"/>
      <c r="Z80" s="417"/>
      <c r="AA80" s="417"/>
      <c r="AB80" s="417"/>
      <c r="AC80" s="418"/>
      <c r="AE80" s="416" t="s">
        <v>141</v>
      </c>
      <c r="AF80" s="417"/>
      <c r="AG80" s="417"/>
      <c r="AH80" s="417"/>
      <c r="AI80" s="417"/>
      <c r="AJ80" s="417"/>
      <c r="AK80" s="417"/>
      <c r="AL80" s="417"/>
      <c r="AM80" s="417"/>
      <c r="AN80" s="417"/>
      <c r="AO80" s="417"/>
      <c r="AP80" s="417"/>
      <c r="AQ80" s="417"/>
      <c r="AR80" s="418"/>
      <c r="AT80" s="416" t="s">
        <v>141</v>
      </c>
      <c r="AU80" s="417"/>
      <c r="AV80" s="417"/>
      <c r="AW80" s="417"/>
      <c r="AX80" s="417"/>
      <c r="AY80" s="417"/>
      <c r="AZ80" s="417"/>
      <c r="BA80" s="417"/>
      <c r="BB80" s="417"/>
      <c r="BC80" s="417"/>
      <c r="BD80" s="417"/>
      <c r="BE80" s="417"/>
      <c r="BF80" s="417"/>
      <c r="BG80" s="418"/>
    </row>
    <row r="81" spans="1:59" ht="45" customHeight="1" thickTop="1">
      <c r="A81" s="419" t="s">
        <v>142</v>
      </c>
      <c r="B81" s="420"/>
      <c r="C81" s="420"/>
      <c r="D81" s="420"/>
      <c r="E81" s="420"/>
      <c r="F81" s="420"/>
      <c r="G81" s="420"/>
      <c r="H81" s="420"/>
      <c r="I81" s="420"/>
      <c r="J81" s="420"/>
      <c r="K81" s="420"/>
      <c r="L81" s="420"/>
      <c r="M81" s="420"/>
      <c r="N81" s="421"/>
      <c r="P81" s="419" t="s">
        <v>142</v>
      </c>
      <c r="Q81" s="420"/>
      <c r="R81" s="420"/>
      <c r="S81" s="420"/>
      <c r="T81" s="420"/>
      <c r="U81" s="420"/>
      <c r="V81" s="420"/>
      <c r="W81" s="420"/>
      <c r="X81" s="420"/>
      <c r="Y81" s="420"/>
      <c r="Z81" s="420"/>
      <c r="AA81" s="420"/>
      <c r="AB81" s="420"/>
      <c r="AC81" s="421"/>
      <c r="AE81" s="419" t="s">
        <v>142</v>
      </c>
      <c r="AF81" s="420"/>
      <c r="AG81" s="420"/>
      <c r="AH81" s="420"/>
      <c r="AI81" s="420"/>
      <c r="AJ81" s="420"/>
      <c r="AK81" s="420"/>
      <c r="AL81" s="420"/>
      <c r="AM81" s="420"/>
      <c r="AN81" s="420"/>
      <c r="AO81" s="420"/>
      <c r="AP81" s="420"/>
      <c r="AQ81" s="420"/>
      <c r="AR81" s="421"/>
      <c r="AT81" s="419" t="s">
        <v>142</v>
      </c>
      <c r="AU81" s="420"/>
      <c r="AV81" s="420"/>
      <c r="AW81" s="420"/>
      <c r="AX81" s="420"/>
      <c r="AY81" s="420"/>
      <c r="AZ81" s="420"/>
      <c r="BA81" s="420"/>
      <c r="BB81" s="420"/>
      <c r="BC81" s="420"/>
      <c r="BD81" s="420"/>
      <c r="BE81" s="420"/>
      <c r="BF81" s="420"/>
      <c r="BG81" s="421"/>
    </row>
    <row r="82" spans="1:59" s="58" customFormat="1" ht="33" customHeight="1">
      <c r="A82" s="415" t="s">
        <v>161</v>
      </c>
      <c r="B82" s="413"/>
      <c r="C82" s="413"/>
      <c r="D82" s="413"/>
      <c r="E82" s="413"/>
      <c r="F82" s="413"/>
      <c r="G82" s="413"/>
      <c r="H82" s="413"/>
      <c r="I82" s="413"/>
      <c r="J82" s="413"/>
      <c r="K82" s="413"/>
      <c r="L82" s="413"/>
      <c r="M82" s="413"/>
      <c r="N82" s="414"/>
      <c r="P82" s="415" t="s">
        <v>161</v>
      </c>
      <c r="Q82" s="413"/>
      <c r="R82" s="413"/>
      <c r="S82" s="413"/>
      <c r="T82" s="413"/>
      <c r="U82" s="413"/>
      <c r="V82" s="413"/>
      <c r="W82" s="413"/>
      <c r="X82" s="413"/>
      <c r="Y82" s="413"/>
      <c r="Z82" s="413"/>
      <c r="AA82" s="413"/>
      <c r="AB82" s="413"/>
      <c r="AC82" s="414"/>
      <c r="AE82" s="415" t="s">
        <v>161</v>
      </c>
      <c r="AF82" s="413"/>
      <c r="AG82" s="413"/>
      <c r="AH82" s="413"/>
      <c r="AI82" s="413"/>
      <c r="AJ82" s="413"/>
      <c r="AK82" s="413"/>
      <c r="AL82" s="413"/>
      <c r="AM82" s="413"/>
      <c r="AN82" s="413"/>
      <c r="AO82" s="413"/>
      <c r="AP82" s="413"/>
      <c r="AQ82" s="413"/>
      <c r="AR82" s="414"/>
      <c r="AT82" s="415" t="s">
        <v>161</v>
      </c>
      <c r="AU82" s="413"/>
      <c r="AV82" s="413"/>
      <c r="AW82" s="413"/>
      <c r="AX82" s="413"/>
      <c r="AY82" s="413"/>
      <c r="AZ82" s="413"/>
      <c r="BA82" s="413"/>
      <c r="BB82" s="413"/>
      <c r="BC82" s="413"/>
      <c r="BD82" s="413"/>
      <c r="BE82" s="413"/>
      <c r="BF82" s="413"/>
      <c r="BG82" s="414"/>
    </row>
    <row r="83" spans="1:59" ht="33" customHeight="1">
      <c r="A83" s="411" t="s">
        <v>143</v>
      </c>
      <c r="B83" s="412"/>
      <c r="C83" s="412"/>
      <c r="D83" s="412"/>
      <c r="E83" s="412"/>
      <c r="F83" s="412"/>
      <c r="G83" s="413"/>
      <c r="H83" s="413"/>
      <c r="I83" s="413"/>
      <c r="J83" s="413"/>
      <c r="K83" s="413"/>
      <c r="L83" s="413"/>
      <c r="M83" s="413"/>
      <c r="N83" s="414"/>
      <c r="P83" s="411" t="s">
        <v>143</v>
      </c>
      <c r="Q83" s="412"/>
      <c r="R83" s="412"/>
      <c r="S83" s="412"/>
      <c r="T83" s="412"/>
      <c r="U83" s="412"/>
      <c r="V83" s="413"/>
      <c r="W83" s="413"/>
      <c r="X83" s="413"/>
      <c r="Y83" s="413"/>
      <c r="Z83" s="413"/>
      <c r="AA83" s="413"/>
      <c r="AB83" s="413"/>
      <c r="AC83" s="414"/>
      <c r="AE83" s="411" t="s">
        <v>143</v>
      </c>
      <c r="AF83" s="412"/>
      <c r="AG83" s="412"/>
      <c r="AH83" s="412"/>
      <c r="AI83" s="412"/>
      <c r="AJ83" s="412"/>
      <c r="AK83" s="413"/>
      <c r="AL83" s="413"/>
      <c r="AM83" s="413"/>
      <c r="AN83" s="413"/>
      <c r="AO83" s="413"/>
      <c r="AP83" s="413"/>
      <c r="AQ83" s="413"/>
      <c r="AR83" s="414"/>
      <c r="AT83" s="411" t="s">
        <v>143</v>
      </c>
      <c r="AU83" s="412"/>
      <c r="AV83" s="412"/>
      <c r="AW83" s="412"/>
      <c r="AX83" s="412"/>
      <c r="AY83" s="412"/>
      <c r="AZ83" s="413"/>
      <c r="BA83" s="413"/>
      <c r="BB83" s="413"/>
      <c r="BC83" s="413"/>
      <c r="BD83" s="413"/>
      <c r="BE83" s="413"/>
      <c r="BF83" s="413"/>
      <c r="BG83" s="414"/>
    </row>
    <row r="84" spans="1:59" s="171" customFormat="1" ht="30" customHeight="1">
      <c r="A84" s="167" t="s">
        <v>144</v>
      </c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70" t="s">
        <v>145</v>
      </c>
      <c r="P84" s="167" t="s">
        <v>144</v>
      </c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70" t="s">
        <v>145</v>
      </c>
      <c r="AE84" s="167" t="s">
        <v>144</v>
      </c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70" t="s">
        <v>145</v>
      </c>
      <c r="AT84" s="167" t="s">
        <v>144</v>
      </c>
      <c r="AU84" s="169"/>
      <c r="AV84" s="169"/>
      <c r="AW84" s="169"/>
      <c r="AX84" s="169"/>
      <c r="AY84" s="169"/>
      <c r="AZ84" s="169"/>
      <c r="BA84" s="169"/>
      <c r="BB84" s="169"/>
      <c r="BC84" s="169"/>
      <c r="BD84" s="169"/>
      <c r="BE84" s="169"/>
      <c r="BF84" s="169"/>
      <c r="BG84" s="170" t="s">
        <v>145</v>
      </c>
    </row>
    <row r="85" spans="1:59" ht="30" customHeight="1">
      <c r="A85" s="172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73"/>
      <c r="P85" s="172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73"/>
      <c r="AE85" s="172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73"/>
      <c r="AT85" s="172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  <c r="BE85" s="169"/>
      <c r="BF85" s="169"/>
      <c r="BG85" s="173"/>
    </row>
    <row r="86" spans="1:59" ht="24.9" customHeight="1">
      <c r="A86" s="17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75"/>
      <c r="P86" s="17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75"/>
      <c r="AE86" s="17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75"/>
      <c r="AT86" s="17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75"/>
    </row>
    <row r="87" spans="1:59" ht="24.9" customHeight="1" thickBot="1">
      <c r="A87" s="176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8"/>
      <c r="P87" s="176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8"/>
      <c r="AE87" s="176"/>
      <c r="AF87" s="177"/>
      <c r="AG87" s="177"/>
      <c r="AH87" s="177"/>
      <c r="AI87" s="177"/>
      <c r="AJ87" s="177"/>
      <c r="AK87" s="177"/>
      <c r="AL87" s="177"/>
      <c r="AM87" s="177"/>
      <c r="AN87" s="177"/>
      <c r="AO87" s="177"/>
      <c r="AP87" s="177"/>
      <c r="AQ87" s="177"/>
      <c r="AR87" s="178"/>
      <c r="AT87" s="176"/>
      <c r="AU87" s="177"/>
      <c r="AV87" s="177"/>
      <c r="AW87" s="177"/>
      <c r="AX87" s="177"/>
      <c r="AY87" s="177"/>
      <c r="AZ87" s="177"/>
      <c r="BA87" s="177"/>
      <c r="BB87" s="177"/>
      <c r="BC87" s="177"/>
      <c r="BD87" s="177"/>
      <c r="BE87" s="177"/>
      <c r="BF87" s="177"/>
      <c r="BG87" s="178"/>
    </row>
    <row r="88" spans="1:59" ht="15" thickTop="1" thickBot="1"/>
    <row r="89" spans="1:59" s="164" customFormat="1" ht="39.9" customHeight="1" thickTop="1">
      <c r="A89" s="162">
        <f>A67-1</f>
        <v>-3</v>
      </c>
      <c r="B89" s="447" t="s">
        <v>38</v>
      </c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163"/>
      <c r="P89" s="162">
        <f>P67-1</f>
        <v>-8</v>
      </c>
      <c r="Q89" s="447" t="s">
        <v>38</v>
      </c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163"/>
      <c r="AE89" s="162">
        <f>AE67-1</f>
        <v>-13</v>
      </c>
      <c r="AF89" s="447" t="s">
        <v>38</v>
      </c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163"/>
      <c r="AT89" s="162">
        <f>AT67-1</f>
        <v>-18</v>
      </c>
      <c r="AU89" s="447" t="s">
        <v>38</v>
      </c>
      <c r="AV89" s="447"/>
      <c r="AW89" s="447"/>
      <c r="AX89" s="447"/>
      <c r="AY89" s="447"/>
      <c r="AZ89" s="447"/>
      <c r="BA89" s="447"/>
      <c r="BB89" s="447"/>
      <c r="BC89" s="447"/>
      <c r="BD89" s="447"/>
      <c r="BE89" s="447"/>
      <c r="BF89" s="447"/>
      <c r="BG89" s="163"/>
    </row>
    <row r="90" spans="1:59" s="164" customFormat="1" ht="39.9" customHeight="1">
      <c r="A90" s="441" t="s">
        <v>39</v>
      </c>
      <c r="B90" s="442"/>
      <c r="C90" s="442"/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3"/>
      <c r="P90" s="441" t="s">
        <v>39</v>
      </c>
      <c r="Q90" s="442"/>
      <c r="R90" s="442"/>
      <c r="S90" s="442"/>
      <c r="T90" s="442"/>
      <c r="U90" s="442"/>
      <c r="V90" s="442"/>
      <c r="W90" s="442"/>
      <c r="X90" s="442"/>
      <c r="Y90" s="442"/>
      <c r="Z90" s="442"/>
      <c r="AA90" s="442"/>
      <c r="AB90" s="442"/>
      <c r="AC90" s="443"/>
      <c r="AE90" s="441" t="s">
        <v>39</v>
      </c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3"/>
      <c r="AT90" s="441" t="s">
        <v>39</v>
      </c>
      <c r="AU90" s="442"/>
      <c r="AV90" s="442"/>
      <c r="AW90" s="442"/>
      <c r="AX90" s="442"/>
      <c r="AY90" s="442"/>
      <c r="AZ90" s="442"/>
      <c r="BA90" s="442"/>
      <c r="BB90" s="442"/>
      <c r="BC90" s="442"/>
      <c r="BD90" s="442"/>
      <c r="BE90" s="442"/>
      <c r="BF90" s="442"/>
      <c r="BG90" s="443"/>
    </row>
    <row r="91" spans="1:59" s="164" customFormat="1" ht="39.9" customHeight="1">
      <c r="A91" s="444" t="s">
        <v>162</v>
      </c>
      <c r="B91" s="445"/>
      <c r="C91" s="445"/>
      <c r="D91" s="445"/>
      <c r="E91" s="445"/>
      <c r="F91" s="445"/>
      <c r="G91" s="445"/>
      <c r="H91" s="445"/>
      <c r="I91" s="445"/>
      <c r="J91" s="445"/>
      <c r="K91" s="445"/>
      <c r="L91" s="445"/>
      <c r="M91" s="445"/>
      <c r="N91" s="446"/>
      <c r="P91" s="444" t="s">
        <v>162</v>
      </c>
      <c r="Q91" s="445"/>
      <c r="R91" s="445"/>
      <c r="S91" s="445"/>
      <c r="T91" s="445"/>
      <c r="U91" s="445"/>
      <c r="V91" s="445"/>
      <c r="W91" s="445"/>
      <c r="X91" s="445"/>
      <c r="Y91" s="445"/>
      <c r="Z91" s="445"/>
      <c r="AA91" s="445"/>
      <c r="AB91" s="445"/>
      <c r="AC91" s="446"/>
      <c r="AE91" s="444" t="s">
        <v>162</v>
      </c>
      <c r="AF91" s="445"/>
      <c r="AG91" s="445"/>
      <c r="AH91" s="445"/>
      <c r="AI91" s="445"/>
      <c r="AJ91" s="445"/>
      <c r="AK91" s="445"/>
      <c r="AL91" s="445"/>
      <c r="AM91" s="445"/>
      <c r="AN91" s="445"/>
      <c r="AO91" s="445"/>
      <c r="AP91" s="445"/>
      <c r="AQ91" s="445"/>
      <c r="AR91" s="446"/>
      <c r="AT91" s="444" t="s">
        <v>162</v>
      </c>
      <c r="AU91" s="445"/>
      <c r="AV91" s="445"/>
      <c r="AW91" s="445"/>
      <c r="AX91" s="445"/>
      <c r="AY91" s="445"/>
      <c r="AZ91" s="445"/>
      <c r="BA91" s="445"/>
      <c r="BB91" s="445"/>
      <c r="BC91" s="445"/>
      <c r="BD91" s="445"/>
      <c r="BE91" s="445"/>
      <c r="BF91" s="445"/>
      <c r="BG91" s="446"/>
    </row>
    <row r="92" spans="1:59" s="164" customFormat="1" ht="39.9" customHeight="1">
      <c r="A92" s="435" t="s">
        <v>124</v>
      </c>
      <c r="B92" s="436"/>
      <c r="C92" s="436"/>
      <c r="D92" s="436"/>
      <c r="E92" s="436"/>
      <c r="F92" s="436"/>
      <c r="G92" s="436"/>
      <c r="H92" s="436"/>
      <c r="I92" s="436"/>
      <c r="J92" s="436"/>
      <c r="K92" s="437" t="str">
        <f>ادخال1!$CD$7</f>
        <v>الاساسي</v>
      </c>
      <c r="L92" s="437"/>
      <c r="M92" s="437"/>
      <c r="N92" s="438"/>
      <c r="P92" s="435" t="s">
        <v>124</v>
      </c>
      <c r="Q92" s="436"/>
      <c r="R92" s="436"/>
      <c r="S92" s="436"/>
      <c r="T92" s="436"/>
      <c r="U92" s="436"/>
      <c r="V92" s="436"/>
      <c r="W92" s="436"/>
      <c r="X92" s="436"/>
      <c r="Y92" s="436"/>
      <c r="Z92" s="437" t="str">
        <f>ادخال1!$CD$7</f>
        <v>الاساسي</v>
      </c>
      <c r="AA92" s="437"/>
      <c r="AB92" s="437"/>
      <c r="AC92" s="438"/>
      <c r="AE92" s="435" t="s">
        <v>124</v>
      </c>
      <c r="AF92" s="436"/>
      <c r="AG92" s="436"/>
      <c r="AH92" s="436"/>
      <c r="AI92" s="436"/>
      <c r="AJ92" s="436"/>
      <c r="AK92" s="436"/>
      <c r="AL92" s="436"/>
      <c r="AM92" s="436"/>
      <c r="AN92" s="436"/>
      <c r="AO92" s="437" t="str">
        <f>ادخال1!$CD$7</f>
        <v>الاساسي</v>
      </c>
      <c r="AP92" s="437"/>
      <c r="AQ92" s="437"/>
      <c r="AR92" s="438"/>
      <c r="AT92" s="435" t="s">
        <v>124</v>
      </c>
      <c r="AU92" s="436"/>
      <c r="AV92" s="436"/>
      <c r="AW92" s="436"/>
      <c r="AX92" s="436"/>
      <c r="AY92" s="436"/>
      <c r="AZ92" s="436"/>
      <c r="BA92" s="436"/>
      <c r="BB92" s="436"/>
      <c r="BC92" s="436"/>
      <c r="BD92" s="437" t="str">
        <f>ادخال1!$CD$7</f>
        <v>الاساسي</v>
      </c>
      <c r="BE92" s="437"/>
      <c r="BF92" s="437"/>
      <c r="BG92" s="438"/>
    </row>
    <row r="93" spans="1:59" s="164" customFormat="1" ht="39.9" customHeight="1">
      <c r="A93" s="435" t="s">
        <v>125</v>
      </c>
      <c r="B93" s="436"/>
      <c r="C93" s="436"/>
      <c r="D93" s="436"/>
      <c r="E93" s="436"/>
      <c r="F93" s="436"/>
      <c r="G93" s="439" t="str">
        <f>ادخال1!$CB$5</f>
        <v>الثاني الابتدائي</v>
      </c>
      <c r="H93" s="439"/>
      <c r="I93" s="439"/>
      <c r="J93" s="439"/>
      <c r="K93" s="439"/>
      <c r="L93" s="439"/>
      <c r="M93" s="439"/>
      <c r="N93" s="440"/>
      <c r="P93" s="435" t="s">
        <v>125</v>
      </c>
      <c r="Q93" s="436"/>
      <c r="R93" s="436"/>
      <c r="S93" s="436"/>
      <c r="T93" s="436"/>
      <c r="U93" s="436"/>
      <c r="V93" s="439" t="str">
        <f>ادخال1!$CB$5</f>
        <v>الثاني الابتدائي</v>
      </c>
      <c r="W93" s="439"/>
      <c r="X93" s="439"/>
      <c r="Y93" s="439"/>
      <c r="Z93" s="439"/>
      <c r="AA93" s="439"/>
      <c r="AB93" s="439"/>
      <c r="AC93" s="440"/>
      <c r="AE93" s="435" t="s">
        <v>125</v>
      </c>
      <c r="AF93" s="436"/>
      <c r="AG93" s="436"/>
      <c r="AH93" s="436"/>
      <c r="AI93" s="436"/>
      <c r="AJ93" s="436"/>
      <c r="AK93" s="439" t="str">
        <f>ادخال1!$CB$5</f>
        <v>الثاني الابتدائي</v>
      </c>
      <c r="AL93" s="439"/>
      <c r="AM93" s="439"/>
      <c r="AN93" s="439"/>
      <c r="AO93" s="439"/>
      <c r="AP93" s="439"/>
      <c r="AQ93" s="439"/>
      <c r="AR93" s="440"/>
      <c r="AT93" s="435" t="s">
        <v>125</v>
      </c>
      <c r="AU93" s="436"/>
      <c r="AV93" s="436"/>
      <c r="AW93" s="436"/>
      <c r="AX93" s="436"/>
      <c r="AY93" s="436"/>
      <c r="AZ93" s="439" t="str">
        <f>ادخال1!$CB$5</f>
        <v>الثاني الابتدائي</v>
      </c>
      <c r="BA93" s="439"/>
      <c r="BB93" s="439"/>
      <c r="BC93" s="439"/>
      <c r="BD93" s="439"/>
      <c r="BE93" s="439"/>
      <c r="BF93" s="439"/>
      <c r="BG93" s="440"/>
    </row>
    <row r="94" spans="1:59" s="164" customFormat="1" ht="39.9" customHeight="1">
      <c r="A94" s="165" t="s">
        <v>114</v>
      </c>
      <c r="B94" s="429" t="str">
        <f>ادخال1!$CA$8</f>
        <v>1446هـ/1447 هـ</v>
      </c>
      <c r="C94" s="429"/>
      <c r="D94" s="429"/>
      <c r="E94" s="429"/>
      <c r="F94" s="430" t="s">
        <v>126</v>
      </c>
      <c r="G94" s="430"/>
      <c r="H94" s="431" t="s">
        <v>127</v>
      </c>
      <c r="I94" s="431"/>
      <c r="J94" s="432" t="str">
        <f>ادخال1!$CB$8</f>
        <v>2026 /2025م</v>
      </c>
      <c r="K94" s="432"/>
      <c r="L94" s="432"/>
      <c r="M94" s="432"/>
      <c r="N94" s="166" t="s">
        <v>128</v>
      </c>
      <c r="P94" s="165" t="s">
        <v>114</v>
      </c>
      <c r="Q94" s="429" t="str">
        <f>ادخال1!$CA$8</f>
        <v>1446هـ/1447 هـ</v>
      </c>
      <c r="R94" s="429"/>
      <c r="S94" s="429"/>
      <c r="T94" s="429"/>
      <c r="U94" s="430" t="s">
        <v>126</v>
      </c>
      <c r="V94" s="430"/>
      <c r="W94" s="431" t="s">
        <v>127</v>
      </c>
      <c r="X94" s="431"/>
      <c r="Y94" s="432" t="str">
        <f>ادخال1!$CB$8</f>
        <v>2026 /2025م</v>
      </c>
      <c r="Z94" s="432"/>
      <c r="AA94" s="432"/>
      <c r="AB94" s="432"/>
      <c r="AC94" s="166" t="s">
        <v>128</v>
      </c>
      <c r="AE94" s="165" t="s">
        <v>114</v>
      </c>
      <c r="AF94" s="429" t="str">
        <f>ادخال1!$CA$8</f>
        <v>1446هـ/1447 هـ</v>
      </c>
      <c r="AG94" s="429"/>
      <c r="AH94" s="429"/>
      <c r="AI94" s="429"/>
      <c r="AJ94" s="430" t="s">
        <v>126</v>
      </c>
      <c r="AK94" s="430"/>
      <c r="AL94" s="431" t="s">
        <v>127</v>
      </c>
      <c r="AM94" s="431"/>
      <c r="AN94" s="432" t="str">
        <f>ادخال1!$CB$8</f>
        <v>2026 /2025م</v>
      </c>
      <c r="AO94" s="432"/>
      <c r="AP94" s="432"/>
      <c r="AQ94" s="432"/>
      <c r="AR94" s="166" t="s">
        <v>128</v>
      </c>
      <c r="AT94" s="165" t="s">
        <v>114</v>
      </c>
      <c r="AU94" s="429" t="str">
        <f>ادخال1!$CA$8</f>
        <v>1446هـ/1447 هـ</v>
      </c>
      <c r="AV94" s="429"/>
      <c r="AW94" s="429"/>
      <c r="AX94" s="429"/>
      <c r="AY94" s="430" t="s">
        <v>126</v>
      </c>
      <c r="AZ94" s="430"/>
      <c r="BA94" s="431" t="s">
        <v>127</v>
      </c>
      <c r="BB94" s="431"/>
      <c r="BC94" s="432" t="str">
        <f>ادخال1!$CB$8</f>
        <v>2026 /2025م</v>
      </c>
      <c r="BD94" s="432"/>
      <c r="BE94" s="432"/>
      <c r="BF94" s="432"/>
      <c r="BG94" s="166" t="s">
        <v>128</v>
      </c>
    </row>
    <row r="95" spans="1:59" ht="45" customHeight="1">
      <c r="A95" s="329" t="s">
        <v>129</v>
      </c>
      <c r="B95" s="433" t="str">
        <f>ادخال1!$CB$4</f>
        <v>تاجوراء</v>
      </c>
      <c r="C95" s="433"/>
      <c r="D95" s="433"/>
      <c r="E95" s="433"/>
      <c r="F95" s="433"/>
      <c r="G95" s="433"/>
      <c r="H95" s="433"/>
      <c r="I95" s="433"/>
      <c r="J95" s="433"/>
      <c r="K95" s="433"/>
      <c r="L95" s="433"/>
      <c r="M95" s="433"/>
      <c r="N95" s="434"/>
      <c r="P95" s="329" t="s">
        <v>129</v>
      </c>
      <c r="Q95" s="433" t="str">
        <f>ادخال1!$CB$4</f>
        <v>تاجوراء</v>
      </c>
      <c r="R95" s="433"/>
      <c r="S95" s="433"/>
      <c r="T95" s="433"/>
      <c r="U95" s="433"/>
      <c r="V95" s="433"/>
      <c r="W95" s="433"/>
      <c r="X95" s="433"/>
      <c r="Y95" s="433"/>
      <c r="Z95" s="433"/>
      <c r="AA95" s="433"/>
      <c r="AB95" s="433"/>
      <c r="AC95" s="434"/>
      <c r="AE95" s="329" t="s">
        <v>129</v>
      </c>
      <c r="AF95" s="433" t="str">
        <f>ادخال1!$CB$4</f>
        <v>تاجوراء</v>
      </c>
      <c r="AG95" s="433"/>
      <c r="AH95" s="433"/>
      <c r="AI95" s="433"/>
      <c r="AJ95" s="433"/>
      <c r="AK95" s="433"/>
      <c r="AL95" s="433"/>
      <c r="AM95" s="433"/>
      <c r="AN95" s="433"/>
      <c r="AO95" s="433"/>
      <c r="AP95" s="433"/>
      <c r="AQ95" s="433"/>
      <c r="AR95" s="434"/>
      <c r="AT95" s="329" t="s">
        <v>129</v>
      </c>
      <c r="AU95" s="433" t="str">
        <f>ادخال1!$CB$4</f>
        <v>تاجوراء</v>
      </c>
      <c r="AV95" s="433"/>
      <c r="AW95" s="433"/>
      <c r="AX95" s="433"/>
      <c r="AY95" s="433"/>
      <c r="AZ95" s="433"/>
      <c r="BA95" s="433"/>
      <c r="BB95" s="433"/>
      <c r="BC95" s="433"/>
      <c r="BD95" s="433"/>
      <c r="BE95" s="433"/>
      <c r="BF95" s="433"/>
      <c r="BG95" s="434"/>
    </row>
    <row r="96" spans="1:59" ht="45" customHeight="1">
      <c r="A96" s="167" t="s">
        <v>130</v>
      </c>
      <c r="B96" s="422" t="str">
        <f>ادخال1!$BZ$6</f>
        <v xml:space="preserve">مدرسة سهول العلم للتعيم الخاص </v>
      </c>
      <c r="C96" s="422"/>
      <c r="D96" s="422"/>
      <c r="E96" s="422"/>
      <c r="F96" s="422"/>
      <c r="G96" s="422"/>
      <c r="H96" s="422"/>
      <c r="I96" s="422"/>
      <c r="J96" s="428" t="s">
        <v>131</v>
      </c>
      <c r="K96" s="428"/>
      <c r="L96" s="428"/>
      <c r="M96" s="422" t="str">
        <f>ادخال1!$BZ$8</f>
        <v>تاجوراء الجنوبي</v>
      </c>
      <c r="N96" s="423"/>
      <c r="P96" s="167" t="s">
        <v>130</v>
      </c>
      <c r="Q96" s="422" t="str">
        <f>ادخال1!$BZ$6</f>
        <v xml:space="preserve">مدرسة سهول العلم للتعيم الخاص </v>
      </c>
      <c r="R96" s="422"/>
      <c r="S96" s="422"/>
      <c r="T96" s="422"/>
      <c r="U96" s="422"/>
      <c r="V96" s="422"/>
      <c r="W96" s="422"/>
      <c r="X96" s="422"/>
      <c r="Y96" s="428" t="s">
        <v>131</v>
      </c>
      <c r="Z96" s="428"/>
      <c r="AA96" s="428"/>
      <c r="AB96" s="422" t="str">
        <f>ادخال1!$BZ$8</f>
        <v>تاجوراء الجنوبي</v>
      </c>
      <c r="AC96" s="423"/>
      <c r="AE96" s="167" t="s">
        <v>130</v>
      </c>
      <c r="AF96" s="422" t="str">
        <f>ادخال1!$BZ$6</f>
        <v xml:space="preserve">مدرسة سهول العلم للتعيم الخاص </v>
      </c>
      <c r="AG96" s="422"/>
      <c r="AH96" s="422"/>
      <c r="AI96" s="422"/>
      <c r="AJ96" s="422"/>
      <c r="AK96" s="422"/>
      <c r="AL96" s="422"/>
      <c r="AM96" s="422"/>
      <c r="AN96" s="428" t="s">
        <v>131</v>
      </c>
      <c r="AO96" s="428"/>
      <c r="AP96" s="428"/>
      <c r="AQ96" s="422" t="str">
        <f>ادخال1!$BZ$8</f>
        <v>تاجوراء الجنوبي</v>
      </c>
      <c r="AR96" s="423"/>
      <c r="AT96" s="167" t="s">
        <v>130</v>
      </c>
      <c r="AU96" s="422" t="str">
        <f>ادخال1!$BZ$6</f>
        <v xml:space="preserve">مدرسة سهول العلم للتعيم الخاص </v>
      </c>
      <c r="AV96" s="422"/>
      <c r="AW96" s="422"/>
      <c r="AX96" s="422"/>
      <c r="AY96" s="422"/>
      <c r="AZ96" s="422"/>
      <c r="BA96" s="422"/>
      <c r="BB96" s="422"/>
      <c r="BC96" s="428" t="s">
        <v>131</v>
      </c>
      <c r="BD96" s="428"/>
      <c r="BE96" s="428"/>
      <c r="BF96" s="422" t="str">
        <f>ادخال1!$BZ$8</f>
        <v>تاجوراء الجنوبي</v>
      </c>
      <c r="BG96" s="423"/>
    </row>
    <row r="97" spans="1:59" ht="45" customHeight="1">
      <c r="A97" s="167" t="s">
        <v>132</v>
      </c>
      <c r="B97" s="427">
        <f>IFERROR(VLOOKUP(A89,مسلسل,2,0),0)</f>
        <v>0</v>
      </c>
      <c r="C97" s="427">
        <f t="shared" ref="C97" si="112">IFERROR(VLOOKUP(B97,مسلسل,2,0),0)</f>
        <v>0</v>
      </c>
      <c r="D97" s="427">
        <f t="shared" ref="D97" si="113">IFERROR(VLOOKUP(C97,مسلسل,2,0),0)</f>
        <v>0</v>
      </c>
      <c r="E97" s="427">
        <f t="shared" ref="E97" si="114">IFERROR(VLOOKUP(D97,مسلسل,2,0),0)</f>
        <v>0</v>
      </c>
      <c r="F97" s="427">
        <f t="shared" ref="F97" si="115">IFERROR(VLOOKUP(E97,مسلسل,2,0),0)</f>
        <v>0</v>
      </c>
      <c r="G97" s="427">
        <f t="shared" ref="G97" si="116">IFERROR(VLOOKUP(F97,مسلسل,2,0),0)</f>
        <v>0</v>
      </c>
      <c r="H97" s="427">
        <f t="shared" ref="H97" si="117">IFERROR(VLOOKUP(G97,مسلسل,2,0),0)</f>
        <v>0</v>
      </c>
      <c r="I97" s="427">
        <f t="shared" ref="I97" si="118">IFERROR(VLOOKUP(H97,مسلسل,2,0),0)</f>
        <v>0</v>
      </c>
      <c r="J97" s="428" t="s">
        <v>133</v>
      </c>
      <c r="K97" s="428"/>
      <c r="L97" s="428"/>
      <c r="M97" s="422" t="str">
        <f>IFERROR(VLOOKUP(B97,اسماء,63,0),"")</f>
        <v/>
      </c>
      <c r="N97" s="423"/>
      <c r="P97" s="329" t="s">
        <v>132</v>
      </c>
      <c r="Q97" s="427">
        <f>IFERROR(VLOOKUP(P89,مسلسل,2,0),0)</f>
        <v>0</v>
      </c>
      <c r="R97" s="427">
        <f t="shared" ref="R97" si="119">IFERROR(VLOOKUP(Q97,مسلسل,2,0),0)</f>
        <v>0</v>
      </c>
      <c r="S97" s="427">
        <f t="shared" ref="S97" si="120">IFERROR(VLOOKUP(R97,مسلسل,2,0),0)</f>
        <v>0</v>
      </c>
      <c r="T97" s="427">
        <f t="shared" ref="T97" si="121">IFERROR(VLOOKUP(S97,مسلسل,2,0),0)</f>
        <v>0</v>
      </c>
      <c r="U97" s="427">
        <f t="shared" ref="U97" si="122">IFERROR(VLOOKUP(T97,مسلسل,2,0),0)</f>
        <v>0</v>
      </c>
      <c r="V97" s="427">
        <f t="shared" ref="V97" si="123">IFERROR(VLOOKUP(U97,مسلسل,2,0),0)</f>
        <v>0</v>
      </c>
      <c r="W97" s="427">
        <f t="shared" ref="W97" si="124">IFERROR(VLOOKUP(V97,مسلسل,2,0),0)</f>
        <v>0</v>
      </c>
      <c r="X97" s="427">
        <f t="shared" ref="X97" si="125">IFERROR(VLOOKUP(W97,مسلسل,2,0),0)</f>
        <v>0</v>
      </c>
      <c r="Y97" s="428" t="s">
        <v>133</v>
      </c>
      <c r="Z97" s="428"/>
      <c r="AA97" s="428"/>
      <c r="AB97" s="422" t="str">
        <f>IFERROR(VLOOKUP(Q97,اسماء,63,0),"")</f>
        <v/>
      </c>
      <c r="AC97" s="423"/>
      <c r="AE97" s="329" t="s">
        <v>132</v>
      </c>
      <c r="AF97" s="427">
        <f>IFERROR(VLOOKUP(AE89,مسلسل,2,0),0)</f>
        <v>0</v>
      </c>
      <c r="AG97" s="427">
        <f t="shared" ref="AG97" si="126">IFERROR(VLOOKUP(AF97,مسلسل,2,0),0)</f>
        <v>0</v>
      </c>
      <c r="AH97" s="427">
        <f t="shared" ref="AH97" si="127">IFERROR(VLOOKUP(AG97,مسلسل,2,0),0)</f>
        <v>0</v>
      </c>
      <c r="AI97" s="427">
        <f t="shared" ref="AI97" si="128">IFERROR(VLOOKUP(AH97,مسلسل,2,0),0)</f>
        <v>0</v>
      </c>
      <c r="AJ97" s="427">
        <f t="shared" ref="AJ97" si="129">IFERROR(VLOOKUP(AI97,مسلسل,2,0),0)</f>
        <v>0</v>
      </c>
      <c r="AK97" s="427">
        <f t="shared" ref="AK97" si="130">IFERROR(VLOOKUP(AJ97,مسلسل,2,0),0)</f>
        <v>0</v>
      </c>
      <c r="AL97" s="427">
        <f t="shared" ref="AL97" si="131">IFERROR(VLOOKUP(AK97,مسلسل,2,0),0)</f>
        <v>0</v>
      </c>
      <c r="AM97" s="427">
        <f t="shared" ref="AM97" si="132">IFERROR(VLOOKUP(AL97,مسلسل,2,0),0)</f>
        <v>0</v>
      </c>
      <c r="AN97" s="428" t="s">
        <v>133</v>
      </c>
      <c r="AO97" s="428"/>
      <c r="AP97" s="428"/>
      <c r="AQ97" s="422" t="str">
        <f>IFERROR(VLOOKUP(AF97,اسماء,63,0),"")</f>
        <v/>
      </c>
      <c r="AR97" s="423"/>
      <c r="AT97" s="329" t="s">
        <v>132</v>
      </c>
      <c r="AU97" s="427">
        <f>IFERROR(VLOOKUP(AT89,مسلسل,2,0),0)</f>
        <v>0</v>
      </c>
      <c r="AV97" s="427">
        <f t="shared" ref="AV97" si="133">IFERROR(VLOOKUP(AU97,مسلسل,2,0),0)</f>
        <v>0</v>
      </c>
      <c r="AW97" s="427">
        <f t="shared" ref="AW97" si="134">IFERROR(VLOOKUP(AV97,مسلسل,2,0),0)</f>
        <v>0</v>
      </c>
      <c r="AX97" s="427">
        <f t="shared" ref="AX97" si="135">IFERROR(VLOOKUP(AW97,مسلسل,2,0),0)</f>
        <v>0</v>
      </c>
      <c r="AY97" s="427">
        <f t="shared" ref="AY97" si="136">IFERROR(VLOOKUP(AX97,مسلسل,2,0),0)</f>
        <v>0</v>
      </c>
      <c r="AZ97" s="427">
        <f t="shared" ref="AZ97" si="137">IFERROR(VLOOKUP(AY97,مسلسل,2,0),0)</f>
        <v>0</v>
      </c>
      <c r="BA97" s="427">
        <f t="shared" ref="BA97" si="138">IFERROR(VLOOKUP(AZ97,مسلسل,2,0),0)</f>
        <v>0</v>
      </c>
      <c r="BB97" s="427">
        <f t="shared" ref="BB97" si="139">IFERROR(VLOOKUP(BA97,مسلسل,2,0),0)</f>
        <v>0</v>
      </c>
      <c r="BC97" s="428" t="s">
        <v>133</v>
      </c>
      <c r="BD97" s="428"/>
      <c r="BE97" s="428"/>
      <c r="BF97" s="422" t="str">
        <f>IFERROR(VLOOKUP(AU97,اسماء,63,0),"")</f>
        <v/>
      </c>
      <c r="BG97" s="423"/>
    </row>
    <row r="98" spans="1:59" ht="45" customHeight="1">
      <c r="A98" s="167" t="s">
        <v>134</v>
      </c>
      <c r="B98" s="413" t="str">
        <f>IFERROR(VLOOKUP(B97,اسماء,76,0),"")</f>
        <v/>
      </c>
      <c r="C98" s="413"/>
      <c r="D98" s="413"/>
      <c r="E98" s="425" t="str">
        <f>IFERROR(VLOOKUP(B97,اسماء,2,0),"")</f>
        <v/>
      </c>
      <c r="F98" s="425"/>
      <c r="G98" s="425"/>
      <c r="H98" s="425"/>
      <c r="I98" s="426" t="s">
        <v>135</v>
      </c>
      <c r="J98" s="426"/>
      <c r="K98" s="426"/>
      <c r="L98" s="426"/>
      <c r="M98" s="422" t="str">
        <f>IFERROR(VLOOKUP(B97,اسماء,3,0),"")</f>
        <v/>
      </c>
      <c r="N98" s="423"/>
      <c r="P98" s="167" t="s">
        <v>134</v>
      </c>
      <c r="Q98" s="413" t="str">
        <f>IFERROR(VLOOKUP(Q97,اسماء,76,0),"")</f>
        <v/>
      </c>
      <c r="R98" s="413"/>
      <c r="S98" s="413"/>
      <c r="T98" s="425" t="str">
        <f>IFERROR(VLOOKUP(Q97,اسماء,2,0),"")</f>
        <v/>
      </c>
      <c r="U98" s="425"/>
      <c r="V98" s="425"/>
      <c r="W98" s="425"/>
      <c r="X98" s="426" t="s">
        <v>135</v>
      </c>
      <c r="Y98" s="426"/>
      <c r="Z98" s="426"/>
      <c r="AA98" s="426"/>
      <c r="AB98" s="422" t="str">
        <f>IFERROR(VLOOKUP(Q97,اسماء,3,0),"")</f>
        <v/>
      </c>
      <c r="AC98" s="423"/>
      <c r="AE98" s="167" t="s">
        <v>134</v>
      </c>
      <c r="AF98" s="413" t="str">
        <f>IFERROR(VLOOKUP(AF97,اسماء,76,0),"")</f>
        <v/>
      </c>
      <c r="AG98" s="413"/>
      <c r="AH98" s="413"/>
      <c r="AI98" s="425" t="str">
        <f>IFERROR(VLOOKUP(AF97,اسماء,2,0),"")</f>
        <v/>
      </c>
      <c r="AJ98" s="425"/>
      <c r="AK98" s="425"/>
      <c r="AL98" s="425"/>
      <c r="AM98" s="426" t="s">
        <v>135</v>
      </c>
      <c r="AN98" s="426"/>
      <c r="AO98" s="426"/>
      <c r="AP98" s="426"/>
      <c r="AQ98" s="422" t="str">
        <f>IFERROR(VLOOKUP(AF97,اسماء,3,0),"")</f>
        <v/>
      </c>
      <c r="AR98" s="423"/>
      <c r="AT98" s="167" t="s">
        <v>134</v>
      </c>
      <c r="AU98" s="413" t="str">
        <f>IFERROR(VLOOKUP(AU97,اسماء,76,0),"")</f>
        <v/>
      </c>
      <c r="AV98" s="413"/>
      <c r="AW98" s="413"/>
      <c r="AX98" s="425" t="str">
        <f>IFERROR(VLOOKUP(AU97,اسماء,2,0),"")</f>
        <v/>
      </c>
      <c r="AY98" s="425"/>
      <c r="AZ98" s="425"/>
      <c r="BA98" s="425"/>
      <c r="BB98" s="426" t="s">
        <v>135</v>
      </c>
      <c r="BC98" s="426"/>
      <c r="BD98" s="426"/>
      <c r="BE98" s="426"/>
      <c r="BF98" s="422" t="str">
        <f>IFERROR(VLOOKUP(AU97,اسماء,3,0),"")</f>
        <v/>
      </c>
      <c r="BG98" s="423"/>
    </row>
    <row r="99" spans="1:59" ht="35.1" customHeight="1">
      <c r="A99" s="167" t="s">
        <v>136</v>
      </c>
      <c r="B99" s="168" t="str">
        <f>IFERROR(VLOOKUP(B97,اسماء,64,0),"")</f>
        <v/>
      </c>
      <c r="C99" s="168" t="str">
        <f>IFERROR(VLOOKUP(B97,اسماء,65,0),"")</f>
        <v/>
      </c>
      <c r="D99" s="168" t="str">
        <f>IFERROR(VLOOKUP(B97,اسماء,66,0),"")</f>
        <v/>
      </c>
      <c r="E99" s="168" t="str">
        <f>IFERROR(VLOOKUP(B97,اسماء,67,0),"")</f>
        <v/>
      </c>
      <c r="F99" s="168" t="str">
        <f>IFERROR(VLOOKUP(B97,اسماء,68,0),"")</f>
        <v/>
      </c>
      <c r="G99" s="168" t="str">
        <f>IFERROR(VLOOKUP(B97,اسماء,69,0),"")</f>
        <v/>
      </c>
      <c r="H99" s="168" t="str">
        <f>IFERROR(VLOOKUP(B97,اسماء,70,0),"")</f>
        <v/>
      </c>
      <c r="I99" s="168" t="str">
        <f>IFERROR(VLOOKUP(B97,اسماء,71,0),"")</f>
        <v/>
      </c>
      <c r="J99" s="168" t="str">
        <f>IFERROR(VLOOKUP(B97,اسماء,72,0),"")</f>
        <v/>
      </c>
      <c r="K99" s="168" t="str">
        <f>IFERROR(VLOOKUP(B97,اسماء,73,0),"")</f>
        <v/>
      </c>
      <c r="L99" s="168" t="str">
        <f>IFERROR(VLOOKUP(B97,اسماء,74,0),"")</f>
        <v/>
      </c>
      <c r="M99" s="168" t="str">
        <f>IFERROR(VLOOKUP(B97,اسماء,75,0),"")</f>
        <v/>
      </c>
      <c r="N99" s="330"/>
      <c r="P99" s="167" t="s">
        <v>136</v>
      </c>
      <c r="Q99" s="168" t="str">
        <f>IFERROR(VLOOKUP(Q97,اسماء,64,0),"")</f>
        <v/>
      </c>
      <c r="R99" s="168" t="str">
        <f>IFERROR(VLOOKUP(Q97,اسماء,65,0),"")</f>
        <v/>
      </c>
      <c r="S99" s="168" t="str">
        <f>IFERROR(VLOOKUP(Q97,اسماء,66,0),"")</f>
        <v/>
      </c>
      <c r="T99" s="168" t="str">
        <f>IFERROR(VLOOKUP(Q97,اسماء,67,0),"")</f>
        <v/>
      </c>
      <c r="U99" s="168" t="str">
        <f>IFERROR(VLOOKUP(Q97,اسماء,68,0),"")</f>
        <v/>
      </c>
      <c r="V99" s="168" t="str">
        <f>IFERROR(VLOOKUP(Q97,اسماء,69,0),"")</f>
        <v/>
      </c>
      <c r="W99" s="168" t="str">
        <f>IFERROR(VLOOKUP(Q97,اسماء,70,0),"")</f>
        <v/>
      </c>
      <c r="X99" s="168" t="str">
        <f>IFERROR(VLOOKUP(Q97,اسماء,71,0),"")</f>
        <v/>
      </c>
      <c r="Y99" s="168" t="str">
        <f>IFERROR(VLOOKUP(Q97,اسماء,72,0),"")</f>
        <v/>
      </c>
      <c r="Z99" s="168" t="str">
        <f>IFERROR(VLOOKUP(Q97,اسماء,73,0),"")</f>
        <v/>
      </c>
      <c r="AA99" s="168" t="str">
        <f>IFERROR(VLOOKUP(Q97,اسماء,74,0),"")</f>
        <v/>
      </c>
      <c r="AB99" s="168" t="str">
        <f>IFERROR(VLOOKUP(Q97,اسماء,75,0),"")</f>
        <v/>
      </c>
      <c r="AC99" s="330"/>
      <c r="AE99" s="167" t="s">
        <v>136</v>
      </c>
      <c r="AF99" s="168" t="str">
        <f>IFERROR(VLOOKUP(AF97,اسماء,64,0),"")</f>
        <v/>
      </c>
      <c r="AG99" s="168" t="str">
        <f>IFERROR(VLOOKUP(AF97,اسماء,65,0),"")</f>
        <v/>
      </c>
      <c r="AH99" s="168" t="str">
        <f>IFERROR(VLOOKUP(AF97,اسماء,66,0),"")</f>
        <v/>
      </c>
      <c r="AI99" s="168" t="str">
        <f>IFERROR(VLOOKUP(AF97,اسماء,67,0),"")</f>
        <v/>
      </c>
      <c r="AJ99" s="168" t="str">
        <f>IFERROR(VLOOKUP(AF97,اسماء,68,0),"")</f>
        <v/>
      </c>
      <c r="AK99" s="168" t="str">
        <f>IFERROR(VLOOKUP(AF97,اسماء,69,0),"")</f>
        <v/>
      </c>
      <c r="AL99" s="168" t="str">
        <f>IFERROR(VLOOKUP(AF97,اسماء,70,0),"")</f>
        <v/>
      </c>
      <c r="AM99" s="168" t="str">
        <f>IFERROR(VLOOKUP(AF97,اسماء,71,0),"")</f>
        <v/>
      </c>
      <c r="AN99" s="168" t="str">
        <f>IFERROR(VLOOKUP(AF97,اسماء,72,0),"")</f>
        <v/>
      </c>
      <c r="AO99" s="168" t="str">
        <f>IFERROR(VLOOKUP(AF97,اسماء,73,0),"")</f>
        <v/>
      </c>
      <c r="AP99" s="168" t="str">
        <f>IFERROR(VLOOKUP(AF97,اسماء,74,0),"")</f>
        <v/>
      </c>
      <c r="AQ99" s="168" t="str">
        <f>IFERROR(VLOOKUP(AF97,اسماء,75,0),"")</f>
        <v/>
      </c>
      <c r="AR99" s="330"/>
      <c r="AT99" s="167" t="s">
        <v>136</v>
      </c>
      <c r="AU99" s="168" t="str">
        <f>IFERROR(VLOOKUP(AU97,اسماء,64,0),"")</f>
        <v/>
      </c>
      <c r="AV99" s="168" t="str">
        <f>IFERROR(VLOOKUP(AU97,اسماء,65,0),"")</f>
        <v/>
      </c>
      <c r="AW99" s="168" t="str">
        <f>IFERROR(VLOOKUP(AU97,اسماء,66,0),"")</f>
        <v/>
      </c>
      <c r="AX99" s="168" t="str">
        <f>IFERROR(VLOOKUP(AU97,اسماء,67,0),"")</f>
        <v/>
      </c>
      <c r="AY99" s="168" t="str">
        <f>IFERROR(VLOOKUP(AU97,اسماء,68,0),"")</f>
        <v/>
      </c>
      <c r="AZ99" s="168" t="str">
        <f>IFERROR(VLOOKUP(AU97,اسماء,69,0),"")</f>
        <v/>
      </c>
      <c r="BA99" s="168" t="str">
        <f>IFERROR(VLOOKUP(AU97,اسماء,70,0),"")</f>
        <v/>
      </c>
      <c r="BB99" s="168" t="str">
        <f>IFERROR(VLOOKUP(AU97,اسماء,71,0),"")</f>
        <v/>
      </c>
      <c r="BC99" s="168" t="str">
        <f>IFERROR(VLOOKUP(AU97,اسماء,72,0),"")</f>
        <v/>
      </c>
      <c r="BD99" s="168" t="str">
        <f>IFERROR(VLOOKUP(AU97,اسماء,73,0),"")</f>
        <v/>
      </c>
      <c r="BE99" s="168" t="str">
        <f>IFERROR(VLOOKUP(AU97,اسماء,74,0),"")</f>
        <v/>
      </c>
      <c r="BF99" s="168" t="str">
        <f>IFERROR(VLOOKUP(AU97,اسماء,75,0),"")</f>
        <v/>
      </c>
      <c r="BG99" s="330"/>
    </row>
    <row r="100" spans="1:59" ht="45" customHeight="1">
      <c r="A100" s="167" t="s">
        <v>137</v>
      </c>
      <c r="B100" s="424" t="str">
        <f>IFERROR(VLOOKUP(B97,اسماء,77,0),"")</f>
        <v/>
      </c>
      <c r="C100" s="424"/>
      <c r="D100" s="424"/>
      <c r="E100" s="424"/>
      <c r="F100" s="424"/>
      <c r="G100" s="413" t="s">
        <v>138</v>
      </c>
      <c r="H100" s="413"/>
      <c r="I100" s="413" t="s">
        <v>139</v>
      </c>
      <c r="J100" s="413"/>
      <c r="K100" s="422" t="str">
        <f>IFERROR(VLOOKUP(B97,اسماء,78,0),"")</f>
        <v/>
      </c>
      <c r="L100" s="422"/>
      <c r="M100" s="422"/>
      <c r="N100" s="423"/>
      <c r="P100" s="167" t="s">
        <v>137</v>
      </c>
      <c r="Q100" s="424" t="str">
        <f>IFERROR(VLOOKUP(Q97,اسماء,77,0),"")</f>
        <v/>
      </c>
      <c r="R100" s="424"/>
      <c r="S100" s="424"/>
      <c r="T100" s="424"/>
      <c r="U100" s="424"/>
      <c r="V100" s="413" t="s">
        <v>138</v>
      </c>
      <c r="W100" s="413"/>
      <c r="X100" s="413" t="s">
        <v>139</v>
      </c>
      <c r="Y100" s="413"/>
      <c r="Z100" s="422" t="str">
        <f>IFERROR(VLOOKUP(Q97,اسماء,78,0),"")</f>
        <v/>
      </c>
      <c r="AA100" s="422"/>
      <c r="AB100" s="422"/>
      <c r="AC100" s="423"/>
      <c r="AE100" s="167" t="s">
        <v>137</v>
      </c>
      <c r="AF100" s="424" t="str">
        <f>IFERROR(VLOOKUP(AF97,اسماء,77,0),"")</f>
        <v/>
      </c>
      <c r="AG100" s="424"/>
      <c r="AH100" s="424"/>
      <c r="AI100" s="424"/>
      <c r="AJ100" s="424"/>
      <c r="AK100" s="413" t="s">
        <v>138</v>
      </c>
      <c r="AL100" s="413"/>
      <c r="AM100" s="413" t="s">
        <v>139</v>
      </c>
      <c r="AN100" s="413"/>
      <c r="AO100" s="422" t="str">
        <f>IFERROR(VLOOKUP(AF97,اسماء,78,0),"")</f>
        <v/>
      </c>
      <c r="AP100" s="422"/>
      <c r="AQ100" s="422"/>
      <c r="AR100" s="423"/>
      <c r="AT100" s="167" t="s">
        <v>137</v>
      </c>
      <c r="AU100" s="424" t="str">
        <f>IFERROR(VLOOKUP(AU97,اسماء,77,0),"")</f>
        <v/>
      </c>
      <c r="AV100" s="424"/>
      <c r="AW100" s="424"/>
      <c r="AX100" s="424"/>
      <c r="AY100" s="424"/>
      <c r="AZ100" s="413" t="s">
        <v>138</v>
      </c>
      <c r="BA100" s="413"/>
      <c r="BB100" s="413" t="s">
        <v>139</v>
      </c>
      <c r="BC100" s="413"/>
      <c r="BD100" s="422" t="str">
        <f>IFERROR(VLOOKUP(AU97,اسماء,78,0),"")</f>
        <v/>
      </c>
      <c r="BE100" s="422"/>
      <c r="BF100" s="422"/>
      <c r="BG100" s="423"/>
    </row>
    <row r="101" spans="1:59" ht="45" customHeight="1">
      <c r="A101" s="167" t="s">
        <v>140</v>
      </c>
      <c r="B101" s="422" t="str">
        <f>IFERROR(VLOOKUP(B97,اسماء,80,0),"")</f>
        <v/>
      </c>
      <c r="C101" s="422"/>
      <c r="D101" s="422"/>
      <c r="E101" s="422"/>
      <c r="F101" s="422"/>
      <c r="G101" s="413" t="s">
        <v>123</v>
      </c>
      <c r="H101" s="413"/>
      <c r="I101" s="413"/>
      <c r="J101" s="413"/>
      <c r="K101" s="422" t="str">
        <f>IFERROR(VLOOKUP(B97,اسماء,79,0),"")</f>
        <v/>
      </c>
      <c r="L101" s="422"/>
      <c r="M101" s="422"/>
      <c r="N101" s="423"/>
      <c r="P101" s="167" t="s">
        <v>140</v>
      </c>
      <c r="Q101" s="422" t="str">
        <f>IFERROR(VLOOKUP(Q97,اسماء,80,0),"")</f>
        <v/>
      </c>
      <c r="R101" s="422"/>
      <c r="S101" s="422"/>
      <c r="T101" s="422"/>
      <c r="U101" s="422"/>
      <c r="V101" s="413" t="s">
        <v>123</v>
      </c>
      <c r="W101" s="413"/>
      <c r="X101" s="413"/>
      <c r="Y101" s="413"/>
      <c r="Z101" s="422" t="str">
        <f>IFERROR(VLOOKUP(Q97,اسماء,79,0),"")</f>
        <v/>
      </c>
      <c r="AA101" s="422"/>
      <c r="AB101" s="422"/>
      <c r="AC101" s="423"/>
      <c r="AE101" s="167" t="s">
        <v>140</v>
      </c>
      <c r="AF101" s="422" t="str">
        <f>IFERROR(VLOOKUP(AF97,اسماء,80,0),"")</f>
        <v/>
      </c>
      <c r="AG101" s="422"/>
      <c r="AH101" s="422"/>
      <c r="AI101" s="422"/>
      <c r="AJ101" s="422"/>
      <c r="AK101" s="413" t="s">
        <v>123</v>
      </c>
      <c r="AL101" s="413"/>
      <c r="AM101" s="413"/>
      <c r="AN101" s="413"/>
      <c r="AO101" s="422" t="str">
        <f>IFERROR(VLOOKUP(AF97,اسماء,79,0),"")</f>
        <v/>
      </c>
      <c r="AP101" s="422"/>
      <c r="AQ101" s="422"/>
      <c r="AR101" s="423"/>
      <c r="AT101" s="167" t="s">
        <v>140</v>
      </c>
      <c r="AU101" s="422" t="str">
        <f>IFERROR(VLOOKUP(AU97,اسماء,77,0),"")</f>
        <v/>
      </c>
      <c r="AV101" s="422"/>
      <c r="AW101" s="422"/>
      <c r="AX101" s="422"/>
      <c r="AY101" s="422"/>
      <c r="AZ101" s="413" t="s">
        <v>123</v>
      </c>
      <c r="BA101" s="413"/>
      <c r="BB101" s="413"/>
      <c r="BC101" s="413"/>
      <c r="BD101" s="422" t="str">
        <f>IFERROR(VLOOKUP(AU97,اسماء,76,0),"")</f>
        <v/>
      </c>
      <c r="BE101" s="422"/>
      <c r="BF101" s="422"/>
      <c r="BG101" s="423"/>
    </row>
    <row r="102" spans="1:59" ht="45" customHeight="1" thickBot="1">
      <c r="A102" s="416" t="s">
        <v>141</v>
      </c>
      <c r="B102" s="417"/>
      <c r="C102" s="417"/>
      <c r="D102" s="417"/>
      <c r="E102" s="417"/>
      <c r="F102" s="417"/>
      <c r="G102" s="417"/>
      <c r="H102" s="417"/>
      <c r="I102" s="417"/>
      <c r="J102" s="417"/>
      <c r="K102" s="417"/>
      <c r="L102" s="417"/>
      <c r="M102" s="417"/>
      <c r="N102" s="418"/>
      <c r="P102" s="416" t="s">
        <v>141</v>
      </c>
      <c r="Q102" s="417"/>
      <c r="R102" s="417"/>
      <c r="S102" s="417"/>
      <c r="T102" s="417"/>
      <c r="U102" s="417"/>
      <c r="V102" s="417"/>
      <c r="W102" s="417"/>
      <c r="X102" s="417"/>
      <c r="Y102" s="417"/>
      <c r="Z102" s="417"/>
      <c r="AA102" s="417"/>
      <c r="AB102" s="417"/>
      <c r="AC102" s="418"/>
      <c r="AE102" s="416" t="s">
        <v>141</v>
      </c>
      <c r="AF102" s="417"/>
      <c r="AG102" s="417"/>
      <c r="AH102" s="417"/>
      <c r="AI102" s="417"/>
      <c r="AJ102" s="417"/>
      <c r="AK102" s="417"/>
      <c r="AL102" s="417"/>
      <c r="AM102" s="417"/>
      <c r="AN102" s="417"/>
      <c r="AO102" s="417"/>
      <c r="AP102" s="417"/>
      <c r="AQ102" s="417"/>
      <c r="AR102" s="418"/>
      <c r="AT102" s="416" t="s">
        <v>141</v>
      </c>
      <c r="AU102" s="417"/>
      <c r="AV102" s="417"/>
      <c r="AW102" s="417"/>
      <c r="AX102" s="417"/>
      <c r="AY102" s="417"/>
      <c r="AZ102" s="417"/>
      <c r="BA102" s="417"/>
      <c r="BB102" s="417"/>
      <c r="BC102" s="417"/>
      <c r="BD102" s="417"/>
      <c r="BE102" s="417"/>
      <c r="BF102" s="417"/>
      <c r="BG102" s="418"/>
    </row>
    <row r="103" spans="1:59" ht="45" customHeight="1" thickTop="1">
      <c r="A103" s="419" t="s">
        <v>142</v>
      </c>
      <c r="B103" s="420"/>
      <c r="C103" s="420"/>
      <c r="D103" s="420"/>
      <c r="E103" s="420"/>
      <c r="F103" s="420"/>
      <c r="G103" s="420"/>
      <c r="H103" s="420"/>
      <c r="I103" s="420"/>
      <c r="J103" s="420"/>
      <c r="K103" s="420"/>
      <c r="L103" s="420"/>
      <c r="M103" s="420"/>
      <c r="N103" s="421"/>
      <c r="P103" s="419" t="s">
        <v>142</v>
      </c>
      <c r="Q103" s="420"/>
      <c r="R103" s="420"/>
      <c r="S103" s="420"/>
      <c r="T103" s="420"/>
      <c r="U103" s="420"/>
      <c r="V103" s="420"/>
      <c r="W103" s="420"/>
      <c r="X103" s="420"/>
      <c r="Y103" s="420"/>
      <c r="Z103" s="420"/>
      <c r="AA103" s="420"/>
      <c r="AB103" s="420"/>
      <c r="AC103" s="421"/>
      <c r="AE103" s="419" t="s">
        <v>142</v>
      </c>
      <c r="AF103" s="420"/>
      <c r="AG103" s="420"/>
      <c r="AH103" s="420"/>
      <c r="AI103" s="420"/>
      <c r="AJ103" s="420"/>
      <c r="AK103" s="420"/>
      <c r="AL103" s="420"/>
      <c r="AM103" s="420"/>
      <c r="AN103" s="420"/>
      <c r="AO103" s="420"/>
      <c r="AP103" s="420"/>
      <c r="AQ103" s="420"/>
      <c r="AR103" s="421"/>
      <c r="AT103" s="419" t="s">
        <v>142</v>
      </c>
      <c r="AU103" s="420"/>
      <c r="AV103" s="420"/>
      <c r="AW103" s="420"/>
      <c r="AX103" s="420"/>
      <c r="AY103" s="420"/>
      <c r="AZ103" s="420"/>
      <c r="BA103" s="420"/>
      <c r="BB103" s="420"/>
      <c r="BC103" s="420"/>
      <c r="BD103" s="420"/>
      <c r="BE103" s="420"/>
      <c r="BF103" s="420"/>
      <c r="BG103" s="421"/>
    </row>
    <row r="104" spans="1:59" s="58" customFormat="1" ht="33" customHeight="1">
      <c r="A104" s="415" t="s">
        <v>161</v>
      </c>
      <c r="B104" s="413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4"/>
      <c r="P104" s="415" t="s">
        <v>161</v>
      </c>
      <c r="Q104" s="413"/>
      <c r="R104" s="413"/>
      <c r="S104" s="413"/>
      <c r="T104" s="413"/>
      <c r="U104" s="413"/>
      <c r="V104" s="413"/>
      <c r="W104" s="413"/>
      <c r="X104" s="413"/>
      <c r="Y104" s="413"/>
      <c r="Z104" s="413"/>
      <c r="AA104" s="413"/>
      <c r="AB104" s="413"/>
      <c r="AC104" s="414"/>
      <c r="AE104" s="415" t="s">
        <v>161</v>
      </c>
      <c r="AF104" s="413"/>
      <c r="AG104" s="413"/>
      <c r="AH104" s="413"/>
      <c r="AI104" s="413"/>
      <c r="AJ104" s="413"/>
      <c r="AK104" s="413"/>
      <c r="AL104" s="413"/>
      <c r="AM104" s="413"/>
      <c r="AN104" s="413"/>
      <c r="AO104" s="413"/>
      <c r="AP104" s="413"/>
      <c r="AQ104" s="413"/>
      <c r="AR104" s="414"/>
      <c r="AT104" s="415" t="s">
        <v>161</v>
      </c>
      <c r="AU104" s="413"/>
      <c r="AV104" s="413"/>
      <c r="AW104" s="413"/>
      <c r="AX104" s="413"/>
      <c r="AY104" s="413"/>
      <c r="AZ104" s="413"/>
      <c r="BA104" s="413"/>
      <c r="BB104" s="413"/>
      <c r="BC104" s="413"/>
      <c r="BD104" s="413"/>
      <c r="BE104" s="413"/>
      <c r="BF104" s="413"/>
      <c r="BG104" s="414"/>
    </row>
    <row r="105" spans="1:59" ht="33" customHeight="1">
      <c r="A105" s="411" t="s">
        <v>143</v>
      </c>
      <c r="B105" s="412"/>
      <c r="C105" s="412"/>
      <c r="D105" s="412"/>
      <c r="E105" s="412"/>
      <c r="F105" s="412"/>
      <c r="G105" s="413"/>
      <c r="H105" s="413"/>
      <c r="I105" s="413"/>
      <c r="J105" s="413"/>
      <c r="K105" s="413"/>
      <c r="L105" s="413"/>
      <c r="M105" s="413"/>
      <c r="N105" s="414"/>
      <c r="P105" s="411" t="s">
        <v>143</v>
      </c>
      <c r="Q105" s="412"/>
      <c r="R105" s="412"/>
      <c r="S105" s="412"/>
      <c r="T105" s="412"/>
      <c r="U105" s="412"/>
      <c r="V105" s="413"/>
      <c r="W105" s="413"/>
      <c r="X105" s="413"/>
      <c r="Y105" s="413"/>
      <c r="Z105" s="413"/>
      <c r="AA105" s="413"/>
      <c r="AB105" s="413"/>
      <c r="AC105" s="414"/>
      <c r="AE105" s="411" t="s">
        <v>143</v>
      </c>
      <c r="AF105" s="412"/>
      <c r="AG105" s="412"/>
      <c r="AH105" s="412"/>
      <c r="AI105" s="412"/>
      <c r="AJ105" s="412"/>
      <c r="AK105" s="413"/>
      <c r="AL105" s="413"/>
      <c r="AM105" s="413"/>
      <c r="AN105" s="413"/>
      <c r="AO105" s="413"/>
      <c r="AP105" s="413"/>
      <c r="AQ105" s="413"/>
      <c r="AR105" s="414"/>
      <c r="AT105" s="411" t="s">
        <v>143</v>
      </c>
      <c r="AU105" s="412"/>
      <c r="AV105" s="412"/>
      <c r="AW105" s="412"/>
      <c r="AX105" s="412"/>
      <c r="AY105" s="412"/>
      <c r="AZ105" s="413"/>
      <c r="BA105" s="413"/>
      <c r="BB105" s="413"/>
      <c r="BC105" s="413"/>
      <c r="BD105" s="413"/>
      <c r="BE105" s="413"/>
      <c r="BF105" s="413"/>
      <c r="BG105" s="414"/>
    </row>
    <row r="106" spans="1:59" s="171" customFormat="1" ht="30" customHeight="1">
      <c r="A106" s="167" t="s">
        <v>144</v>
      </c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70" t="s">
        <v>145</v>
      </c>
      <c r="P106" s="167" t="s">
        <v>144</v>
      </c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70" t="s">
        <v>145</v>
      </c>
      <c r="AE106" s="167" t="s">
        <v>144</v>
      </c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70" t="s">
        <v>145</v>
      </c>
      <c r="AT106" s="167" t="s">
        <v>144</v>
      </c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  <c r="BE106" s="169"/>
      <c r="BF106" s="169"/>
      <c r="BG106" s="170" t="s">
        <v>145</v>
      </c>
    </row>
    <row r="107" spans="1:59" ht="30" customHeight="1">
      <c r="A107" s="172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73"/>
      <c r="P107" s="172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73"/>
      <c r="AE107" s="172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73"/>
      <c r="AT107" s="172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  <c r="BE107" s="169"/>
      <c r="BF107" s="169"/>
      <c r="BG107" s="173"/>
    </row>
    <row r="108" spans="1:59" ht="24.9" customHeight="1">
      <c r="A108" s="17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75"/>
      <c r="P108" s="17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75"/>
      <c r="AE108" s="17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75"/>
      <c r="AT108" s="17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75"/>
    </row>
    <row r="109" spans="1:59" ht="24.9" customHeight="1" thickBot="1">
      <c r="A109" s="176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8"/>
      <c r="P109" s="176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8"/>
      <c r="AE109" s="176"/>
      <c r="AF109" s="177"/>
      <c r="AG109" s="177"/>
      <c r="AH109" s="177"/>
      <c r="AI109" s="177"/>
      <c r="AJ109" s="177"/>
      <c r="AK109" s="177"/>
      <c r="AL109" s="177"/>
      <c r="AM109" s="177"/>
      <c r="AN109" s="177"/>
      <c r="AO109" s="177"/>
      <c r="AP109" s="177"/>
      <c r="AQ109" s="177"/>
      <c r="AR109" s="178"/>
      <c r="AT109" s="176"/>
      <c r="AU109" s="177"/>
      <c r="AV109" s="177"/>
      <c r="AW109" s="177"/>
      <c r="AX109" s="177"/>
      <c r="AY109" s="177"/>
      <c r="AZ109" s="177"/>
      <c r="BA109" s="177"/>
      <c r="BB109" s="177"/>
      <c r="BC109" s="177"/>
      <c r="BD109" s="177"/>
      <c r="BE109" s="177"/>
      <c r="BF109" s="177"/>
      <c r="BG109" s="178"/>
    </row>
    <row r="110" spans="1:59" ht="14.4" thickTop="1"/>
  </sheetData>
  <mergeCells count="680">
    <mergeCell ref="B1:M1"/>
    <mergeCell ref="Q1:AB1"/>
    <mergeCell ref="AF1:AQ1"/>
    <mergeCell ref="AU1:BF1"/>
    <mergeCell ref="A2:N2"/>
    <mergeCell ref="P2:AC2"/>
    <mergeCell ref="AE2:AR2"/>
    <mergeCell ref="AT2:BG2"/>
    <mergeCell ref="A3:N3"/>
    <mergeCell ref="P3:AC3"/>
    <mergeCell ref="AE3:AR3"/>
    <mergeCell ref="AT3:BG3"/>
    <mergeCell ref="A4:J4"/>
    <mergeCell ref="K4:N4"/>
    <mergeCell ref="P4:Y4"/>
    <mergeCell ref="Z4:AC4"/>
    <mergeCell ref="AE4:AN4"/>
    <mergeCell ref="AO4:AR4"/>
    <mergeCell ref="AT4:BC4"/>
    <mergeCell ref="BD4:BG4"/>
    <mergeCell ref="A5:F5"/>
    <mergeCell ref="G5:N5"/>
    <mergeCell ref="P5:U5"/>
    <mergeCell ref="V5:AC5"/>
    <mergeCell ref="AE5:AJ5"/>
    <mergeCell ref="AK5:AR5"/>
    <mergeCell ref="AT5:AY5"/>
    <mergeCell ref="AZ5:BG5"/>
    <mergeCell ref="AU6:AX6"/>
    <mergeCell ref="AY6:AZ6"/>
    <mergeCell ref="BA6:BB6"/>
    <mergeCell ref="BC6:BF6"/>
    <mergeCell ref="B7:N7"/>
    <mergeCell ref="Q7:AC7"/>
    <mergeCell ref="AF7:AR7"/>
    <mergeCell ref="AU7:BG7"/>
    <mergeCell ref="W6:X6"/>
    <mergeCell ref="Y6:AB6"/>
    <mergeCell ref="AF6:AI6"/>
    <mergeCell ref="AJ6:AK6"/>
    <mergeCell ref="AL6:AM6"/>
    <mergeCell ref="AN6:AQ6"/>
    <mergeCell ref="B6:E6"/>
    <mergeCell ref="F6:G6"/>
    <mergeCell ref="H6:I6"/>
    <mergeCell ref="J6:M6"/>
    <mergeCell ref="Q6:T6"/>
    <mergeCell ref="U6:V6"/>
    <mergeCell ref="AF8:AM8"/>
    <mergeCell ref="AN8:AP8"/>
    <mergeCell ref="AQ8:AR8"/>
    <mergeCell ref="AU8:BB8"/>
    <mergeCell ref="BC8:BE8"/>
    <mergeCell ref="BF8:BG8"/>
    <mergeCell ref="B8:I8"/>
    <mergeCell ref="J8:L8"/>
    <mergeCell ref="M8:N8"/>
    <mergeCell ref="Q8:X8"/>
    <mergeCell ref="Y8:AA8"/>
    <mergeCell ref="AB8:AC8"/>
    <mergeCell ref="AF9:AM9"/>
    <mergeCell ref="AN9:AP9"/>
    <mergeCell ref="AQ9:AR9"/>
    <mergeCell ref="AU9:BB9"/>
    <mergeCell ref="BC9:BE9"/>
    <mergeCell ref="BF9:BG9"/>
    <mergeCell ref="B9:I9"/>
    <mergeCell ref="J9:L9"/>
    <mergeCell ref="M9:N9"/>
    <mergeCell ref="Q9:X9"/>
    <mergeCell ref="Y9:AA9"/>
    <mergeCell ref="AB9:AC9"/>
    <mergeCell ref="AU10:AW10"/>
    <mergeCell ref="AX10:BA10"/>
    <mergeCell ref="BB10:BE10"/>
    <mergeCell ref="BF10:BG10"/>
    <mergeCell ref="B12:F12"/>
    <mergeCell ref="G12:H12"/>
    <mergeCell ref="I12:J12"/>
    <mergeCell ref="K12:N12"/>
    <mergeCell ref="Q12:U12"/>
    <mergeCell ref="V12:W12"/>
    <mergeCell ref="X10:AA10"/>
    <mergeCell ref="AB10:AC10"/>
    <mergeCell ref="AF10:AH10"/>
    <mergeCell ref="AI10:AL10"/>
    <mergeCell ref="AM10:AP10"/>
    <mergeCell ref="AQ10:AR10"/>
    <mergeCell ref="B10:D10"/>
    <mergeCell ref="E10:H10"/>
    <mergeCell ref="I10:L10"/>
    <mergeCell ref="M10:N10"/>
    <mergeCell ref="Q10:S10"/>
    <mergeCell ref="T10:W10"/>
    <mergeCell ref="AU12:AY12"/>
    <mergeCell ref="AZ12:BA12"/>
    <mergeCell ref="BB12:BC12"/>
    <mergeCell ref="BD12:BG12"/>
    <mergeCell ref="B13:F13"/>
    <mergeCell ref="G13:J13"/>
    <mergeCell ref="K13:N13"/>
    <mergeCell ref="Q13:U13"/>
    <mergeCell ref="V13:Y13"/>
    <mergeCell ref="Z13:AC13"/>
    <mergeCell ref="X12:Y12"/>
    <mergeCell ref="Z12:AC12"/>
    <mergeCell ref="AF12:AJ12"/>
    <mergeCell ref="AK12:AL12"/>
    <mergeCell ref="AM12:AN12"/>
    <mergeCell ref="AO12:AR12"/>
    <mergeCell ref="A14:N14"/>
    <mergeCell ref="P14:AC14"/>
    <mergeCell ref="AE14:AR14"/>
    <mergeCell ref="AT14:BG14"/>
    <mergeCell ref="A15:N15"/>
    <mergeCell ref="P15:AC15"/>
    <mergeCell ref="AE15:AR15"/>
    <mergeCell ref="AT15:BG15"/>
    <mergeCell ref="AF13:AJ13"/>
    <mergeCell ref="AK13:AN13"/>
    <mergeCell ref="AO13:AR13"/>
    <mergeCell ref="AU13:AY13"/>
    <mergeCell ref="AZ13:BC13"/>
    <mergeCell ref="BD13:BG13"/>
    <mergeCell ref="A16:N16"/>
    <mergeCell ref="P16:AC16"/>
    <mergeCell ref="AE16:AR16"/>
    <mergeCell ref="AT16:BG16"/>
    <mergeCell ref="A17:F17"/>
    <mergeCell ref="G17:N17"/>
    <mergeCell ref="P17:U17"/>
    <mergeCell ref="V17:AC17"/>
    <mergeCell ref="AE17:AJ17"/>
    <mergeCell ref="AK17:AR17"/>
    <mergeCell ref="A24:N24"/>
    <mergeCell ref="P24:AC24"/>
    <mergeCell ref="AE24:AR24"/>
    <mergeCell ref="AT24:BG24"/>
    <mergeCell ref="A25:N25"/>
    <mergeCell ref="P25:AC25"/>
    <mergeCell ref="AE25:AR25"/>
    <mergeCell ref="AT25:BG25"/>
    <mergeCell ref="AT17:AY17"/>
    <mergeCell ref="AZ17:BG17"/>
    <mergeCell ref="B23:M23"/>
    <mergeCell ref="Q23:AB23"/>
    <mergeCell ref="AF23:AQ23"/>
    <mergeCell ref="AU23:BF23"/>
    <mergeCell ref="AT26:BC26"/>
    <mergeCell ref="BD26:BG26"/>
    <mergeCell ref="A27:F27"/>
    <mergeCell ref="G27:N27"/>
    <mergeCell ref="P27:U27"/>
    <mergeCell ref="V27:AC27"/>
    <mergeCell ref="AE27:AJ27"/>
    <mergeCell ref="AK27:AR27"/>
    <mergeCell ref="AT27:AY27"/>
    <mergeCell ref="AZ27:BG27"/>
    <mergeCell ref="A26:J26"/>
    <mergeCell ref="K26:N26"/>
    <mergeCell ref="P26:Y26"/>
    <mergeCell ref="Z26:AC26"/>
    <mergeCell ref="AE26:AN26"/>
    <mergeCell ref="AO26:AR26"/>
    <mergeCell ref="AU28:AX28"/>
    <mergeCell ref="AY28:AZ28"/>
    <mergeCell ref="BA28:BB28"/>
    <mergeCell ref="BC28:BF28"/>
    <mergeCell ref="B29:N29"/>
    <mergeCell ref="Q29:AC29"/>
    <mergeCell ref="AF29:AR29"/>
    <mergeCell ref="AU29:BG29"/>
    <mergeCell ref="W28:X28"/>
    <mergeCell ref="Y28:AB28"/>
    <mergeCell ref="AF28:AI28"/>
    <mergeCell ref="AJ28:AK28"/>
    <mergeCell ref="AL28:AM28"/>
    <mergeCell ref="AN28:AQ28"/>
    <mergeCell ref="B28:E28"/>
    <mergeCell ref="F28:G28"/>
    <mergeCell ref="H28:I28"/>
    <mergeCell ref="J28:M28"/>
    <mergeCell ref="Q28:T28"/>
    <mergeCell ref="U28:V28"/>
    <mergeCell ref="AF30:AM30"/>
    <mergeCell ref="AN30:AP30"/>
    <mergeCell ref="AQ30:AR30"/>
    <mergeCell ref="AU30:BB30"/>
    <mergeCell ref="BC30:BE30"/>
    <mergeCell ref="BF30:BG30"/>
    <mergeCell ref="B30:I30"/>
    <mergeCell ref="J30:L30"/>
    <mergeCell ref="M30:N30"/>
    <mergeCell ref="Q30:X30"/>
    <mergeCell ref="Y30:AA30"/>
    <mergeCell ref="AB30:AC30"/>
    <mergeCell ref="AF31:AM31"/>
    <mergeCell ref="AN31:AP31"/>
    <mergeCell ref="AQ31:AR31"/>
    <mergeCell ref="AU31:BB31"/>
    <mergeCell ref="BC31:BE31"/>
    <mergeCell ref="BF31:BG31"/>
    <mergeCell ref="B31:I31"/>
    <mergeCell ref="J31:L31"/>
    <mergeCell ref="M31:N31"/>
    <mergeCell ref="Q31:X31"/>
    <mergeCell ref="Y31:AA31"/>
    <mergeCell ref="AB31:AC31"/>
    <mergeCell ref="AU32:AW32"/>
    <mergeCell ref="AX32:BA32"/>
    <mergeCell ref="BB32:BE32"/>
    <mergeCell ref="BF32:BG32"/>
    <mergeCell ref="B34:F34"/>
    <mergeCell ref="G34:H34"/>
    <mergeCell ref="I34:J34"/>
    <mergeCell ref="K34:N34"/>
    <mergeCell ref="Q34:U34"/>
    <mergeCell ref="V34:W34"/>
    <mergeCell ref="X32:AA32"/>
    <mergeCell ref="AB32:AC32"/>
    <mergeCell ref="AF32:AH32"/>
    <mergeCell ref="AI32:AL32"/>
    <mergeCell ref="AM32:AP32"/>
    <mergeCell ref="AQ32:AR32"/>
    <mergeCell ref="B32:D32"/>
    <mergeCell ref="E32:H32"/>
    <mergeCell ref="I32:L32"/>
    <mergeCell ref="M32:N32"/>
    <mergeCell ref="Q32:S32"/>
    <mergeCell ref="T32:W32"/>
    <mergeCell ref="AU34:AY34"/>
    <mergeCell ref="AZ34:BA34"/>
    <mergeCell ref="BB34:BC34"/>
    <mergeCell ref="BD34:BG34"/>
    <mergeCell ref="B35:F35"/>
    <mergeCell ref="G35:J35"/>
    <mergeCell ref="K35:N35"/>
    <mergeCell ref="Q35:U35"/>
    <mergeCell ref="V35:Y35"/>
    <mergeCell ref="Z35:AC35"/>
    <mergeCell ref="X34:Y34"/>
    <mergeCell ref="Z34:AC34"/>
    <mergeCell ref="AF34:AJ34"/>
    <mergeCell ref="AK34:AL34"/>
    <mergeCell ref="AM34:AN34"/>
    <mergeCell ref="AO34:AR34"/>
    <mergeCell ref="A36:N36"/>
    <mergeCell ref="P36:AC36"/>
    <mergeCell ref="AE36:AR36"/>
    <mergeCell ref="AT36:BG36"/>
    <mergeCell ref="A37:N37"/>
    <mergeCell ref="P37:AC37"/>
    <mergeCell ref="AE37:AR37"/>
    <mergeCell ref="AT37:BG37"/>
    <mergeCell ref="AF35:AJ35"/>
    <mergeCell ref="AK35:AN35"/>
    <mergeCell ref="AO35:AR35"/>
    <mergeCell ref="AU35:AY35"/>
    <mergeCell ref="AZ35:BC35"/>
    <mergeCell ref="BD35:BG35"/>
    <mergeCell ref="A38:N38"/>
    <mergeCell ref="P38:AC38"/>
    <mergeCell ref="AE38:AR38"/>
    <mergeCell ref="AT38:BG38"/>
    <mergeCell ref="A39:F39"/>
    <mergeCell ref="G39:N39"/>
    <mergeCell ref="P39:U39"/>
    <mergeCell ref="V39:AC39"/>
    <mergeCell ref="AE39:AJ39"/>
    <mergeCell ref="AK39:AR39"/>
    <mergeCell ref="A46:N46"/>
    <mergeCell ref="P46:AC46"/>
    <mergeCell ref="AE46:AR46"/>
    <mergeCell ref="AT46:BG46"/>
    <mergeCell ref="A47:N47"/>
    <mergeCell ref="P47:AC47"/>
    <mergeCell ref="AE47:AR47"/>
    <mergeCell ref="AT47:BG47"/>
    <mergeCell ref="AT39:AY39"/>
    <mergeCell ref="AZ39:BG39"/>
    <mergeCell ref="B45:M45"/>
    <mergeCell ref="Q45:AB45"/>
    <mergeCell ref="AF45:AQ45"/>
    <mergeCell ref="AU45:BF45"/>
    <mergeCell ref="AT48:BC48"/>
    <mergeCell ref="BD48:BG48"/>
    <mergeCell ref="A49:F49"/>
    <mergeCell ref="G49:N49"/>
    <mergeCell ref="P49:U49"/>
    <mergeCell ref="V49:AC49"/>
    <mergeCell ref="AE49:AJ49"/>
    <mergeCell ref="AK49:AR49"/>
    <mergeCell ref="AT49:AY49"/>
    <mergeCell ref="AZ49:BG49"/>
    <mergeCell ref="A48:J48"/>
    <mergeCell ref="K48:N48"/>
    <mergeCell ref="P48:Y48"/>
    <mergeCell ref="Z48:AC48"/>
    <mergeCell ref="AE48:AN48"/>
    <mergeCell ref="AO48:AR48"/>
    <mergeCell ref="AU50:AX50"/>
    <mergeCell ref="AY50:AZ50"/>
    <mergeCell ref="BA50:BB50"/>
    <mergeCell ref="BC50:BF50"/>
    <mergeCell ref="B51:N51"/>
    <mergeCell ref="Q51:AC51"/>
    <mergeCell ref="AF51:AR51"/>
    <mergeCell ref="AU51:BG51"/>
    <mergeCell ref="W50:X50"/>
    <mergeCell ref="Y50:AB50"/>
    <mergeCell ref="AF50:AI50"/>
    <mergeCell ref="AJ50:AK50"/>
    <mergeCell ref="AL50:AM50"/>
    <mergeCell ref="AN50:AQ50"/>
    <mergeCell ref="B50:E50"/>
    <mergeCell ref="F50:G50"/>
    <mergeCell ref="H50:I50"/>
    <mergeCell ref="J50:M50"/>
    <mergeCell ref="Q50:T50"/>
    <mergeCell ref="U50:V50"/>
    <mergeCell ref="AF52:AM52"/>
    <mergeCell ref="AN52:AP52"/>
    <mergeCell ref="AQ52:AR52"/>
    <mergeCell ref="AU52:BB52"/>
    <mergeCell ref="BC52:BE52"/>
    <mergeCell ref="BF52:BG52"/>
    <mergeCell ref="B52:I52"/>
    <mergeCell ref="J52:L52"/>
    <mergeCell ref="M52:N52"/>
    <mergeCell ref="Q52:X52"/>
    <mergeCell ref="Y52:AA52"/>
    <mergeCell ref="AB52:AC52"/>
    <mergeCell ref="AF53:AM53"/>
    <mergeCell ref="AN53:AP53"/>
    <mergeCell ref="AQ53:AR53"/>
    <mergeCell ref="AU53:BB53"/>
    <mergeCell ref="BC53:BE53"/>
    <mergeCell ref="BF53:BG53"/>
    <mergeCell ref="B53:I53"/>
    <mergeCell ref="J53:L53"/>
    <mergeCell ref="M53:N53"/>
    <mergeCell ref="Q53:X53"/>
    <mergeCell ref="Y53:AA53"/>
    <mergeCell ref="AB53:AC53"/>
    <mergeCell ref="AU54:AW54"/>
    <mergeCell ref="AX54:BA54"/>
    <mergeCell ref="BB54:BE54"/>
    <mergeCell ref="BF54:BG54"/>
    <mergeCell ref="B56:F56"/>
    <mergeCell ref="G56:H56"/>
    <mergeCell ref="I56:J56"/>
    <mergeCell ref="K56:N56"/>
    <mergeCell ref="Q56:U56"/>
    <mergeCell ref="V56:W56"/>
    <mergeCell ref="X54:AA54"/>
    <mergeCell ref="AB54:AC54"/>
    <mergeCell ref="AF54:AH54"/>
    <mergeCell ref="AI54:AL54"/>
    <mergeCell ref="AM54:AP54"/>
    <mergeCell ref="AQ54:AR54"/>
    <mergeCell ref="B54:D54"/>
    <mergeCell ref="E54:H54"/>
    <mergeCell ref="I54:L54"/>
    <mergeCell ref="M54:N54"/>
    <mergeCell ref="Q54:S54"/>
    <mergeCell ref="T54:W54"/>
    <mergeCell ref="AU56:AY56"/>
    <mergeCell ref="AZ56:BA56"/>
    <mergeCell ref="BB56:BC56"/>
    <mergeCell ref="BD56:BG56"/>
    <mergeCell ref="B57:F57"/>
    <mergeCell ref="G57:J57"/>
    <mergeCell ref="K57:N57"/>
    <mergeCell ref="Q57:U57"/>
    <mergeCell ref="V57:Y57"/>
    <mergeCell ref="Z57:AC57"/>
    <mergeCell ref="X56:Y56"/>
    <mergeCell ref="Z56:AC56"/>
    <mergeCell ref="AF56:AJ56"/>
    <mergeCell ref="AK56:AL56"/>
    <mergeCell ref="AM56:AN56"/>
    <mergeCell ref="AO56:AR56"/>
    <mergeCell ref="A58:N58"/>
    <mergeCell ref="P58:AC58"/>
    <mergeCell ref="AE58:AR58"/>
    <mergeCell ref="AT58:BG58"/>
    <mergeCell ref="A59:N59"/>
    <mergeCell ref="P59:AC59"/>
    <mergeCell ref="AE59:AR59"/>
    <mergeCell ref="AT59:BG59"/>
    <mergeCell ref="AF57:AJ57"/>
    <mergeCell ref="AK57:AN57"/>
    <mergeCell ref="AO57:AR57"/>
    <mergeCell ref="AU57:AY57"/>
    <mergeCell ref="AZ57:BC57"/>
    <mergeCell ref="BD57:BG57"/>
    <mergeCell ref="A60:N60"/>
    <mergeCell ref="P60:AC60"/>
    <mergeCell ref="AE60:AR60"/>
    <mergeCell ref="AT60:BG60"/>
    <mergeCell ref="A61:F61"/>
    <mergeCell ref="G61:N61"/>
    <mergeCell ref="P61:U61"/>
    <mergeCell ref="V61:AC61"/>
    <mergeCell ref="AE61:AJ61"/>
    <mergeCell ref="AK61:AR61"/>
    <mergeCell ref="A68:N68"/>
    <mergeCell ref="P68:AC68"/>
    <mergeCell ref="AE68:AR68"/>
    <mergeCell ref="AT68:BG68"/>
    <mergeCell ref="A69:N69"/>
    <mergeCell ref="P69:AC69"/>
    <mergeCell ref="AE69:AR69"/>
    <mergeCell ref="AT69:BG69"/>
    <mergeCell ref="AT61:AY61"/>
    <mergeCell ref="AZ61:BG61"/>
    <mergeCell ref="B67:M67"/>
    <mergeCell ref="Q67:AB67"/>
    <mergeCell ref="AF67:AQ67"/>
    <mergeCell ref="AU67:BF67"/>
    <mergeCell ref="AT70:BC70"/>
    <mergeCell ref="BD70:BG70"/>
    <mergeCell ref="A71:F71"/>
    <mergeCell ref="G71:N71"/>
    <mergeCell ref="P71:U71"/>
    <mergeCell ref="V71:AC71"/>
    <mergeCell ref="AE71:AJ71"/>
    <mergeCell ref="AK71:AR71"/>
    <mergeCell ref="AT71:AY71"/>
    <mergeCell ref="AZ71:BG71"/>
    <mergeCell ref="A70:J70"/>
    <mergeCell ref="K70:N70"/>
    <mergeCell ref="P70:Y70"/>
    <mergeCell ref="Z70:AC70"/>
    <mergeCell ref="AE70:AN70"/>
    <mergeCell ref="AO70:AR70"/>
    <mergeCell ref="AU72:AX72"/>
    <mergeCell ref="AY72:AZ72"/>
    <mergeCell ref="BA72:BB72"/>
    <mergeCell ref="BC72:BF72"/>
    <mergeCell ref="B73:N73"/>
    <mergeCell ref="Q73:AC73"/>
    <mergeCell ref="AF73:AR73"/>
    <mergeCell ref="AU73:BG73"/>
    <mergeCell ref="W72:X72"/>
    <mergeCell ref="Y72:AB72"/>
    <mergeCell ref="AF72:AI72"/>
    <mergeCell ref="AJ72:AK72"/>
    <mergeCell ref="AL72:AM72"/>
    <mergeCell ref="AN72:AQ72"/>
    <mergeCell ref="B72:E72"/>
    <mergeCell ref="F72:G72"/>
    <mergeCell ref="H72:I72"/>
    <mergeCell ref="J72:M72"/>
    <mergeCell ref="Q72:T72"/>
    <mergeCell ref="U72:V72"/>
    <mergeCell ref="AF74:AM74"/>
    <mergeCell ref="AN74:AP74"/>
    <mergeCell ref="AQ74:AR74"/>
    <mergeCell ref="AU74:BB74"/>
    <mergeCell ref="BC74:BE74"/>
    <mergeCell ref="BF74:BG74"/>
    <mergeCell ref="B74:I74"/>
    <mergeCell ref="J74:L74"/>
    <mergeCell ref="M74:N74"/>
    <mergeCell ref="Q74:X74"/>
    <mergeCell ref="Y74:AA74"/>
    <mergeCell ref="AB74:AC74"/>
    <mergeCell ref="AF75:AM75"/>
    <mergeCell ref="AN75:AP75"/>
    <mergeCell ref="AQ75:AR75"/>
    <mergeCell ref="AU75:BB75"/>
    <mergeCell ref="BC75:BE75"/>
    <mergeCell ref="BF75:BG75"/>
    <mergeCell ref="B75:I75"/>
    <mergeCell ref="J75:L75"/>
    <mergeCell ref="M75:N75"/>
    <mergeCell ref="Q75:X75"/>
    <mergeCell ref="Y75:AA75"/>
    <mergeCell ref="AB75:AC75"/>
    <mergeCell ref="AU76:AW76"/>
    <mergeCell ref="AX76:BA76"/>
    <mergeCell ref="BB76:BE76"/>
    <mergeCell ref="BF76:BG76"/>
    <mergeCell ref="B78:F78"/>
    <mergeCell ref="G78:H78"/>
    <mergeCell ref="I78:J78"/>
    <mergeCell ref="K78:N78"/>
    <mergeCell ref="Q78:U78"/>
    <mergeCell ref="V78:W78"/>
    <mergeCell ref="X76:AA76"/>
    <mergeCell ref="AB76:AC76"/>
    <mergeCell ref="AF76:AH76"/>
    <mergeCell ref="AI76:AL76"/>
    <mergeCell ref="AM76:AP76"/>
    <mergeCell ref="AQ76:AR76"/>
    <mergeCell ref="B76:D76"/>
    <mergeCell ref="E76:H76"/>
    <mergeCell ref="I76:L76"/>
    <mergeCell ref="M76:N76"/>
    <mergeCell ref="Q76:S76"/>
    <mergeCell ref="T76:W76"/>
    <mergeCell ref="AU78:AY78"/>
    <mergeCell ref="AZ78:BA78"/>
    <mergeCell ref="BB78:BC78"/>
    <mergeCell ref="BD78:BG78"/>
    <mergeCell ref="B79:F79"/>
    <mergeCell ref="G79:J79"/>
    <mergeCell ref="K79:N79"/>
    <mergeCell ref="Q79:U79"/>
    <mergeCell ref="V79:Y79"/>
    <mergeCell ref="Z79:AC79"/>
    <mergeCell ref="X78:Y78"/>
    <mergeCell ref="Z78:AC78"/>
    <mergeCell ref="AF78:AJ78"/>
    <mergeCell ref="AK78:AL78"/>
    <mergeCell ref="AM78:AN78"/>
    <mergeCell ref="AO78:AR78"/>
    <mergeCell ref="A80:N80"/>
    <mergeCell ref="P80:AC80"/>
    <mergeCell ref="AE80:AR80"/>
    <mergeCell ref="AT80:BG80"/>
    <mergeCell ref="A81:N81"/>
    <mergeCell ref="P81:AC81"/>
    <mergeCell ref="AE81:AR81"/>
    <mergeCell ref="AT81:BG81"/>
    <mergeCell ref="AF79:AJ79"/>
    <mergeCell ref="AK79:AN79"/>
    <mergeCell ref="AO79:AR79"/>
    <mergeCell ref="AU79:AY79"/>
    <mergeCell ref="AZ79:BC79"/>
    <mergeCell ref="BD79:BG79"/>
    <mergeCell ref="A82:N82"/>
    <mergeCell ref="P82:AC82"/>
    <mergeCell ref="AE82:AR82"/>
    <mergeCell ref="AT82:BG82"/>
    <mergeCell ref="A83:F83"/>
    <mergeCell ref="G83:N83"/>
    <mergeCell ref="P83:U83"/>
    <mergeCell ref="V83:AC83"/>
    <mergeCell ref="AE83:AJ83"/>
    <mergeCell ref="AK83:AR83"/>
    <mergeCell ref="A90:N90"/>
    <mergeCell ref="P90:AC90"/>
    <mergeCell ref="AE90:AR90"/>
    <mergeCell ref="AT90:BG90"/>
    <mergeCell ref="A91:N91"/>
    <mergeCell ref="P91:AC91"/>
    <mergeCell ref="AE91:AR91"/>
    <mergeCell ref="AT91:BG91"/>
    <mergeCell ref="AT83:AY83"/>
    <mergeCell ref="AZ83:BG83"/>
    <mergeCell ref="B89:M89"/>
    <mergeCell ref="Q89:AB89"/>
    <mergeCell ref="AF89:AQ89"/>
    <mergeCell ref="AU89:BF89"/>
    <mergeCell ref="AT92:BC92"/>
    <mergeCell ref="BD92:BG92"/>
    <mergeCell ref="A93:F93"/>
    <mergeCell ref="G93:N93"/>
    <mergeCell ref="P93:U93"/>
    <mergeCell ref="V93:AC93"/>
    <mergeCell ref="AE93:AJ93"/>
    <mergeCell ref="AK93:AR93"/>
    <mergeCell ref="AT93:AY93"/>
    <mergeCell ref="AZ93:BG93"/>
    <mergeCell ref="A92:J92"/>
    <mergeCell ref="K92:N92"/>
    <mergeCell ref="P92:Y92"/>
    <mergeCell ref="Z92:AC92"/>
    <mergeCell ref="AE92:AN92"/>
    <mergeCell ref="AO92:AR92"/>
    <mergeCell ref="AU94:AX94"/>
    <mergeCell ref="AY94:AZ94"/>
    <mergeCell ref="BA94:BB94"/>
    <mergeCell ref="BC94:BF94"/>
    <mergeCell ref="B95:N95"/>
    <mergeCell ref="Q95:AC95"/>
    <mergeCell ref="AF95:AR95"/>
    <mergeCell ref="AU95:BG95"/>
    <mergeCell ref="W94:X94"/>
    <mergeCell ref="Y94:AB94"/>
    <mergeCell ref="AF94:AI94"/>
    <mergeCell ref="AJ94:AK94"/>
    <mergeCell ref="AL94:AM94"/>
    <mergeCell ref="AN94:AQ94"/>
    <mergeCell ref="B94:E94"/>
    <mergeCell ref="F94:G94"/>
    <mergeCell ref="H94:I94"/>
    <mergeCell ref="J94:M94"/>
    <mergeCell ref="Q94:T94"/>
    <mergeCell ref="U94:V94"/>
    <mergeCell ref="AF96:AM96"/>
    <mergeCell ref="AN96:AP96"/>
    <mergeCell ref="AQ96:AR96"/>
    <mergeCell ref="AU96:BB96"/>
    <mergeCell ref="BC96:BE96"/>
    <mergeCell ref="BF96:BG96"/>
    <mergeCell ref="B96:I96"/>
    <mergeCell ref="J96:L96"/>
    <mergeCell ref="M96:N96"/>
    <mergeCell ref="Q96:X96"/>
    <mergeCell ref="Y96:AA96"/>
    <mergeCell ref="AB96:AC96"/>
    <mergeCell ref="AF97:AM97"/>
    <mergeCell ref="AN97:AP97"/>
    <mergeCell ref="AQ97:AR97"/>
    <mergeCell ref="AU97:BB97"/>
    <mergeCell ref="BC97:BE97"/>
    <mergeCell ref="BF97:BG97"/>
    <mergeCell ref="B97:I97"/>
    <mergeCell ref="J97:L97"/>
    <mergeCell ref="M97:N97"/>
    <mergeCell ref="Q97:X97"/>
    <mergeCell ref="Y97:AA97"/>
    <mergeCell ref="AB97:AC97"/>
    <mergeCell ref="AU98:AW98"/>
    <mergeCell ref="AX98:BA98"/>
    <mergeCell ref="BB98:BE98"/>
    <mergeCell ref="BF98:BG98"/>
    <mergeCell ref="B100:F100"/>
    <mergeCell ref="G100:H100"/>
    <mergeCell ref="I100:J100"/>
    <mergeCell ref="K100:N100"/>
    <mergeCell ref="Q100:U100"/>
    <mergeCell ref="V100:W100"/>
    <mergeCell ref="X98:AA98"/>
    <mergeCell ref="AB98:AC98"/>
    <mergeCell ref="AF98:AH98"/>
    <mergeCell ref="AI98:AL98"/>
    <mergeCell ref="AM98:AP98"/>
    <mergeCell ref="AQ98:AR98"/>
    <mergeCell ref="B98:D98"/>
    <mergeCell ref="E98:H98"/>
    <mergeCell ref="I98:L98"/>
    <mergeCell ref="M98:N98"/>
    <mergeCell ref="Q98:S98"/>
    <mergeCell ref="T98:W98"/>
    <mergeCell ref="AU100:AY100"/>
    <mergeCell ref="AZ100:BA100"/>
    <mergeCell ref="BB100:BC100"/>
    <mergeCell ref="BD100:BG100"/>
    <mergeCell ref="B101:F101"/>
    <mergeCell ref="G101:J101"/>
    <mergeCell ref="K101:N101"/>
    <mergeCell ref="Q101:U101"/>
    <mergeCell ref="V101:Y101"/>
    <mergeCell ref="Z101:AC101"/>
    <mergeCell ref="X100:Y100"/>
    <mergeCell ref="Z100:AC100"/>
    <mergeCell ref="AF100:AJ100"/>
    <mergeCell ref="AK100:AL100"/>
    <mergeCell ref="AM100:AN100"/>
    <mergeCell ref="AO100:AR100"/>
    <mergeCell ref="A102:N102"/>
    <mergeCell ref="P102:AC102"/>
    <mergeCell ref="AE102:AR102"/>
    <mergeCell ref="AT102:BG102"/>
    <mergeCell ref="A103:N103"/>
    <mergeCell ref="P103:AC103"/>
    <mergeCell ref="AE103:AR103"/>
    <mergeCell ref="AT103:BG103"/>
    <mergeCell ref="AF101:AJ101"/>
    <mergeCell ref="AK101:AN101"/>
    <mergeCell ref="AO101:AR101"/>
    <mergeCell ref="AU101:AY101"/>
    <mergeCell ref="AZ101:BC101"/>
    <mergeCell ref="BD101:BG101"/>
    <mergeCell ref="AT105:AY105"/>
    <mergeCell ref="AZ105:BG105"/>
    <mergeCell ref="A104:N104"/>
    <mergeCell ref="P104:AC104"/>
    <mergeCell ref="AE104:AR104"/>
    <mergeCell ref="AT104:BG104"/>
    <mergeCell ref="A105:F105"/>
    <mergeCell ref="G105:N105"/>
    <mergeCell ref="P105:U105"/>
    <mergeCell ref="V105:AC105"/>
    <mergeCell ref="AE105:AJ105"/>
    <mergeCell ref="AK105:AR105"/>
  </mergeCells>
  <dataValidations count="1">
    <dataValidation type="list" showDropDown="1" showInputMessage="1" showErrorMessage="1" sqref="B1:N4 A2:A4 AE102:AR1048576 O1:O1048576 A102:N1048576 P1:AC5 AD1:AD1048576 P102:AC1048576 AE1:AR5 AS1:AS1048576 BH1:BM1048576 AT1:BG5 A14:N27 P14:AC27 AE14:AR27 AT14:BG27 A36:N49 P36:AC49 AE36:AR49 AT36:BG49 A58:N71 P58:AC71 AE58:AR71 AT58:BG71 A80:N93 P80:AC93 AE80:AR93 AT80:BG93 AT102:BG1048576" xr:uid="{00000000-0002-0000-0000-000000000000}">
      <formula1>"@@@@@@@@@@@@@@@@@@@@@@@@@@@@333#$$$$$$$$$$$$$$$$$&amp;&amp;&amp;&amp;&amp;&amp;&amp;&amp;&amp;&amp;"</formula1>
    </dataValidation>
  </dataValidations>
  <printOptions horizontalCentered="1" verticalCentered="1"/>
  <pageMargins left="0" right="0" top="0" bottom="0" header="0" footer="0"/>
  <pageSetup paperSize="9" scale="85" orientation="portrait" r:id="rId1"/>
  <rowBreaks count="4" manualBreakCount="4">
    <brk id="22" max="58" man="1"/>
    <brk id="44" max="58" man="1"/>
    <brk id="65" max="58" man="1"/>
    <brk id="88" max="58" man="1"/>
  </rowBreaks>
  <colBreaks count="2" manualBreakCount="2">
    <brk id="15" max="109" man="1"/>
    <brk id="29" max="10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rightToLeft="1" tabSelected="1" zoomScale="70" zoomScaleNormal="70" workbookViewId="0"/>
  </sheetViews>
  <sheetFormatPr defaultColWidth="0" defaultRowHeight="13.95" customHeight="1" zeroHeight="1"/>
  <cols>
    <col min="1" max="16" width="9" customWidth="1"/>
    <col min="17" max="16384" width="9" hidden="1"/>
  </cols>
  <sheetData>
    <row r="1" spans="1:1" ht="13.8">
      <c r="A1" t="s">
        <v>67</v>
      </c>
    </row>
    <row r="2" spans="1:1" ht="13.8"/>
    <row r="3" spans="1:1" ht="13.8"/>
    <row r="4" spans="1:1" ht="13.8"/>
    <row r="5" spans="1:1" ht="13.8"/>
    <row r="6" spans="1:1" ht="13.8"/>
    <row r="7" spans="1:1" ht="13.8"/>
    <row r="8" spans="1:1" ht="13.8"/>
    <row r="9" spans="1:1" ht="13.8"/>
    <row r="10" spans="1:1" ht="13.8"/>
    <row r="11" spans="1:1" ht="13.8"/>
    <row r="12" spans="1:1" ht="13.8"/>
    <row r="13" spans="1:1" ht="13.8"/>
    <row r="14" spans="1:1" ht="13.8"/>
    <row r="15" spans="1:1" ht="13.8"/>
    <row r="16" spans="1:1" ht="13.8"/>
    <row r="17" ht="13.8"/>
    <row r="18" ht="13.8"/>
    <row r="19" ht="13.8"/>
    <row r="20" ht="13.8"/>
    <row r="21" ht="13.8"/>
    <row r="22" ht="13.8"/>
    <row r="23" ht="13.8"/>
    <row r="24" ht="13.8"/>
    <row r="25" ht="13.8"/>
    <row r="26" ht="13.8"/>
    <row r="27" ht="13.8"/>
    <row r="28" ht="13.8"/>
    <row r="29" ht="13.8"/>
    <row r="30" ht="13.8"/>
    <row r="31" ht="13.8"/>
    <row r="32" ht="13.8"/>
    <row r="33" ht="13.8"/>
    <row r="34" ht="13.8"/>
    <row r="35" ht="13.8"/>
    <row r="36" ht="13.8"/>
    <row r="37" ht="13.8"/>
    <row r="38" ht="13.8"/>
    <row r="39" ht="13.8"/>
    <row r="40" ht="13.8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AQ106"/>
  <sheetViews>
    <sheetView showZeros="0" rightToLeft="1" view="pageBreakPreview" zoomScale="40" zoomScaleNormal="40" zoomScaleSheetLayoutView="40" workbookViewId="0">
      <selection activeCell="I11" sqref="I11:J11"/>
    </sheetView>
  </sheetViews>
  <sheetFormatPr defaultRowHeight="13.8"/>
  <cols>
    <col min="1" max="1" width="11.09765625" style="1" customWidth="1"/>
    <col min="2" max="3" width="6.69921875" style="1" customWidth="1"/>
    <col min="4" max="4" width="6.69921875" style="310" customWidth="1"/>
    <col min="5" max="5" width="6.69921875" style="1" customWidth="1"/>
    <col min="6" max="6" width="6.69921875" style="310" customWidth="1"/>
    <col min="7" max="7" width="0.3984375" style="1" customWidth="1"/>
    <col min="8" max="10" width="8.69921875" style="1" customWidth="1"/>
    <col min="11" max="11" width="2.3984375" style="1" customWidth="1"/>
    <col min="12" max="12" width="11.59765625" style="216" customWidth="1"/>
    <col min="13" max="14" width="6.69921875" style="1" customWidth="1"/>
    <col min="15" max="15" width="6.69921875" style="310" customWidth="1"/>
    <col min="16" max="16" width="6.69921875" style="1" customWidth="1"/>
    <col min="17" max="17" width="6.69921875" style="310" customWidth="1"/>
    <col min="18" max="18" width="0.3984375" style="1" customWidth="1"/>
    <col min="19" max="21" width="7.59765625" style="1" customWidth="1"/>
    <col min="22" max="22" width="1.09765625" style="1" customWidth="1"/>
    <col min="23" max="23" width="10.3984375" style="216" bestFit="1" customWidth="1"/>
    <col min="24" max="25" width="6.3984375" style="1" customWidth="1"/>
    <col min="26" max="26" width="6.3984375" style="310" customWidth="1"/>
    <col min="27" max="27" width="6.3984375" style="1" customWidth="1"/>
    <col min="28" max="28" width="6.3984375" style="310" customWidth="1"/>
    <col min="29" max="29" width="0.3984375" style="1" customWidth="1"/>
    <col min="30" max="32" width="7.59765625" style="1" customWidth="1"/>
    <col min="33" max="33" width="1.09765625" style="1" customWidth="1"/>
    <col min="34" max="34" width="10.3984375" style="216" bestFit="1" customWidth="1"/>
    <col min="35" max="36" width="6.69921875" style="1" customWidth="1"/>
    <col min="37" max="37" width="6.69921875" style="310" customWidth="1"/>
    <col min="38" max="38" width="6.69921875" style="1" customWidth="1"/>
    <col min="39" max="39" width="6.69921875" style="310" customWidth="1"/>
    <col min="40" max="40" width="0.3984375" style="1" customWidth="1"/>
    <col min="41" max="43" width="7.59765625" style="1" customWidth="1"/>
  </cols>
  <sheetData>
    <row r="1" spans="1:43" s="74" customFormat="1" ht="29.1" customHeight="1" thickTop="1">
      <c r="A1" s="502" t="s">
        <v>79</v>
      </c>
      <c r="B1" s="503"/>
      <c r="C1" s="503"/>
      <c r="D1" s="499" t="str">
        <f>ادخال1!$K$4</f>
        <v>الثاني</v>
      </c>
      <c r="E1" s="499"/>
      <c r="F1" s="311" t="s">
        <v>80</v>
      </c>
      <c r="G1" s="244"/>
      <c r="H1" s="244"/>
      <c r="I1" s="244"/>
      <c r="J1" s="73">
        <v>1</v>
      </c>
      <c r="L1" s="502" t="s">
        <v>79</v>
      </c>
      <c r="M1" s="503"/>
      <c r="N1" s="503"/>
      <c r="O1" s="499" t="str">
        <f>ادخال1!$K$4</f>
        <v>الثاني</v>
      </c>
      <c r="P1" s="499"/>
      <c r="Q1" s="311" t="s">
        <v>80</v>
      </c>
      <c r="R1" s="244"/>
      <c r="S1" s="244"/>
      <c r="T1" s="244"/>
      <c r="U1" s="73">
        <f>J1+5</f>
        <v>6</v>
      </c>
      <c r="W1" s="502" t="s">
        <v>79</v>
      </c>
      <c r="X1" s="503"/>
      <c r="Y1" s="503"/>
      <c r="Z1" s="499" t="str">
        <f>ادخال1!$K$4</f>
        <v>الثاني</v>
      </c>
      <c r="AA1" s="499"/>
      <c r="AB1" s="311" t="s">
        <v>80</v>
      </c>
      <c r="AC1" s="244"/>
      <c r="AD1" s="244"/>
      <c r="AE1" s="244"/>
      <c r="AF1" s="73">
        <f>U1+5</f>
        <v>11</v>
      </c>
      <c r="AH1" s="502" t="s">
        <v>79</v>
      </c>
      <c r="AI1" s="503"/>
      <c r="AJ1" s="503"/>
      <c r="AK1" s="499" t="str">
        <f>ادخال1!$K$4</f>
        <v>الثاني</v>
      </c>
      <c r="AL1" s="499"/>
      <c r="AM1" s="311" t="s">
        <v>80</v>
      </c>
      <c r="AN1" s="244"/>
      <c r="AO1" s="244"/>
      <c r="AP1" s="244"/>
      <c r="AQ1" s="73">
        <f>AF1+5</f>
        <v>16</v>
      </c>
    </row>
    <row r="2" spans="1:43" ht="29.1" customHeight="1" thickBot="1">
      <c r="A2" s="1" t="s">
        <v>152</v>
      </c>
      <c r="B2" s="453" t="str">
        <f>ادخال1!$B$5</f>
        <v xml:space="preserve"> سهول العلم للتعليم الخاص </v>
      </c>
      <c r="C2" s="453"/>
      <c r="D2" s="453"/>
      <c r="E2" s="453"/>
      <c r="F2" s="312" t="s">
        <v>9</v>
      </c>
      <c r="G2" s="484" t="str">
        <f>H14</f>
        <v xml:space="preserve">الجبير خليل الدوكالي اليونسي </v>
      </c>
      <c r="H2" s="484"/>
      <c r="I2" s="484"/>
      <c r="J2" s="485"/>
      <c r="L2" s="1" t="s">
        <v>67</v>
      </c>
      <c r="M2" s="453" t="str">
        <f>ادخال1!$B$5</f>
        <v xml:space="preserve"> سهول العلم للتعليم الخاص </v>
      </c>
      <c r="N2" s="453"/>
      <c r="O2" s="453"/>
      <c r="P2" s="453"/>
      <c r="Q2" s="312" t="s">
        <v>9</v>
      </c>
      <c r="R2" s="484" t="str">
        <f>S14</f>
        <v>سوزان عبدالباسط اللافى محمد</v>
      </c>
      <c r="S2" s="484"/>
      <c r="T2" s="484"/>
      <c r="U2" s="485"/>
      <c r="W2" s="1" t="s">
        <v>152</v>
      </c>
      <c r="X2" s="453" t="str">
        <f>ادخال1!$B$5</f>
        <v xml:space="preserve"> سهول العلم للتعليم الخاص </v>
      </c>
      <c r="Y2" s="453"/>
      <c r="Z2" s="453"/>
      <c r="AA2" s="453"/>
      <c r="AB2" s="312" t="s">
        <v>9</v>
      </c>
      <c r="AC2" s="484" t="str">
        <f>AD14</f>
        <v xml:space="preserve">ميرال صالح محمد  ديماس </v>
      </c>
      <c r="AD2" s="484"/>
      <c r="AE2" s="484"/>
      <c r="AF2" s="485"/>
      <c r="AH2" s="1" t="s">
        <v>152</v>
      </c>
      <c r="AI2" s="453" t="str">
        <f>ادخال1!$B$5</f>
        <v xml:space="preserve"> سهول العلم للتعليم الخاص </v>
      </c>
      <c r="AJ2" s="453"/>
      <c r="AK2" s="453"/>
      <c r="AL2" s="453"/>
      <c r="AM2" s="312" t="s">
        <v>9</v>
      </c>
      <c r="AN2" s="484">
        <f>AO14</f>
        <v>0</v>
      </c>
      <c r="AO2" s="484"/>
      <c r="AP2" s="484"/>
      <c r="AQ2" s="485"/>
    </row>
    <row r="3" spans="1:43" ht="29.1" customHeight="1" thickBot="1">
      <c r="A3" s="237" t="s">
        <v>44</v>
      </c>
      <c r="B3" s="488" t="s">
        <v>12</v>
      </c>
      <c r="C3" s="490" t="s">
        <v>45</v>
      </c>
      <c r="D3" s="491"/>
      <c r="E3" s="492" t="s">
        <v>46</v>
      </c>
      <c r="F3" s="491"/>
      <c r="G3" s="24"/>
      <c r="H3" s="493" t="s">
        <v>49</v>
      </c>
      <c r="I3" s="494"/>
      <c r="J3" s="495"/>
      <c r="L3" s="237" t="s">
        <v>44</v>
      </c>
      <c r="M3" s="488" t="s">
        <v>12</v>
      </c>
      <c r="N3" s="490" t="s">
        <v>45</v>
      </c>
      <c r="O3" s="491"/>
      <c r="P3" s="492" t="s">
        <v>46</v>
      </c>
      <c r="Q3" s="491"/>
      <c r="R3" s="24"/>
      <c r="S3" s="493" t="s">
        <v>49</v>
      </c>
      <c r="T3" s="494"/>
      <c r="U3" s="495"/>
      <c r="W3" s="237" t="s">
        <v>44</v>
      </c>
      <c r="X3" s="488" t="s">
        <v>12</v>
      </c>
      <c r="Y3" s="490" t="s">
        <v>45</v>
      </c>
      <c r="Z3" s="491"/>
      <c r="AA3" s="492" t="s">
        <v>46</v>
      </c>
      <c r="AB3" s="491"/>
      <c r="AC3" s="24"/>
      <c r="AD3" s="493" t="s">
        <v>49</v>
      </c>
      <c r="AE3" s="494"/>
      <c r="AF3" s="495"/>
      <c r="AH3" s="237" t="s">
        <v>44</v>
      </c>
      <c r="AI3" s="488" t="s">
        <v>12</v>
      </c>
      <c r="AJ3" s="490" t="s">
        <v>45</v>
      </c>
      <c r="AK3" s="491"/>
      <c r="AL3" s="492" t="s">
        <v>46</v>
      </c>
      <c r="AM3" s="491"/>
      <c r="AN3" s="24"/>
      <c r="AO3" s="493" t="s">
        <v>49</v>
      </c>
      <c r="AP3" s="494"/>
      <c r="AQ3" s="495"/>
    </row>
    <row r="4" spans="1:43" ht="29.1" customHeight="1" thickBot="1">
      <c r="A4" s="238" t="s">
        <v>2</v>
      </c>
      <c r="B4" s="489"/>
      <c r="C4" s="37" t="s">
        <v>50</v>
      </c>
      <c r="D4" s="308" t="s">
        <v>51</v>
      </c>
      <c r="E4" s="38" t="s">
        <v>50</v>
      </c>
      <c r="F4" s="308" t="s">
        <v>51</v>
      </c>
      <c r="G4" s="8"/>
      <c r="H4" s="255" t="s">
        <v>54</v>
      </c>
      <c r="I4" s="496" t="str">
        <f>IF(D10=0,"",IF(AND(D5&gt;=C5*0.4,D6&gt;=C6*0.4,D7&gt;=C7*0.4,D8&gt;=C8*0.4,D9&gt;=C9*0.4),LOOKUP(D10,'النتيجة النهائية'!$AA$6:$AB$10),"ضعيف ويحتاج الى اهتمام في المواد"))</f>
        <v>مقبول</v>
      </c>
      <c r="J4" s="497"/>
      <c r="L4" s="238" t="s">
        <v>2</v>
      </c>
      <c r="M4" s="489"/>
      <c r="N4" s="37" t="s">
        <v>50</v>
      </c>
      <c r="O4" s="308" t="s">
        <v>51</v>
      </c>
      <c r="P4" s="38" t="s">
        <v>50</v>
      </c>
      <c r="Q4" s="308" t="s">
        <v>51</v>
      </c>
      <c r="R4" s="8"/>
      <c r="S4" s="255" t="s">
        <v>54</v>
      </c>
      <c r="T4" s="496" t="str">
        <f>IF(O10=0,"",IF(AND(O5&gt;=N5*0.4,O6&gt;=N6*0.4,O7&gt;=N7*0.4,O8&gt;=N8*0.4,O9&gt;=N9*0.4),LOOKUP(O10,'النتيجة النهائية'!$AA$6:$AB$10),"ضعيف ويحتاج الى اهتمام في المواد"))</f>
        <v>ممتاز</v>
      </c>
      <c r="U4" s="497"/>
      <c r="W4" s="238" t="s">
        <v>2</v>
      </c>
      <c r="X4" s="489"/>
      <c r="Y4" s="37" t="s">
        <v>50</v>
      </c>
      <c r="Z4" s="308" t="s">
        <v>51</v>
      </c>
      <c r="AA4" s="38" t="s">
        <v>50</v>
      </c>
      <c r="AB4" s="308" t="s">
        <v>51</v>
      </c>
      <c r="AC4" s="8"/>
      <c r="AD4" s="255" t="s">
        <v>54</v>
      </c>
      <c r="AE4" s="496" t="str">
        <f>IF(Z10=0,"",IF(AND(Z5&gt;=Y5*0.4,Z6&gt;=Y6*0.4,Z7&gt;=Y7*0.4,Z8&gt;=Y8*0.4,Z9&gt;=Y9*0.4),LOOKUP(Z10,'النتيجة النهائية'!$AA$6:$AB$10),"ضعيف ويحتاج الى اهتمام في المواد"))</f>
        <v>ممتاز</v>
      </c>
      <c r="AF4" s="497"/>
      <c r="AH4" s="238" t="s">
        <v>2</v>
      </c>
      <c r="AI4" s="489"/>
      <c r="AJ4" s="37" t="s">
        <v>50</v>
      </c>
      <c r="AK4" s="308" t="s">
        <v>51</v>
      </c>
      <c r="AL4" s="38" t="s">
        <v>50</v>
      </c>
      <c r="AM4" s="308" t="s">
        <v>51</v>
      </c>
      <c r="AN4" s="8"/>
      <c r="AO4" s="255" t="s">
        <v>54</v>
      </c>
      <c r="AP4" s="496" t="str">
        <f>IF(AK10=0,"",IF(AND(AK5&gt;=AJ5*0.4,AK6&gt;=AJ6*0.4,AK7&gt;=AJ7*0.4,AK8&gt;=AJ8*0.4,AK9&gt;=AJ9*0.4),LOOKUP(AK10,'النتيجة النهائية'!$AA$6:$AB$10),"ضعيف ويحتاج الى اهتمام في المواد"))</f>
        <v/>
      </c>
      <c r="AQ4" s="497"/>
    </row>
    <row r="5" spans="1:43" ht="29.1" customHeight="1">
      <c r="A5" s="353" t="str">
        <f>ادخال1!$F$9</f>
        <v>التربية الإسلامية</v>
      </c>
      <c r="B5" s="44">
        <f>ادخال1!$F$7</f>
        <v>3</v>
      </c>
      <c r="C5" s="39">
        <f t="shared" ref="C5:C6" si="0">40*B5*0.3</f>
        <v>36</v>
      </c>
      <c r="D5" s="283">
        <f xml:space="preserve"> IFERROR(VLOOKUP(H14,اسماء,5,0),"")</f>
        <v>25</v>
      </c>
      <c r="E5" s="41">
        <f t="shared" ref="E5:E6" si="1">40*B5*0.3</f>
        <v>36</v>
      </c>
      <c r="F5" s="283">
        <f>IFERROR(VLOOKUP(H14,اسماء,15,0),"")</f>
        <v>0</v>
      </c>
      <c r="G5" s="16"/>
      <c r="H5" s="25" t="str">
        <f>IF(D5=0,"",IF(D5&lt;C5*0.4,A5,""))</f>
        <v/>
      </c>
      <c r="I5" s="27" t="str">
        <f>IF(D6=0,"",IF(D6&lt;C6*0.4,A6,""))</f>
        <v/>
      </c>
      <c r="J5" s="26" t="str">
        <f>IF(D7=0,"",IF(D7&lt;C7*0.4,A7,""))</f>
        <v/>
      </c>
      <c r="L5" s="236" t="str">
        <f>ادخال1!$F$9</f>
        <v>التربية الإسلامية</v>
      </c>
      <c r="M5" s="44">
        <f>ادخال1!$F$7</f>
        <v>3</v>
      </c>
      <c r="N5" s="39">
        <f t="shared" ref="N5:N6" si="2">40*M5*0.3</f>
        <v>36</v>
      </c>
      <c r="O5" s="283">
        <f xml:space="preserve"> IFERROR(VLOOKUP(S14,اسماء,5,0),"")</f>
        <v>36</v>
      </c>
      <c r="P5" s="41">
        <f t="shared" ref="P5:P6" si="3">40*M5*0.3</f>
        <v>36</v>
      </c>
      <c r="Q5" s="283">
        <f>IFERROR(VLOOKUP(S14,اسماء,15,0),"")</f>
        <v>0</v>
      </c>
      <c r="R5" s="16"/>
      <c r="S5" s="25" t="str">
        <f>IF(O5=0,"",IF(O5&lt;N5*0.4,L5,""))</f>
        <v/>
      </c>
      <c r="T5" s="27" t="str">
        <f>IF(O6=0,"",IF(O6&lt;N6*0.4,L6,""))</f>
        <v/>
      </c>
      <c r="U5" s="26" t="str">
        <f>IF(O7=0,"",IF(O7&lt;N7*0.4,L7,""))</f>
        <v/>
      </c>
      <c r="W5" s="236" t="str">
        <f>ادخال1!$F$9</f>
        <v>التربية الإسلامية</v>
      </c>
      <c r="X5" s="44">
        <f>ادخال1!$F$7</f>
        <v>3</v>
      </c>
      <c r="Y5" s="39">
        <f t="shared" ref="Y5:Y6" si="4">40*X5*0.3</f>
        <v>36</v>
      </c>
      <c r="Z5" s="283">
        <f xml:space="preserve"> IFERROR(VLOOKUP(AD14,اسماء,5,0),"")</f>
        <v>36</v>
      </c>
      <c r="AA5" s="41">
        <f t="shared" ref="AA5:AA6" si="5">40*X5*0.3</f>
        <v>36</v>
      </c>
      <c r="AB5" s="283">
        <f>IFERROR(VLOOKUP(AD14,اسماء,15,0),"")</f>
        <v>0</v>
      </c>
      <c r="AC5" s="16"/>
      <c r="AD5" s="25" t="str">
        <f>IF(Z5=0,"",IF(Z5&lt;Y5*0.4,W5,""))</f>
        <v/>
      </c>
      <c r="AE5" s="27" t="str">
        <f>IF(Z6=0,"",IF(Z6&lt;Y6*0.4,W6,""))</f>
        <v/>
      </c>
      <c r="AF5" s="26" t="str">
        <f>IF(Z7=0,"",IF(Z7&lt;Y7*0.4,W7,""))</f>
        <v/>
      </c>
      <c r="AH5" s="236" t="str">
        <f>ادخال1!$F$9</f>
        <v>التربية الإسلامية</v>
      </c>
      <c r="AI5" s="44">
        <f>ادخال1!$F$7</f>
        <v>3</v>
      </c>
      <c r="AJ5" s="39">
        <f t="shared" ref="AJ5:AJ6" si="6">40*AI5*0.3</f>
        <v>36</v>
      </c>
      <c r="AK5" s="283" t="str">
        <f xml:space="preserve"> IFERROR(VLOOKUP(AO14,اسماء,5,0),"")</f>
        <v/>
      </c>
      <c r="AL5" s="41">
        <f t="shared" ref="AL5:AL6" si="7">40*AI5*0.3</f>
        <v>36</v>
      </c>
      <c r="AM5" s="283" t="str">
        <f>IFERROR(VLOOKUP(AO14,اسماء,15,0),"")</f>
        <v/>
      </c>
      <c r="AN5" s="16"/>
      <c r="AO5" s="25" t="str">
        <f>IF(AK5=0,"",IF(AK5&lt;AJ5*0.4,AH5,""))</f>
        <v/>
      </c>
      <c r="AP5" s="27" t="str">
        <f>IF(AK6=0,"",IF(AK6&lt;AJ6*0.4,AH6,""))</f>
        <v/>
      </c>
      <c r="AQ5" s="26" t="str">
        <f>IF(AK7=0,"",IF(AK7&lt;AJ7*0.4,AH7,""))</f>
        <v/>
      </c>
    </row>
    <row r="6" spans="1:43" ht="29.1" customHeight="1" thickBot="1">
      <c r="A6" s="381" t="str">
        <f>ادخال1!$G$9</f>
        <v>اللغة العربية</v>
      </c>
      <c r="B6" s="45">
        <f>ادخال1!$G$7</f>
        <v>6</v>
      </c>
      <c r="C6" s="39">
        <f t="shared" si="0"/>
        <v>72</v>
      </c>
      <c r="D6" s="283">
        <f>IFERROR(VLOOKUP(H14,اسماء,6,0),"")</f>
        <v>54</v>
      </c>
      <c r="E6" s="41">
        <f t="shared" si="1"/>
        <v>72</v>
      </c>
      <c r="F6" s="283">
        <f>IFERROR(VLOOKUP(H14,اسماء,16,0),"")</f>
        <v>0</v>
      </c>
      <c r="G6" s="16"/>
      <c r="H6" s="114" t="str">
        <f>IF(D8=0,"",IF(D8&lt;C8*0.4,A8,""))</f>
        <v/>
      </c>
      <c r="I6" s="252" t="str">
        <f>IF(D9=0,"",IF(D9&lt;C9*0.4,A9,""))</f>
        <v/>
      </c>
      <c r="J6" s="253"/>
      <c r="L6" s="51" t="str">
        <f>ادخال1!$G$9</f>
        <v>اللغة العربية</v>
      </c>
      <c r="M6" s="45">
        <f>ادخال1!$G$7</f>
        <v>6</v>
      </c>
      <c r="N6" s="39">
        <f t="shared" si="2"/>
        <v>72</v>
      </c>
      <c r="O6" s="283">
        <f>IFERROR(VLOOKUP(S14,اسماء,6,0),"")</f>
        <v>70</v>
      </c>
      <c r="P6" s="41">
        <f t="shared" si="3"/>
        <v>72</v>
      </c>
      <c r="Q6" s="283">
        <f>IFERROR(VLOOKUP(S14,اسماء,16,0),"")</f>
        <v>0</v>
      </c>
      <c r="R6" s="16"/>
      <c r="S6" s="114" t="str">
        <f>IF(O8=0,"",IF(O8&lt;N8*0.4,L8,""))</f>
        <v/>
      </c>
      <c r="T6" s="252" t="str">
        <f>IF(O9=0,"",IF(O9&lt;N9*0.4,L9,""))</f>
        <v/>
      </c>
      <c r="U6" s="253"/>
      <c r="W6" s="51" t="str">
        <f>ادخال1!$G$9</f>
        <v>اللغة العربية</v>
      </c>
      <c r="X6" s="45">
        <f>ادخال1!$G$7</f>
        <v>6</v>
      </c>
      <c r="Y6" s="39">
        <f t="shared" si="4"/>
        <v>72</v>
      </c>
      <c r="Z6" s="283">
        <f>IFERROR(VLOOKUP(AD14,اسماء,6,0),"")</f>
        <v>66</v>
      </c>
      <c r="AA6" s="41">
        <f t="shared" si="5"/>
        <v>72</v>
      </c>
      <c r="AB6" s="283">
        <f>IFERROR(VLOOKUP(AD14,اسماء,16,0),"")</f>
        <v>0</v>
      </c>
      <c r="AC6" s="16"/>
      <c r="AD6" s="114" t="str">
        <f>IF(Z8=0,"",IF(Z8&lt;Y8*0.4,W8,""))</f>
        <v/>
      </c>
      <c r="AE6" s="252" t="str">
        <f>IF(Z9=0,"",IF(Z9&lt;Y9*0.4,W9,""))</f>
        <v/>
      </c>
      <c r="AF6" s="253"/>
      <c r="AH6" s="51" t="str">
        <f>ادخال1!$G$9</f>
        <v>اللغة العربية</v>
      </c>
      <c r="AI6" s="45">
        <f>ادخال1!$G$7</f>
        <v>6</v>
      </c>
      <c r="AJ6" s="39">
        <f t="shared" si="6"/>
        <v>72</v>
      </c>
      <c r="AK6" s="283" t="str">
        <f>IFERROR(VLOOKUP(AO14,اسماء,6,0),"")</f>
        <v/>
      </c>
      <c r="AL6" s="41">
        <f t="shared" si="7"/>
        <v>72</v>
      </c>
      <c r="AM6" s="283" t="str">
        <f>IFERROR(VLOOKUP(AO14,اسماء,16,0),"")</f>
        <v/>
      </c>
      <c r="AN6" s="16"/>
      <c r="AO6" s="114" t="str">
        <f>IF(AK8=0,"",IF(AK8&lt;AJ8*0.4,AH8,""))</f>
        <v/>
      </c>
      <c r="AP6" s="252" t="str">
        <f>IF(AK9=0,"",IF(AK9&lt;AJ9*0.4,AH9,""))</f>
        <v/>
      </c>
      <c r="AQ6" s="253"/>
    </row>
    <row r="7" spans="1:43" ht="29.1" customHeight="1">
      <c r="A7" s="382" t="str">
        <f>ادخال1!$H$9</f>
        <v>اللغة الإنجليزية</v>
      </c>
      <c r="B7" s="45">
        <f>ادخال1!$H$7</f>
        <v>3</v>
      </c>
      <c r="C7" s="39">
        <f>40*B7*0.3</f>
        <v>36</v>
      </c>
      <c r="D7" s="283">
        <f>IFERROR(VLOOKUP(H14,اسماء,7,0),"")</f>
        <v>25</v>
      </c>
      <c r="E7" s="41">
        <f>40*B7*0.3</f>
        <v>36</v>
      </c>
      <c r="F7" s="283">
        <f>IFERROR(VLOOKUP(H14,اسماء,17,0),"")</f>
        <v>0</v>
      </c>
      <c r="G7" s="16"/>
      <c r="H7" s="254" t="s">
        <v>156</v>
      </c>
      <c r="I7" s="496" t="str">
        <f>IF(F10=0,"",IF(AND(F5&gt;=E5*0.4,F6&gt;=E6*0.4,F7&gt;=E7*0.4,F8&gt;=E8*0.4,F9&gt;=E9*0.4),LOOKUP(F10,'النتيجة النهائية'!$AA$6:$AB$10),"ضعيف ويحتاج الى اهتمام في المواد"))</f>
        <v/>
      </c>
      <c r="J7" s="497"/>
      <c r="L7" s="127" t="str">
        <f>ادخال1!$H$9</f>
        <v>اللغة الإنجليزية</v>
      </c>
      <c r="M7" s="45">
        <f>ادخال1!$H$7</f>
        <v>3</v>
      </c>
      <c r="N7" s="39">
        <f>40*M7*0.3</f>
        <v>36</v>
      </c>
      <c r="O7" s="283">
        <f>IFERROR(VLOOKUP(S14,اسماء,7,0),"")</f>
        <v>36</v>
      </c>
      <c r="P7" s="41">
        <f>40*M7*0.3</f>
        <v>36</v>
      </c>
      <c r="Q7" s="283">
        <f>IFERROR(VLOOKUP(S14,اسماء,17,0),"")</f>
        <v>0</v>
      </c>
      <c r="R7" s="16"/>
      <c r="S7" s="254" t="s">
        <v>156</v>
      </c>
      <c r="T7" s="496" t="str">
        <f>IF(Q10=0,"",IF(AND(Q5&gt;=P5*0.4,Q6&gt;=P6*0.4,Q7&gt;=P7*0.4,Q8&gt;=P8*0.4,Q9&gt;=P9*0.4),LOOKUP(Q10,'النتيجة النهائية'!$AA$6:$AB$10),"ضعيف ويحتاج الى اهتمام في المواد"))</f>
        <v/>
      </c>
      <c r="U7" s="497"/>
      <c r="W7" s="127" t="str">
        <f>ادخال1!$H$9</f>
        <v>اللغة الإنجليزية</v>
      </c>
      <c r="X7" s="45">
        <f>ادخال1!$H$7</f>
        <v>3</v>
      </c>
      <c r="Y7" s="39">
        <f>40*X7*0.3</f>
        <v>36</v>
      </c>
      <c r="Z7" s="283">
        <f>IFERROR(VLOOKUP(AD14,اسماء,7,0),"")</f>
        <v>36</v>
      </c>
      <c r="AA7" s="41">
        <f>40*X7*0.3</f>
        <v>36</v>
      </c>
      <c r="AB7" s="283">
        <f>IFERROR(VLOOKUP(AD14,اسماء,17,0),"")</f>
        <v>0</v>
      </c>
      <c r="AC7" s="16"/>
      <c r="AD7" s="254" t="s">
        <v>156</v>
      </c>
      <c r="AE7" s="496" t="str">
        <f>IF(AB10=0,"",IF(AND(AB5&gt;=AA5*0.4,AB6&gt;=AA6*0.4,AB7&gt;=AA7*0.4,AB8&gt;=AA8*0.4,AB9&gt;=AA9*0.4),LOOKUP(AB10,'النتيجة النهائية'!$AA$6:$AB$10),"ضعيف ويحتاج الى اهتمام في المواد"))</f>
        <v/>
      </c>
      <c r="AF7" s="497"/>
      <c r="AH7" s="127" t="str">
        <f>ادخال1!$H$9</f>
        <v>اللغة الإنجليزية</v>
      </c>
      <c r="AI7" s="45">
        <f>ادخال1!$H$7</f>
        <v>3</v>
      </c>
      <c r="AJ7" s="39">
        <f>40*AI7*0.3</f>
        <v>36</v>
      </c>
      <c r="AK7" s="283" t="str">
        <f>IFERROR(VLOOKUP(AO14,اسماء,7,0),"")</f>
        <v/>
      </c>
      <c r="AL7" s="41">
        <f>40*AI7*0.3</f>
        <v>36</v>
      </c>
      <c r="AM7" s="283" t="str">
        <f>IFERROR(VLOOKUP(AO14,اسماء,17,0),"")</f>
        <v/>
      </c>
      <c r="AN7" s="16"/>
      <c r="AO7" s="254" t="s">
        <v>156</v>
      </c>
      <c r="AP7" s="496" t="str">
        <f>IF(AM10=0,"",IF(AND(AM5&gt;=AL5*0.4,AM6&gt;=AL6*0.4,AM7&gt;=AL7*0.4,AM8&gt;=AL8*0.4,AM9&gt;=AL9*0.4),LOOKUP(AM10,'النتيجة النهائية'!$AA$6:$AB$10),"ضعيف ويحتاج الى اهتمام في المواد"))</f>
        <v/>
      </c>
      <c r="AQ7" s="497"/>
    </row>
    <row r="8" spans="1:43" ht="29.1" customHeight="1">
      <c r="A8" s="381" t="str">
        <f>ادخال1!$I$9</f>
        <v>الحاسوب</v>
      </c>
      <c r="B8" s="45">
        <f>ادخال1!$I$7</f>
        <v>1</v>
      </c>
      <c r="C8" s="39">
        <f>40*B8*0.3</f>
        <v>12</v>
      </c>
      <c r="D8" s="283">
        <f>IFERROR(VLOOKUP(H14,اسماء,8,0),"")</f>
        <v>10</v>
      </c>
      <c r="E8" s="41">
        <f>40*B8*0.3</f>
        <v>12</v>
      </c>
      <c r="F8" s="283">
        <f>IFERROR(VLOOKUP(H14,اسماء,18,0),"")</f>
        <v>0</v>
      </c>
      <c r="G8" s="16"/>
      <c r="H8" s="25" t="str">
        <f>IF(F5=0,"",IF(F5&lt;E5*0.4,A5,""))</f>
        <v/>
      </c>
      <c r="I8" s="27" t="str">
        <f>IF(F6=0,"",IF(F6&lt;E6*0.4,A6,""))</f>
        <v/>
      </c>
      <c r="J8" s="26" t="str">
        <f>IF(F7=0,"",IF(F7&lt;E7*0.4,A7,""))</f>
        <v/>
      </c>
      <c r="L8" s="51" t="str">
        <f>ادخال1!$I$9</f>
        <v>الحاسوب</v>
      </c>
      <c r="M8" s="45">
        <f>ادخال1!$I$7</f>
        <v>1</v>
      </c>
      <c r="N8" s="39">
        <f>40*M8*0.3</f>
        <v>12</v>
      </c>
      <c r="O8" s="283">
        <f>IFERROR(VLOOKUP(S14,اسماء,8,0),"")</f>
        <v>12</v>
      </c>
      <c r="P8" s="41">
        <f>40*M8*0.3</f>
        <v>12</v>
      </c>
      <c r="Q8" s="283">
        <f>IFERROR(VLOOKUP(S14,اسماء,18,0),"")</f>
        <v>0</v>
      </c>
      <c r="R8" s="16"/>
      <c r="S8" s="25" t="str">
        <f>IF(Q5=0,"",IF(Q5&lt;P5*0.4,L5,""))</f>
        <v/>
      </c>
      <c r="T8" s="27" t="str">
        <f>IF(Q6=0,"",IF(Q6&lt;P6*0.4,L6,""))</f>
        <v/>
      </c>
      <c r="U8" s="26" t="str">
        <f>IF(Q7=0,"",IF(Q7&lt;P7*0.4,L7,""))</f>
        <v/>
      </c>
      <c r="W8" s="51" t="str">
        <f>ادخال1!$I$9</f>
        <v>الحاسوب</v>
      </c>
      <c r="X8" s="45">
        <f>ادخال1!$I$7</f>
        <v>1</v>
      </c>
      <c r="Y8" s="39">
        <f>40*X8*0.3</f>
        <v>12</v>
      </c>
      <c r="Z8" s="283">
        <f>IFERROR(VLOOKUP(AD14,اسماء,8,0),"")</f>
        <v>12</v>
      </c>
      <c r="AA8" s="41">
        <f>40*X8*0.3</f>
        <v>12</v>
      </c>
      <c r="AB8" s="283">
        <f>IFERROR(VLOOKUP(AD14,اسماء,18,0),"")</f>
        <v>0</v>
      </c>
      <c r="AC8" s="16"/>
      <c r="AD8" s="25" t="str">
        <f>IF(AB5=0,"",IF(AB5&lt;AA5*0.4,W5,""))</f>
        <v/>
      </c>
      <c r="AE8" s="27" t="str">
        <f>IF(AB6=0,"",IF(AB6&lt;AA6*0.4,W6,""))</f>
        <v/>
      </c>
      <c r="AF8" s="26" t="str">
        <f>IF(AB7=0,"",IF(AB7&lt;AA7*0.4,W7,""))</f>
        <v/>
      </c>
      <c r="AH8" s="51" t="str">
        <f>ادخال1!$I$9</f>
        <v>الحاسوب</v>
      </c>
      <c r="AI8" s="45">
        <f>ادخال1!$I$7</f>
        <v>1</v>
      </c>
      <c r="AJ8" s="39">
        <f>40*AI8*0.3</f>
        <v>12</v>
      </c>
      <c r="AK8" s="283" t="str">
        <f>IFERROR(VLOOKUP(AO14,اسماء,8,0),"")</f>
        <v/>
      </c>
      <c r="AL8" s="41">
        <f>40*AI8*0.3</f>
        <v>12</v>
      </c>
      <c r="AM8" s="283" t="str">
        <f>IFERROR(VLOOKUP(AO14,اسماء,18,0),"")</f>
        <v/>
      </c>
      <c r="AN8" s="16"/>
      <c r="AO8" s="25" t="str">
        <f>IF(AM5=0,"",IF(AM5&lt;AL5*0.4,AH5,""))</f>
        <v/>
      </c>
      <c r="AP8" s="27" t="str">
        <f>IF(AM6=0,"",IF(AM6&lt;AL6*0.4,AH6,""))</f>
        <v/>
      </c>
      <c r="AQ8" s="26" t="str">
        <f>IF(AM7=0,"",IF(AM7&lt;AL7*0.4,AH7,""))</f>
        <v/>
      </c>
    </row>
    <row r="9" spans="1:43" ht="29.1" customHeight="1" thickBot="1">
      <c r="A9" s="383" t="str">
        <f>ادخال1!$J$9</f>
        <v>الرياضيات</v>
      </c>
      <c r="B9" s="46">
        <f>ادخال1!$J$7</f>
        <v>5</v>
      </c>
      <c r="C9" s="39">
        <f>40*B9*0.3</f>
        <v>60</v>
      </c>
      <c r="D9" s="283">
        <f>IFERROR(VLOOKUP(H14,اسماء,9,0),"")</f>
        <v>24</v>
      </c>
      <c r="E9" s="41">
        <f>40*B9*0.3</f>
        <v>60</v>
      </c>
      <c r="F9" s="283">
        <f>IFERROR(VLOOKUP(H14,اسماء,19,0),"")</f>
        <v>0</v>
      </c>
      <c r="G9" s="16"/>
      <c r="H9" s="114" t="str">
        <f>IF(F8=0,"",IF(F8&lt;E8*0.4,A8,""))</f>
        <v/>
      </c>
      <c r="I9" s="252" t="str">
        <f>IF(F9=0,"",IF(F9&lt;E9*0.4,A9,""))</f>
        <v/>
      </c>
      <c r="J9" s="253"/>
      <c r="L9" s="109" t="str">
        <f>ادخال1!$J$9</f>
        <v>الرياضيات</v>
      </c>
      <c r="M9" s="46">
        <f>ادخال1!$J$7</f>
        <v>5</v>
      </c>
      <c r="N9" s="39">
        <f>40*M9*0.3</f>
        <v>60</v>
      </c>
      <c r="O9" s="283">
        <f>IFERROR(VLOOKUP(S14,اسماء,9,0),"")</f>
        <v>60</v>
      </c>
      <c r="P9" s="41">
        <f>40*M9*0.3</f>
        <v>60</v>
      </c>
      <c r="Q9" s="283">
        <f>IFERROR(VLOOKUP(S14,اسماء,19,0),"")</f>
        <v>0</v>
      </c>
      <c r="R9" s="16"/>
      <c r="S9" s="114" t="str">
        <f>IF(Q8=0,"",IF(Q8&lt;P8*0.4,L8,""))</f>
        <v/>
      </c>
      <c r="T9" s="252" t="str">
        <f>IF(Q9=0,"",IF(Q9&lt;P9*0.4,L9,""))</f>
        <v/>
      </c>
      <c r="U9" s="253"/>
      <c r="W9" s="109" t="str">
        <f>ادخال1!$J$9</f>
        <v>الرياضيات</v>
      </c>
      <c r="X9" s="46">
        <f>ادخال1!$J$7</f>
        <v>5</v>
      </c>
      <c r="Y9" s="39">
        <f>40*X9*0.3</f>
        <v>60</v>
      </c>
      <c r="Z9" s="283">
        <f>IFERROR(VLOOKUP(AD14,اسماء,9,0),"")</f>
        <v>60</v>
      </c>
      <c r="AA9" s="41">
        <f>40*X9*0.3</f>
        <v>60</v>
      </c>
      <c r="AB9" s="283">
        <f>IFERROR(VLOOKUP(AD14,اسماء,19,0),"")</f>
        <v>0</v>
      </c>
      <c r="AC9" s="16"/>
      <c r="AD9" s="114" t="str">
        <f>IF(AB8=0,"",IF(AB8&lt;AA8*0.4,W8,""))</f>
        <v/>
      </c>
      <c r="AE9" s="252" t="str">
        <f>IF(AB9=0,"",IF(AB9&lt;AA9*0.4,W9,""))</f>
        <v/>
      </c>
      <c r="AF9" s="253"/>
      <c r="AH9" s="109" t="str">
        <f>ادخال1!$J$9</f>
        <v>الرياضيات</v>
      </c>
      <c r="AI9" s="46">
        <f>ادخال1!$J$7</f>
        <v>5</v>
      </c>
      <c r="AJ9" s="39">
        <f>40*AI9*0.3</f>
        <v>60</v>
      </c>
      <c r="AK9" s="283" t="str">
        <f>IFERROR(VLOOKUP(AO14,اسماء,9,0),"")</f>
        <v/>
      </c>
      <c r="AL9" s="41">
        <f>40*AI9*0.3</f>
        <v>60</v>
      </c>
      <c r="AM9" s="283" t="str">
        <f>IFERROR(VLOOKUP(AO14,اسماء,19,0),"")</f>
        <v/>
      </c>
      <c r="AN9" s="16"/>
      <c r="AO9" s="114" t="str">
        <f>IF(AM8=0,"",IF(AM8&lt;AL8*0.4,AH8,""))</f>
        <v/>
      </c>
      <c r="AP9" s="252" t="str">
        <f>IF(AM9=0,"",IF(AM9&lt;AL9*0.4,AH9,""))</f>
        <v/>
      </c>
      <c r="AQ9" s="253"/>
    </row>
    <row r="10" spans="1:43" ht="29.1" customHeight="1" thickBot="1">
      <c r="A10" s="384" t="s">
        <v>55</v>
      </c>
      <c r="B10" s="28"/>
      <c r="C10" s="40">
        <f>SUM(C5:C9)</f>
        <v>216</v>
      </c>
      <c r="D10" s="284">
        <f>SUM(D5:D9)</f>
        <v>138</v>
      </c>
      <c r="E10" s="40">
        <f>SUM(E5:E9)</f>
        <v>216</v>
      </c>
      <c r="F10" s="385">
        <f>SUM(F5:F9)</f>
        <v>0</v>
      </c>
      <c r="G10" s="16"/>
      <c r="H10" s="182" t="s">
        <v>64</v>
      </c>
      <c r="I10" s="474" t="str">
        <f>ادخال1!$BG$5</f>
        <v>د. عبدالرحمن خليفة العريبي</v>
      </c>
      <c r="J10" s="475"/>
      <c r="L10" s="53" t="s">
        <v>55</v>
      </c>
      <c r="M10" s="28"/>
      <c r="N10" s="40">
        <f>SUM(N5:N9)</f>
        <v>216</v>
      </c>
      <c r="O10" s="284">
        <f>SUM(O5:O9)</f>
        <v>214</v>
      </c>
      <c r="P10" s="40">
        <f>SUM(P5:P9)</f>
        <v>216</v>
      </c>
      <c r="Q10" s="284">
        <f>SUM(Q5:Q9)</f>
        <v>0</v>
      </c>
      <c r="R10" s="16"/>
      <c r="S10" s="182" t="s">
        <v>64</v>
      </c>
      <c r="T10" s="474" t="str">
        <f>ادخال1!$BG$5</f>
        <v>د. عبدالرحمن خليفة العريبي</v>
      </c>
      <c r="U10" s="475"/>
      <c r="W10" s="53" t="s">
        <v>55</v>
      </c>
      <c r="X10" s="28"/>
      <c r="Y10" s="40">
        <f>SUM(Y5:Y9)</f>
        <v>216</v>
      </c>
      <c r="Z10" s="284">
        <f>SUM(Z5:Z9)</f>
        <v>210</v>
      </c>
      <c r="AA10" s="40">
        <f>SUM(AA5:AA9)</f>
        <v>216</v>
      </c>
      <c r="AB10" s="284">
        <f>SUM(AB5:AB9)</f>
        <v>0</v>
      </c>
      <c r="AC10" s="16"/>
      <c r="AD10" s="182" t="s">
        <v>64</v>
      </c>
      <c r="AE10" s="474" t="str">
        <f>ادخال1!$BG$5</f>
        <v>د. عبدالرحمن خليفة العريبي</v>
      </c>
      <c r="AF10" s="475"/>
      <c r="AH10" s="53" t="s">
        <v>55</v>
      </c>
      <c r="AI10" s="28"/>
      <c r="AJ10" s="40">
        <f>SUM(AJ5:AJ9)</f>
        <v>216</v>
      </c>
      <c r="AK10" s="284">
        <f>SUM(AK5:AK9)</f>
        <v>0</v>
      </c>
      <c r="AL10" s="40">
        <f>SUM(AL5:AL9)</f>
        <v>216</v>
      </c>
      <c r="AM10" s="284">
        <f>SUM(AM5:AM9)</f>
        <v>0</v>
      </c>
      <c r="AN10" s="16"/>
      <c r="AO10" s="182" t="s">
        <v>64</v>
      </c>
      <c r="AP10" s="474" t="str">
        <f>ادخال1!$BG$5</f>
        <v>د. عبدالرحمن خليفة العريبي</v>
      </c>
      <c r="AQ10" s="475"/>
    </row>
    <row r="11" spans="1:43" ht="29.1" customHeight="1" thickBot="1">
      <c r="A11" s="334" t="str">
        <f>ادخال1!$L$8</f>
        <v>التربية الفنية</v>
      </c>
      <c r="B11" s="47">
        <f>ادخال1!$L$7</f>
        <v>1</v>
      </c>
      <c r="C11" s="486" t="str">
        <f>IFERROR(VLOOKUP(H14,اسماء,11,0),"")</f>
        <v>جيد جداَ</v>
      </c>
      <c r="D11" s="487"/>
      <c r="E11" s="486">
        <f>IFERROR(VLOOKUP(H14,اسماء,21,0),"")</f>
        <v>0</v>
      </c>
      <c r="F11" s="509"/>
      <c r="G11" s="16"/>
      <c r="H11" s="13" t="s">
        <v>66</v>
      </c>
      <c r="I11" s="465">
        <f ca="1">TODAY()</f>
        <v>46005</v>
      </c>
      <c r="J11" s="466"/>
      <c r="L11" s="30" t="str">
        <f>ادخال1!$L$8</f>
        <v>التربية الفنية</v>
      </c>
      <c r="M11" s="47">
        <f>ادخال1!$L$7</f>
        <v>1</v>
      </c>
      <c r="N11" s="486" t="str">
        <f>IFERROR(VLOOKUP(S14,اسماء,11,0),"")</f>
        <v>جيد جداَ</v>
      </c>
      <c r="O11" s="487"/>
      <c r="P11" s="486">
        <f>IFERROR(VLOOKUP(S14,اسماء,21,0),"")</f>
        <v>0</v>
      </c>
      <c r="Q11" s="487"/>
      <c r="R11" s="16"/>
      <c r="S11" s="13" t="s">
        <v>66</v>
      </c>
      <c r="T11" s="465">
        <f ca="1">TODAY()</f>
        <v>46005</v>
      </c>
      <c r="U11" s="466"/>
      <c r="W11" s="30" t="str">
        <f>ادخال1!$L$8</f>
        <v>التربية الفنية</v>
      </c>
      <c r="X11" s="47">
        <f>ادخال1!$L$7</f>
        <v>1</v>
      </c>
      <c r="Y11" s="486" t="str">
        <f>IFERROR(VLOOKUP(AD14,اسماء,11,0),"")</f>
        <v>جيد جداَ</v>
      </c>
      <c r="Z11" s="487"/>
      <c r="AA11" s="486">
        <f>IFERROR(VLOOKUP(AD14,اسماء,21,0),"")</f>
        <v>0</v>
      </c>
      <c r="AB11" s="487"/>
      <c r="AC11" s="16"/>
      <c r="AD11" s="13" t="s">
        <v>66</v>
      </c>
      <c r="AE11" s="465">
        <f ca="1">TODAY()</f>
        <v>46005</v>
      </c>
      <c r="AF11" s="466"/>
      <c r="AH11" s="30" t="str">
        <f>ادخال1!$L$8</f>
        <v>التربية الفنية</v>
      </c>
      <c r="AI11" s="47">
        <f>ادخال1!$L$7</f>
        <v>1</v>
      </c>
      <c r="AJ11" s="486" t="str">
        <f>IFERROR(VLOOKUP(AO14,اسماء,11,0),"")</f>
        <v/>
      </c>
      <c r="AK11" s="487"/>
      <c r="AL11" s="486" t="str">
        <f>IFERROR(VLOOKUP(AO14,اسماء,21,0),"")</f>
        <v/>
      </c>
      <c r="AM11" s="487"/>
      <c r="AN11" s="16"/>
      <c r="AO11" s="13" t="s">
        <v>66</v>
      </c>
      <c r="AP11" s="465">
        <f ca="1">TODAY()</f>
        <v>46005</v>
      </c>
      <c r="AQ11" s="466"/>
    </row>
    <row r="12" spans="1:43" ht="29.1" customHeight="1" thickBot="1">
      <c r="A12" s="386" t="str">
        <f>ادخال1!$M$8</f>
        <v>التربية البدنية</v>
      </c>
      <c r="B12" s="377">
        <f>ادخال1!$M$7</f>
        <v>2</v>
      </c>
      <c r="C12" s="448" t="str">
        <f>IFERROR(VLOOKUP(H14,اسماء,12,0),"")</f>
        <v>جيد جداَ</v>
      </c>
      <c r="D12" s="449"/>
      <c r="E12" s="448">
        <f>IFERROR(VLOOKUP(H14,اسماء,22,0),"")</f>
        <v>0</v>
      </c>
      <c r="F12" s="510"/>
      <c r="G12" s="16"/>
      <c r="H12" s="62"/>
      <c r="I12" s="465"/>
      <c r="J12" s="466"/>
      <c r="L12" s="378" t="str">
        <f>ادخال1!$M$8</f>
        <v>التربية البدنية</v>
      </c>
      <c r="M12" s="377">
        <f>ادخال1!$M$7</f>
        <v>2</v>
      </c>
      <c r="N12" s="448" t="str">
        <f>IFERROR(VLOOKUP(S14,اسماء,12,0),"")</f>
        <v>جيد جداَ</v>
      </c>
      <c r="O12" s="449"/>
      <c r="P12" s="448">
        <f>IFERROR(VLOOKUP(S14,اسماء,22,0),"")</f>
        <v>0</v>
      </c>
      <c r="Q12" s="449"/>
      <c r="R12" s="16"/>
      <c r="S12" s="62"/>
      <c r="T12" s="465"/>
      <c r="U12" s="466"/>
      <c r="W12" s="378" t="str">
        <f>ادخال1!$M$8</f>
        <v>التربية البدنية</v>
      </c>
      <c r="X12" s="377">
        <f>ادخال1!$M$7</f>
        <v>2</v>
      </c>
      <c r="Y12" s="448" t="str">
        <f>IFERROR(VLOOKUP(AD14,اسماء,12,0),"")</f>
        <v>جيد جداَ</v>
      </c>
      <c r="Z12" s="449"/>
      <c r="AA12" s="448">
        <f>IFERROR(VLOOKUP(AD14,اسماء,22,0),"")</f>
        <v>0</v>
      </c>
      <c r="AB12" s="449"/>
      <c r="AC12" s="16"/>
      <c r="AD12" s="62"/>
      <c r="AE12" s="465"/>
      <c r="AF12" s="466"/>
      <c r="AH12" s="378" t="str">
        <f>ادخال1!$M$8</f>
        <v>التربية البدنية</v>
      </c>
      <c r="AI12" s="377">
        <f>ادخال1!$M$7</f>
        <v>2</v>
      </c>
      <c r="AJ12" s="448" t="str">
        <f>IFERROR(VLOOKUP(AO14,اسماء,12,0),"")</f>
        <v/>
      </c>
      <c r="AK12" s="449"/>
      <c r="AL12" s="448" t="str">
        <f>IFERROR(VLOOKUP(AO14,اسماء,22,0),"")</f>
        <v/>
      </c>
      <c r="AM12" s="449"/>
      <c r="AN12" s="16"/>
      <c r="AO12" s="62"/>
      <c r="AP12" s="465"/>
      <c r="AQ12" s="466"/>
    </row>
    <row r="13" spans="1:43" ht="29.1" customHeight="1" thickBot="1">
      <c r="A13" s="387" t="str">
        <f>ادخال1!$N$8</f>
        <v>مكتبة</v>
      </c>
      <c r="B13" s="388">
        <f>ادخال1!$N$7</f>
        <v>1</v>
      </c>
      <c r="C13" s="486">
        <f>IFERROR(VLOOKUP(H14,اسماء,13,0),"")</f>
        <v>0</v>
      </c>
      <c r="D13" s="487"/>
      <c r="E13" s="486">
        <f>IFERROR(VLOOKUP(H14,اسماء,23,0),"")</f>
        <v>0</v>
      </c>
      <c r="F13" s="509"/>
      <c r="G13" s="16"/>
      <c r="H13" s="62"/>
      <c r="I13" s="331"/>
      <c r="J13" s="332"/>
      <c r="L13" s="333" t="str">
        <f>ادخال1!$N$8</f>
        <v>مكتبة</v>
      </c>
      <c r="M13" s="380">
        <f>ادخال1!$N$7</f>
        <v>1</v>
      </c>
      <c r="N13" s="448">
        <f>IFERROR(VLOOKUP(S14,اسماء,13,0),"")</f>
        <v>0</v>
      </c>
      <c r="O13" s="449"/>
      <c r="P13" s="448">
        <f>IFERROR(VLOOKUP(S14,اسماء,23,0),"")</f>
        <v>0</v>
      </c>
      <c r="Q13" s="449"/>
      <c r="R13" s="16"/>
      <c r="S13" s="62"/>
      <c r="T13" s="331"/>
      <c r="U13" s="332"/>
      <c r="W13" s="333" t="str">
        <f>ادخال1!$N$8</f>
        <v>مكتبة</v>
      </c>
      <c r="X13" s="380">
        <f>ادخال1!$N$7</f>
        <v>1</v>
      </c>
      <c r="Y13" s="448">
        <f>IFERROR(VLOOKUP(AD14,اسماء,13,0),"")</f>
        <v>0</v>
      </c>
      <c r="Z13" s="449"/>
      <c r="AA13" s="448">
        <f>IFERROR(VLOOKUP(AD14,اسماء,23,0),"")</f>
        <v>0</v>
      </c>
      <c r="AB13" s="449"/>
      <c r="AC13" s="16"/>
      <c r="AD13" s="62"/>
      <c r="AE13" s="331"/>
      <c r="AF13" s="332"/>
      <c r="AH13" s="333" t="str">
        <f>ادخال1!$N$8</f>
        <v>مكتبة</v>
      </c>
      <c r="AI13" s="380">
        <f>ادخال1!$N$7</f>
        <v>1</v>
      </c>
      <c r="AJ13" s="448" t="str">
        <f>IFERROR(VLOOKUP(AO14,اسماء,13,0),"")</f>
        <v/>
      </c>
      <c r="AK13" s="449"/>
      <c r="AL13" s="448" t="str">
        <f>IFERROR(VLOOKUP(AO14,اسماء,23,0),"")</f>
        <v/>
      </c>
      <c r="AM13" s="449"/>
      <c r="AN13" s="16"/>
      <c r="AO13" s="62"/>
      <c r="AP13" s="331"/>
      <c r="AQ13" s="332"/>
    </row>
    <row r="14" spans="1:43" ht="29.1" customHeight="1" thickBot="1">
      <c r="A14" s="379" t="s">
        <v>119</v>
      </c>
      <c r="B14" s="473">
        <f>IFERROR(VLOOKUP(H14,اسماء,62,0),"")</f>
        <v>120171064725</v>
      </c>
      <c r="C14" s="473" t="str">
        <f>IFERROR(VLOOKUP(G19,اسماء,8,0),"")</f>
        <v/>
      </c>
      <c r="D14" s="473" t="str">
        <f>IFERROR(VLOOKUP(H19,اسماء,8,0),"")</f>
        <v/>
      </c>
      <c r="E14" s="473" t="str">
        <f>IFERROR(VLOOKUP(I19,اسماء,8,0),"")</f>
        <v/>
      </c>
      <c r="F14" s="309"/>
      <c r="G14" s="16"/>
      <c r="H14" s="474" t="str">
        <f>INDEX(عمود2,MATCH(J1,عمود1))</f>
        <v xml:space="preserve">الجبير خليل الدوكالي اليونسي </v>
      </c>
      <c r="I14" s="474"/>
      <c r="J14" s="475"/>
      <c r="L14" s="379" t="s">
        <v>119</v>
      </c>
      <c r="M14" s="473">
        <f>IFERROR(VLOOKUP(S14,اسماء,62,0),"")</f>
        <v>220180204533</v>
      </c>
      <c r="N14" s="473" t="str">
        <f>IFERROR(VLOOKUP(R19,اسماء,8,0),"")</f>
        <v/>
      </c>
      <c r="O14" s="473" t="str">
        <f>IFERROR(VLOOKUP(S19,اسماء,8,0),"")</f>
        <v/>
      </c>
      <c r="P14" s="473" t="str">
        <f>IFERROR(VLOOKUP(T19,اسماء,8,0),"")</f>
        <v/>
      </c>
      <c r="Q14" s="309"/>
      <c r="R14" s="16"/>
      <c r="S14" s="474" t="str">
        <f>INDEX(عمود2,MATCH(U1,عمود1))</f>
        <v>سوزان عبدالباسط اللافى محمد</v>
      </c>
      <c r="T14" s="474"/>
      <c r="U14" s="475"/>
      <c r="W14" s="379" t="s">
        <v>119</v>
      </c>
      <c r="X14" s="473">
        <f>IFERROR(VLOOKUP(AD14,اسماء,62,0),"")</f>
        <v>0</v>
      </c>
      <c r="Y14" s="473" t="str">
        <f>IFERROR(VLOOKUP(AC19,اسماء,8,0),"")</f>
        <v/>
      </c>
      <c r="Z14" s="473" t="str">
        <f>IFERROR(VLOOKUP(AD19,اسماء,8,0),"")</f>
        <v/>
      </c>
      <c r="AA14" s="473" t="str">
        <f>IFERROR(VLOOKUP(AE19,اسماء,8,0),"")</f>
        <v/>
      </c>
      <c r="AB14" s="309"/>
      <c r="AC14" s="16"/>
      <c r="AD14" s="474" t="str">
        <f>INDEX(عمود2,MATCH(AF1,عمود1))</f>
        <v xml:space="preserve">ميرال صالح محمد  ديماس </v>
      </c>
      <c r="AE14" s="474"/>
      <c r="AF14" s="475"/>
      <c r="AH14" s="379" t="s">
        <v>119</v>
      </c>
      <c r="AI14" s="473" t="str">
        <f>IFERROR(VLOOKUP(AO14,اسماء,62,0),"")</f>
        <v/>
      </c>
      <c r="AJ14" s="473" t="str">
        <f>IFERROR(VLOOKUP(AN19,اسماء,8,0),"")</f>
        <v/>
      </c>
      <c r="AK14" s="473" t="str">
        <f>IFERROR(VLOOKUP(AO19,اسماء,8,0),"")</f>
        <v/>
      </c>
      <c r="AL14" s="473" t="str">
        <f>IFERROR(VLOOKUP(AP19,اسماء,8,0),"")</f>
        <v/>
      </c>
      <c r="AM14" s="309"/>
      <c r="AN14" s="16"/>
      <c r="AO14" s="474">
        <f>INDEX(عمود2,MATCH(AQ1,عمود1))</f>
        <v>0</v>
      </c>
      <c r="AP14" s="474"/>
      <c r="AQ14" s="475"/>
    </row>
    <row r="15" spans="1:43" ht="29.1" customHeight="1">
      <c r="A15" s="458" t="s">
        <v>57</v>
      </c>
      <c r="B15" s="459"/>
      <c r="C15" s="451">
        <f>IFERROR(VLOOKUP(H14,اسماء,34,0),"")</f>
        <v>0</v>
      </c>
      <c r="D15" s="460"/>
      <c r="E15" s="451">
        <f>IFERROR(VLOOKUP(H14,اسماء,35,0),"")</f>
        <v>0</v>
      </c>
      <c r="F15" s="460"/>
      <c r="G15" s="16"/>
      <c r="H15" s="476" t="s">
        <v>89</v>
      </c>
      <c r="I15" s="476"/>
      <c r="J15" s="477"/>
      <c r="L15" s="458" t="s">
        <v>57</v>
      </c>
      <c r="M15" s="459"/>
      <c r="N15" s="451">
        <f>IFERROR(VLOOKUP(S14,اسماء,34,0),"")</f>
        <v>0</v>
      </c>
      <c r="O15" s="460"/>
      <c r="P15" s="451">
        <f>IFERROR(VLOOKUP(S14,اسماء,35,0),"")</f>
        <v>0</v>
      </c>
      <c r="Q15" s="460"/>
      <c r="R15" s="16"/>
      <c r="S15" s="476" t="s">
        <v>89</v>
      </c>
      <c r="T15" s="476"/>
      <c r="U15" s="477"/>
      <c r="W15" s="458" t="s">
        <v>57</v>
      </c>
      <c r="X15" s="459"/>
      <c r="Y15" s="451">
        <f>IFERROR(VLOOKUP(AD14,اسماء,34,0),"")</f>
        <v>0</v>
      </c>
      <c r="Z15" s="460"/>
      <c r="AA15" s="451">
        <f>IFERROR(VLOOKUP(AD14,اسماء,35,0),"")</f>
        <v>0</v>
      </c>
      <c r="AB15" s="460"/>
      <c r="AC15" s="16"/>
      <c r="AD15" s="476" t="s">
        <v>89</v>
      </c>
      <c r="AE15" s="476"/>
      <c r="AF15" s="477"/>
      <c r="AH15" s="458" t="s">
        <v>57</v>
      </c>
      <c r="AI15" s="459"/>
      <c r="AJ15" s="451" t="str">
        <f>IFERROR(VLOOKUP(AO14,اسماء,34,0),"")</f>
        <v/>
      </c>
      <c r="AK15" s="460"/>
      <c r="AL15" s="451" t="str">
        <f>IFERROR(VLOOKUP(AO14,اسماء,35,0),"")</f>
        <v/>
      </c>
      <c r="AM15" s="460"/>
      <c r="AN15" s="16"/>
      <c r="AO15" s="476" t="s">
        <v>89</v>
      </c>
      <c r="AP15" s="476"/>
      <c r="AQ15" s="477"/>
    </row>
    <row r="16" spans="1:43" ht="29.1" customHeight="1">
      <c r="A16" s="461" t="s">
        <v>58</v>
      </c>
      <c r="B16" s="462"/>
      <c r="C16" s="463">
        <f>IFERROR(VLOOKUP(H14,اسماء,37,0),"")</f>
        <v>0</v>
      </c>
      <c r="D16" s="464"/>
      <c r="E16" s="463">
        <f>IFERROR(VLOOKUP(H14,اسماء,39,0),"")</f>
        <v>0</v>
      </c>
      <c r="F16" s="464"/>
      <c r="G16" s="16"/>
      <c r="H16" s="476"/>
      <c r="I16" s="476"/>
      <c r="J16" s="477"/>
      <c r="L16" s="461" t="s">
        <v>58</v>
      </c>
      <c r="M16" s="462"/>
      <c r="N16" s="463">
        <f>IFERROR(VLOOKUP(S14,اسماء,37,0),"")</f>
        <v>0</v>
      </c>
      <c r="O16" s="464"/>
      <c r="P16" s="463">
        <f>IFERROR(VLOOKUP(S14,اسماء,39,0),"")</f>
        <v>0</v>
      </c>
      <c r="Q16" s="464"/>
      <c r="R16" s="16"/>
      <c r="S16" s="476"/>
      <c r="T16" s="476"/>
      <c r="U16" s="477"/>
      <c r="W16" s="461" t="s">
        <v>58</v>
      </c>
      <c r="X16" s="462"/>
      <c r="Y16" s="463">
        <f>IFERROR(VLOOKUP(AD14,اسماء,37,0),"")</f>
        <v>0</v>
      </c>
      <c r="Z16" s="464"/>
      <c r="AA16" s="463">
        <f>IFERROR(VLOOKUP(AD14,اسماء,39,0),"")</f>
        <v>0</v>
      </c>
      <c r="AB16" s="464"/>
      <c r="AC16" s="16"/>
      <c r="AD16" s="476"/>
      <c r="AE16" s="476"/>
      <c r="AF16" s="477"/>
      <c r="AH16" s="461" t="s">
        <v>58</v>
      </c>
      <c r="AI16" s="462"/>
      <c r="AJ16" s="463" t="str">
        <f>IFERROR(VLOOKUP(AO14,اسماء,37,0),"")</f>
        <v/>
      </c>
      <c r="AK16" s="464"/>
      <c r="AL16" s="463" t="str">
        <f>IFERROR(VLOOKUP(AO14,اسماء,39,0),"")</f>
        <v/>
      </c>
      <c r="AM16" s="464"/>
      <c r="AN16" s="16"/>
      <c r="AO16" s="476"/>
      <c r="AP16" s="476"/>
      <c r="AQ16" s="477"/>
    </row>
    <row r="17" spans="1:43" ht="29.1" customHeight="1" thickBot="1">
      <c r="A17" s="480" t="s">
        <v>59</v>
      </c>
      <c r="B17" s="481"/>
      <c r="C17" s="482">
        <f>IFERROR(VLOOKUP(H14,اسماء,38,0),"")</f>
        <v>0</v>
      </c>
      <c r="D17" s="483"/>
      <c r="E17" s="482">
        <f>IFERROR(VLOOKUP(H14,اسماء,40,0),"")</f>
        <v>0</v>
      </c>
      <c r="F17" s="483"/>
      <c r="G17" s="16"/>
      <c r="H17" s="478"/>
      <c r="I17" s="478"/>
      <c r="J17" s="479"/>
      <c r="L17" s="480" t="s">
        <v>59</v>
      </c>
      <c r="M17" s="481"/>
      <c r="N17" s="482">
        <f>IFERROR(VLOOKUP(S14,اسماء,38,0),"")</f>
        <v>0</v>
      </c>
      <c r="O17" s="483"/>
      <c r="P17" s="482">
        <f>IFERROR(VLOOKUP(S14,اسماء,40,0),"")</f>
        <v>0</v>
      </c>
      <c r="Q17" s="483"/>
      <c r="R17" s="16"/>
      <c r="S17" s="478"/>
      <c r="T17" s="478"/>
      <c r="U17" s="479"/>
      <c r="W17" s="480" t="s">
        <v>59</v>
      </c>
      <c r="X17" s="481"/>
      <c r="Y17" s="482">
        <f>IFERROR(VLOOKUP(AD14,اسماء,38,0),"")</f>
        <v>0</v>
      </c>
      <c r="Z17" s="483"/>
      <c r="AA17" s="482">
        <f>IFERROR(VLOOKUP(AD14,اسماء,40,0),"")</f>
        <v>0</v>
      </c>
      <c r="AB17" s="483"/>
      <c r="AC17" s="16"/>
      <c r="AD17" s="478"/>
      <c r="AE17" s="478"/>
      <c r="AF17" s="479"/>
      <c r="AH17" s="480" t="s">
        <v>59</v>
      </c>
      <c r="AI17" s="481"/>
      <c r="AJ17" s="482" t="str">
        <f>IFERROR(VLOOKUP(AO14,اسماء,38,0),"")</f>
        <v/>
      </c>
      <c r="AK17" s="483"/>
      <c r="AL17" s="482" t="str">
        <f>IFERROR(VLOOKUP(AO14,اسماء,40,0),"")</f>
        <v/>
      </c>
      <c r="AM17" s="483"/>
      <c r="AN17" s="16"/>
      <c r="AO17" s="478"/>
      <c r="AP17" s="478"/>
      <c r="AQ17" s="479"/>
    </row>
    <row r="18" spans="1:43" ht="9" customHeight="1" thickBot="1">
      <c r="A18" s="259"/>
      <c r="B18" s="16"/>
      <c r="C18" s="16"/>
      <c r="D18" s="309"/>
      <c r="E18" s="16"/>
      <c r="F18" s="309"/>
      <c r="G18" s="16"/>
      <c r="H18" s="16"/>
      <c r="I18" s="16"/>
      <c r="J18" s="260"/>
      <c r="L18" s="261"/>
      <c r="M18" s="16"/>
      <c r="N18" s="16"/>
      <c r="O18" s="309"/>
      <c r="P18" s="16"/>
      <c r="Q18" s="309"/>
      <c r="R18" s="16"/>
      <c r="S18" s="16"/>
      <c r="T18" s="16"/>
      <c r="U18" s="260"/>
      <c r="W18" s="261"/>
      <c r="X18" s="16"/>
      <c r="Y18" s="16"/>
      <c r="Z18" s="309"/>
      <c r="AA18" s="16"/>
      <c r="AB18" s="309"/>
      <c r="AC18" s="16"/>
      <c r="AD18" s="16"/>
      <c r="AE18" s="16"/>
      <c r="AF18" s="260"/>
      <c r="AH18" s="261"/>
      <c r="AI18" s="16"/>
      <c r="AJ18" s="16"/>
      <c r="AK18" s="309"/>
      <c r="AL18" s="16"/>
      <c r="AM18" s="309"/>
      <c r="AN18" s="16"/>
      <c r="AO18" s="16"/>
      <c r="AP18" s="16"/>
      <c r="AQ18" s="260"/>
    </row>
    <row r="19" spans="1:43" ht="29.1" customHeight="1">
      <c r="A19" s="30" t="s">
        <v>14</v>
      </c>
      <c r="B19" s="450" t="s">
        <v>60</v>
      </c>
      <c r="C19" s="450"/>
      <c r="D19" s="468" t="s">
        <v>61</v>
      </c>
      <c r="E19" s="469"/>
      <c r="F19" s="469"/>
      <c r="G19" s="470"/>
      <c r="H19" s="451" t="s">
        <v>84</v>
      </c>
      <c r="I19" s="452"/>
      <c r="J19" s="262"/>
      <c r="L19" s="111" t="s">
        <v>14</v>
      </c>
      <c r="M19" s="450" t="s">
        <v>60</v>
      </c>
      <c r="N19" s="450"/>
      <c r="O19" s="468" t="s">
        <v>61</v>
      </c>
      <c r="P19" s="469"/>
      <c r="Q19" s="469"/>
      <c r="R19" s="470"/>
      <c r="S19" s="451" t="s">
        <v>84</v>
      </c>
      <c r="T19" s="452"/>
      <c r="U19" s="262"/>
      <c r="W19" s="111" t="s">
        <v>14</v>
      </c>
      <c r="X19" s="450" t="s">
        <v>60</v>
      </c>
      <c r="Y19" s="450"/>
      <c r="Z19" s="468" t="s">
        <v>61</v>
      </c>
      <c r="AA19" s="469"/>
      <c r="AB19" s="469"/>
      <c r="AC19" s="470"/>
      <c r="AD19" s="451" t="s">
        <v>84</v>
      </c>
      <c r="AE19" s="452"/>
      <c r="AF19" s="262"/>
      <c r="AH19" s="111" t="s">
        <v>14</v>
      </c>
      <c r="AI19" s="450" t="s">
        <v>60</v>
      </c>
      <c r="AJ19" s="450"/>
      <c r="AK19" s="468" t="s">
        <v>61</v>
      </c>
      <c r="AL19" s="469"/>
      <c r="AM19" s="469"/>
      <c r="AN19" s="470"/>
      <c r="AO19" s="451" t="s">
        <v>84</v>
      </c>
      <c r="AP19" s="452"/>
      <c r="AQ19" s="262"/>
    </row>
    <row r="20" spans="1:43" ht="29.1" customHeight="1">
      <c r="A20" s="54" t="s">
        <v>63</v>
      </c>
      <c r="B20" s="462"/>
      <c r="C20" s="462"/>
      <c r="D20" s="463"/>
      <c r="E20" s="471"/>
      <c r="F20" s="471"/>
      <c r="G20" s="464"/>
      <c r="H20" s="463"/>
      <c r="I20" s="472"/>
      <c r="J20" s="256"/>
      <c r="L20" s="110" t="s">
        <v>63</v>
      </c>
      <c r="M20" s="462"/>
      <c r="N20" s="462"/>
      <c r="O20" s="463"/>
      <c r="P20" s="471"/>
      <c r="Q20" s="471"/>
      <c r="R20" s="464"/>
      <c r="S20" s="463"/>
      <c r="T20" s="472"/>
      <c r="U20" s="256"/>
      <c r="W20" s="110" t="s">
        <v>63</v>
      </c>
      <c r="X20" s="462"/>
      <c r="Y20" s="462"/>
      <c r="Z20" s="463"/>
      <c r="AA20" s="471"/>
      <c r="AB20" s="471"/>
      <c r="AC20" s="464"/>
      <c r="AD20" s="463"/>
      <c r="AE20" s="472"/>
      <c r="AF20" s="256"/>
      <c r="AH20" s="110" t="s">
        <v>63</v>
      </c>
      <c r="AI20" s="462"/>
      <c r="AJ20" s="462"/>
      <c r="AK20" s="463"/>
      <c r="AL20" s="471"/>
      <c r="AM20" s="471"/>
      <c r="AN20" s="464"/>
      <c r="AO20" s="463"/>
      <c r="AP20" s="472"/>
      <c r="AQ20" s="256"/>
    </row>
    <row r="21" spans="1:43" ht="29.1" customHeight="1" thickBot="1">
      <c r="A21" s="55" t="s">
        <v>65</v>
      </c>
      <c r="B21" s="454"/>
      <c r="C21" s="454"/>
      <c r="D21" s="455"/>
      <c r="E21" s="456"/>
      <c r="F21" s="456"/>
      <c r="G21" s="457"/>
      <c r="H21" s="455"/>
      <c r="I21" s="467"/>
      <c r="J21" s="263"/>
      <c r="L21" s="112" t="s">
        <v>65</v>
      </c>
      <c r="M21" s="454"/>
      <c r="N21" s="454"/>
      <c r="O21" s="455"/>
      <c r="P21" s="456"/>
      <c r="Q21" s="456"/>
      <c r="R21" s="457"/>
      <c r="S21" s="455"/>
      <c r="T21" s="467"/>
      <c r="U21" s="263"/>
      <c r="W21" s="112" t="s">
        <v>65</v>
      </c>
      <c r="X21" s="454"/>
      <c r="Y21" s="454"/>
      <c r="Z21" s="455"/>
      <c r="AA21" s="456"/>
      <c r="AB21" s="456"/>
      <c r="AC21" s="457"/>
      <c r="AD21" s="455"/>
      <c r="AE21" s="467"/>
      <c r="AF21" s="263"/>
      <c r="AH21" s="112" t="s">
        <v>65</v>
      </c>
      <c r="AI21" s="454"/>
      <c r="AJ21" s="454"/>
      <c r="AK21" s="455"/>
      <c r="AL21" s="456"/>
      <c r="AM21" s="456"/>
      <c r="AN21" s="457"/>
      <c r="AO21" s="455"/>
      <c r="AP21" s="467"/>
      <c r="AQ21" s="263"/>
    </row>
    <row r="22" spans="1:43" ht="16.5" customHeight="1" thickTop="1" thickBot="1"/>
    <row r="23" spans="1:43" s="76" customFormat="1" ht="29.1" customHeight="1" thickTop="1">
      <c r="A23" s="500" t="s">
        <v>79</v>
      </c>
      <c r="B23" s="501"/>
      <c r="C23" s="501"/>
      <c r="D23" s="499" t="str">
        <f>ادخال1!$K$4</f>
        <v>الثاني</v>
      </c>
      <c r="E23" s="499"/>
      <c r="F23" s="313" t="s">
        <v>80</v>
      </c>
      <c r="G23" s="243"/>
      <c r="H23" s="243"/>
      <c r="I23" s="243"/>
      <c r="J23" s="75">
        <f>J1+1</f>
        <v>2</v>
      </c>
      <c r="L23" s="500" t="s">
        <v>79</v>
      </c>
      <c r="M23" s="501"/>
      <c r="N23" s="501"/>
      <c r="O23" s="499" t="str">
        <f>ادخال1!$K$4</f>
        <v>الثاني</v>
      </c>
      <c r="P23" s="499"/>
      <c r="Q23" s="313" t="s">
        <v>80</v>
      </c>
      <c r="R23" s="243"/>
      <c r="S23" s="243"/>
      <c r="T23" s="243"/>
      <c r="U23" s="75">
        <f>U1+1</f>
        <v>7</v>
      </c>
      <c r="W23" s="500" t="s">
        <v>79</v>
      </c>
      <c r="X23" s="501"/>
      <c r="Y23" s="501"/>
      <c r="Z23" s="499" t="str">
        <f>ادخال1!$K$4</f>
        <v>الثاني</v>
      </c>
      <c r="AA23" s="499"/>
      <c r="AB23" s="313" t="s">
        <v>80</v>
      </c>
      <c r="AC23" s="243"/>
      <c r="AD23" s="243"/>
      <c r="AE23" s="243"/>
      <c r="AF23" s="75">
        <f>AF1+1</f>
        <v>12</v>
      </c>
      <c r="AH23" s="500" t="s">
        <v>79</v>
      </c>
      <c r="AI23" s="501"/>
      <c r="AJ23" s="501"/>
      <c r="AK23" s="499" t="str">
        <f>ادخال1!$K$4</f>
        <v>الثاني</v>
      </c>
      <c r="AL23" s="499"/>
      <c r="AM23" s="313" t="s">
        <v>80</v>
      </c>
      <c r="AN23" s="243"/>
      <c r="AO23" s="243"/>
      <c r="AP23" s="243"/>
      <c r="AQ23" s="75">
        <f>AQ1+1</f>
        <v>17</v>
      </c>
    </row>
    <row r="24" spans="1:43" ht="29.1" customHeight="1" thickBot="1">
      <c r="A24" s="1" t="s">
        <v>152</v>
      </c>
      <c r="B24" s="453" t="str">
        <f>ادخال1!$B$5</f>
        <v xml:space="preserve"> سهول العلم للتعليم الخاص </v>
      </c>
      <c r="C24" s="453"/>
      <c r="D24" s="453"/>
      <c r="E24" s="453"/>
      <c r="F24" s="312" t="s">
        <v>9</v>
      </c>
      <c r="G24" s="484" t="str">
        <f>H36</f>
        <v>ديالا علي حمد القبائلي</v>
      </c>
      <c r="H24" s="484"/>
      <c r="I24" s="484"/>
      <c r="J24" s="485"/>
      <c r="L24" s="1" t="s">
        <v>152</v>
      </c>
      <c r="M24" s="453" t="str">
        <f>ادخال1!$B$5</f>
        <v xml:space="preserve"> سهول العلم للتعليم الخاص </v>
      </c>
      <c r="N24" s="453"/>
      <c r="O24" s="453"/>
      <c r="P24" s="453"/>
      <c r="Q24" s="312" t="s">
        <v>9</v>
      </c>
      <c r="R24" s="484" t="str">
        <f>S36</f>
        <v>عبدالرحمن فرج  محمد المغربي</v>
      </c>
      <c r="S24" s="484"/>
      <c r="T24" s="484"/>
      <c r="U24" s="485"/>
      <c r="W24" s="1" t="s">
        <v>152</v>
      </c>
      <c r="X24" s="453" t="str">
        <f>ادخال1!$B$5</f>
        <v xml:space="preserve"> سهول العلم للتعليم الخاص </v>
      </c>
      <c r="Y24" s="453"/>
      <c r="Z24" s="453"/>
      <c r="AA24" s="453"/>
      <c r="AB24" s="312" t="s">
        <v>9</v>
      </c>
      <c r="AC24" s="484" t="str">
        <f>AD36</f>
        <v>ندى علاء محمد سلطان</v>
      </c>
      <c r="AD24" s="484"/>
      <c r="AE24" s="484"/>
      <c r="AF24" s="485"/>
      <c r="AH24" s="1" t="s">
        <v>152</v>
      </c>
      <c r="AI24" s="453" t="str">
        <f>ادخال1!$B$5</f>
        <v xml:space="preserve"> سهول العلم للتعليم الخاص </v>
      </c>
      <c r="AJ24" s="453"/>
      <c r="AK24" s="453"/>
      <c r="AL24" s="453"/>
      <c r="AM24" s="312" t="s">
        <v>9</v>
      </c>
      <c r="AN24" s="484">
        <f>AO36</f>
        <v>0</v>
      </c>
      <c r="AO24" s="484"/>
      <c r="AP24" s="484"/>
      <c r="AQ24" s="485"/>
    </row>
    <row r="25" spans="1:43" ht="29.1" customHeight="1" thickBot="1">
      <c r="A25" s="237" t="s">
        <v>44</v>
      </c>
      <c r="B25" s="488" t="s">
        <v>12</v>
      </c>
      <c r="C25" s="490" t="s">
        <v>45</v>
      </c>
      <c r="D25" s="491"/>
      <c r="E25" s="492" t="s">
        <v>46</v>
      </c>
      <c r="F25" s="491"/>
      <c r="G25" s="24"/>
      <c r="H25" s="493" t="s">
        <v>49</v>
      </c>
      <c r="I25" s="494"/>
      <c r="J25" s="495"/>
      <c r="L25" s="237" t="s">
        <v>44</v>
      </c>
      <c r="M25" s="488" t="s">
        <v>12</v>
      </c>
      <c r="N25" s="490" t="s">
        <v>45</v>
      </c>
      <c r="O25" s="491"/>
      <c r="P25" s="492" t="s">
        <v>46</v>
      </c>
      <c r="Q25" s="491"/>
      <c r="R25" s="24"/>
      <c r="S25" s="493" t="s">
        <v>49</v>
      </c>
      <c r="T25" s="494"/>
      <c r="U25" s="495"/>
      <c r="W25" s="237" t="s">
        <v>44</v>
      </c>
      <c r="X25" s="488" t="s">
        <v>12</v>
      </c>
      <c r="Y25" s="490" t="s">
        <v>45</v>
      </c>
      <c r="Z25" s="491"/>
      <c r="AA25" s="492" t="s">
        <v>46</v>
      </c>
      <c r="AB25" s="491"/>
      <c r="AC25" s="24"/>
      <c r="AD25" s="493" t="s">
        <v>49</v>
      </c>
      <c r="AE25" s="494"/>
      <c r="AF25" s="495"/>
      <c r="AH25" s="237" t="s">
        <v>44</v>
      </c>
      <c r="AI25" s="488" t="s">
        <v>12</v>
      </c>
      <c r="AJ25" s="490" t="s">
        <v>45</v>
      </c>
      <c r="AK25" s="491"/>
      <c r="AL25" s="492" t="s">
        <v>46</v>
      </c>
      <c r="AM25" s="491"/>
      <c r="AN25" s="24"/>
      <c r="AO25" s="493" t="s">
        <v>49</v>
      </c>
      <c r="AP25" s="494"/>
      <c r="AQ25" s="495"/>
    </row>
    <row r="26" spans="1:43" ht="29.1" customHeight="1" thickBot="1">
      <c r="A26" s="238" t="s">
        <v>2</v>
      </c>
      <c r="B26" s="489"/>
      <c r="C26" s="37" t="s">
        <v>50</v>
      </c>
      <c r="D26" s="308" t="s">
        <v>51</v>
      </c>
      <c r="E26" s="38" t="s">
        <v>50</v>
      </c>
      <c r="F26" s="308" t="s">
        <v>51</v>
      </c>
      <c r="G26" s="8"/>
      <c r="H26" s="255" t="s">
        <v>54</v>
      </c>
      <c r="I26" s="496" t="str">
        <f>IF(D32=0,"",IF(AND(D27&gt;=C27*0.4,D28&gt;=C28*0.4,D29&gt;=C29*0.4,D30&gt;=C30*0.4,D31&gt;=C31*0.4),LOOKUP(D32,'النتيجة النهائية'!$AA$6:$AB$10),"ضعيف ويحتاج الى اهتمام في المواد"))</f>
        <v>ممتاز</v>
      </c>
      <c r="J26" s="497"/>
      <c r="L26" s="238" t="s">
        <v>2</v>
      </c>
      <c r="M26" s="489"/>
      <c r="N26" s="37" t="s">
        <v>50</v>
      </c>
      <c r="O26" s="308" t="s">
        <v>51</v>
      </c>
      <c r="P26" s="38" t="s">
        <v>50</v>
      </c>
      <c r="Q26" s="308" t="s">
        <v>51</v>
      </c>
      <c r="R26" s="8"/>
      <c r="S26" s="255" t="s">
        <v>54</v>
      </c>
      <c r="T26" s="496" t="str">
        <f>IF(O32=0,"",IF(AND(O27&gt;=N27*0.4,O28&gt;=N28*0.4,O29&gt;=N29*0.4,O30&gt;=N30*0.4,O31&gt;=N31*0.4),LOOKUP(O32,'النتيجة النهائية'!$AA$6:$AB$10),"ضعيف ويحتاج الى اهتمام في المواد"))</f>
        <v>ممتاز</v>
      </c>
      <c r="U26" s="497"/>
      <c r="W26" s="238" t="s">
        <v>2</v>
      </c>
      <c r="X26" s="489"/>
      <c r="Y26" s="37" t="s">
        <v>50</v>
      </c>
      <c r="Z26" s="308" t="s">
        <v>51</v>
      </c>
      <c r="AA26" s="38" t="s">
        <v>50</v>
      </c>
      <c r="AB26" s="308" t="s">
        <v>51</v>
      </c>
      <c r="AC26" s="8"/>
      <c r="AD26" s="255" t="s">
        <v>54</v>
      </c>
      <c r="AE26" s="496" t="str">
        <f>IF(Z32=0,"",IF(AND(Z27&gt;=Y27*0.4,Z28&gt;=Y28*0.4,Z29&gt;=Y29*0.4,Z30&gt;=Y30*0.4,Z31&gt;=Y31*0.4),LOOKUP(Z32,'النتيجة النهائية'!$AA$6:$AB$10),"ضعيف ويحتاج الى اهتمام في المواد"))</f>
        <v>ممتاز</v>
      </c>
      <c r="AF26" s="497"/>
      <c r="AH26" s="238" t="s">
        <v>2</v>
      </c>
      <c r="AI26" s="489"/>
      <c r="AJ26" s="37" t="s">
        <v>50</v>
      </c>
      <c r="AK26" s="308" t="s">
        <v>51</v>
      </c>
      <c r="AL26" s="38" t="s">
        <v>50</v>
      </c>
      <c r="AM26" s="308" t="s">
        <v>51</v>
      </c>
      <c r="AN26" s="8"/>
      <c r="AO26" s="255" t="s">
        <v>54</v>
      </c>
      <c r="AP26" s="496" t="str">
        <f>IF(AK32=0,"",IF(AND(AK27&gt;=AJ27*0.4,AK28&gt;=AJ28*0.4,AK29&gt;=AJ29*0.4,AK30&gt;=AJ30*0.4,AK31&gt;=AJ31*0.4),LOOKUP(AK32,'النتيجة النهائية'!$AA$6:$AB$10),"ضعيف ويحتاج الى اهتمام في المواد"))</f>
        <v/>
      </c>
      <c r="AQ26" s="497"/>
    </row>
    <row r="27" spans="1:43" ht="29.1" customHeight="1">
      <c r="A27" s="236" t="str">
        <f>ادخال1!$F$9</f>
        <v>التربية الإسلامية</v>
      </c>
      <c r="B27" s="44">
        <f>ادخال1!$F$7</f>
        <v>3</v>
      </c>
      <c r="C27" s="39">
        <f t="shared" ref="C27:C28" si="8">40*B27*0.3</f>
        <v>36</v>
      </c>
      <c r="D27" s="283">
        <f xml:space="preserve"> IFERROR(VLOOKUP(H36,اسماء,5,0),"")</f>
        <v>34</v>
      </c>
      <c r="E27" s="41">
        <f t="shared" ref="E27:E28" si="9">40*B27*0.3</f>
        <v>36</v>
      </c>
      <c r="F27" s="283">
        <f>IFERROR(VLOOKUP(H36,اسماء,15,0),"")</f>
        <v>0</v>
      </c>
      <c r="G27" s="16"/>
      <c r="H27" s="25" t="str">
        <f>IF(D27=0,"",IF(D27&lt;C27*0.4,A27,""))</f>
        <v/>
      </c>
      <c r="I27" s="27" t="str">
        <f>IF(D28=0,"",IF(D28&lt;C28*0.4,A28,""))</f>
        <v/>
      </c>
      <c r="J27" s="26" t="str">
        <f>IF(D29=0,"",IF(D29&lt;C29*0.4,A29,""))</f>
        <v/>
      </c>
      <c r="L27" s="236" t="str">
        <f>ادخال1!$F$9</f>
        <v>التربية الإسلامية</v>
      </c>
      <c r="M27" s="44">
        <f>ادخال1!$F$7</f>
        <v>3</v>
      </c>
      <c r="N27" s="39">
        <f t="shared" ref="N27:N28" si="10">40*M27*0.3</f>
        <v>36</v>
      </c>
      <c r="O27" s="283">
        <f xml:space="preserve"> IFERROR(VLOOKUP(S36,اسماء,5,0),"")</f>
        <v>32</v>
      </c>
      <c r="P27" s="41">
        <f t="shared" ref="P27:P28" si="11">40*M27*0.3</f>
        <v>36</v>
      </c>
      <c r="Q27" s="283">
        <f>IFERROR(VLOOKUP(S36,اسماء,15,0),"")</f>
        <v>0</v>
      </c>
      <c r="R27" s="16"/>
      <c r="S27" s="25" t="str">
        <f>IF(O27=0,"",IF(O27&lt;N27*0.4,L27,""))</f>
        <v/>
      </c>
      <c r="T27" s="27" t="str">
        <f>IF(O28=0,"",IF(O28&lt;N28*0.4,L28,""))</f>
        <v/>
      </c>
      <c r="U27" s="26" t="str">
        <f>IF(O29=0,"",IF(O29&lt;N29*0.4,L29,""))</f>
        <v/>
      </c>
      <c r="W27" s="236" t="str">
        <f>ادخال1!$F$9</f>
        <v>التربية الإسلامية</v>
      </c>
      <c r="X27" s="44">
        <f>ادخال1!$F$7</f>
        <v>3</v>
      </c>
      <c r="Y27" s="39">
        <f t="shared" ref="Y27:Y28" si="12">40*X27*0.3</f>
        <v>36</v>
      </c>
      <c r="Z27" s="283">
        <f xml:space="preserve"> IFERROR(VLOOKUP(AD36,اسماء,5,0),"")</f>
        <v>35</v>
      </c>
      <c r="AA27" s="41">
        <f t="shared" ref="AA27:AA28" si="13">40*X27*0.3</f>
        <v>36</v>
      </c>
      <c r="AB27" s="283">
        <f>IFERROR(VLOOKUP(AD36,اسماء,15,0),"")</f>
        <v>0</v>
      </c>
      <c r="AC27" s="16"/>
      <c r="AD27" s="25" t="str">
        <f>IF(Z27=0,"",IF(Z27&lt;Y27*0.4,W27,""))</f>
        <v/>
      </c>
      <c r="AE27" s="27" t="str">
        <f>IF(Z28=0,"",IF(Z28&lt;Y28*0.4,W28,""))</f>
        <v/>
      </c>
      <c r="AF27" s="26" t="str">
        <f>IF(Z29=0,"",IF(Z29&lt;Y29*0.4,W29,""))</f>
        <v/>
      </c>
      <c r="AH27" s="236" t="str">
        <f>ادخال1!$F$9</f>
        <v>التربية الإسلامية</v>
      </c>
      <c r="AI27" s="44">
        <f>ادخال1!$F$7</f>
        <v>3</v>
      </c>
      <c r="AJ27" s="39">
        <f t="shared" ref="AJ27:AJ28" si="14">40*AI27*0.3</f>
        <v>36</v>
      </c>
      <c r="AK27" s="283" t="str">
        <f xml:space="preserve"> IFERROR(VLOOKUP(AO36,اسماء,5,0),"")</f>
        <v/>
      </c>
      <c r="AL27" s="41">
        <f t="shared" ref="AL27:AL28" si="15">40*AI27*0.3</f>
        <v>36</v>
      </c>
      <c r="AM27" s="283" t="str">
        <f>IFERROR(VLOOKUP(AO36,اسماء,15,0),"")</f>
        <v/>
      </c>
      <c r="AN27" s="16"/>
      <c r="AO27" s="25" t="str">
        <f>IF(AK27=0,"",IF(AK27&lt;AJ27*0.4,AH27,""))</f>
        <v/>
      </c>
      <c r="AP27" s="27" t="str">
        <f>IF(AK28=0,"",IF(AK28&lt;AJ28*0.4,AH28,""))</f>
        <v/>
      </c>
      <c r="AQ27" s="26" t="str">
        <f>IF(AK29=0,"",IF(AK29&lt;AJ29*0.4,AH29,""))</f>
        <v/>
      </c>
    </row>
    <row r="28" spans="1:43" ht="29.1" customHeight="1" thickBot="1">
      <c r="A28" s="51" t="str">
        <f>ادخال1!$G$9</f>
        <v>اللغة العربية</v>
      </c>
      <c r="B28" s="45">
        <f>ادخال1!$G$7</f>
        <v>6</v>
      </c>
      <c r="C28" s="39">
        <f t="shared" si="8"/>
        <v>72</v>
      </c>
      <c r="D28" s="283">
        <f>IFERROR(VLOOKUP(H36,اسماء,6,0),"")</f>
        <v>70</v>
      </c>
      <c r="E28" s="41">
        <f t="shared" si="9"/>
        <v>72</v>
      </c>
      <c r="F28" s="283">
        <f>IFERROR(VLOOKUP(H36,اسماء,16,0),"")</f>
        <v>0</v>
      </c>
      <c r="G28" s="16"/>
      <c r="H28" s="114" t="str">
        <f>IF(D30=0,"",IF(D30&lt;C30*0.4,A30,""))</f>
        <v/>
      </c>
      <c r="I28" s="252" t="str">
        <f>IF(D31=0,"",IF(D31&lt;C31*0.4,A31,""))</f>
        <v/>
      </c>
      <c r="J28" s="253"/>
      <c r="L28" s="51" t="str">
        <f>ادخال1!$G$9</f>
        <v>اللغة العربية</v>
      </c>
      <c r="M28" s="45">
        <f>ادخال1!$G$7</f>
        <v>6</v>
      </c>
      <c r="N28" s="39">
        <f t="shared" si="10"/>
        <v>72</v>
      </c>
      <c r="O28" s="283">
        <f>IFERROR(VLOOKUP(S36,اسماء,6,0),"")</f>
        <v>70</v>
      </c>
      <c r="P28" s="41">
        <f t="shared" si="11"/>
        <v>72</v>
      </c>
      <c r="Q28" s="283">
        <f>IFERROR(VLOOKUP(S36,اسماء,16,0),"")</f>
        <v>0</v>
      </c>
      <c r="R28" s="16"/>
      <c r="S28" s="114" t="str">
        <f>IF(O30=0,"",IF(O30&lt;N30*0.4,L30,""))</f>
        <v/>
      </c>
      <c r="T28" s="252" t="str">
        <f>IF(O31=0,"",IF(O31&lt;N31*0.4,L31,""))</f>
        <v/>
      </c>
      <c r="U28" s="253"/>
      <c r="W28" s="51" t="str">
        <f>ادخال1!$G$9</f>
        <v>اللغة العربية</v>
      </c>
      <c r="X28" s="45">
        <f>ادخال1!$G$7</f>
        <v>6</v>
      </c>
      <c r="Y28" s="39">
        <f t="shared" si="12"/>
        <v>72</v>
      </c>
      <c r="Z28" s="283">
        <f>IFERROR(VLOOKUP(AD36,اسماء,6,0),"")</f>
        <v>69</v>
      </c>
      <c r="AA28" s="41">
        <f t="shared" si="13"/>
        <v>72</v>
      </c>
      <c r="AB28" s="283">
        <f>IFERROR(VLOOKUP(AD36,اسماء,16,0),"")</f>
        <v>0</v>
      </c>
      <c r="AC28" s="16"/>
      <c r="AD28" s="114" t="str">
        <f>IF(Z30=0,"",IF(Z30&lt;Y30*0.4,W30,""))</f>
        <v/>
      </c>
      <c r="AE28" s="252" t="str">
        <f>IF(Z31=0,"",IF(Z31&lt;Y31*0.4,W31,""))</f>
        <v/>
      </c>
      <c r="AF28" s="253"/>
      <c r="AH28" s="51" t="str">
        <f>ادخال1!$G$9</f>
        <v>اللغة العربية</v>
      </c>
      <c r="AI28" s="45">
        <f>ادخال1!$G$7</f>
        <v>6</v>
      </c>
      <c r="AJ28" s="39">
        <f t="shared" si="14"/>
        <v>72</v>
      </c>
      <c r="AK28" s="283" t="str">
        <f>IFERROR(VLOOKUP(AO36,اسماء,6,0),"")</f>
        <v/>
      </c>
      <c r="AL28" s="41">
        <f t="shared" si="15"/>
        <v>72</v>
      </c>
      <c r="AM28" s="283" t="str">
        <f>IFERROR(VLOOKUP(AO36,اسماء,16,0),"")</f>
        <v/>
      </c>
      <c r="AN28" s="16"/>
      <c r="AO28" s="114" t="str">
        <f>IF(AK30=0,"",IF(AK30&lt;AJ30*0.4,AH30,""))</f>
        <v/>
      </c>
      <c r="AP28" s="252" t="str">
        <f>IF(AK31=0,"",IF(AK31&lt;AJ31*0.4,AH31,""))</f>
        <v/>
      </c>
      <c r="AQ28" s="253"/>
    </row>
    <row r="29" spans="1:43" ht="29.1" customHeight="1">
      <c r="A29" s="127" t="str">
        <f>ادخال1!$H$9</f>
        <v>اللغة الإنجليزية</v>
      </c>
      <c r="B29" s="45">
        <f>ادخال1!$H$7</f>
        <v>3</v>
      </c>
      <c r="C29" s="39">
        <f>40*B29*0.3</f>
        <v>36</v>
      </c>
      <c r="D29" s="283">
        <f>IFERROR(VLOOKUP(H36,اسماء,7,0),"")</f>
        <v>36</v>
      </c>
      <c r="E29" s="41">
        <f>40*B29*0.3</f>
        <v>36</v>
      </c>
      <c r="F29" s="283">
        <f>IFERROR(VLOOKUP(H36,اسماء,17,0),"")</f>
        <v>0</v>
      </c>
      <c r="G29" s="16"/>
      <c r="H29" s="254" t="s">
        <v>156</v>
      </c>
      <c r="I29" s="496" t="str">
        <f>IF(F32=0,"",IF(AND(F27&gt;=E27*0.4,F28&gt;=E28*0.4,F29&gt;=E29*0.4,F30&gt;=E30*0.4,F31&gt;=E31*0.4),LOOKUP(F32,'النتيجة النهائية'!$AA$6:$AB$10),"ضعيف ويحتاج الى اهتمام في المواد"))</f>
        <v/>
      </c>
      <c r="J29" s="497"/>
      <c r="L29" s="127" t="str">
        <f>ادخال1!$H$9</f>
        <v>اللغة الإنجليزية</v>
      </c>
      <c r="M29" s="45">
        <f>ادخال1!$H$7</f>
        <v>3</v>
      </c>
      <c r="N29" s="39">
        <f>40*M29*0.3</f>
        <v>36</v>
      </c>
      <c r="O29" s="283">
        <f>IFERROR(VLOOKUP(S36,اسماء,7,0),"")</f>
        <v>36</v>
      </c>
      <c r="P29" s="41">
        <f>40*M29*0.3</f>
        <v>36</v>
      </c>
      <c r="Q29" s="283">
        <f>IFERROR(VLOOKUP(S36,اسماء,17,0),"")</f>
        <v>0</v>
      </c>
      <c r="R29" s="16"/>
      <c r="S29" s="254" t="s">
        <v>156</v>
      </c>
      <c r="T29" s="496" t="str">
        <f>IF(Q32=0,"",IF(AND(Q27&gt;=P27*0.4,Q28&gt;=P28*0.4,Q29&gt;=P29*0.4,Q30&gt;=P30*0.4,Q31&gt;=P31*0.4),LOOKUP(Q32,'النتيجة النهائية'!$AA$6:$AB$10),"ضعيف ويحتاج الى اهتمام في المواد"))</f>
        <v/>
      </c>
      <c r="U29" s="497"/>
      <c r="W29" s="127" t="str">
        <f>ادخال1!$H$9</f>
        <v>اللغة الإنجليزية</v>
      </c>
      <c r="X29" s="45">
        <f>ادخال1!$H$7</f>
        <v>3</v>
      </c>
      <c r="Y29" s="39">
        <f>40*X29*0.3</f>
        <v>36</v>
      </c>
      <c r="Z29" s="283">
        <f>IFERROR(VLOOKUP(AD36,اسماء,7,0),"")</f>
        <v>36</v>
      </c>
      <c r="AA29" s="41">
        <f>40*X29*0.3</f>
        <v>36</v>
      </c>
      <c r="AB29" s="283">
        <f>IFERROR(VLOOKUP(AD36,اسماء,17,0),"")</f>
        <v>0</v>
      </c>
      <c r="AC29" s="16"/>
      <c r="AD29" s="254" t="s">
        <v>156</v>
      </c>
      <c r="AE29" s="496" t="str">
        <f>IF(AB32=0,"",IF(AND(AB27&gt;=AA27*0.4,AB28&gt;=AA28*0.4,AB29&gt;=AA29*0.4,AB30&gt;=AA30*0.4,AB31&gt;=AA31*0.4),LOOKUP(AB32,'النتيجة النهائية'!$AA$6:$AB$10),"ضعيف ويحتاج الى اهتمام في المواد"))</f>
        <v/>
      </c>
      <c r="AF29" s="497"/>
      <c r="AH29" s="127" t="str">
        <f>ادخال1!$H$9</f>
        <v>اللغة الإنجليزية</v>
      </c>
      <c r="AI29" s="45">
        <f>ادخال1!$H$7</f>
        <v>3</v>
      </c>
      <c r="AJ29" s="39">
        <f>40*AI29*0.3</f>
        <v>36</v>
      </c>
      <c r="AK29" s="283" t="str">
        <f>IFERROR(VLOOKUP(AO36,اسماء,7,0),"")</f>
        <v/>
      </c>
      <c r="AL29" s="41">
        <f>40*AI29*0.3</f>
        <v>36</v>
      </c>
      <c r="AM29" s="283" t="str">
        <f>IFERROR(VLOOKUP(AO36,اسماء,17,0),"")</f>
        <v/>
      </c>
      <c r="AN29" s="16"/>
      <c r="AO29" s="254" t="s">
        <v>156</v>
      </c>
      <c r="AP29" s="496" t="str">
        <f>IF(AM32=0,"",IF(AND(AM27&gt;=AL27*0.4,AM28&gt;=AL28*0.4,AM29&gt;=AL29*0.4,AM30&gt;=AL30*0.4,AM31&gt;=AL31*0.4),LOOKUP(AM32,'النتيجة النهائية'!$AA$6:$AB$10),"ضعيف ويحتاج الى اهتمام في المواد"))</f>
        <v/>
      </c>
      <c r="AQ29" s="497"/>
    </row>
    <row r="30" spans="1:43" ht="29.1" customHeight="1">
      <c r="A30" s="51" t="str">
        <f>ادخال1!$I$9</f>
        <v>الحاسوب</v>
      </c>
      <c r="B30" s="45">
        <f>ادخال1!$I$7</f>
        <v>1</v>
      </c>
      <c r="C30" s="39">
        <f>40*B30*0.3</f>
        <v>12</v>
      </c>
      <c r="D30" s="283">
        <f>IFERROR(VLOOKUP(H36,اسماء,8,0),"")</f>
        <v>12</v>
      </c>
      <c r="E30" s="41">
        <f>40*B30*0.3</f>
        <v>12</v>
      </c>
      <c r="F30" s="283">
        <f>IFERROR(VLOOKUP(H36,اسماء,18,0),"")</f>
        <v>0</v>
      </c>
      <c r="G30" s="16"/>
      <c r="H30" s="25" t="str">
        <f>IF(F27=0,"",IF(F27&lt;E27*0.4,A27,""))</f>
        <v/>
      </c>
      <c r="I30" s="27" t="str">
        <f>IF(F28=0,"",IF(F28&lt;E28*0.4,A28,""))</f>
        <v/>
      </c>
      <c r="J30" s="26" t="str">
        <f>IF(F29=0,"",IF(F29&lt;E29*0.4,A29,""))</f>
        <v/>
      </c>
      <c r="L30" s="51" t="str">
        <f>ادخال1!$I$9</f>
        <v>الحاسوب</v>
      </c>
      <c r="M30" s="45">
        <f>ادخال1!$I$7</f>
        <v>1</v>
      </c>
      <c r="N30" s="39">
        <f>40*M30*0.3</f>
        <v>12</v>
      </c>
      <c r="O30" s="283">
        <f>IFERROR(VLOOKUP(S36,اسماء,8,0),"")</f>
        <v>12</v>
      </c>
      <c r="P30" s="41">
        <f>40*M30*0.3</f>
        <v>12</v>
      </c>
      <c r="Q30" s="283">
        <f>IFERROR(VLOOKUP(S36,اسماء,18,0),"")</f>
        <v>0</v>
      </c>
      <c r="R30" s="16"/>
      <c r="S30" s="25" t="str">
        <f>IF(Q27=0,"",IF(Q27&lt;P27*0.4,L27,""))</f>
        <v/>
      </c>
      <c r="T30" s="27" t="str">
        <f>IF(Q28=0,"",IF(Q28&lt;P28*0.4,L28,""))</f>
        <v/>
      </c>
      <c r="U30" s="26" t="str">
        <f>IF(Q29=0,"",IF(Q29&lt;P29*0.4,L29,""))</f>
        <v/>
      </c>
      <c r="W30" s="51" t="str">
        <f>ادخال1!$I$9</f>
        <v>الحاسوب</v>
      </c>
      <c r="X30" s="45">
        <f>ادخال1!$I$7</f>
        <v>1</v>
      </c>
      <c r="Y30" s="39">
        <f>40*X30*0.3</f>
        <v>12</v>
      </c>
      <c r="Z30" s="283">
        <f>IFERROR(VLOOKUP(AD36,اسماء,8,0),"")</f>
        <v>12</v>
      </c>
      <c r="AA30" s="41">
        <f>40*X30*0.3</f>
        <v>12</v>
      </c>
      <c r="AB30" s="283">
        <f>IFERROR(VLOOKUP(AD36,اسماء,18,0),"")</f>
        <v>0</v>
      </c>
      <c r="AC30" s="16"/>
      <c r="AD30" s="25" t="str">
        <f>IF(AB27=0,"",IF(AB27&lt;AA27*0.4,W27,""))</f>
        <v/>
      </c>
      <c r="AE30" s="27" t="str">
        <f>IF(AB28=0,"",IF(AB28&lt;AA28*0.4,W28,""))</f>
        <v/>
      </c>
      <c r="AF30" s="26" t="str">
        <f>IF(AB29=0,"",IF(AB29&lt;AA29*0.4,W29,""))</f>
        <v/>
      </c>
      <c r="AH30" s="51" t="str">
        <f>ادخال1!$I$9</f>
        <v>الحاسوب</v>
      </c>
      <c r="AI30" s="45">
        <f>ادخال1!$I$7</f>
        <v>1</v>
      </c>
      <c r="AJ30" s="39">
        <f>40*AI30*0.3</f>
        <v>12</v>
      </c>
      <c r="AK30" s="283" t="str">
        <f>IFERROR(VLOOKUP(AO36,اسماء,8,0),"")</f>
        <v/>
      </c>
      <c r="AL30" s="41">
        <f>40*AI30*0.3</f>
        <v>12</v>
      </c>
      <c r="AM30" s="283" t="str">
        <f>IFERROR(VLOOKUP(AO36,اسماء,18,0),"")</f>
        <v/>
      </c>
      <c r="AN30" s="16"/>
      <c r="AO30" s="25" t="str">
        <f>IF(AM27=0,"",IF(AM27&lt;AL27*0.4,AH27,""))</f>
        <v/>
      </c>
      <c r="AP30" s="27" t="str">
        <f>IF(AM28=0,"",IF(AM28&lt;AL28*0.4,AH28,""))</f>
        <v/>
      </c>
      <c r="AQ30" s="26" t="str">
        <f>IF(AM29=0,"",IF(AM29&lt;AL29*0.4,AH29,""))</f>
        <v/>
      </c>
    </row>
    <row r="31" spans="1:43" ht="29.1" customHeight="1" thickBot="1">
      <c r="A31" s="109" t="str">
        <f>ادخال1!$J$9</f>
        <v>الرياضيات</v>
      </c>
      <c r="B31" s="46">
        <f>ادخال1!$J$7</f>
        <v>5</v>
      </c>
      <c r="C31" s="39">
        <f>40*B31*0.3</f>
        <v>60</v>
      </c>
      <c r="D31" s="283">
        <f>IFERROR(VLOOKUP(H36,اسماء,9,0),"")</f>
        <v>60</v>
      </c>
      <c r="E31" s="41">
        <f>40*B31*0.3</f>
        <v>60</v>
      </c>
      <c r="F31" s="283">
        <f>IFERROR(VLOOKUP(H36,اسماء,19,0),"")</f>
        <v>0</v>
      </c>
      <c r="G31" s="16"/>
      <c r="H31" s="114" t="str">
        <f>IF(F30=0,"",IF(F30&lt;E30*0.4,A30,""))</f>
        <v/>
      </c>
      <c r="I31" s="252" t="str">
        <f>IF(F31=0,"",IF(F31&lt;E31*0.4,A31,""))</f>
        <v/>
      </c>
      <c r="J31" s="253"/>
      <c r="L31" s="109" t="str">
        <f>ادخال1!$J$9</f>
        <v>الرياضيات</v>
      </c>
      <c r="M31" s="46">
        <f>ادخال1!$J$7</f>
        <v>5</v>
      </c>
      <c r="N31" s="39">
        <f>40*M31*0.3</f>
        <v>60</v>
      </c>
      <c r="O31" s="283">
        <f>IFERROR(VLOOKUP(S36,اسماء,9,0),"")</f>
        <v>58</v>
      </c>
      <c r="P31" s="41">
        <f>40*M31*0.3</f>
        <v>60</v>
      </c>
      <c r="Q31" s="283">
        <f>IFERROR(VLOOKUP(S36,اسماء,19,0),"")</f>
        <v>0</v>
      </c>
      <c r="R31" s="16"/>
      <c r="S31" s="114" t="str">
        <f>IF(Q30=0,"",IF(Q30&lt;P30*0.4,L30,""))</f>
        <v/>
      </c>
      <c r="T31" s="252" t="str">
        <f>IF(Q31=0,"",IF(Q31&lt;P31*0.4,L31,""))</f>
        <v/>
      </c>
      <c r="U31" s="253"/>
      <c r="W31" s="109" t="str">
        <f>ادخال1!$J$9</f>
        <v>الرياضيات</v>
      </c>
      <c r="X31" s="46">
        <f>ادخال1!$J$7</f>
        <v>5</v>
      </c>
      <c r="Y31" s="39">
        <f>40*X31*0.3</f>
        <v>60</v>
      </c>
      <c r="Z31" s="283">
        <f>IFERROR(VLOOKUP(AD36,اسماء,9,0),"")</f>
        <v>59</v>
      </c>
      <c r="AA31" s="41">
        <f>40*X31*0.3</f>
        <v>60</v>
      </c>
      <c r="AB31" s="283">
        <f>IFERROR(VLOOKUP(AD36,اسماء,19,0),"")</f>
        <v>0</v>
      </c>
      <c r="AC31" s="16"/>
      <c r="AD31" s="114" t="str">
        <f>IF(AB30=0,"",IF(AB30&lt;AA30*0.4,W30,""))</f>
        <v/>
      </c>
      <c r="AE31" s="252" t="str">
        <f>IF(AB31=0,"",IF(AB31&lt;AA31*0.4,W31,""))</f>
        <v/>
      </c>
      <c r="AF31" s="253"/>
      <c r="AH31" s="109" t="str">
        <f>ادخال1!$J$9</f>
        <v>الرياضيات</v>
      </c>
      <c r="AI31" s="46">
        <f>ادخال1!$J$7</f>
        <v>5</v>
      </c>
      <c r="AJ31" s="39">
        <f>40*AI31*0.3</f>
        <v>60</v>
      </c>
      <c r="AK31" s="283" t="str">
        <f>IFERROR(VLOOKUP(AO36,اسماء,9,0),"")</f>
        <v/>
      </c>
      <c r="AL31" s="41">
        <f>40*AI31*0.3</f>
        <v>60</v>
      </c>
      <c r="AM31" s="283" t="str">
        <f>IFERROR(VLOOKUP(AO36,اسماء,19,0),"")</f>
        <v/>
      </c>
      <c r="AN31" s="16"/>
      <c r="AO31" s="114" t="str">
        <f>IF(AM30=0,"",IF(AM30&lt;AL30*0.4,AH30,""))</f>
        <v/>
      </c>
      <c r="AP31" s="252" t="str">
        <f>IF(AM31=0,"",IF(AM31&lt;AL31*0.4,AH31,""))</f>
        <v/>
      </c>
      <c r="AQ31" s="253"/>
    </row>
    <row r="32" spans="1:43" ht="29.1" customHeight="1" thickBot="1">
      <c r="A32" s="53" t="s">
        <v>55</v>
      </c>
      <c r="B32" s="28"/>
      <c r="C32" s="40">
        <f>SUM(C27:C31)</f>
        <v>216</v>
      </c>
      <c r="D32" s="284">
        <f>SUM(D27:D31)</f>
        <v>212</v>
      </c>
      <c r="E32" s="40">
        <f>SUM(E27:E31)</f>
        <v>216</v>
      </c>
      <c r="F32" s="284">
        <f>SUM(F27:F31)</f>
        <v>0</v>
      </c>
      <c r="G32" s="16"/>
      <c r="H32" s="182" t="s">
        <v>64</v>
      </c>
      <c r="I32" s="474" t="str">
        <f>ادخال1!$BG$5</f>
        <v>د. عبدالرحمن خليفة العريبي</v>
      </c>
      <c r="J32" s="475"/>
      <c r="L32" s="53" t="s">
        <v>55</v>
      </c>
      <c r="M32" s="28"/>
      <c r="N32" s="40">
        <f>SUM(N27:N31)</f>
        <v>216</v>
      </c>
      <c r="O32" s="284">
        <f>SUM(O27:O31)</f>
        <v>208</v>
      </c>
      <c r="P32" s="40">
        <f>SUM(P27:P31)</f>
        <v>216</v>
      </c>
      <c r="Q32" s="284">
        <f>SUM(Q27:Q31)</f>
        <v>0</v>
      </c>
      <c r="R32" s="16"/>
      <c r="S32" s="182" t="s">
        <v>64</v>
      </c>
      <c r="T32" s="474" t="str">
        <f>ادخال1!$BG$5</f>
        <v>د. عبدالرحمن خليفة العريبي</v>
      </c>
      <c r="U32" s="475"/>
      <c r="W32" s="53" t="s">
        <v>55</v>
      </c>
      <c r="X32" s="28"/>
      <c r="Y32" s="40">
        <f>SUM(Y27:Y31)</f>
        <v>216</v>
      </c>
      <c r="Z32" s="284">
        <f>SUM(Z27:Z31)</f>
        <v>211</v>
      </c>
      <c r="AA32" s="40">
        <f>SUM(AA27:AA31)</f>
        <v>216</v>
      </c>
      <c r="AB32" s="284">
        <f>SUM(AB27:AB31)</f>
        <v>0</v>
      </c>
      <c r="AC32" s="16"/>
      <c r="AD32" s="182" t="s">
        <v>64</v>
      </c>
      <c r="AE32" s="474" t="str">
        <f>ادخال1!$BG$5</f>
        <v>د. عبدالرحمن خليفة العريبي</v>
      </c>
      <c r="AF32" s="475"/>
      <c r="AH32" s="53" t="s">
        <v>55</v>
      </c>
      <c r="AI32" s="28"/>
      <c r="AJ32" s="40">
        <f>SUM(AJ27:AJ31)</f>
        <v>216</v>
      </c>
      <c r="AK32" s="284">
        <f>SUM(AK27:AK31)</f>
        <v>0</v>
      </c>
      <c r="AL32" s="40">
        <f>SUM(AL27:AL31)</f>
        <v>216</v>
      </c>
      <c r="AM32" s="284">
        <f>SUM(AM27:AM31)</f>
        <v>0</v>
      </c>
      <c r="AN32" s="16"/>
      <c r="AO32" s="182" t="s">
        <v>64</v>
      </c>
      <c r="AP32" s="474" t="str">
        <f>ادخال1!$BG$5</f>
        <v>د. عبدالرحمن خليفة العريبي</v>
      </c>
      <c r="AQ32" s="475"/>
    </row>
    <row r="33" spans="1:43" ht="29.1" customHeight="1" thickBot="1">
      <c r="A33" s="30" t="str">
        <f>ادخال1!$L$8</f>
        <v>التربية الفنية</v>
      </c>
      <c r="B33" s="47">
        <f>ادخال1!$L$7</f>
        <v>1</v>
      </c>
      <c r="C33" s="486" t="str">
        <f>IFERROR(VLOOKUP(H36,اسماء,11,0),"")</f>
        <v>جيد جداَ</v>
      </c>
      <c r="D33" s="487"/>
      <c r="E33" s="486">
        <f>IFERROR(VLOOKUP(H36,اسماء,21,0),"")</f>
        <v>0</v>
      </c>
      <c r="F33" s="487"/>
      <c r="G33" s="16"/>
      <c r="H33" s="13" t="s">
        <v>66</v>
      </c>
      <c r="I33" s="465">
        <f ca="1">TODAY()</f>
        <v>46005</v>
      </c>
      <c r="J33" s="466"/>
      <c r="L33" s="30" t="str">
        <f>ادخال1!$L$8</f>
        <v>التربية الفنية</v>
      </c>
      <c r="M33" s="47">
        <f>ادخال1!$L$7</f>
        <v>1</v>
      </c>
      <c r="N33" s="486" t="str">
        <f>IFERROR(VLOOKUP(S36,اسماء,11,0),"")</f>
        <v>جيد جداَ</v>
      </c>
      <c r="O33" s="487"/>
      <c r="P33" s="486">
        <f>IFERROR(VLOOKUP(S36,اسماء,21,0),"")</f>
        <v>0</v>
      </c>
      <c r="Q33" s="487"/>
      <c r="R33" s="16"/>
      <c r="S33" s="13" t="s">
        <v>66</v>
      </c>
      <c r="T33" s="465">
        <f ca="1">TODAY()</f>
        <v>46005</v>
      </c>
      <c r="U33" s="466"/>
      <c r="W33" s="30" t="str">
        <f>ادخال1!$L$8</f>
        <v>التربية الفنية</v>
      </c>
      <c r="X33" s="47">
        <f>ادخال1!$L$7</f>
        <v>1</v>
      </c>
      <c r="Y33" s="486" t="str">
        <f>IFERROR(VLOOKUP(AD36,اسماء,11,0),"")</f>
        <v>جيد جداَ</v>
      </c>
      <c r="Z33" s="487"/>
      <c r="AA33" s="486">
        <f>IFERROR(VLOOKUP(AD36,اسماء,21,0),"")</f>
        <v>0</v>
      </c>
      <c r="AB33" s="487"/>
      <c r="AC33" s="16"/>
      <c r="AD33" s="13" t="s">
        <v>66</v>
      </c>
      <c r="AE33" s="465">
        <f ca="1">TODAY()</f>
        <v>46005</v>
      </c>
      <c r="AF33" s="466"/>
      <c r="AH33" s="30" t="str">
        <f>ادخال1!$L$8</f>
        <v>التربية الفنية</v>
      </c>
      <c r="AI33" s="47">
        <f>ادخال1!$L$7</f>
        <v>1</v>
      </c>
      <c r="AJ33" s="486" t="str">
        <f>IFERROR(VLOOKUP(AO36,اسماء,11,0),"")</f>
        <v/>
      </c>
      <c r="AK33" s="487"/>
      <c r="AL33" s="486" t="str">
        <f>IFERROR(VLOOKUP(AO36,اسماء,21,0),"")</f>
        <v/>
      </c>
      <c r="AM33" s="487"/>
      <c r="AN33" s="16"/>
      <c r="AO33" s="13" t="s">
        <v>66</v>
      </c>
      <c r="AP33" s="465">
        <f ca="1">TODAY()</f>
        <v>46005</v>
      </c>
      <c r="AQ33" s="466"/>
    </row>
    <row r="34" spans="1:43" ht="29.1" customHeight="1" thickBot="1">
      <c r="A34" s="378" t="str">
        <f>ادخال1!$M$8</f>
        <v>التربية البدنية</v>
      </c>
      <c r="B34" s="377">
        <f>ادخال1!$M$7</f>
        <v>2</v>
      </c>
      <c r="C34" s="448" t="str">
        <f>IFERROR(VLOOKUP(H36,اسماء,12,0),"")</f>
        <v>جيد جداَ</v>
      </c>
      <c r="D34" s="449"/>
      <c r="E34" s="448">
        <f>IFERROR(VLOOKUP(H36,اسماء,22,0),"")</f>
        <v>0</v>
      </c>
      <c r="F34" s="449"/>
      <c r="G34" s="16"/>
      <c r="H34" s="62"/>
      <c r="I34" s="465"/>
      <c r="J34" s="466"/>
      <c r="L34" s="378" t="str">
        <f>ادخال1!$M$8</f>
        <v>التربية البدنية</v>
      </c>
      <c r="M34" s="377">
        <f>ادخال1!$M$7</f>
        <v>2</v>
      </c>
      <c r="N34" s="448" t="str">
        <f>IFERROR(VLOOKUP(S36,اسماء,12,0),"")</f>
        <v>جيد جداَ</v>
      </c>
      <c r="O34" s="449"/>
      <c r="P34" s="448">
        <f>IFERROR(VLOOKUP(S36,اسماء,22,0),"")</f>
        <v>0</v>
      </c>
      <c r="Q34" s="449"/>
      <c r="R34" s="16"/>
      <c r="S34" s="62"/>
      <c r="T34" s="465"/>
      <c r="U34" s="466"/>
      <c r="W34" s="378" t="str">
        <f>ادخال1!$M$8</f>
        <v>التربية البدنية</v>
      </c>
      <c r="X34" s="377">
        <f>ادخال1!$M$7</f>
        <v>2</v>
      </c>
      <c r="Y34" s="448" t="str">
        <f>IFERROR(VLOOKUP(AD36,اسماء,12,0),"")</f>
        <v>جيد جداَ</v>
      </c>
      <c r="Z34" s="449"/>
      <c r="AA34" s="448">
        <f>IFERROR(VLOOKUP(AD36,اسماء,22,0),"")</f>
        <v>0</v>
      </c>
      <c r="AB34" s="449"/>
      <c r="AC34" s="16"/>
      <c r="AD34" s="62"/>
      <c r="AE34" s="465"/>
      <c r="AF34" s="466"/>
      <c r="AH34" s="378" t="str">
        <f>ادخال1!$M$8</f>
        <v>التربية البدنية</v>
      </c>
      <c r="AI34" s="377">
        <f>ادخال1!$M$7</f>
        <v>2</v>
      </c>
      <c r="AJ34" s="448" t="str">
        <f>IFERROR(VLOOKUP(AO36,اسماء,12,0),"")</f>
        <v/>
      </c>
      <c r="AK34" s="449"/>
      <c r="AL34" s="448" t="str">
        <f>IFERROR(VLOOKUP(AO36,اسماء,22,0),"")</f>
        <v/>
      </c>
      <c r="AM34" s="449"/>
      <c r="AN34" s="16"/>
      <c r="AO34" s="62"/>
      <c r="AP34" s="465"/>
      <c r="AQ34" s="466"/>
    </row>
    <row r="35" spans="1:43" ht="29.1" customHeight="1">
      <c r="A35" s="333" t="str">
        <f>ادخال1!$N$8</f>
        <v>مكتبة</v>
      </c>
      <c r="B35" s="380">
        <f>ادخال1!$N$7</f>
        <v>1</v>
      </c>
      <c r="C35" s="448">
        <f>IFERROR(VLOOKUP(H36,اسماء,13,0),"")</f>
        <v>0</v>
      </c>
      <c r="D35" s="449"/>
      <c r="E35" s="448">
        <f>IFERROR(VLOOKUP(H36,اسماء,23,0),"")</f>
        <v>0</v>
      </c>
      <c r="F35" s="449"/>
      <c r="G35" s="16"/>
      <c r="H35" s="62"/>
      <c r="I35" s="331"/>
      <c r="J35" s="332"/>
      <c r="L35" s="333" t="str">
        <f>ادخال1!$N$8</f>
        <v>مكتبة</v>
      </c>
      <c r="M35" s="380">
        <f>ادخال1!$N$7</f>
        <v>1</v>
      </c>
      <c r="N35" s="448">
        <f>IFERROR(VLOOKUP(S36,اسماء,13,0),"")</f>
        <v>0</v>
      </c>
      <c r="O35" s="449"/>
      <c r="P35" s="448">
        <f>IFERROR(VLOOKUP(S36,اسماء,23,0),"")</f>
        <v>0</v>
      </c>
      <c r="Q35" s="449"/>
      <c r="R35" s="16"/>
      <c r="S35" s="62"/>
      <c r="T35" s="331"/>
      <c r="U35" s="332"/>
      <c r="W35" s="333" t="str">
        <f>ادخال1!$N$8</f>
        <v>مكتبة</v>
      </c>
      <c r="X35" s="380">
        <f>ادخال1!$N$7</f>
        <v>1</v>
      </c>
      <c r="Y35" s="448">
        <f>IFERROR(VLOOKUP(AD36,اسماء,13,0),"")</f>
        <v>0</v>
      </c>
      <c r="Z35" s="449"/>
      <c r="AA35" s="448">
        <f>IFERROR(VLOOKUP(AD36,اسماء,23,0),"")</f>
        <v>0</v>
      </c>
      <c r="AB35" s="449"/>
      <c r="AC35" s="16"/>
      <c r="AD35" s="62"/>
      <c r="AE35" s="331"/>
      <c r="AF35" s="332"/>
      <c r="AH35" s="333" t="str">
        <f>ادخال1!$N$8</f>
        <v>مكتبة</v>
      </c>
      <c r="AI35" s="380">
        <f>ادخال1!$N$7</f>
        <v>1</v>
      </c>
      <c r="AJ35" s="448" t="str">
        <f>IFERROR(VLOOKUP(AO36,اسماء,13,0),"")</f>
        <v/>
      </c>
      <c r="AK35" s="449"/>
      <c r="AL35" s="448" t="str">
        <f>IFERROR(VLOOKUP(AO36,اسماء,23,0),"")</f>
        <v/>
      </c>
      <c r="AM35" s="449"/>
      <c r="AN35" s="16"/>
      <c r="AO35" s="62"/>
      <c r="AP35" s="331"/>
      <c r="AQ35" s="332"/>
    </row>
    <row r="36" spans="1:43" ht="29.1" customHeight="1" thickBot="1">
      <c r="A36" s="379" t="s">
        <v>119</v>
      </c>
      <c r="B36" s="473">
        <f>IFERROR(VLOOKUP(H36,اسماء,62,0),"")</f>
        <v>220180172537</v>
      </c>
      <c r="C36" s="473" t="str">
        <f>IFERROR(VLOOKUP(G41,اسماء,8,0),"")</f>
        <v/>
      </c>
      <c r="D36" s="473" t="str">
        <f>IFERROR(VLOOKUP(H41,اسماء,8,0),"")</f>
        <v/>
      </c>
      <c r="E36" s="473" t="str">
        <f>IFERROR(VLOOKUP(I41,اسماء,8,0),"")</f>
        <v/>
      </c>
      <c r="F36" s="309"/>
      <c r="G36" s="16"/>
      <c r="H36" s="474" t="str">
        <f>INDEX(عمود2,MATCH(J23,عمود1))</f>
        <v>ديالا علي حمد القبائلي</v>
      </c>
      <c r="I36" s="474"/>
      <c r="J36" s="475"/>
      <c r="L36" s="379" t="s">
        <v>119</v>
      </c>
      <c r="M36" s="473">
        <f>IFERROR(VLOOKUP(S36,اسماء,62,0),"")</f>
        <v>120180241465</v>
      </c>
      <c r="N36" s="473" t="str">
        <f>IFERROR(VLOOKUP(R41,اسماء,8,0),"")</f>
        <v/>
      </c>
      <c r="O36" s="473" t="str">
        <f>IFERROR(VLOOKUP(S41,اسماء,8,0),"")</f>
        <v/>
      </c>
      <c r="P36" s="473" t="str">
        <f>IFERROR(VLOOKUP(T41,اسماء,8,0),"")</f>
        <v/>
      </c>
      <c r="Q36" s="309"/>
      <c r="R36" s="16"/>
      <c r="S36" s="474" t="str">
        <f>INDEX(عمود2,MATCH(U23,عمود1))</f>
        <v>عبدالرحمن فرج  محمد المغربي</v>
      </c>
      <c r="T36" s="474"/>
      <c r="U36" s="475"/>
      <c r="W36" s="379" t="s">
        <v>119</v>
      </c>
      <c r="X36" s="473">
        <f>IFERROR(VLOOKUP(AD36,اسماء,62,0),"")</f>
        <v>0</v>
      </c>
      <c r="Y36" s="473" t="str">
        <f>IFERROR(VLOOKUP(AC41,اسماء,8,0),"")</f>
        <v/>
      </c>
      <c r="Z36" s="473" t="str">
        <f>IFERROR(VLOOKUP(AD41,اسماء,8,0),"")</f>
        <v/>
      </c>
      <c r="AA36" s="473" t="str">
        <f>IFERROR(VLOOKUP(AE41,اسماء,8,0),"")</f>
        <v/>
      </c>
      <c r="AB36" s="309"/>
      <c r="AC36" s="16"/>
      <c r="AD36" s="474" t="str">
        <f>INDEX(عمود2,MATCH(AF23,عمود1))</f>
        <v>ندى علاء محمد سلطان</v>
      </c>
      <c r="AE36" s="474"/>
      <c r="AF36" s="475"/>
      <c r="AH36" s="379" t="s">
        <v>119</v>
      </c>
      <c r="AI36" s="473" t="str">
        <f>IFERROR(VLOOKUP(AO36,اسماء,62,0),"")</f>
        <v/>
      </c>
      <c r="AJ36" s="473" t="str">
        <f>IFERROR(VLOOKUP(AN41,اسماء,8,0),"")</f>
        <v/>
      </c>
      <c r="AK36" s="473" t="str">
        <f>IFERROR(VLOOKUP(AO41,اسماء,8,0),"")</f>
        <v/>
      </c>
      <c r="AL36" s="473" t="str">
        <f>IFERROR(VLOOKUP(AP41,اسماء,8,0),"")</f>
        <v/>
      </c>
      <c r="AM36" s="309"/>
      <c r="AN36" s="16"/>
      <c r="AO36" s="474">
        <f>INDEX(عمود2,MATCH(AQ23,عمود1))</f>
        <v>0</v>
      </c>
      <c r="AP36" s="474"/>
      <c r="AQ36" s="475"/>
    </row>
    <row r="37" spans="1:43" ht="29.1" customHeight="1">
      <c r="A37" s="458" t="s">
        <v>57</v>
      </c>
      <c r="B37" s="459"/>
      <c r="C37" s="451">
        <f>IFERROR(VLOOKUP(H36,اسماء,34,0),"")</f>
        <v>0</v>
      </c>
      <c r="D37" s="460"/>
      <c r="E37" s="451">
        <f>IFERROR(VLOOKUP(H36,اسماء,35,0),"")</f>
        <v>0</v>
      </c>
      <c r="F37" s="460"/>
      <c r="G37" s="16"/>
      <c r="H37" s="476" t="s">
        <v>89</v>
      </c>
      <c r="I37" s="476"/>
      <c r="J37" s="477"/>
      <c r="L37" s="458" t="s">
        <v>57</v>
      </c>
      <c r="M37" s="459"/>
      <c r="N37" s="451">
        <f>IFERROR(VLOOKUP(S36,اسماء,34,0),"")</f>
        <v>0</v>
      </c>
      <c r="O37" s="460"/>
      <c r="P37" s="451">
        <f>IFERROR(VLOOKUP(S36,اسماء,35,0),"")</f>
        <v>0</v>
      </c>
      <c r="Q37" s="460"/>
      <c r="R37" s="16"/>
      <c r="S37" s="476" t="s">
        <v>89</v>
      </c>
      <c r="T37" s="476"/>
      <c r="U37" s="477"/>
      <c r="W37" s="458" t="s">
        <v>57</v>
      </c>
      <c r="X37" s="459"/>
      <c r="Y37" s="451">
        <f>IFERROR(VLOOKUP(AD36,اسماء,34,0),"")</f>
        <v>0</v>
      </c>
      <c r="Z37" s="460"/>
      <c r="AA37" s="451">
        <f>IFERROR(VLOOKUP(AD36,اسماء,35,0),"")</f>
        <v>0</v>
      </c>
      <c r="AB37" s="460"/>
      <c r="AC37" s="16"/>
      <c r="AD37" s="476" t="s">
        <v>89</v>
      </c>
      <c r="AE37" s="476"/>
      <c r="AF37" s="477"/>
      <c r="AH37" s="458" t="s">
        <v>57</v>
      </c>
      <c r="AI37" s="459"/>
      <c r="AJ37" s="451" t="str">
        <f>IFERROR(VLOOKUP(AO36,اسماء,34,0),"")</f>
        <v/>
      </c>
      <c r="AK37" s="460"/>
      <c r="AL37" s="451" t="str">
        <f>IFERROR(VLOOKUP(AO36,اسماء,35,0),"")</f>
        <v/>
      </c>
      <c r="AM37" s="460"/>
      <c r="AN37" s="16"/>
      <c r="AO37" s="476" t="s">
        <v>89</v>
      </c>
      <c r="AP37" s="476"/>
      <c r="AQ37" s="477"/>
    </row>
    <row r="38" spans="1:43" ht="29.1" customHeight="1">
      <c r="A38" s="461" t="s">
        <v>58</v>
      </c>
      <c r="B38" s="462"/>
      <c r="C38" s="463">
        <f>IFERROR(VLOOKUP(H36,اسماء,37,0),"")</f>
        <v>0</v>
      </c>
      <c r="D38" s="464"/>
      <c r="E38" s="463">
        <f>IFERROR(VLOOKUP(H36,اسماء,39,0),"")</f>
        <v>0</v>
      </c>
      <c r="F38" s="464"/>
      <c r="G38" s="16"/>
      <c r="H38" s="476"/>
      <c r="I38" s="476"/>
      <c r="J38" s="477"/>
      <c r="L38" s="461" t="s">
        <v>58</v>
      </c>
      <c r="M38" s="462"/>
      <c r="N38" s="463">
        <f>IFERROR(VLOOKUP(S36,اسماء,37,0),"")</f>
        <v>0</v>
      </c>
      <c r="O38" s="464"/>
      <c r="P38" s="463">
        <f>IFERROR(VLOOKUP(S36,اسماء,39,0),"")</f>
        <v>0</v>
      </c>
      <c r="Q38" s="464"/>
      <c r="R38" s="16"/>
      <c r="S38" s="476"/>
      <c r="T38" s="476"/>
      <c r="U38" s="477"/>
      <c r="W38" s="461" t="s">
        <v>58</v>
      </c>
      <c r="X38" s="462"/>
      <c r="Y38" s="463">
        <f>IFERROR(VLOOKUP(AD36,اسماء,37,0),"")</f>
        <v>0</v>
      </c>
      <c r="Z38" s="464"/>
      <c r="AA38" s="463">
        <f>IFERROR(VLOOKUP(AD36,اسماء,39,0),"")</f>
        <v>0</v>
      </c>
      <c r="AB38" s="464"/>
      <c r="AC38" s="16"/>
      <c r="AD38" s="476"/>
      <c r="AE38" s="476"/>
      <c r="AF38" s="477"/>
      <c r="AH38" s="461" t="s">
        <v>58</v>
      </c>
      <c r="AI38" s="462"/>
      <c r="AJ38" s="463" t="str">
        <f>IFERROR(VLOOKUP(AO36,اسماء,37,0),"")</f>
        <v/>
      </c>
      <c r="AK38" s="464"/>
      <c r="AL38" s="463" t="str">
        <f>IFERROR(VLOOKUP(AO36,اسماء,39,0),"")</f>
        <v/>
      </c>
      <c r="AM38" s="464"/>
      <c r="AN38" s="16"/>
      <c r="AO38" s="476"/>
      <c r="AP38" s="476"/>
      <c r="AQ38" s="477"/>
    </row>
    <row r="39" spans="1:43" ht="13.5" customHeight="1" thickBot="1">
      <c r="A39" s="480" t="s">
        <v>59</v>
      </c>
      <c r="B39" s="481"/>
      <c r="C39" s="482">
        <f>IFERROR(VLOOKUP(H36,اسماء,38,0),"")</f>
        <v>0</v>
      </c>
      <c r="D39" s="483"/>
      <c r="E39" s="482">
        <f>IFERROR(VLOOKUP(H36,اسماء,40,0),"")</f>
        <v>0</v>
      </c>
      <c r="F39" s="483"/>
      <c r="G39" s="16"/>
      <c r="H39" s="478"/>
      <c r="I39" s="478"/>
      <c r="J39" s="479"/>
      <c r="L39" s="480" t="s">
        <v>59</v>
      </c>
      <c r="M39" s="481"/>
      <c r="N39" s="482">
        <f>IFERROR(VLOOKUP(S36,اسماء,38,0),"")</f>
        <v>0</v>
      </c>
      <c r="O39" s="483"/>
      <c r="P39" s="482">
        <f>IFERROR(VLOOKUP(S36,اسماء,40,0),"")</f>
        <v>0</v>
      </c>
      <c r="Q39" s="483"/>
      <c r="R39" s="16"/>
      <c r="S39" s="478"/>
      <c r="T39" s="478"/>
      <c r="U39" s="479"/>
      <c r="W39" s="480" t="s">
        <v>59</v>
      </c>
      <c r="X39" s="481"/>
      <c r="Y39" s="482">
        <f>IFERROR(VLOOKUP(AD36,اسماء,38,0),"")</f>
        <v>0</v>
      </c>
      <c r="Z39" s="483"/>
      <c r="AA39" s="482">
        <f>IFERROR(VLOOKUP(AD36,اسماء,40,0),"")</f>
        <v>0</v>
      </c>
      <c r="AB39" s="483"/>
      <c r="AC39" s="16"/>
      <c r="AD39" s="478"/>
      <c r="AE39" s="478"/>
      <c r="AF39" s="479"/>
      <c r="AH39" s="480" t="s">
        <v>59</v>
      </c>
      <c r="AI39" s="481"/>
      <c r="AJ39" s="482" t="str">
        <f>IFERROR(VLOOKUP(AO36,اسماء,38,0),"")</f>
        <v/>
      </c>
      <c r="AK39" s="483"/>
      <c r="AL39" s="482" t="str">
        <f>IFERROR(VLOOKUP(AO36,اسماء,40,0),"")</f>
        <v/>
      </c>
      <c r="AM39" s="483"/>
      <c r="AN39" s="16"/>
      <c r="AO39" s="478"/>
      <c r="AP39" s="478"/>
      <c r="AQ39" s="479"/>
    </row>
    <row r="40" spans="1:43" ht="29.1" customHeight="1">
      <c r="A40" s="113" t="s">
        <v>14</v>
      </c>
      <c r="B40" s="450" t="s">
        <v>60</v>
      </c>
      <c r="C40" s="450"/>
      <c r="D40" s="468" t="s">
        <v>61</v>
      </c>
      <c r="E40" s="469"/>
      <c r="F40" s="469"/>
      <c r="G40" s="470"/>
      <c r="H40" s="451" t="s">
        <v>84</v>
      </c>
      <c r="I40" s="452"/>
      <c r="J40" s="262"/>
      <c r="L40" s="111" t="s">
        <v>14</v>
      </c>
      <c r="M40" s="450" t="s">
        <v>60</v>
      </c>
      <c r="N40" s="450"/>
      <c r="O40" s="468" t="s">
        <v>61</v>
      </c>
      <c r="P40" s="469"/>
      <c r="Q40" s="469"/>
      <c r="R40" s="470"/>
      <c r="S40" s="451" t="s">
        <v>84</v>
      </c>
      <c r="T40" s="452"/>
      <c r="U40" s="262"/>
      <c r="W40" s="111" t="s">
        <v>14</v>
      </c>
      <c r="X40" s="450" t="s">
        <v>60</v>
      </c>
      <c r="Y40" s="450"/>
      <c r="Z40" s="468" t="s">
        <v>61</v>
      </c>
      <c r="AA40" s="469"/>
      <c r="AB40" s="469"/>
      <c r="AC40" s="470"/>
      <c r="AD40" s="451" t="s">
        <v>84</v>
      </c>
      <c r="AE40" s="452"/>
      <c r="AF40" s="262"/>
      <c r="AH40" s="111" t="s">
        <v>14</v>
      </c>
      <c r="AI40" s="450" t="s">
        <v>60</v>
      </c>
      <c r="AJ40" s="450"/>
      <c r="AK40" s="468" t="s">
        <v>61</v>
      </c>
      <c r="AL40" s="469"/>
      <c r="AM40" s="469"/>
      <c r="AN40" s="470"/>
      <c r="AO40" s="451" t="s">
        <v>84</v>
      </c>
      <c r="AP40" s="452"/>
      <c r="AQ40" s="262"/>
    </row>
    <row r="41" spans="1:43" ht="29.1" customHeight="1">
      <c r="A41" s="25" t="s">
        <v>63</v>
      </c>
      <c r="B41" s="462"/>
      <c r="C41" s="462"/>
      <c r="D41" s="463"/>
      <c r="E41" s="471"/>
      <c r="F41" s="471"/>
      <c r="G41" s="464"/>
      <c r="H41" s="463"/>
      <c r="I41" s="472"/>
      <c r="J41" s="256"/>
      <c r="L41" s="110" t="s">
        <v>63</v>
      </c>
      <c r="M41" s="462"/>
      <c r="N41" s="462"/>
      <c r="O41" s="463"/>
      <c r="P41" s="471"/>
      <c r="Q41" s="471"/>
      <c r="R41" s="464"/>
      <c r="S41" s="463"/>
      <c r="T41" s="472"/>
      <c r="U41" s="256"/>
      <c r="W41" s="110" t="s">
        <v>63</v>
      </c>
      <c r="X41" s="462"/>
      <c r="Y41" s="462"/>
      <c r="Z41" s="463"/>
      <c r="AA41" s="471"/>
      <c r="AB41" s="471"/>
      <c r="AC41" s="464"/>
      <c r="AD41" s="463"/>
      <c r="AE41" s="472"/>
      <c r="AF41" s="256"/>
      <c r="AH41" s="110" t="s">
        <v>63</v>
      </c>
      <c r="AI41" s="462"/>
      <c r="AJ41" s="462"/>
      <c r="AK41" s="463"/>
      <c r="AL41" s="471"/>
      <c r="AM41" s="471"/>
      <c r="AN41" s="464"/>
      <c r="AO41" s="463"/>
      <c r="AP41" s="472"/>
      <c r="AQ41" s="256"/>
    </row>
    <row r="42" spans="1:43" ht="29.1" customHeight="1" thickBot="1">
      <c r="A42" s="114" t="s">
        <v>65</v>
      </c>
      <c r="B42" s="504"/>
      <c r="C42" s="504"/>
      <c r="D42" s="482"/>
      <c r="E42" s="505"/>
      <c r="F42" s="505"/>
      <c r="G42" s="483"/>
      <c r="H42" s="482"/>
      <c r="I42" s="506"/>
      <c r="J42" s="263"/>
      <c r="L42" s="112" t="s">
        <v>65</v>
      </c>
      <c r="M42" s="454"/>
      <c r="N42" s="454"/>
      <c r="O42" s="455"/>
      <c r="P42" s="456"/>
      <c r="Q42" s="456"/>
      <c r="R42" s="457"/>
      <c r="S42" s="455"/>
      <c r="T42" s="467"/>
      <c r="U42" s="263"/>
      <c r="W42" s="112" t="s">
        <v>65</v>
      </c>
      <c r="X42" s="454"/>
      <c r="Y42" s="454"/>
      <c r="Z42" s="455"/>
      <c r="AA42" s="456"/>
      <c r="AB42" s="456"/>
      <c r="AC42" s="457"/>
      <c r="AD42" s="455"/>
      <c r="AE42" s="467"/>
      <c r="AF42" s="263"/>
      <c r="AH42" s="112" t="s">
        <v>65</v>
      </c>
      <c r="AI42" s="454"/>
      <c r="AJ42" s="454"/>
      <c r="AK42" s="455"/>
      <c r="AL42" s="456"/>
      <c r="AM42" s="456"/>
      <c r="AN42" s="457"/>
      <c r="AO42" s="455"/>
      <c r="AP42" s="467"/>
      <c r="AQ42" s="263"/>
    </row>
    <row r="43" spans="1:43" ht="11.25" customHeight="1" thickBot="1"/>
    <row r="44" spans="1:43" ht="29.1" customHeight="1" thickTop="1">
      <c r="A44" s="498" t="s">
        <v>79</v>
      </c>
      <c r="B44" s="499"/>
      <c r="C44" s="499"/>
      <c r="D44" s="499" t="str">
        <f>ادخال1!$K$4</f>
        <v>الثاني</v>
      </c>
      <c r="E44" s="499"/>
      <c r="F44" s="314" t="s">
        <v>80</v>
      </c>
      <c r="G44" s="245"/>
      <c r="H44" s="245"/>
      <c r="I44" s="245"/>
      <c r="J44" s="264">
        <f>J23+1</f>
        <v>3</v>
      </c>
      <c r="L44" s="498" t="s">
        <v>79</v>
      </c>
      <c r="M44" s="499"/>
      <c r="N44" s="499"/>
      <c r="O44" s="499" t="str">
        <f>ادخال1!$K$4</f>
        <v>الثاني</v>
      </c>
      <c r="P44" s="499"/>
      <c r="Q44" s="314" t="s">
        <v>80</v>
      </c>
      <c r="R44" s="245"/>
      <c r="S44" s="245"/>
      <c r="T44" s="245"/>
      <c r="U44" s="264">
        <f>U23+1</f>
        <v>8</v>
      </c>
      <c r="W44" s="498" t="s">
        <v>79</v>
      </c>
      <c r="X44" s="499"/>
      <c r="Y44" s="499"/>
      <c r="Z44" s="499" t="str">
        <f>ادخال1!$K$4</f>
        <v>الثاني</v>
      </c>
      <c r="AA44" s="499"/>
      <c r="AB44" s="314" t="s">
        <v>80</v>
      </c>
      <c r="AC44" s="245"/>
      <c r="AD44" s="245"/>
      <c r="AE44" s="245"/>
      <c r="AF44" s="264">
        <f>AF23+1</f>
        <v>13</v>
      </c>
      <c r="AH44" s="498" t="s">
        <v>79</v>
      </c>
      <c r="AI44" s="499"/>
      <c r="AJ44" s="499"/>
      <c r="AK44" s="499" t="str">
        <f>ادخال1!$K$4</f>
        <v>الثاني</v>
      </c>
      <c r="AL44" s="499"/>
      <c r="AM44" s="314" t="s">
        <v>80</v>
      </c>
      <c r="AN44" s="245"/>
      <c r="AO44" s="245"/>
      <c r="AP44" s="245"/>
      <c r="AQ44" s="264">
        <f>AQ23+1</f>
        <v>18</v>
      </c>
    </row>
    <row r="45" spans="1:43" ht="29.1" customHeight="1" thickBot="1">
      <c r="A45" s="1" t="s">
        <v>152</v>
      </c>
      <c r="B45" s="453" t="str">
        <f>ادخال1!$B$5</f>
        <v xml:space="preserve"> سهول العلم للتعليم الخاص </v>
      </c>
      <c r="C45" s="453"/>
      <c r="D45" s="453"/>
      <c r="E45" s="453"/>
      <c r="F45" s="312" t="s">
        <v>9</v>
      </c>
      <c r="G45" s="484" t="str">
        <f>H57</f>
        <v>رؤى عبدالحميد سيد ابوبكر عبداللطيف</v>
      </c>
      <c r="H45" s="484"/>
      <c r="I45" s="484"/>
      <c r="J45" s="485"/>
      <c r="L45" s="1" t="s">
        <v>152</v>
      </c>
      <c r="M45" s="453" t="str">
        <f>ادخال1!$B$5</f>
        <v xml:space="preserve"> سهول العلم للتعليم الخاص </v>
      </c>
      <c r="N45" s="453"/>
      <c r="O45" s="453"/>
      <c r="P45" s="453"/>
      <c r="Q45" s="312" t="s">
        <v>9</v>
      </c>
      <c r="R45" s="484" t="str">
        <f>S57</f>
        <v>عبدالمجيد محمد عبدالمجيد عرابى</v>
      </c>
      <c r="S45" s="484"/>
      <c r="T45" s="484"/>
      <c r="U45" s="485"/>
      <c r="W45" s="1" t="s">
        <v>152</v>
      </c>
      <c r="X45" s="453" t="str">
        <f>ادخال1!$B$5</f>
        <v xml:space="preserve"> سهول العلم للتعليم الخاص </v>
      </c>
      <c r="Y45" s="453"/>
      <c r="Z45" s="453"/>
      <c r="AA45" s="453"/>
      <c r="AB45" s="312" t="s">
        <v>9</v>
      </c>
      <c r="AC45" s="484" t="str">
        <f>AD57</f>
        <v>نصير نور الدين عبدالله الشاوش</v>
      </c>
      <c r="AD45" s="484"/>
      <c r="AE45" s="484"/>
      <c r="AF45" s="485"/>
      <c r="AH45" s="1" t="s">
        <v>152</v>
      </c>
      <c r="AI45" s="453" t="str">
        <f>ادخال1!$B$5</f>
        <v xml:space="preserve"> سهول العلم للتعليم الخاص </v>
      </c>
      <c r="AJ45" s="453"/>
      <c r="AK45" s="453"/>
      <c r="AL45" s="453"/>
      <c r="AM45" s="312" t="s">
        <v>9</v>
      </c>
      <c r="AN45" s="484">
        <f>AO57</f>
        <v>0</v>
      </c>
      <c r="AO45" s="484"/>
      <c r="AP45" s="484"/>
      <c r="AQ45" s="485"/>
    </row>
    <row r="46" spans="1:43" ht="29.1" customHeight="1" thickBot="1">
      <c r="A46" s="237" t="s">
        <v>44</v>
      </c>
      <c r="B46" s="488" t="s">
        <v>12</v>
      </c>
      <c r="C46" s="490" t="s">
        <v>45</v>
      </c>
      <c r="D46" s="491"/>
      <c r="E46" s="492" t="s">
        <v>46</v>
      </c>
      <c r="F46" s="491"/>
      <c r="G46" s="24"/>
      <c r="H46" s="493" t="s">
        <v>49</v>
      </c>
      <c r="I46" s="494"/>
      <c r="J46" s="495"/>
      <c r="L46" s="237" t="s">
        <v>44</v>
      </c>
      <c r="M46" s="488" t="s">
        <v>12</v>
      </c>
      <c r="N46" s="490" t="s">
        <v>45</v>
      </c>
      <c r="O46" s="491"/>
      <c r="P46" s="492" t="s">
        <v>46</v>
      </c>
      <c r="Q46" s="491"/>
      <c r="R46" s="24"/>
      <c r="S46" s="493" t="s">
        <v>49</v>
      </c>
      <c r="T46" s="494"/>
      <c r="U46" s="495"/>
      <c r="W46" s="237" t="s">
        <v>44</v>
      </c>
      <c r="X46" s="488" t="s">
        <v>12</v>
      </c>
      <c r="Y46" s="490" t="s">
        <v>45</v>
      </c>
      <c r="Z46" s="491"/>
      <c r="AA46" s="492" t="s">
        <v>46</v>
      </c>
      <c r="AB46" s="491"/>
      <c r="AC46" s="24"/>
      <c r="AD46" s="493" t="s">
        <v>49</v>
      </c>
      <c r="AE46" s="494"/>
      <c r="AF46" s="495"/>
      <c r="AH46" s="237" t="s">
        <v>44</v>
      </c>
      <c r="AI46" s="488" t="s">
        <v>12</v>
      </c>
      <c r="AJ46" s="490" t="s">
        <v>45</v>
      </c>
      <c r="AK46" s="491"/>
      <c r="AL46" s="492" t="s">
        <v>46</v>
      </c>
      <c r="AM46" s="491"/>
      <c r="AN46" s="24"/>
      <c r="AO46" s="493" t="s">
        <v>49</v>
      </c>
      <c r="AP46" s="494"/>
      <c r="AQ46" s="495"/>
    </row>
    <row r="47" spans="1:43" ht="29.1" customHeight="1" thickBot="1">
      <c r="A47" s="238" t="s">
        <v>2</v>
      </c>
      <c r="B47" s="489"/>
      <c r="C47" s="37" t="s">
        <v>50</v>
      </c>
      <c r="D47" s="308" t="s">
        <v>51</v>
      </c>
      <c r="E47" s="38" t="s">
        <v>50</v>
      </c>
      <c r="F47" s="308" t="s">
        <v>51</v>
      </c>
      <c r="G47" s="8"/>
      <c r="H47" s="255" t="s">
        <v>54</v>
      </c>
      <c r="I47" s="496" t="str">
        <f>IF(D53=0,"",IF(AND(D48&gt;=C48*0.4,D49&gt;=C49*0.4,D50&gt;=C50*0.4,D51&gt;=C51*0.4,D52&gt;=C52*0.4),LOOKUP(D53,'النتيجة النهائية'!$AA$6:$AB$10),"ضعيف ويحتاج الى اهتمام في المواد"))</f>
        <v>جيد</v>
      </c>
      <c r="J47" s="497"/>
      <c r="L47" s="238" t="s">
        <v>2</v>
      </c>
      <c r="M47" s="489"/>
      <c r="N47" s="37" t="s">
        <v>50</v>
      </c>
      <c r="O47" s="308" t="s">
        <v>51</v>
      </c>
      <c r="P47" s="38" t="s">
        <v>50</v>
      </c>
      <c r="Q47" s="308" t="s">
        <v>51</v>
      </c>
      <c r="R47" s="8"/>
      <c r="S47" s="255" t="s">
        <v>54</v>
      </c>
      <c r="T47" s="496" t="str">
        <f>IF(O53=0,"",IF(AND(O48&gt;=N48*0.4,O49&gt;=N49*0.4,O50&gt;=N50*0.4,O51&gt;=N51*0.4,O52&gt;=N52*0.4),LOOKUP(O53,'النتيجة النهائية'!$AA$6:$AB$10),"ضعيف ويحتاج الى اهتمام في المواد"))</f>
        <v>مقبول</v>
      </c>
      <c r="U47" s="497"/>
      <c r="W47" s="238" t="s">
        <v>2</v>
      </c>
      <c r="X47" s="489"/>
      <c r="Y47" s="37" t="s">
        <v>50</v>
      </c>
      <c r="Z47" s="308" t="s">
        <v>51</v>
      </c>
      <c r="AA47" s="38" t="s">
        <v>50</v>
      </c>
      <c r="AB47" s="308" t="s">
        <v>51</v>
      </c>
      <c r="AC47" s="8"/>
      <c r="AD47" s="255" t="s">
        <v>54</v>
      </c>
      <c r="AE47" s="496" t="str">
        <f>IF(Z53=0,"",IF(AND(Z48&gt;=Y48*0.4,Z49&gt;=Y49*0.4,Z50&gt;=Y50*0.4,Z51&gt;=Y51*0.4,Z52&gt;=Y52*0.4),LOOKUP(Z53,'النتيجة النهائية'!$AA$6:$AB$10),"ضعيف ويحتاج الى اهتمام في المواد"))</f>
        <v>ممتاز</v>
      </c>
      <c r="AF47" s="497"/>
      <c r="AH47" s="238" t="s">
        <v>2</v>
      </c>
      <c r="AI47" s="489"/>
      <c r="AJ47" s="37" t="s">
        <v>50</v>
      </c>
      <c r="AK47" s="308" t="s">
        <v>51</v>
      </c>
      <c r="AL47" s="38" t="s">
        <v>50</v>
      </c>
      <c r="AM47" s="308" t="s">
        <v>51</v>
      </c>
      <c r="AN47" s="8"/>
      <c r="AO47" s="255" t="s">
        <v>54</v>
      </c>
      <c r="AP47" s="496" t="str">
        <f>IF(AK53=0,"",IF(AND(AK48&gt;=AJ48*0.4,AK49&gt;=AJ49*0.4,AK50&gt;=AJ50*0.4,AK51&gt;=AJ51*0.4,AK52&gt;=AJ52*0.4),LOOKUP(AK53,'النتيجة النهائية'!$AA$6:$AB$10),"ضعيف ويحتاج الى اهتمام في المواد"))</f>
        <v/>
      </c>
      <c r="AQ47" s="497"/>
    </row>
    <row r="48" spans="1:43" ht="29.1" customHeight="1">
      <c r="A48" s="236" t="str">
        <f>ادخال1!$F$9</f>
        <v>التربية الإسلامية</v>
      </c>
      <c r="B48" s="44">
        <f>ادخال1!$F$7</f>
        <v>3</v>
      </c>
      <c r="C48" s="39">
        <f t="shared" ref="C48:C49" si="16">40*B48*0.3</f>
        <v>36</v>
      </c>
      <c r="D48" s="283">
        <f xml:space="preserve"> IFERROR(VLOOKUP(H57,اسماء,5,0),"")</f>
        <v>30</v>
      </c>
      <c r="E48" s="41">
        <f t="shared" ref="E48:E49" si="17">40*B48*0.3</f>
        <v>36</v>
      </c>
      <c r="F48" s="283">
        <f>IFERROR(VLOOKUP(H57,اسماء,15,0),"")</f>
        <v>0</v>
      </c>
      <c r="G48" s="16"/>
      <c r="H48" s="25" t="str">
        <f>IF(D48=0,"",IF(D48&lt;C48*0.4,A48,""))</f>
        <v/>
      </c>
      <c r="I48" s="27" t="str">
        <f>IF(D49=0,"",IF(D49&lt;C49*0.4,A49,""))</f>
        <v/>
      </c>
      <c r="J48" s="26" t="str">
        <f>IF(D50=0,"",IF(D50&lt;C50*0.4,A50,""))</f>
        <v/>
      </c>
      <c r="L48" s="236" t="str">
        <f>ادخال1!$F$9</f>
        <v>التربية الإسلامية</v>
      </c>
      <c r="M48" s="44">
        <f>ادخال1!$F$7</f>
        <v>3</v>
      </c>
      <c r="N48" s="39">
        <f t="shared" ref="N48:N49" si="18">40*M48*0.3</f>
        <v>36</v>
      </c>
      <c r="O48" s="283">
        <f xml:space="preserve"> IFERROR(VLOOKUP(S57,اسماء,5,0),"")</f>
        <v>26</v>
      </c>
      <c r="P48" s="41">
        <f t="shared" ref="P48:P49" si="19">40*M48*0.3</f>
        <v>36</v>
      </c>
      <c r="Q48" s="283">
        <f>IFERROR(VLOOKUP(S57,اسماء,15,0),"")</f>
        <v>0</v>
      </c>
      <c r="R48" s="16"/>
      <c r="S48" s="25" t="str">
        <f>IF(O48=0,"",IF(O48&lt;N48*0.4,L48,""))</f>
        <v/>
      </c>
      <c r="T48" s="27" t="str">
        <f>IF(O49=0,"",IF(O49&lt;N49*0.4,L49,""))</f>
        <v/>
      </c>
      <c r="U48" s="26" t="str">
        <f>IF(O50=0,"",IF(O50&lt;N50*0.4,L50,""))</f>
        <v/>
      </c>
      <c r="W48" s="236" t="str">
        <f>ادخال1!$F$9</f>
        <v>التربية الإسلامية</v>
      </c>
      <c r="X48" s="44">
        <f>ادخال1!$F$7</f>
        <v>3</v>
      </c>
      <c r="Y48" s="39">
        <f t="shared" ref="Y48:Y49" si="20">40*X48*0.3</f>
        <v>36</v>
      </c>
      <c r="Z48" s="283">
        <f xml:space="preserve"> IFERROR(VLOOKUP(AD57,اسماء,5,0),"")</f>
        <v>34</v>
      </c>
      <c r="AA48" s="41">
        <f t="shared" ref="AA48:AA49" si="21">40*X48*0.3</f>
        <v>36</v>
      </c>
      <c r="AB48" s="283">
        <f>IFERROR(VLOOKUP(AD57,اسماء,15,0),"")</f>
        <v>0</v>
      </c>
      <c r="AC48" s="16"/>
      <c r="AD48" s="25" t="str">
        <f>IF(Z48=0,"",IF(Z48&lt;Y48*0.4,W48,""))</f>
        <v/>
      </c>
      <c r="AE48" s="27" t="str">
        <f>IF(Z49=0,"",IF(Z49&lt;Y49*0.4,W49,""))</f>
        <v/>
      </c>
      <c r="AF48" s="26" t="str">
        <f>IF(Z50=0,"",IF(Z50&lt;Y50*0.4,W50,""))</f>
        <v/>
      </c>
      <c r="AH48" s="236" t="str">
        <f>ادخال1!$F$9</f>
        <v>التربية الإسلامية</v>
      </c>
      <c r="AI48" s="44">
        <f>ادخال1!$F$7</f>
        <v>3</v>
      </c>
      <c r="AJ48" s="39">
        <f t="shared" ref="AJ48:AJ49" si="22">40*AI48*0.3</f>
        <v>36</v>
      </c>
      <c r="AK48" s="283" t="str">
        <f xml:space="preserve"> IFERROR(VLOOKUP(AO57,اسماء,5,0),"")</f>
        <v/>
      </c>
      <c r="AL48" s="41">
        <f t="shared" ref="AL48:AL49" si="23">40*AI48*0.3</f>
        <v>36</v>
      </c>
      <c r="AM48" s="283" t="str">
        <f>IFERROR(VLOOKUP(AO57,اسماء,15,0),"")</f>
        <v/>
      </c>
      <c r="AN48" s="16"/>
      <c r="AO48" s="25" t="str">
        <f>IF(AK48=0,"",IF(AK48&lt;AJ48*0.4,AH48,""))</f>
        <v/>
      </c>
      <c r="AP48" s="27" t="str">
        <f>IF(AK49=0,"",IF(AK49&lt;AJ49*0.4,AH49,""))</f>
        <v/>
      </c>
      <c r="AQ48" s="26" t="str">
        <f>IF(AK50=0,"",IF(AK50&lt;AJ50*0.4,AH50,""))</f>
        <v/>
      </c>
    </row>
    <row r="49" spans="1:43" ht="29.1" customHeight="1" thickBot="1">
      <c r="A49" s="51" t="str">
        <f>ادخال1!$G$9</f>
        <v>اللغة العربية</v>
      </c>
      <c r="B49" s="45">
        <f>ادخال1!$G$7</f>
        <v>6</v>
      </c>
      <c r="C49" s="39">
        <f t="shared" si="16"/>
        <v>72</v>
      </c>
      <c r="D49" s="283">
        <f>IFERROR(VLOOKUP(H57,اسماء,6,0),"")</f>
        <v>48</v>
      </c>
      <c r="E49" s="41">
        <f t="shared" si="17"/>
        <v>72</v>
      </c>
      <c r="F49" s="283">
        <f>IFERROR(VLOOKUP(H57,اسماء,16,0),"")</f>
        <v>0</v>
      </c>
      <c r="G49" s="16"/>
      <c r="H49" s="114" t="str">
        <f>IF(D51=0,"",IF(D51&lt;C51*0.4,A51,""))</f>
        <v/>
      </c>
      <c r="I49" s="252" t="str">
        <f>IF(D52=0,"",IF(D52&lt;C52*0.4,A52,""))</f>
        <v/>
      </c>
      <c r="J49" s="253"/>
      <c r="L49" s="51" t="str">
        <f>ادخال1!$G$9</f>
        <v>اللغة العربية</v>
      </c>
      <c r="M49" s="45">
        <f>ادخال1!$G$7</f>
        <v>6</v>
      </c>
      <c r="N49" s="39">
        <f t="shared" si="18"/>
        <v>72</v>
      </c>
      <c r="O49" s="283">
        <f>IFERROR(VLOOKUP(S57,اسماء,6,0),"")</f>
        <v>42</v>
      </c>
      <c r="P49" s="41">
        <f t="shared" si="19"/>
        <v>72</v>
      </c>
      <c r="Q49" s="283">
        <f>IFERROR(VLOOKUP(S57,اسماء,16,0),"")</f>
        <v>0</v>
      </c>
      <c r="R49" s="16"/>
      <c r="S49" s="114" t="str">
        <f>IF(O51=0,"",IF(O51&lt;N51*0.4,L51,""))</f>
        <v/>
      </c>
      <c r="T49" s="252" t="str">
        <f>IF(O52=0,"",IF(O52&lt;N52*0.4,L52,""))</f>
        <v/>
      </c>
      <c r="U49" s="253"/>
      <c r="W49" s="51" t="str">
        <f>ادخال1!$G$9</f>
        <v>اللغة العربية</v>
      </c>
      <c r="X49" s="45">
        <f>ادخال1!$G$7</f>
        <v>6</v>
      </c>
      <c r="Y49" s="39">
        <f t="shared" si="20"/>
        <v>72</v>
      </c>
      <c r="Z49" s="283">
        <f>IFERROR(VLOOKUP(AD57,اسماء,6,0),"")</f>
        <v>68</v>
      </c>
      <c r="AA49" s="41">
        <f t="shared" si="21"/>
        <v>72</v>
      </c>
      <c r="AB49" s="283">
        <f>IFERROR(VLOOKUP(AD57,اسماء,16,0),"")</f>
        <v>0</v>
      </c>
      <c r="AC49" s="16"/>
      <c r="AD49" s="114" t="str">
        <f>IF(Z51=0,"",IF(Z51&lt;Y51*0.4,W51,""))</f>
        <v/>
      </c>
      <c r="AE49" s="252" t="str">
        <f>IF(Z52=0,"",IF(Z52&lt;Y52*0.4,W52,""))</f>
        <v/>
      </c>
      <c r="AF49" s="253"/>
      <c r="AH49" s="51" t="str">
        <f>ادخال1!$G$9</f>
        <v>اللغة العربية</v>
      </c>
      <c r="AI49" s="45">
        <f>ادخال1!$G$7</f>
        <v>6</v>
      </c>
      <c r="AJ49" s="39">
        <f t="shared" si="22"/>
        <v>72</v>
      </c>
      <c r="AK49" s="283" t="str">
        <f>IFERROR(VLOOKUP(AO57,اسماء,6,0),"")</f>
        <v/>
      </c>
      <c r="AL49" s="41">
        <f t="shared" si="23"/>
        <v>72</v>
      </c>
      <c r="AM49" s="283" t="str">
        <f>IFERROR(VLOOKUP(AO57,اسماء,16,0),"")</f>
        <v/>
      </c>
      <c r="AN49" s="16"/>
      <c r="AO49" s="114" t="str">
        <f>IF(AK51=0,"",IF(AK51&lt;AJ51*0.4,AH51,""))</f>
        <v/>
      </c>
      <c r="AP49" s="252" t="str">
        <f>IF(AK52=0,"",IF(AK52&lt;AJ52*0.4,AH52,""))</f>
        <v/>
      </c>
      <c r="AQ49" s="253"/>
    </row>
    <row r="50" spans="1:43" ht="29.1" customHeight="1">
      <c r="A50" s="127" t="str">
        <f>ادخال1!$H$9</f>
        <v>اللغة الإنجليزية</v>
      </c>
      <c r="B50" s="45">
        <f>ادخال1!$H$7</f>
        <v>3</v>
      </c>
      <c r="C50" s="39">
        <f>40*B50*0.3</f>
        <v>36</v>
      </c>
      <c r="D50" s="283">
        <f>IFERROR(VLOOKUP(H57,اسماء,7,0),"")</f>
        <v>29</v>
      </c>
      <c r="E50" s="41">
        <f>40*B50*0.3</f>
        <v>36</v>
      </c>
      <c r="F50" s="283">
        <f>IFERROR(VLOOKUP(H57,اسماء,17,0),"")</f>
        <v>0</v>
      </c>
      <c r="G50" s="16"/>
      <c r="H50" s="254" t="s">
        <v>156</v>
      </c>
      <c r="I50" s="496" t="str">
        <f>IF(F53=0,"",IF(AND(F48&gt;=E48*0.4,F49&gt;=E49*0.4,F50&gt;=E50*0.4,F51&gt;=E51*0.4,F52&gt;=E52*0.4),LOOKUP(F53,'النتيجة النهائية'!$AA$6:$AB$10),"ضعيف ويحتاج الى اهتمام في المواد"))</f>
        <v/>
      </c>
      <c r="J50" s="497"/>
      <c r="L50" s="127" t="str">
        <f>ادخال1!$H$9</f>
        <v>اللغة الإنجليزية</v>
      </c>
      <c r="M50" s="45">
        <f>ادخال1!$H$7</f>
        <v>3</v>
      </c>
      <c r="N50" s="39">
        <f>40*M50*0.3</f>
        <v>36</v>
      </c>
      <c r="O50" s="283">
        <f>IFERROR(VLOOKUP(S57,اسماء,7,0),"")</f>
        <v>25</v>
      </c>
      <c r="P50" s="41">
        <f>40*M50*0.3</f>
        <v>36</v>
      </c>
      <c r="Q50" s="283">
        <f>IFERROR(VLOOKUP(S57,اسماء,17,0),"")</f>
        <v>0</v>
      </c>
      <c r="R50" s="16"/>
      <c r="S50" s="254" t="s">
        <v>156</v>
      </c>
      <c r="T50" s="496" t="str">
        <f>IF(Q53=0,"",IF(AND(Q48&gt;=P48*0.4,Q49&gt;=P49*0.4,Q50&gt;=P50*0.4,Q51&gt;=P51*0.4,Q52&gt;=P52*0.4),LOOKUP(Q53,'النتيجة النهائية'!$AA$6:$AB$10),"ضعيف ويحتاج الى اهتمام في المواد"))</f>
        <v/>
      </c>
      <c r="U50" s="497"/>
      <c r="W50" s="127" t="str">
        <f>ادخال1!$H$9</f>
        <v>اللغة الإنجليزية</v>
      </c>
      <c r="X50" s="45">
        <f>ادخال1!$H$7</f>
        <v>3</v>
      </c>
      <c r="Y50" s="39">
        <f>40*X50*0.3</f>
        <v>36</v>
      </c>
      <c r="Z50" s="283">
        <f>IFERROR(VLOOKUP(AD57,اسماء,7,0),"")</f>
        <v>34</v>
      </c>
      <c r="AA50" s="41">
        <f>40*X50*0.3</f>
        <v>36</v>
      </c>
      <c r="AB50" s="283">
        <f>IFERROR(VLOOKUP(AD57,اسماء,17,0),"")</f>
        <v>0</v>
      </c>
      <c r="AC50" s="16"/>
      <c r="AD50" s="254" t="s">
        <v>156</v>
      </c>
      <c r="AE50" s="496" t="str">
        <f>IF(AB53=0,"",IF(AND(AB48&gt;=AA48*0.4,AB49&gt;=AA49*0.4,AB50&gt;=AA50*0.4,AB51&gt;=AA51*0.4,AB52&gt;=AA52*0.4),LOOKUP(AB53,'النتيجة النهائية'!$AA$6:$AB$10),"ضعيف ويحتاج الى اهتمام في المواد"))</f>
        <v/>
      </c>
      <c r="AF50" s="497"/>
      <c r="AH50" s="127" t="str">
        <f>ادخال1!$H$9</f>
        <v>اللغة الإنجليزية</v>
      </c>
      <c r="AI50" s="45">
        <f>ادخال1!$H$7</f>
        <v>3</v>
      </c>
      <c r="AJ50" s="39">
        <f>40*AI50*0.3</f>
        <v>36</v>
      </c>
      <c r="AK50" s="283" t="str">
        <f>IFERROR(VLOOKUP(AO57,اسماء,7,0),"")</f>
        <v/>
      </c>
      <c r="AL50" s="41">
        <f>40*AI50*0.3</f>
        <v>36</v>
      </c>
      <c r="AM50" s="283" t="str">
        <f>IFERROR(VLOOKUP(AO57,اسماء,17,0),"")</f>
        <v/>
      </c>
      <c r="AN50" s="16"/>
      <c r="AO50" s="254" t="s">
        <v>156</v>
      </c>
      <c r="AP50" s="496" t="str">
        <f>IF(AM53=0,"",IF(AND(AM48&gt;=AL48*0.4,AM49&gt;=AL49*0.4,AM50&gt;=AL50*0.4,AM51&gt;=AL51*0.4,AM52&gt;=AL52*0.4),LOOKUP(AM53,'النتيجة النهائية'!$AA$6:$AB$10),"ضعيف ويحتاج الى اهتمام في المواد"))</f>
        <v/>
      </c>
      <c r="AQ50" s="497"/>
    </row>
    <row r="51" spans="1:43" ht="29.1" customHeight="1">
      <c r="A51" s="51" t="str">
        <f>ادخال1!$I$9</f>
        <v>الحاسوب</v>
      </c>
      <c r="B51" s="45">
        <f>ادخال1!$I$7</f>
        <v>1</v>
      </c>
      <c r="C51" s="39">
        <f>40*B51*0.3</f>
        <v>12</v>
      </c>
      <c r="D51" s="283">
        <f>IFERROR(VLOOKUP(H57,اسماء,8,0),"")</f>
        <v>12</v>
      </c>
      <c r="E51" s="41">
        <f>40*B51*0.3</f>
        <v>12</v>
      </c>
      <c r="F51" s="283">
        <f>IFERROR(VLOOKUP(H57,اسماء,18,0),"")</f>
        <v>0</v>
      </c>
      <c r="G51" s="16"/>
      <c r="H51" s="25" t="str">
        <f>IF(F48=0,"",IF(F48&lt;E48*0.4,A48,""))</f>
        <v/>
      </c>
      <c r="I51" s="27" t="str">
        <f>IF(F49=0,"",IF(F49&lt;E49*0.4,A49,""))</f>
        <v/>
      </c>
      <c r="J51" s="26" t="str">
        <f>IF(F50=0,"",IF(F50&lt;E50*0.4,A50,""))</f>
        <v/>
      </c>
      <c r="L51" s="51" t="str">
        <f>ادخال1!$I$9</f>
        <v>الحاسوب</v>
      </c>
      <c r="M51" s="45">
        <f>ادخال1!$I$7</f>
        <v>1</v>
      </c>
      <c r="N51" s="39">
        <f>40*M51*0.3</f>
        <v>12</v>
      </c>
      <c r="O51" s="283">
        <f>IFERROR(VLOOKUP(S57,اسماء,8,0),"")</f>
        <v>10</v>
      </c>
      <c r="P51" s="41">
        <f>40*M51*0.3</f>
        <v>12</v>
      </c>
      <c r="Q51" s="283">
        <f>IFERROR(VLOOKUP(S57,اسماء,18,0),"")</f>
        <v>0</v>
      </c>
      <c r="R51" s="16"/>
      <c r="S51" s="25" t="str">
        <f>IF(Q48=0,"",IF(Q48&lt;P48*0.4,L48,""))</f>
        <v/>
      </c>
      <c r="T51" s="27" t="str">
        <f>IF(Q49=0,"",IF(Q49&lt;P49*0.4,L49,""))</f>
        <v/>
      </c>
      <c r="U51" s="26" t="str">
        <f>IF(Q50=0,"",IF(Q50&lt;P50*0.4,L50,""))</f>
        <v/>
      </c>
      <c r="W51" s="51" t="str">
        <f>ادخال1!$I$9</f>
        <v>الحاسوب</v>
      </c>
      <c r="X51" s="45">
        <f>ادخال1!$I$7</f>
        <v>1</v>
      </c>
      <c r="Y51" s="39">
        <f>40*X51*0.3</f>
        <v>12</v>
      </c>
      <c r="Z51" s="283">
        <f>IFERROR(VLOOKUP(AD57,اسماء,8,0),"")</f>
        <v>12</v>
      </c>
      <c r="AA51" s="41">
        <f>40*X51*0.3</f>
        <v>12</v>
      </c>
      <c r="AB51" s="283">
        <f>IFERROR(VLOOKUP(AD57,اسماء,18,0),"")</f>
        <v>0</v>
      </c>
      <c r="AC51" s="16"/>
      <c r="AD51" s="25" t="str">
        <f>IF(AB48=0,"",IF(AB48&lt;AA48*0.4,W48,""))</f>
        <v/>
      </c>
      <c r="AE51" s="27" t="str">
        <f>IF(AB49=0,"",IF(AB49&lt;AA49*0.4,W49,""))</f>
        <v/>
      </c>
      <c r="AF51" s="26" t="str">
        <f>IF(AB50=0,"",IF(AB50&lt;AA50*0.4,W50,""))</f>
        <v/>
      </c>
      <c r="AH51" s="51" t="str">
        <f>ادخال1!$I$9</f>
        <v>الحاسوب</v>
      </c>
      <c r="AI51" s="45">
        <f>ادخال1!$I$7</f>
        <v>1</v>
      </c>
      <c r="AJ51" s="39">
        <f>40*AI51*0.3</f>
        <v>12</v>
      </c>
      <c r="AK51" s="283" t="str">
        <f>IFERROR(VLOOKUP(AO57,اسماء,8,0),"")</f>
        <v/>
      </c>
      <c r="AL51" s="41">
        <f>40*AI51*0.3</f>
        <v>12</v>
      </c>
      <c r="AM51" s="283" t="str">
        <f>IFERROR(VLOOKUP(AO57,اسماء,18,0),"")</f>
        <v/>
      </c>
      <c r="AN51" s="16"/>
      <c r="AO51" s="25" t="str">
        <f>IF(AM48=0,"",IF(AM48&lt;AL48*0.4,AH48,""))</f>
        <v/>
      </c>
      <c r="AP51" s="27" t="str">
        <f>IF(AM49=0,"",IF(AM49&lt;AL49*0.4,AH49,""))</f>
        <v/>
      </c>
      <c r="AQ51" s="26" t="str">
        <f>IF(AM50=0,"",IF(AM50&lt;AL50*0.4,AH50,""))</f>
        <v/>
      </c>
    </row>
    <row r="52" spans="1:43" ht="29.1" customHeight="1" thickBot="1">
      <c r="A52" s="109" t="str">
        <f>ادخال1!$J$9</f>
        <v>الرياضيات</v>
      </c>
      <c r="B52" s="46">
        <f>ادخال1!$J$7</f>
        <v>5</v>
      </c>
      <c r="C52" s="39">
        <f>40*B52*0.3</f>
        <v>60</v>
      </c>
      <c r="D52" s="283">
        <f>IFERROR(VLOOKUP(H57,اسماء,9,0),"")</f>
        <v>24</v>
      </c>
      <c r="E52" s="41">
        <f>40*B52*0.3</f>
        <v>60</v>
      </c>
      <c r="F52" s="283">
        <f>IFERROR(VLOOKUP(H57,اسماء,19,0),"")</f>
        <v>0</v>
      </c>
      <c r="G52" s="16"/>
      <c r="H52" s="114" t="str">
        <f>IF(F51=0,"",IF(F51&lt;E51*0.4,A51,""))</f>
        <v/>
      </c>
      <c r="I52" s="252" t="str">
        <f>IF(F52=0,"",IF(F52&lt;E52*0.4,A52,""))</f>
        <v/>
      </c>
      <c r="J52" s="253"/>
      <c r="L52" s="109" t="str">
        <f>ادخال1!$J$9</f>
        <v>الرياضيات</v>
      </c>
      <c r="M52" s="46">
        <f>ادخال1!$J$7</f>
        <v>5</v>
      </c>
      <c r="N52" s="39">
        <f>40*M52*0.3</f>
        <v>60</v>
      </c>
      <c r="O52" s="283">
        <f>IFERROR(VLOOKUP(S57,اسماء,9,0),"")</f>
        <v>25</v>
      </c>
      <c r="P52" s="41">
        <f>40*M52*0.3</f>
        <v>60</v>
      </c>
      <c r="Q52" s="283">
        <f>IFERROR(VLOOKUP(S57,اسماء,19,0),"")</f>
        <v>0</v>
      </c>
      <c r="R52" s="16"/>
      <c r="S52" s="114" t="str">
        <f>IF(Q51=0,"",IF(Q51&lt;P51*0.4,L51,""))</f>
        <v/>
      </c>
      <c r="T52" s="252" t="str">
        <f>IF(Q52=0,"",IF(Q52&lt;P52*0.4,L52,""))</f>
        <v/>
      </c>
      <c r="U52" s="253"/>
      <c r="W52" s="109" t="str">
        <f>ادخال1!$J$9</f>
        <v>الرياضيات</v>
      </c>
      <c r="X52" s="46">
        <f>ادخال1!$J$7</f>
        <v>5</v>
      </c>
      <c r="Y52" s="39">
        <f>40*X52*0.3</f>
        <v>60</v>
      </c>
      <c r="Z52" s="283">
        <f>IFERROR(VLOOKUP(AD57,اسماء,9,0),"")</f>
        <v>50</v>
      </c>
      <c r="AA52" s="41">
        <f>40*X52*0.3</f>
        <v>60</v>
      </c>
      <c r="AB52" s="283">
        <f>IFERROR(VLOOKUP(AD57,اسماء,19,0),"")</f>
        <v>0</v>
      </c>
      <c r="AC52" s="16"/>
      <c r="AD52" s="114" t="str">
        <f>IF(AB51=0,"",IF(AB51&lt;AA51*0.4,W51,""))</f>
        <v/>
      </c>
      <c r="AE52" s="252" t="str">
        <f>IF(AB52=0,"",IF(AB52&lt;AA52*0.4,W52,""))</f>
        <v/>
      </c>
      <c r="AF52" s="253"/>
      <c r="AH52" s="109" t="str">
        <f>ادخال1!$J$9</f>
        <v>الرياضيات</v>
      </c>
      <c r="AI52" s="46">
        <f>ادخال1!$J$7</f>
        <v>5</v>
      </c>
      <c r="AJ52" s="39">
        <f>40*AI52*0.3</f>
        <v>60</v>
      </c>
      <c r="AK52" s="283" t="str">
        <f>IFERROR(VLOOKUP(AO57,اسماء,9,0),"")</f>
        <v/>
      </c>
      <c r="AL52" s="41">
        <f>40*AI52*0.3</f>
        <v>60</v>
      </c>
      <c r="AM52" s="283" t="str">
        <f>IFERROR(VLOOKUP(AO57,اسماء,19,0),"")</f>
        <v/>
      </c>
      <c r="AN52" s="16"/>
      <c r="AO52" s="114" t="str">
        <f>IF(AM51=0,"",IF(AM51&lt;AL51*0.4,AH51,""))</f>
        <v/>
      </c>
      <c r="AP52" s="252" t="str">
        <f>IF(AM52=0,"",IF(AM52&lt;AL52*0.4,AH52,""))</f>
        <v/>
      </c>
      <c r="AQ52" s="253"/>
    </row>
    <row r="53" spans="1:43" ht="29.1" customHeight="1" thickBot="1">
      <c r="A53" s="53" t="s">
        <v>55</v>
      </c>
      <c r="B53" s="28"/>
      <c r="C53" s="40">
        <f>SUM(C48:C52)</f>
        <v>216</v>
      </c>
      <c r="D53" s="284">
        <f>SUM(D48:D52)</f>
        <v>143</v>
      </c>
      <c r="E53" s="40">
        <f>SUM(E48:E52)</f>
        <v>216</v>
      </c>
      <c r="F53" s="284">
        <f>SUM(F48:F52)</f>
        <v>0</v>
      </c>
      <c r="G53" s="16"/>
      <c r="H53" s="182" t="s">
        <v>64</v>
      </c>
      <c r="I53" s="474" t="str">
        <f>ادخال1!$BG$5</f>
        <v>د. عبدالرحمن خليفة العريبي</v>
      </c>
      <c r="J53" s="475"/>
      <c r="L53" s="53" t="s">
        <v>55</v>
      </c>
      <c r="M53" s="28"/>
      <c r="N53" s="40">
        <f>SUM(N48:N52)</f>
        <v>216</v>
      </c>
      <c r="O53" s="284">
        <f>SUM(O48:O52)</f>
        <v>128</v>
      </c>
      <c r="P53" s="40">
        <f>SUM(P48:P52)</f>
        <v>216</v>
      </c>
      <c r="Q53" s="284">
        <f>SUM(Q48:Q52)</f>
        <v>0</v>
      </c>
      <c r="R53" s="16"/>
      <c r="S53" s="182" t="s">
        <v>64</v>
      </c>
      <c r="T53" s="474" t="str">
        <f>ادخال1!$BG$5</f>
        <v>د. عبدالرحمن خليفة العريبي</v>
      </c>
      <c r="U53" s="475"/>
      <c r="W53" s="53" t="s">
        <v>55</v>
      </c>
      <c r="X53" s="28"/>
      <c r="Y53" s="40">
        <f>SUM(Y48:Y52)</f>
        <v>216</v>
      </c>
      <c r="Z53" s="284">
        <f>SUM(Z48:Z52)</f>
        <v>198</v>
      </c>
      <c r="AA53" s="40">
        <f>SUM(AA48:AA52)</f>
        <v>216</v>
      </c>
      <c r="AB53" s="284">
        <f>SUM(AB48:AB52)</f>
        <v>0</v>
      </c>
      <c r="AC53" s="16"/>
      <c r="AD53" s="182" t="s">
        <v>64</v>
      </c>
      <c r="AE53" s="474" t="str">
        <f>ادخال1!$BG$5</f>
        <v>د. عبدالرحمن خليفة العريبي</v>
      </c>
      <c r="AF53" s="475"/>
      <c r="AH53" s="53" t="s">
        <v>55</v>
      </c>
      <c r="AI53" s="28"/>
      <c r="AJ53" s="40">
        <f>SUM(AJ48:AJ52)</f>
        <v>216</v>
      </c>
      <c r="AK53" s="284">
        <f>SUM(AK48:AK52)</f>
        <v>0</v>
      </c>
      <c r="AL53" s="40">
        <f>SUM(AL48:AL52)</f>
        <v>216</v>
      </c>
      <c r="AM53" s="284">
        <f>SUM(AM48:AM52)</f>
        <v>0</v>
      </c>
      <c r="AN53" s="16"/>
      <c r="AO53" s="182" t="s">
        <v>64</v>
      </c>
      <c r="AP53" s="474" t="str">
        <f>ادخال1!$BG$5</f>
        <v>د. عبدالرحمن خليفة العريبي</v>
      </c>
      <c r="AQ53" s="475"/>
    </row>
    <row r="54" spans="1:43" ht="29.1" customHeight="1" thickBot="1">
      <c r="A54" s="30" t="str">
        <f>ادخال1!$L$8</f>
        <v>التربية الفنية</v>
      </c>
      <c r="B54" s="47">
        <f>ادخال1!$L$7</f>
        <v>1</v>
      </c>
      <c r="C54" s="486" t="str">
        <f>IFERROR(VLOOKUP(H57,اسماء,11,0),"")</f>
        <v>جيد جداَ</v>
      </c>
      <c r="D54" s="487"/>
      <c r="E54" s="486">
        <f>IFERROR(VLOOKUP(H57,اسماء,21,0),"")</f>
        <v>0</v>
      </c>
      <c r="F54" s="487"/>
      <c r="G54" s="16"/>
      <c r="H54" s="13" t="s">
        <v>66</v>
      </c>
      <c r="I54" s="465">
        <f ca="1">TODAY()</f>
        <v>46005</v>
      </c>
      <c r="J54" s="466"/>
      <c r="L54" s="30" t="str">
        <f>ادخال1!$L$8</f>
        <v>التربية الفنية</v>
      </c>
      <c r="M54" s="47">
        <f>ادخال1!$L$7</f>
        <v>1</v>
      </c>
      <c r="N54" s="486" t="str">
        <f>IFERROR(VLOOKUP(S57,اسماء,11,0),"")</f>
        <v>جيد جداَ</v>
      </c>
      <c r="O54" s="487"/>
      <c r="P54" s="486">
        <f>IFERROR(VLOOKUP(S57,اسماء,21,0),"")</f>
        <v>0</v>
      </c>
      <c r="Q54" s="487"/>
      <c r="R54" s="16"/>
      <c r="S54" s="13" t="s">
        <v>66</v>
      </c>
      <c r="T54" s="465">
        <f ca="1">TODAY()</f>
        <v>46005</v>
      </c>
      <c r="U54" s="466"/>
      <c r="W54" s="30" t="str">
        <f>ادخال1!$L$8</f>
        <v>التربية الفنية</v>
      </c>
      <c r="X54" s="47">
        <f>ادخال1!$L$7</f>
        <v>1</v>
      </c>
      <c r="Y54" s="486" t="str">
        <f>IFERROR(VLOOKUP(AD57,اسماء,11,0),"")</f>
        <v>جيد جداَ</v>
      </c>
      <c r="Z54" s="487"/>
      <c r="AA54" s="486">
        <f>IFERROR(VLOOKUP(AD57,اسماء,21,0),"")</f>
        <v>0</v>
      </c>
      <c r="AB54" s="487"/>
      <c r="AC54" s="16"/>
      <c r="AD54" s="13" t="s">
        <v>66</v>
      </c>
      <c r="AE54" s="465">
        <f ca="1">TODAY()</f>
        <v>46005</v>
      </c>
      <c r="AF54" s="466"/>
      <c r="AH54" s="30" t="str">
        <f>ادخال1!$L$8</f>
        <v>التربية الفنية</v>
      </c>
      <c r="AI54" s="47">
        <f>ادخال1!$L$7</f>
        <v>1</v>
      </c>
      <c r="AJ54" s="486" t="str">
        <f>IFERROR(VLOOKUP(AO57,اسماء,11,0),"")</f>
        <v/>
      </c>
      <c r="AK54" s="487"/>
      <c r="AL54" s="486" t="str">
        <f>IFERROR(VLOOKUP(AO57,اسماء,21,0),"")</f>
        <v/>
      </c>
      <c r="AM54" s="487"/>
      <c r="AN54" s="16"/>
      <c r="AO54" s="13" t="s">
        <v>66</v>
      </c>
      <c r="AP54" s="465">
        <f ca="1">TODAY()</f>
        <v>46005</v>
      </c>
      <c r="AQ54" s="466"/>
    </row>
    <row r="55" spans="1:43" ht="29.1" customHeight="1" thickBot="1">
      <c r="A55" s="378" t="str">
        <f>ادخال1!$M$8</f>
        <v>التربية البدنية</v>
      </c>
      <c r="B55" s="377">
        <f>ادخال1!$M$7</f>
        <v>2</v>
      </c>
      <c r="C55" s="448" t="str">
        <f>IFERROR(VLOOKUP(H57,اسماء,12,0),"")</f>
        <v>جيد جداَ</v>
      </c>
      <c r="D55" s="449"/>
      <c r="E55" s="448">
        <f>IFERROR(VLOOKUP(H57,اسماء,22,0),"")</f>
        <v>0</v>
      </c>
      <c r="F55" s="449"/>
      <c r="G55" s="16"/>
      <c r="H55" s="62"/>
      <c r="I55" s="465"/>
      <c r="J55" s="466"/>
      <c r="L55" s="378" t="str">
        <f>ادخال1!$M$8</f>
        <v>التربية البدنية</v>
      </c>
      <c r="M55" s="377">
        <f>ادخال1!$M$7</f>
        <v>2</v>
      </c>
      <c r="N55" s="448" t="str">
        <f>IFERROR(VLOOKUP(S57,اسماء,12,0),"")</f>
        <v>جيد جداَ</v>
      </c>
      <c r="O55" s="449"/>
      <c r="P55" s="448">
        <f>IFERROR(VLOOKUP(S57,اسماء,22,0),"")</f>
        <v>0</v>
      </c>
      <c r="Q55" s="449"/>
      <c r="R55" s="16"/>
      <c r="S55" s="62"/>
      <c r="T55" s="465"/>
      <c r="U55" s="466"/>
      <c r="W55" s="378" t="str">
        <f>ادخال1!$M$8</f>
        <v>التربية البدنية</v>
      </c>
      <c r="X55" s="377">
        <f>ادخال1!$M$7</f>
        <v>2</v>
      </c>
      <c r="Y55" s="448" t="str">
        <f>IFERROR(VLOOKUP(AD57,اسماء,12,0),"")</f>
        <v>جيد جداَ</v>
      </c>
      <c r="Z55" s="449"/>
      <c r="AA55" s="448">
        <f>IFERROR(VLOOKUP(AD57,اسماء,22,0),"")</f>
        <v>0</v>
      </c>
      <c r="AB55" s="449"/>
      <c r="AC55" s="16"/>
      <c r="AD55" s="62"/>
      <c r="AE55" s="465"/>
      <c r="AF55" s="466"/>
      <c r="AH55" s="378" t="str">
        <f>ادخال1!$M$8</f>
        <v>التربية البدنية</v>
      </c>
      <c r="AI55" s="377">
        <f>ادخال1!$M$7</f>
        <v>2</v>
      </c>
      <c r="AJ55" s="448" t="str">
        <f>IFERROR(VLOOKUP(AO57,اسماء,12,0),"")</f>
        <v/>
      </c>
      <c r="AK55" s="449"/>
      <c r="AL55" s="448" t="str">
        <f>IFERROR(VLOOKUP(AO57,اسماء,22,0),"")</f>
        <v/>
      </c>
      <c r="AM55" s="449"/>
      <c r="AN55" s="16"/>
      <c r="AO55" s="62"/>
      <c r="AP55" s="465"/>
      <c r="AQ55" s="466"/>
    </row>
    <row r="56" spans="1:43" ht="29.1" customHeight="1">
      <c r="A56" s="333" t="str">
        <f>ادخال1!$N$8</f>
        <v>مكتبة</v>
      </c>
      <c r="B56" s="380">
        <f>ادخال1!$N$7</f>
        <v>1</v>
      </c>
      <c r="C56" s="448">
        <f>IFERROR(VLOOKUP(H57,اسماء,13,0),"")</f>
        <v>0</v>
      </c>
      <c r="D56" s="449"/>
      <c r="E56" s="448">
        <f>IFERROR(VLOOKUP(H57,اسماء,23,0),"")</f>
        <v>0</v>
      </c>
      <c r="F56" s="449"/>
      <c r="G56" s="16"/>
      <c r="H56" s="62"/>
      <c r="I56" s="331"/>
      <c r="J56" s="332"/>
      <c r="L56" s="333" t="str">
        <f>ادخال1!$N$8</f>
        <v>مكتبة</v>
      </c>
      <c r="M56" s="380">
        <f>ادخال1!$N$7</f>
        <v>1</v>
      </c>
      <c r="N56" s="448">
        <f>IFERROR(VLOOKUP(S57,اسماء,13,0),"")</f>
        <v>0</v>
      </c>
      <c r="O56" s="449"/>
      <c r="P56" s="448">
        <f>IFERROR(VLOOKUP(S57,اسماء,23,0),"")</f>
        <v>0</v>
      </c>
      <c r="Q56" s="449"/>
      <c r="R56" s="16"/>
      <c r="S56" s="62"/>
      <c r="T56" s="331"/>
      <c r="U56" s="332"/>
      <c r="W56" s="333" t="str">
        <f>ادخال1!$N$8</f>
        <v>مكتبة</v>
      </c>
      <c r="X56" s="380">
        <f>ادخال1!$N$7</f>
        <v>1</v>
      </c>
      <c r="Y56" s="448">
        <f>IFERROR(VLOOKUP(AD57,اسماء,13,0),"")</f>
        <v>0</v>
      </c>
      <c r="Z56" s="449"/>
      <c r="AA56" s="448">
        <f>IFERROR(VLOOKUP(AD57,اسماء,23,0),"")</f>
        <v>0</v>
      </c>
      <c r="AB56" s="449"/>
      <c r="AC56" s="16"/>
      <c r="AD56" s="62"/>
      <c r="AE56" s="331"/>
      <c r="AF56" s="332"/>
      <c r="AH56" s="333" t="str">
        <f>ادخال1!$N$8</f>
        <v>مكتبة</v>
      </c>
      <c r="AI56" s="380">
        <f>ادخال1!$N$7</f>
        <v>1</v>
      </c>
      <c r="AJ56" s="448" t="str">
        <f>IFERROR(VLOOKUP(AO57,اسماء,13,0),"")</f>
        <v/>
      </c>
      <c r="AK56" s="449"/>
      <c r="AL56" s="448" t="str">
        <f>IFERROR(VLOOKUP(AO57,اسماء,23,0),"")</f>
        <v/>
      </c>
      <c r="AM56" s="449"/>
      <c r="AN56" s="16"/>
      <c r="AO56" s="62"/>
      <c r="AP56" s="331"/>
      <c r="AQ56" s="332"/>
    </row>
    <row r="57" spans="1:43" ht="29.1" customHeight="1" thickBot="1">
      <c r="A57" s="379" t="s">
        <v>119</v>
      </c>
      <c r="B57" s="473">
        <f>IFERROR(VLOOKUP(H57,اسماء,62,0),"")</f>
        <v>0</v>
      </c>
      <c r="C57" s="473" t="str">
        <f>IFERROR(VLOOKUP(G62,اسماء,8,0),"")</f>
        <v/>
      </c>
      <c r="D57" s="473" t="str">
        <f>IFERROR(VLOOKUP(H62,اسماء,8,0),"")</f>
        <v/>
      </c>
      <c r="E57" s="473" t="str">
        <f>IFERROR(VLOOKUP(I62,اسماء,8,0),"")</f>
        <v/>
      </c>
      <c r="F57" s="309"/>
      <c r="G57" s="16"/>
      <c r="H57" s="474" t="str">
        <f>INDEX(عمود2,MATCH(J44,عمود1))</f>
        <v>رؤى عبدالحميد سيد ابوبكر عبداللطيف</v>
      </c>
      <c r="I57" s="474"/>
      <c r="J57" s="475"/>
      <c r="L57" s="379" t="s">
        <v>119</v>
      </c>
      <c r="M57" s="473">
        <f>IFERROR(VLOOKUP(S57,اسماء,62,0),"")</f>
        <v>120181034240</v>
      </c>
      <c r="N57" s="473" t="str">
        <f>IFERROR(VLOOKUP(R62,اسماء,8,0),"")</f>
        <v/>
      </c>
      <c r="O57" s="473" t="str">
        <f>IFERROR(VLOOKUP(S62,اسماء,8,0),"")</f>
        <v/>
      </c>
      <c r="P57" s="473" t="str">
        <f>IFERROR(VLOOKUP(T62,اسماء,8,0),"")</f>
        <v/>
      </c>
      <c r="Q57" s="309"/>
      <c r="R57" s="16"/>
      <c r="S57" s="474" t="str">
        <f>INDEX(عمود2,MATCH(U44,عمود1))</f>
        <v>عبدالمجيد محمد عبدالمجيد عرابى</v>
      </c>
      <c r="T57" s="474"/>
      <c r="U57" s="475"/>
      <c r="W57" s="379" t="s">
        <v>119</v>
      </c>
      <c r="X57" s="473">
        <f>IFERROR(VLOOKUP(AD57,اسماء,62,0),"")</f>
        <v>120180737423</v>
      </c>
      <c r="Y57" s="473" t="str">
        <f>IFERROR(VLOOKUP(AC62,اسماء,8,0),"")</f>
        <v/>
      </c>
      <c r="Z57" s="473" t="str">
        <f>IFERROR(VLOOKUP(AD62,اسماء,8,0),"")</f>
        <v/>
      </c>
      <c r="AA57" s="473" t="str">
        <f>IFERROR(VLOOKUP(AE62,اسماء,8,0),"")</f>
        <v/>
      </c>
      <c r="AB57" s="309"/>
      <c r="AC57" s="16"/>
      <c r="AD57" s="474" t="str">
        <f>INDEX(عمود2,MATCH(AF44,عمود1))</f>
        <v>نصير نور الدين عبدالله الشاوش</v>
      </c>
      <c r="AE57" s="474"/>
      <c r="AF57" s="475"/>
      <c r="AH57" s="379" t="s">
        <v>119</v>
      </c>
      <c r="AI57" s="473" t="str">
        <f>IFERROR(VLOOKUP(AO57,اسماء,62,0),"")</f>
        <v/>
      </c>
      <c r="AJ57" s="473" t="str">
        <f>IFERROR(VLOOKUP(AN62,اسماء,8,0),"")</f>
        <v/>
      </c>
      <c r="AK57" s="473" t="str">
        <f>IFERROR(VLOOKUP(AO62,اسماء,8,0),"")</f>
        <v/>
      </c>
      <c r="AL57" s="473" t="str">
        <f>IFERROR(VLOOKUP(AP62,اسماء,8,0),"")</f>
        <v/>
      </c>
      <c r="AM57" s="309"/>
      <c r="AN57" s="16"/>
      <c r="AO57" s="474">
        <f>INDEX(عمود2,MATCH(AQ44,عمود1))</f>
        <v>0</v>
      </c>
      <c r="AP57" s="474"/>
      <c r="AQ57" s="475"/>
    </row>
    <row r="58" spans="1:43" ht="29.1" customHeight="1">
      <c r="A58" s="458" t="s">
        <v>57</v>
      </c>
      <c r="B58" s="459"/>
      <c r="C58" s="451">
        <f>IFERROR(VLOOKUP(H57,اسماء,34,0),"")</f>
        <v>0</v>
      </c>
      <c r="D58" s="460"/>
      <c r="E58" s="451">
        <f>IFERROR(VLOOKUP(H57,اسماء,35,0),"")</f>
        <v>0</v>
      </c>
      <c r="F58" s="460"/>
      <c r="G58" s="16"/>
      <c r="H58" s="476" t="s">
        <v>89</v>
      </c>
      <c r="I58" s="476"/>
      <c r="J58" s="477"/>
      <c r="L58" s="458" t="s">
        <v>57</v>
      </c>
      <c r="M58" s="459"/>
      <c r="N58" s="451">
        <f>IFERROR(VLOOKUP(S57,اسماء,34,0),"")</f>
        <v>0</v>
      </c>
      <c r="O58" s="460"/>
      <c r="P58" s="451">
        <f>IFERROR(VLOOKUP(S57,اسماء,35,0),"")</f>
        <v>0</v>
      </c>
      <c r="Q58" s="460"/>
      <c r="R58" s="16"/>
      <c r="S58" s="476" t="s">
        <v>89</v>
      </c>
      <c r="T58" s="476"/>
      <c r="U58" s="477"/>
      <c r="W58" s="458" t="s">
        <v>57</v>
      </c>
      <c r="X58" s="459"/>
      <c r="Y58" s="451">
        <f>IFERROR(VLOOKUP(AD57,اسماء,34,0),"")</f>
        <v>0</v>
      </c>
      <c r="Z58" s="460"/>
      <c r="AA58" s="451">
        <f>IFERROR(VLOOKUP(AD57,اسماء,35,0),"")</f>
        <v>0</v>
      </c>
      <c r="AB58" s="460"/>
      <c r="AC58" s="16"/>
      <c r="AD58" s="476" t="s">
        <v>89</v>
      </c>
      <c r="AE58" s="476"/>
      <c r="AF58" s="477"/>
      <c r="AH58" s="458" t="s">
        <v>57</v>
      </c>
      <c r="AI58" s="459"/>
      <c r="AJ58" s="451" t="str">
        <f>IFERROR(VLOOKUP(AO57,اسماء,34,0),"")</f>
        <v/>
      </c>
      <c r="AK58" s="460"/>
      <c r="AL58" s="451" t="str">
        <f>IFERROR(VLOOKUP(AO57,اسماء,35,0),"")</f>
        <v/>
      </c>
      <c r="AM58" s="460"/>
      <c r="AN58" s="16"/>
      <c r="AO58" s="476" t="s">
        <v>89</v>
      </c>
      <c r="AP58" s="476"/>
      <c r="AQ58" s="477"/>
    </row>
    <row r="59" spans="1:43" ht="29.1" customHeight="1">
      <c r="A59" s="461" t="s">
        <v>58</v>
      </c>
      <c r="B59" s="462"/>
      <c r="C59" s="463">
        <f>IFERROR(VLOOKUP(H57,اسماء,37,0),"")</f>
        <v>0</v>
      </c>
      <c r="D59" s="464"/>
      <c r="E59" s="463">
        <f>IFERROR(VLOOKUP(H57,اسماء,39,0),"")</f>
        <v>0</v>
      </c>
      <c r="F59" s="464"/>
      <c r="G59" s="16"/>
      <c r="H59" s="476"/>
      <c r="I59" s="476"/>
      <c r="J59" s="477"/>
      <c r="L59" s="461" t="s">
        <v>58</v>
      </c>
      <c r="M59" s="462"/>
      <c r="N59" s="463">
        <f>IFERROR(VLOOKUP(S57,اسماء,37,0),"")</f>
        <v>0</v>
      </c>
      <c r="O59" s="464"/>
      <c r="P59" s="463">
        <f>IFERROR(VLOOKUP(S57,اسماء,39,0),"")</f>
        <v>0</v>
      </c>
      <c r="Q59" s="464"/>
      <c r="R59" s="16"/>
      <c r="S59" s="476"/>
      <c r="T59" s="476"/>
      <c r="U59" s="477"/>
      <c r="W59" s="461" t="s">
        <v>58</v>
      </c>
      <c r="X59" s="462"/>
      <c r="Y59" s="463">
        <f>IFERROR(VLOOKUP(AD57,اسماء,37,0),"")</f>
        <v>0</v>
      </c>
      <c r="Z59" s="464"/>
      <c r="AA59" s="463">
        <f>IFERROR(VLOOKUP(AD57,اسماء,39,0),"")</f>
        <v>0</v>
      </c>
      <c r="AB59" s="464"/>
      <c r="AC59" s="16"/>
      <c r="AD59" s="476"/>
      <c r="AE59" s="476"/>
      <c r="AF59" s="477"/>
      <c r="AH59" s="461" t="s">
        <v>58</v>
      </c>
      <c r="AI59" s="462"/>
      <c r="AJ59" s="463" t="str">
        <f>IFERROR(VLOOKUP(AO57,اسماء,37,0),"")</f>
        <v/>
      </c>
      <c r="AK59" s="464"/>
      <c r="AL59" s="463" t="str">
        <f>IFERROR(VLOOKUP(AO57,اسماء,39,0),"")</f>
        <v/>
      </c>
      <c r="AM59" s="464"/>
      <c r="AN59" s="16"/>
      <c r="AO59" s="476"/>
      <c r="AP59" s="476"/>
      <c r="AQ59" s="477"/>
    </row>
    <row r="60" spans="1:43" ht="15" customHeight="1" thickBot="1">
      <c r="A60" s="480" t="s">
        <v>59</v>
      </c>
      <c r="B60" s="481"/>
      <c r="C60" s="482">
        <f>IFERROR(VLOOKUP(H57,اسماء,38,0),"")</f>
        <v>0</v>
      </c>
      <c r="D60" s="483"/>
      <c r="E60" s="482">
        <f>IFERROR(VLOOKUP(H57,اسماء,40,0),"")</f>
        <v>0</v>
      </c>
      <c r="F60" s="483"/>
      <c r="G60" s="16"/>
      <c r="H60" s="478"/>
      <c r="I60" s="478"/>
      <c r="J60" s="479"/>
      <c r="L60" s="480" t="s">
        <v>59</v>
      </c>
      <c r="M60" s="481"/>
      <c r="N60" s="482">
        <f>IFERROR(VLOOKUP(S57,اسماء,38,0),"")</f>
        <v>0</v>
      </c>
      <c r="O60" s="483"/>
      <c r="P60" s="482">
        <f>IFERROR(VLOOKUP(S57,اسماء,40,0),"")</f>
        <v>0</v>
      </c>
      <c r="Q60" s="483"/>
      <c r="R60" s="16"/>
      <c r="S60" s="478"/>
      <c r="T60" s="478"/>
      <c r="U60" s="479"/>
      <c r="W60" s="480" t="s">
        <v>59</v>
      </c>
      <c r="X60" s="481"/>
      <c r="Y60" s="482">
        <f>IFERROR(VLOOKUP(AD57,اسماء,38,0),"")</f>
        <v>0</v>
      </c>
      <c r="Z60" s="483"/>
      <c r="AA60" s="482">
        <f>IFERROR(VLOOKUP(AD57,اسماء,40,0),"")</f>
        <v>0</v>
      </c>
      <c r="AB60" s="483"/>
      <c r="AC60" s="16"/>
      <c r="AD60" s="478"/>
      <c r="AE60" s="478"/>
      <c r="AF60" s="479"/>
      <c r="AH60" s="480" t="s">
        <v>59</v>
      </c>
      <c r="AI60" s="481"/>
      <c r="AJ60" s="482" t="str">
        <f>IFERROR(VLOOKUP(AO57,اسماء,38,0),"")</f>
        <v/>
      </c>
      <c r="AK60" s="483"/>
      <c r="AL60" s="482" t="str">
        <f>IFERROR(VLOOKUP(AO57,اسماء,40,0),"")</f>
        <v/>
      </c>
      <c r="AM60" s="483"/>
      <c r="AN60" s="16"/>
      <c r="AO60" s="478"/>
      <c r="AP60" s="478"/>
      <c r="AQ60" s="479"/>
    </row>
    <row r="61" spans="1:43" ht="29.1" customHeight="1">
      <c r="A61" s="113" t="s">
        <v>14</v>
      </c>
      <c r="B61" s="450" t="s">
        <v>60</v>
      </c>
      <c r="C61" s="450"/>
      <c r="D61" s="468" t="s">
        <v>61</v>
      </c>
      <c r="E61" s="469"/>
      <c r="F61" s="469"/>
      <c r="G61" s="470"/>
      <c r="H61" s="451" t="s">
        <v>84</v>
      </c>
      <c r="I61" s="452"/>
      <c r="J61" s="262"/>
      <c r="L61" s="111" t="s">
        <v>14</v>
      </c>
      <c r="M61" s="450" t="s">
        <v>60</v>
      </c>
      <c r="N61" s="450"/>
      <c r="O61" s="468" t="s">
        <v>61</v>
      </c>
      <c r="P61" s="469"/>
      <c r="Q61" s="469"/>
      <c r="R61" s="470"/>
      <c r="S61" s="451" t="s">
        <v>84</v>
      </c>
      <c r="T61" s="452"/>
      <c r="U61" s="262"/>
      <c r="W61" s="111" t="s">
        <v>14</v>
      </c>
      <c r="X61" s="450" t="s">
        <v>60</v>
      </c>
      <c r="Y61" s="450"/>
      <c r="Z61" s="468" t="s">
        <v>61</v>
      </c>
      <c r="AA61" s="469"/>
      <c r="AB61" s="469"/>
      <c r="AC61" s="470"/>
      <c r="AD61" s="451" t="s">
        <v>84</v>
      </c>
      <c r="AE61" s="452"/>
      <c r="AF61" s="262"/>
      <c r="AH61" s="111" t="s">
        <v>14</v>
      </c>
      <c r="AI61" s="450" t="s">
        <v>60</v>
      </c>
      <c r="AJ61" s="450"/>
      <c r="AK61" s="468" t="s">
        <v>61</v>
      </c>
      <c r="AL61" s="469"/>
      <c r="AM61" s="469"/>
      <c r="AN61" s="470"/>
      <c r="AO61" s="451" t="s">
        <v>84</v>
      </c>
      <c r="AP61" s="452"/>
      <c r="AQ61" s="262"/>
    </row>
    <row r="62" spans="1:43" ht="29.1" customHeight="1">
      <c r="A62" s="25" t="s">
        <v>63</v>
      </c>
      <c r="B62" s="462"/>
      <c r="C62" s="462"/>
      <c r="D62" s="463"/>
      <c r="E62" s="471"/>
      <c r="F62" s="471"/>
      <c r="G62" s="464"/>
      <c r="H62" s="463"/>
      <c r="I62" s="472"/>
      <c r="J62" s="256"/>
      <c r="L62" s="110" t="s">
        <v>63</v>
      </c>
      <c r="M62" s="462"/>
      <c r="N62" s="462"/>
      <c r="O62" s="463"/>
      <c r="P62" s="471"/>
      <c r="Q62" s="471"/>
      <c r="R62" s="464"/>
      <c r="S62" s="463"/>
      <c r="T62" s="472"/>
      <c r="U62" s="256"/>
      <c r="W62" s="110" t="s">
        <v>63</v>
      </c>
      <c r="X62" s="462"/>
      <c r="Y62" s="462"/>
      <c r="Z62" s="463"/>
      <c r="AA62" s="471"/>
      <c r="AB62" s="471"/>
      <c r="AC62" s="464"/>
      <c r="AD62" s="463"/>
      <c r="AE62" s="472"/>
      <c r="AF62" s="256"/>
      <c r="AH62" s="110" t="s">
        <v>63</v>
      </c>
      <c r="AI62" s="462"/>
      <c r="AJ62" s="462"/>
      <c r="AK62" s="463"/>
      <c r="AL62" s="471"/>
      <c r="AM62" s="471"/>
      <c r="AN62" s="464"/>
      <c r="AO62" s="463"/>
      <c r="AP62" s="472"/>
      <c r="AQ62" s="256"/>
    </row>
    <row r="63" spans="1:43" ht="29.1" customHeight="1" thickBot="1">
      <c r="A63" s="114" t="s">
        <v>65</v>
      </c>
      <c r="B63" s="504"/>
      <c r="C63" s="504"/>
      <c r="D63" s="482"/>
      <c r="E63" s="505"/>
      <c r="F63" s="505"/>
      <c r="G63" s="483"/>
      <c r="H63" s="482"/>
      <c r="I63" s="506"/>
      <c r="J63" s="263"/>
      <c r="L63" s="112" t="s">
        <v>65</v>
      </c>
      <c r="M63" s="454"/>
      <c r="N63" s="454"/>
      <c r="O63" s="455"/>
      <c r="P63" s="456"/>
      <c r="Q63" s="456"/>
      <c r="R63" s="457"/>
      <c r="S63" s="455"/>
      <c r="T63" s="467"/>
      <c r="U63" s="263"/>
      <c r="W63" s="112" t="s">
        <v>65</v>
      </c>
      <c r="X63" s="454"/>
      <c r="Y63" s="454"/>
      <c r="Z63" s="455"/>
      <c r="AA63" s="456"/>
      <c r="AB63" s="456"/>
      <c r="AC63" s="457"/>
      <c r="AD63" s="455"/>
      <c r="AE63" s="467"/>
      <c r="AF63" s="263"/>
      <c r="AH63" s="112" t="s">
        <v>65</v>
      </c>
      <c r="AI63" s="454"/>
      <c r="AJ63" s="454"/>
      <c r="AK63" s="455"/>
      <c r="AL63" s="456"/>
      <c r="AM63" s="456"/>
      <c r="AN63" s="457"/>
      <c r="AO63" s="455"/>
      <c r="AP63" s="467"/>
      <c r="AQ63" s="263"/>
    </row>
    <row r="64" spans="1:43" ht="29.1" customHeight="1" thickBot="1"/>
    <row r="65" spans="1:43" ht="29.1" customHeight="1" thickTop="1">
      <c r="A65" s="498" t="s">
        <v>79</v>
      </c>
      <c r="B65" s="499"/>
      <c r="C65" s="499"/>
      <c r="D65" s="499" t="str">
        <f>ادخال1!$K$4</f>
        <v>الثاني</v>
      </c>
      <c r="E65" s="499"/>
      <c r="F65" s="314" t="s">
        <v>80</v>
      </c>
      <c r="G65" s="245"/>
      <c r="H65" s="245"/>
      <c r="I65" s="245"/>
      <c r="J65" s="264">
        <f>J44+1</f>
        <v>4</v>
      </c>
      <c r="L65" s="498" t="s">
        <v>79</v>
      </c>
      <c r="M65" s="499"/>
      <c r="N65" s="499"/>
      <c r="O65" s="499" t="str">
        <f>ادخال1!$K$4</f>
        <v>الثاني</v>
      </c>
      <c r="P65" s="499"/>
      <c r="Q65" s="314" t="s">
        <v>80</v>
      </c>
      <c r="R65" s="245"/>
      <c r="S65" s="245"/>
      <c r="T65" s="245"/>
      <c r="U65" s="264">
        <f>U44+1</f>
        <v>9</v>
      </c>
      <c r="W65" s="498" t="s">
        <v>79</v>
      </c>
      <c r="X65" s="499"/>
      <c r="Y65" s="499"/>
      <c r="Z65" s="499" t="str">
        <f>ادخال1!$K$4</f>
        <v>الثاني</v>
      </c>
      <c r="AA65" s="499"/>
      <c r="AB65" s="314" t="s">
        <v>80</v>
      </c>
      <c r="AC65" s="245"/>
      <c r="AD65" s="245"/>
      <c r="AE65" s="245"/>
      <c r="AF65" s="264">
        <f>AF44+1</f>
        <v>14</v>
      </c>
      <c r="AH65" s="498" t="s">
        <v>79</v>
      </c>
      <c r="AI65" s="499"/>
      <c r="AJ65" s="499"/>
      <c r="AK65" s="499" t="str">
        <f>ادخال1!$K$4</f>
        <v>الثاني</v>
      </c>
      <c r="AL65" s="499"/>
      <c r="AM65" s="314" t="s">
        <v>80</v>
      </c>
      <c r="AN65" s="245"/>
      <c r="AO65" s="245"/>
      <c r="AP65" s="245"/>
      <c r="AQ65" s="264">
        <f>AQ44+1</f>
        <v>19</v>
      </c>
    </row>
    <row r="66" spans="1:43" ht="29.1" customHeight="1" thickBot="1">
      <c r="A66" s="1" t="s">
        <v>152</v>
      </c>
      <c r="B66" s="453" t="str">
        <f>ادخال1!$B$5</f>
        <v xml:space="preserve"> سهول العلم للتعليم الخاص </v>
      </c>
      <c r="C66" s="453"/>
      <c r="D66" s="453"/>
      <c r="E66" s="453"/>
      <c r="F66" s="312" t="s">
        <v>9</v>
      </c>
      <c r="G66" s="484" t="str">
        <f>H78</f>
        <v>زكريا محمد علي علي</v>
      </c>
      <c r="H66" s="484"/>
      <c r="I66" s="484"/>
      <c r="J66" s="485"/>
      <c r="L66" s="1" t="s">
        <v>152</v>
      </c>
      <c r="M66" s="453" t="str">
        <f>ادخال1!$B$5</f>
        <v xml:space="preserve"> سهول العلم للتعليم الخاص </v>
      </c>
      <c r="N66" s="453"/>
      <c r="O66" s="453"/>
      <c r="P66" s="453"/>
      <c r="Q66" s="312" t="s">
        <v>9</v>
      </c>
      <c r="R66" s="484" t="str">
        <f>S78</f>
        <v>قاسم عبدالمنعم موسي الشيخي</v>
      </c>
      <c r="S66" s="484"/>
      <c r="T66" s="484"/>
      <c r="U66" s="485"/>
      <c r="W66" s="1" t="s">
        <v>152</v>
      </c>
      <c r="X66" s="453" t="str">
        <f>ادخال1!$B$5</f>
        <v xml:space="preserve"> سهول العلم للتعليم الخاص </v>
      </c>
      <c r="Y66" s="453"/>
      <c r="Z66" s="453"/>
      <c r="AA66" s="453"/>
      <c r="AB66" s="312" t="s">
        <v>9</v>
      </c>
      <c r="AC66" s="484" t="str">
        <f>AD78</f>
        <v>وسام خليل محمد علي المغربي</v>
      </c>
      <c r="AD66" s="484"/>
      <c r="AE66" s="484"/>
      <c r="AF66" s="485"/>
      <c r="AH66" s="1" t="s">
        <v>152</v>
      </c>
      <c r="AI66" s="453" t="str">
        <f>ادخال1!$B$5</f>
        <v xml:space="preserve"> سهول العلم للتعليم الخاص </v>
      </c>
      <c r="AJ66" s="453"/>
      <c r="AK66" s="453"/>
      <c r="AL66" s="453"/>
      <c r="AM66" s="312" t="s">
        <v>9</v>
      </c>
      <c r="AN66" s="484">
        <f>AO78</f>
        <v>0</v>
      </c>
      <c r="AO66" s="484"/>
      <c r="AP66" s="484"/>
      <c r="AQ66" s="485"/>
    </row>
    <row r="67" spans="1:43" ht="29.1" customHeight="1" thickBot="1">
      <c r="A67" s="237" t="s">
        <v>44</v>
      </c>
      <c r="B67" s="488" t="s">
        <v>12</v>
      </c>
      <c r="C67" s="490" t="s">
        <v>45</v>
      </c>
      <c r="D67" s="491"/>
      <c r="E67" s="492" t="s">
        <v>46</v>
      </c>
      <c r="F67" s="491"/>
      <c r="G67" s="24"/>
      <c r="H67" s="493" t="s">
        <v>49</v>
      </c>
      <c r="I67" s="494"/>
      <c r="J67" s="495"/>
      <c r="L67" s="237" t="s">
        <v>44</v>
      </c>
      <c r="M67" s="488" t="s">
        <v>12</v>
      </c>
      <c r="N67" s="490" t="s">
        <v>45</v>
      </c>
      <c r="O67" s="491"/>
      <c r="P67" s="492" t="s">
        <v>46</v>
      </c>
      <c r="Q67" s="491"/>
      <c r="R67" s="24"/>
      <c r="S67" s="493" t="s">
        <v>49</v>
      </c>
      <c r="T67" s="494"/>
      <c r="U67" s="495"/>
      <c r="W67" s="237" t="s">
        <v>44</v>
      </c>
      <c r="X67" s="488" t="s">
        <v>12</v>
      </c>
      <c r="Y67" s="490" t="s">
        <v>45</v>
      </c>
      <c r="Z67" s="491"/>
      <c r="AA67" s="492" t="s">
        <v>46</v>
      </c>
      <c r="AB67" s="491"/>
      <c r="AC67" s="24"/>
      <c r="AD67" s="493" t="s">
        <v>49</v>
      </c>
      <c r="AE67" s="494"/>
      <c r="AF67" s="495"/>
      <c r="AH67" s="237" t="s">
        <v>44</v>
      </c>
      <c r="AI67" s="488" t="s">
        <v>12</v>
      </c>
      <c r="AJ67" s="490" t="s">
        <v>45</v>
      </c>
      <c r="AK67" s="491"/>
      <c r="AL67" s="492" t="s">
        <v>46</v>
      </c>
      <c r="AM67" s="491"/>
      <c r="AN67" s="24"/>
      <c r="AO67" s="493" t="s">
        <v>49</v>
      </c>
      <c r="AP67" s="494"/>
      <c r="AQ67" s="495"/>
    </row>
    <row r="68" spans="1:43" ht="29.1" customHeight="1" thickBot="1">
      <c r="A68" s="238" t="s">
        <v>2</v>
      </c>
      <c r="B68" s="489"/>
      <c r="C68" s="37" t="s">
        <v>50</v>
      </c>
      <c r="D68" s="308" t="s">
        <v>51</v>
      </c>
      <c r="E68" s="38" t="s">
        <v>50</v>
      </c>
      <c r="F68" s="308" t="s">
        <v>51</v>
      </c>
      <c r="G68" s="8"/>
      <c r="H68" s="255" t="s">
        <v>54</v>
      </c>
      <c r="I68" s="496" t="str">
        <f>IF(D74=0,"",IF(AND(D69&gt;=C69*0.4,D70&gt;=C70*0.4,D71&gt;=C71*0.4,D72&gt;=C72*0.4,D73&gt;=C73*0.4),LOOKUP(D74,'النتيجة النهائية'!$AA$6:$AB$10),"ضعيف ويحتاج الى اهتمام في المواد"))</f>
        <v>ممتاز</v>
      </c>
      <c r="J68" s="497"/>
      <c r="L68" s="238" t="s">
        <v>2</v>
      </c>
      <c r="M68" s="489"/>
      <c r="N68" s="37" t="s">
        <v>50</v>
      </c>
      <c r="O68" s="308" t="s">
        <v>51</v>
      </c>
      <c r="P68" s="38" t="s">
        <v>50</v>
      </c>
      <c r="Q68" s="308" t="s">
        <v>51</v>
      </c>
      <c r="R68" s="8"/>
      <c r="S68" s="255" t="s">
        <v>54</v>
      </c>
      <c r="T68" s="496" t="str">
        <f>IF(O74=0,"",IF(AND(O69&gt;=N69*0.4,O70&gt;=N70*0.4,O71&gt;=N71*0.4,O72&gt;=N72*0.4,O73&gt;=N73*0.4),LOOKUP(O74,'النتيجة النهائية'!$AA$6:$AB$10),"ضعيف ويحتاج الى اهتمام في المواد"))</f>
        <v>ممتاز</v>
      </c>
      <c r="U68" s="497"/>
      <c r="W68" s="238" t="s">
        <v>2</v>
      </c>
      <c r="X68" s="489"/>
      <c r="Y68" s="37" t="s">
        <v>50</v>
      </c>
      <c r="Z68" s="308" t="s">
        <v>51</v>
      </c>
      <c r="AA68" s="38" t="s">
        <v>50</v>
      </c>
      <c r="AB68" s="308" t="s">
        <v>51</v>
      </c>
      <c r="AC68" s="8"/>
      <c r="AD68" s="255" t="s">
        <v>54</v>
      </c>
      <c r="AE68" s="496" t="str">
        <f>IF(Z74=0,"",IF(AND(Z69&gt;=Y69*0.4,Z70&gt;=Y70*0.4,Z71&gt;=Y71*0.4,Z72&gt;=Y72*0.4,Z73&gt;=Y73*0.4),LOOKUP(Z74,'النتيجة النهائية'!$AA$6:$AB$10),"ضعيف ويحتاج الى اهتمام في المواد"))</f>
        <v>ممتاز</v>
      </c>
      <c r="AF68" s="497"/>
      <c r="AH68" s="238" t="s">
        <v>2</v>
      </c>
      <c r="AI68" s="489"/>
      <c r="AJ68" s="37" t="s">
        <v>50</v>
      </c>
      <c r="AK68" s="308" t="s">
        <v>51</v>
      </c>
      <c r="AL68" s="38" t="s">
        <v>50</v>
      </c>
      <c r="AM68" s="308" t="s">
        <v>51</v>
      </c>
      <c r="AN68" s="8"/>
      <c r="AO68" s="255" t="s">
        <v>54</v>
      </c>
      <c r="AP68" s="496" t="str">
        <f>IF(AK74=0,"",IF(AND(AK69&gt;=AJ69*0.4,AK70&gt;=AJ70*0.4,AK71&gt;=AJ71*0.4,AK72&gt;=AJ72*0.4,AK73&gt;=AJ73*0.4),LOOKUP(AK74,'النتيجة النهائية'!$AA$6:$AB$10),"ضعيف ويحتاج الى اهتمام في المواد"))</f>
        <v/>
      </c>
      <c r="AQ68" s="497"/>
    </row>
    <row r="69" spans="1:43" ht="29.1" customHeight="1">
      <c r="A69" s="236" t="str">
        <f>ادخال1!$F$9</f>
        <v>التربية الإسلامية</v>
      </c>
      <c r="B69" s="44">
        <f>ادخال1!$F$7</f>
        <v>3</v>
      </c>
      <c r="C69" s="39">
        <f t="shared" ref="C69:C70" si="24">40*B69*0.3</f>
        <v>36</v>
      </c>
      <c r="D69" s="283">
        <f xml:space="preserve"> IFERROR(VLOOKUP(H78,اسماء,5,0),"")</f>
        <v>36</v>
      </c>
      <c r="E69" s="41">
        <f t="shared" ref="E69:E70" si="25">40*B69*0.3</f>
        <v>36</v>
      </c>
      <c r="F69" s="283">
        <f>IFERROR(VLOOKUP(H78,اسماء,15,0),"")</f>
        <v>0</v>
      </c>
      <c r="G69" s="16"/>
      <c r="H69" s="25" t="str">
        <f>IF(D69=0,"",IF(D69&lt;C69*0.4,A69,""))</f>
        <v/>
      </c>
      <c r="I69" s="27" t="str">
        <f>IF(D70=0,"",IF(D70&lt;C70*0.4,A70,""))</f>
        <v/>
      </c>
      <c r="J69" s="26" t="str">
        <f>IF(D71=0,"",IF(D71&lt;C71*0.4,A71,""))</f>
        <v/>
      </c>
      <c r="L69" s="236" t="str">
        <f>ادخال1!$F$9</f>
        <v>التربية الإسلامية</v>
      </c>
      <c r="M69" s="44">
        <f>ادخال1!$F$7</f>
        <v>3</v>
      </c>
      <c r="N69" s="39">
        <f t="shared" ref="N69:N70" si="26">40*M69*0.3</f>
        <v>36</v>
      </c>
      <c r="O69" s="283">
        <f xml:space="preserve"> IFERROR(VLOOKUP(S78,اسماء,5,0),"")</f>
        <v>35</v>
      </c>
      <c r="P69" s="41">
        <f t="shared" ref="P69:P70" si="27">40*M69*0.3</f>
        <v>36</v>
      </c>
      <c r="Q69" s="283">
        <f>IFERROR(VLOOKUP(S78,اسماء,15,0),"")</f>
        <v>0</v>
      </c>
      <c r="R69" s="16"/>
      <c r="S69" s="25" t="str">
        <f>IF(O69=0,"",IF(O69&lt;N69*0.4,L69,""))</f>
        <v/>
      </c>
      <c r="T69" s="27" t="str">
        <f>IF(O70=0,"",IF(O70&lt;N70*0.4,L70,""))</f>
        <v/>
      </c>
      <c r="U69" s="26" t="str">
        <f>IF(O71=0,"",IF(O71&lt;N71*0.4,L71,""))</f>
        <v/>
      </c>
      <c r="W69" s="236" t="str">
        <f>ادخال1!$F$9</f>
        <v>التربية الإسلامية</v>
      </c>
      <c r="X69" s="44">
        <f>ادخال1!$F$7</f>
        <v>3</v>
      </c>
      <c r="Y69" s="39">
        <f t="shared" ref="Y69:Y70" si="28">40*X69*0.3</f>
        <v>36</v>
      </c>
      <c r="Z69" s="283">
        <f xml:space="preserve"> IFERROR(VLOOKUP(AD78,اسماء,5,0),"")</f>
        <v>34</v>
      </c>
      <c r="AA69" s="41">
        <f t="shared" ref="AA69:AA70" si="29">40*X69*0.3</f>
        <v>36</v>
      </c>
      <c r="AB69" s="283">
        <f>IFERROR(VLOOKUP(AD78,اسماء,15,0),"")</f>
        <v>0</v>
      </c>
      <c r="AC69" s="16"/>
      <c r="AD69" s="25" t="str">
        <f>IF(Z69=0,"",IF(Z69&lt;Y69*0.4,W69,""))</f>
        <v/>
      </c>
      <c r="AE69" s="27" t="str">
        <f>IF(Z70=0,"",IF(Z70&lt;Y70*0.4,W70,""))</f>
        <v/>
      </c>
      <c r="AF69" s="26" t="str">
        <f>IF(Z71=0,"",IF(Z71&lt;Y71*0.4,W71,""))</f>
        <v/>
      </c>
      <c r="AH69" s="236" t="str">
        <f>ادخال1!$F$9</f>
        <v>التربية الإسلامية</v>
      </c>
      <c r="AI69" s="44">
        <f>ادخال1!$F$7</f>
        <v>3</v>
      </c>
      <c r="AJ69" s="39">
        <f t="shared" ref="AJ69:AJ70" si="30">40*AI69*0.3</f>
        <v>36</v>
      </c>
      <c r="AK69" s="283" t="str">
        <f xml:space="preserve"> IFERROR(VLOOKUP(AO78,اسماء,5,0),"")</f>
        <v/>
      </c>
      <c r="AL69" s="41">
        <f t="shared" ref="AL69:AL70" si="31">40*AI69*0.3</f>
        <v>36</v>
      </c>
      <c r="AM69" s="283" t="str">
        <f>IFERROR(VLOOKUP(AO78,اسماء,15,0),"")</f>
        <v/>
      </c>
      <c r="AN69" s="16"/>
      <c r="AO69" s="25" t="str">
        <f>IF(AK69=0,"",IF(AK69&lt;AJ69*0.4,AH69,""))</f>
        <v/>
      </c>
      <c r="AP69" s="27" t="str">
        <f>IF(AK70=0,"",IF(AK70&lt;AJ70*0.4,AH70,""))</f>
        <v/>
      </c>
      <c r="AQ69" s="26" t="str">
        <f>IF(AK71=0,"",IF(AK71&lt;AJ71*0.4,AH71,""))</f>
        <v/>
      </c>
    </row>
    <row r="70" spans="1:43" ht="29.1" customHeight="1" thickBot="1">
      <c r="A70" s="51" t="str">
        <f>ادخال1!$G$9</f>
        <v>اللغة العربية</v>
      </c>
      <c r="B70" s="45">
        <f>ادخال1!$G$7</f>
        <v>6</v>
      </c>
      <c r="C70" s="39">
        <f t="shared" si="24"/>
        <v>72</v>
      </c>
      <c r="D70" s="283">
        <f>IFERROR(VLOOKUP(H78,اسماء,6,0),"")</f>
        <v>69</v>
      </c>
      <c r="E70" s="41">
        <f t="shared" si="25"/>
        <v>72</v>
      </c>
      <c r="F70" s="283">
        <f>IFERROR(VLOOKUP(H78,اسماء,16,0),"")</f>
        <v>0</v>
      </c>
      <c r="G70" s="16"/>
      <c r="H70" s="114" t="str">
        <f>IF(D72=0,"",IF(D72&lt;C72*0.4,A72,""))</f>
        <v/>
      </c>
      <c r="I70" s="252" t="str">
        <f>IF(D73=0,"",IF(D73&lt;C73*0.4,A73,""))</f>
        <v/>
      </c>
      <c r="J70" s="253"/>
      <c r="L70" s="51" t="str">
        <f>ادخال1!$G$9</f>
        <v>اللغة العربية</v>
      </c>
      <c r="M70" s="45">
        <f>ادخال1!$G$7</f>
        <v>6</v>
      </c>
      <c r="N70" s="39">
        <f t="shared" si="26"/>
        <v>72</v>
      </c>
      <c r="O70" s="283">
        <f>IFERROR(VLOOKUP(S78,اسماء,6,0),"")</f>
        <v>68</v>
      </c>
      <c r="P70" s="41">
        <f t="shared" si="27"/>
        <v>72</v>
      </c>
      <c r="Q70" s="283">
        <f>IFERROR(VLOOKUP(S78,اسماء,16,0),"")</f>
        <v>0</v>
      </c>
      <c r="R70" s="16"/>
      <c r="S70" s="114" t="str">
        <f>IF(O72=0,"",IF(O72&lt;N72*0.4,L72,""))</f>
        <v/>
      </c>
      <c r="T70" s="252" t="str">
        <f>IF(O73=0,"",IF(O73&lt;N73*0.4,L73,""))</f>
        <v/>
      </c>
      <c r="U70" s="253"/>
      <c r="W70" s="51" t="str">
        <f>ادخال1!$G$9</f>
        <v>اللغة العربية</v>
      </c>
      <c r="X70" s="45">
        <f>ادخال1!$G$7</f>
        <v>6</v>
      </c>
      <c r="Y70" s="39">
        <f t="shared" si="28"/>
        <v>72</v>
      </c>
      <c r="Z70" s="283">
        <f>IFERROR(VLOOKUP(AD78,اسماء,6,0),"")</f>
        <v>64</v>
      </c>
      <c r="AA70" s="41">
        <f t="shared" si="29"/>
        <v>72</v>
      </c>
      <c r="AB70" s="283">
        <f>IFERROR(VLOOKUP(AD78,اسماء,16,0),"")</f>
        <v>0</v>
      </c>
      <c r="AC70" s="16"/>
      <c r="AD70" s="114" t="str">
        <f>IF(Z72=0,"",IF(Z72&lt;Y72*0.4,W72,""))</f>
        <v/>
      </c>
      <c r="AE70" s="252" t="str">
        <f>IF(Z73=0,"",IF(Z73&lt;Y73*0.4,W73,""))</f>
        <v/>
      </c>
      <c r="AF70" s="253"/>
      <c r="AH70" s="51" t="str">
        <f>ادخال1!$G$9</f>
        <v>اللغة العربية</v>
      </c>
      <c r="AI70" s="45">
        <f>ادخال1!$G$7</f>
        <v>6</v>
      </c>
      <c r="AJ70" s="39">
        <f t="shared" si="30"/>
        <v>72</v>
      </c>
      <c r="AK70" s="283" t="str">
        <f>IFERROR(VLOOKUP(AO78,اسماء,6,0),"")</f>
        <v/>
      </c>
      <c r="AL70" s="41">
        <f t="shared" si="31"/>
        <v>72</v>
      </c>
      <c r="AM70" s="283" t="str">
        <f>IFERROR(VLOOKUP(AO78,اسماء,16,0),"")</f>
        <v/>
      </c>
      <c r="AN70" s="16"/>
      <c r="AO70" s="114" t="str">
        <f>IF(AK72=0,"",IF(AK72&lt;AJ72*0.4,AH72,""))</f>
        <v/>
      </c>
      <c r="AP70" s="252" t="str">
        <f>IF(AK73=0,"",IF(AK73&lt;AJ73*0.4,AH73,""))</f>
        <v/>
      </c>
      <c r="AQ70" s="253"/>
    </row>
    <row r="71" spans="1:43" ht="29.1" customHeight="1">
      <c r="A71" s="127" t="str">
        <f>ادخال1!$H$9</f>
        <v>اللغة الإنجليزية</v>
      </c>
      <c r="B71" s="45">
        <f>ادخال1!$H$7</f>
        <v>3</v>
      </c>
      <c r="C71" s="39">
        <f>40*B71*0.3</f>
        <v>36</v>
      </c>
      <c r="D71" s="283">
        <f>IFERROR(VLOOKUP(H78,اسماء,7,0),"")</f>
        <v>35</v>
      </c>
      <c r="E71" s="41">
        <f>40*B71*0.3</f>
        <v>36</v>
      </c>
      <c r="F71" s="283">
        <f>IFERROR(VLOOKUP(H78,اسماء,17,0),"")</f>
        <v>0</v>
      </c>
      <c r="G71" s="16"/>
      <c r="H71" s="254" t="s">
        <v>156</v>
      </c>
      <c r="I71" s="496" t="str">
        <f>IF(F74=0,"",IF(AND(F69&gt;=E69*0.4,F70&gt;=E70*0.4,F71&gt;=E71*0.4,F72&gt;=E72*0.4,F73&gt;=E73*0.4),LOOKUP(F74,'النتيجة النهائية'!$AA$6:$AB$10),"ضعيف ويحتاج الى اهتمام في المواد"))</f>
        <v/>
      </c>
      <c r="J71" s="497"/>
      <c r="L71" s="127" t="str">
        <f>ادخال1!$H$9</f>
        <v>اللغة الإنجليزية</v>
      </c>
      <c r="M71" s="45">
        <f>ادخال1!$H$7</f>
        <v>3</v>
      </c>
      <c r="N71" s="39">
        <f>40*M71*0.3</f>
        <v>36</v>
      </c>
      <c r="O71" s="283">
        <f>IFERROR(VLOOKUP(S78,اسماء,7,0),"")</f>
        <v>36</v>
      </c>
      <c r="P71" s="41">
        <f>40*M71*0.3</f>
        <v>36</v>
      </c>
      <c r="Q71" s="283">
        <f>IFERROR(VLOOKUP(S78,اسماء,17,0),"")</f>
        <v>0</v>
      </c>
      <c r="R71" s="16"/>
      <c r="S71" s="254" t="s">
        <v>156</v>
      </c>
      <c r="T71" s="496" t="str">
        <f>IF(Q74=0,"",IF(AND(Q69&gt;=P69*0.4,Q70&gt;=P70*0.4,Q71&gt;=P71*0.4,Q72&gt;=P72*0.4,Q73&gt;=P73*0.4),LOOKUP(Q74,'النتيجة النهائية'!$AA$6:$AB$10),"ضعيف ويحتاج الى اهتمام في المواد"))</f>
        <v/>
      </c>
      <c r="U71" s="497"/>
      <c r="W71" s="127" t="str">
        <f>ادخال1!$H$9</f>
        <v>اللغة الإنجليزية</v>
      </c>
      <c r="X71" s="45">
        <f>ادخال1!$H$7</f>
        <v>3</v>
      </c>
      <c r="Y71" s="39">
        <f>40*X71*0.3</f>
        <v>36</v>
      </c>
      <c r="Z71" s="283">
        <f>IFERROR(VLOOKUP(AD78,اسماء,7,0),"")</f>
        <v>35</v>
      </c>
      <c r="AA71" s="41">
        <f>40*X71*0.3</f>
        <v>36</v>
      </c>
      <c r="AB71" s="283">
        <f>IFERROR(VLOOKUP(AD78,اسماء,17,0),"")</f>
        <v>0</v>
      </c>
      <c r="AC71" s="16"/>
      <c r="AD71" s="254" t="s">
        <v>156</v>
      </c>
      <c r="AE71" s="496" t="str">
        <f>IF(AB74=0,"",IF(AND(AB69&gt;=AA69*0.4,AB70&gt;=AA70*0.4,AB71&gt;=AA71*0.4,AB72&gt;=AA72*0.4,AB73&gt;=AA73*0.4),LOOKUP(AB74,'النتيجة النهائية'!$AA$6:$AB$10),"ضعيف ويحتاج الى اهتمام في المواد"))</f>
        <v/>
      </c>
      <c r="AF71" s="497"/>
      <c r="AH71" s="127" t="str">
        <f>ادخال1!$H$9</f>
        <v>اللغة الإنجليزية</v>
      </c>
      <c r="AI71" s="45">
        <f>ادخال1!$H$7</f>
        <v>3</v>
      </c>
      <c r="AJ71" s="39">
        <f>40*AI71*0.3</f>
        <v>36</v>
      </c>
      <c r="AK71" s="283" t="str">
        <f>IFERROR(VLOOKUP(AO78,اسماء,7,0),"")</f>
        <v/>
      </c>
      <c r="AL71" s="41">
        <f>40*AI71*0.3</f>
        <v>36</v>
      </c>
      <c r="AM71" s="283" t="str">
        <f>IFERROR(VLOOKUP(AO78,اسماء,17,0),"")</f>
        <v/>
      </c>
      <c r="AN71" s="16"/>
      <c r="AO71" s="254" t="s">
        <v>156</v>
      </c>
      <c r="AP71" s="496" t="str">
        <f>IF(AM74=0,"",IF(AND(AM69&gt;=AL69*0.4,AM70&gt;=AL70*0.4,AM71&gt;=AL71*0.4,AM72&gt;=AL72*0.4,AM73&gt;=AL73*0.4),LOOKUP(AM74,'النتيجة النهائية'!$AA$6:$AB$10),"ضعيف ويحتاج الى اهتمام في المواد"))</f>
        <v/>
      </c>
      <c r="AQ71" s="497"/>
    </row>
    <row r="72" spans="1:43" ht="29.1" customHeight="1">
      <c r="A72" s="51" t="str">
        <f>ادخال1!$I$9</f>
        <v>الحاسوب</v>
      </c>
      <c r="B72" s="45">
        <f>ادخال1!$I$7</f>
        <v>1</v>
      </c>
      <c r="C72" s="39">
        <f>40*B72*0.3</f>
        <v>12</v>
      </c>
      <c r="D72" s="283">
        <f>IFERROR(VLOOKUP(H78,اسماء,8,0),"")</f>
        <v>12</v>
      </c>
      <c r="E72" s="41">
        <f>40*B72*0.3</f>
        <v>12</v>
      </c>
      <c r="F72" s="283">
        <f>IFERROR(VLOOKUP(H78,اسماء,18,0),"")</f>
        <v>0</v>
      </c>
      <c r="G72" s="16"/>
      <c r="H72" s="25" t="str">
        <f>IF(F69=0,"",IF(F69&lt;E69*0.4,A69,""))</f>
        <v/>
      </c>
      <c r="I72" s="27" t="str">
        <f>IF(F70=0,"",IF(F70&lt;E70*0.4,A70,""))</f>
        <v/>
      </c>
      <c r="J72" s="26" t="str">
        <f>IF(F71=0,"",IF(F71&lt;E71*0.4,A71,""))</f>
        <v/>
      </c>
      <c r="L72" s="51" t="str">
        <f>ادخال1!$I$9</f>
        <v>الحاسوب</v>
      </c>
      <c r="M72" s="45">
        <f>ادخال1!$I$7</f>
        <v>1</v>
      </c>
      <c r="N72" s="39">
        <f>40*M72*0.3</f>
        <v>12</v>
      </c>
      <c r="O72" s="283">
        <f>IFERROR(VLOOKUP(S78,اسماء,8,0),"")</f>
        <v>12</v>
      </c>
      <c r="P72" s="41">
        <f>40*M72*0.3</f>
        <v>12</v>
      </c>
      <c r="Q72" s="283">
        <f>IFERROR(VLOOKUP(S78,اسماء,18,0),"")</f>
        <v>0</v>
      </c>
      <c r="R72" s="16"/>
      <c r="S72" s="25" t="str">
        <f>IF(Q69=0,"",IF(Q69&lt;P69*0.4,L69,""))</f>
        <v/>
      </c>
      <c r="T72" s="27" t="str">
        <f>IF(Q70=0,"",IF(Q70&lt;P70*0.4,L70,""))</f>
        <v/>
      </c>
      <c r="U72" s="26" t="str">
        <f>IF(Q71=0,"",IF(Q71&lt;P71*0.4,L71,""))</f>
        <v/>
      </c>
      <c r="W72" s="51" t="str">
        <f>ادخال1!$I$9</f>
        <v>الحاسوب</v>
      </c>
      <c r="X72" s="45">
        <f>ادخال1!$I$7</f>
        <v>1</v>
      </c>
      <c r="Y72" s="39">
        <f>40*X72*0.3</f>
        <v>12</v>
      </c>
      <c r="Z72" s="283">
        <f>IFERROR(VLOOKUP(AD78,اسماء,8,0),"")</f>
        <v>12</v>
      </c>
      <c r="AA72" s="41">
        <f>40*X72*0.3</f>
        <v>12</v>
      </c>
      <c r="AB72" s="283">
        <f>IFERROR(VLOOKUP(AD78,اسماء,18,0),"")</f>
        <v>0</v>
      </c>
      <c r="AC72" s="16"/>
      <c r="AD72" s="25" t="str">
        <f>IF(AB69=0,"",IF(AB69&lt;AA69*0.4,W69,""))</f>
        <v/>
      </c>
      <c r="AE72" s="27" t="str">
        <f>IF(AB70=0,"",IF(AB70&lt;AA70*0.4,W70,""))</f>
        <v/>
      </c>
      <c r="AF72" s="26" t="str">
        <f>IF(AB71=0,"",IF(AB71&lt;AA71*0.4,W71,""))</f>
        <v/>
      </c>
      <c r="AH72" s="51" t="str">
        <f>ادخال1!$I$9</f>
        <v>الحاسوب</v>
      </c>
      <c r="AI72" s="45">
        <f>ادخال1!$I$7</f>
        <v>1</v>
      </c>
      <c r="AJ72" s="39">
        <f>40*AI72*0.3</f>
        <v>12</v>
      </c>
      <c r="AK72" s="283" t="str">
        <f>IFERROR(VLOOKUP(AO78,اسماء,8,0),"")</f>
        <v/>
      </c>
      <c r="AL72" s="41">
        <f>40*AI72*0.3</f>
        <v>12</v>
      </c>
      <c r="AM72" s="283" t="str">
        <f>IFERROR(VLOOKUP(AO78,اسماء,18,0),"")</f>
        <v/>
      </c>
      <c r="AN72" s="16"/>
      <c r="AO72" s="25" t="str">
        <f>IF(AM69=0,"",IF(AM69&lt;AL69*0.4,AH69,""))</f>
        <v/>
      </c>
      <c r="AP72" s="27" t="str">
        <f>IF(AM70=0,"",IF(AM70&lt;AL70*0.4,AH70,""))</f>
        <v/>
      </c>
      <c r="AQ72" s="26" t="str">
        <f>IF(AM71=0,"",IF(AM71&lt;AL71*0.4,AH71,""))</f>
        <v/>
      </c>
    </row>
    <row r="73" spans="1:43" ht="29.1" customHeight="1" thickBot="1">
      <c r="A73" s="109" t="str">
        <f>ادخال1!$J$9</f>
        <v>الرياضيات</v>
      </c>
      <c r="B73" s="46">
        <f>ادخال1!$J$7</f>
        <v>5</v>
      </c>
      <c r="C73" s="39">
        <f>40*B73*0.3</f>
        <v>60</v>
      </c>
      <c r="D73" s="283">
        <f>IFERROR(VLOOKUP(H78,اسماء,9,0),"")</f>
        <v>60</v>
      </c>
      <c r="E73" s="41">
        <f>40*B73*0.3</f>
        <v>60</v>
      </c>
      <c r="F73" s="283">
        <f>IFERROR(VLOOKUP(H78,اسماء,19,0),"")</f>
        <v>0</v>
      </c>
      <c r="G73" s="16"/>
      <c r="H73" s="114" t="str">
        <f>IF(F72=0,"",IF(F72&lt;E72*0.4,A72,""))</f>
        <v/>
      </c>
      <c r="I73" s="252" t="str">
        <f>IF(F73=0,"",IF(F73&lt;E73*0.4,A73,""))</f>
        <v/>
      </c>
      <c r="J73" s="253"/>
      <c r="L73" s="109" t="str">
        <f>ادخال1!$J$9</f>
        <v>الرياضيات</v>
      </c>
      <c r="M73" s="46">
        <f>ادخال1!$J$7</f>
        <v>5</v>
      </c>
      <c r="N73" s="39">
        <f>40*M73*0.3</f>
        <v>60</v>
      </c>
      <c r="O73" s="283">
        <f>IFERROR(VLOOKUP(S78,اسماء,9,0),"")</f>
        <v>60</v>
      </c>
      <c r="P73" s="41">
        <f>40*M73*0.3</f>
        <v>60</v>
      </c>
      <c r="Q73" s="283">
        <f>IFERROR(VLOOKUP(S78,اسماء,19,0),"")</f>
        <v>0</v>
      </c>
      <c r="R73" s="16"/>
      <c r="S73" s="114" t="str">
        <f>IF(Q72=0,"",IF(Q72&lt;P72*0.4,L72,""))</f>
        <v/>
      </c>
      <c r="T73" s="252" t="str">
        <f>IF(Q73=0,"",IF(Q73&lt;P73*0.4,L73,""))</f>
        <v/>
      </c>
      <c r="U73" s="253"/>
      <c r="W73" s="109" t="str">
        <f>ادخال1!$J$9</f>
        <v>الرياضيات</v>
      </c>
      <c r="X73" s="46">
        <f>ادخال1!$J$7</f>
        <v>5</v>
      </c>
      <c r="Y73" s="39">
        <f>40*X73*0.3</f>
        <v>60</v>
      </c>
      <c r="Z73" s="283">
        <f>IFERROR(VLOOKUP(AD78,اسماء,9,0),"")</f>
        <v>59</v>
      </c>
      <c r="AA73" s="41">
        <f>40*X73*0.3</f>
        <v>60</v>
      </c>
      <c r="AB73" s="283">
        <f>IFERROR(VLOOKUP(AD78,اسماء,19,0),"")</f>
        <v>0</v>
      </c>
      <c r="AC73" s="16"/>
      <c r="AD73" s="114" t="str">
        <f>IF(AB72=0,"",IF(AB72&lt;AA72*0.4,W72,""))</f>
        <v/>
      </c>
      <c r="AE73" s="252" t="str">
        <f>IF(AB73=0,"",IF(AB73&lt;AA73*0.4,W73,""))</f>
        <v/>
      </c>
      <c r="AF73" s="253"/>
      <c r="AH73" s="109" t="str">
        <f>ادخال1!$J$9</f>
        <v>الرياضيات</v>
      </c>
      <c r="AI73" s="46">
        <f>ادخال1!$J$7</f>
        <v>5</v>
      </c>
      <c r="AJ73" s="39">
        <f>40*AI73*0.3</f>
        <v>60</v>
      </c>
      <c r="AK73" s="283" t="str">
        <f>IFERROR(VLOOKUP(AO78,اسماء,9,0),"")</f>
        <v/>
      </c>
      <c r="AL73" s="41">
        <f>40*AI73*0.3</f>
        <v>60</v>
      </c>
      <c r="AM73" s="283" t="str">
        <f>IFERROR(VLOOKUP(AO78,اسماء,19,0),"")</f>
        <v/>
      </c>
      <c r="AN73" s="16"/>
      <c r="AO73" s="114" t="str">
        <f>IF(AM72=0,"",IF(AM72&lt;AL72*0.4,AH72,""))</f>
        <v/>
      </c>
      <c r="AP73" s="252" t="str">
        <f>IF(AM73=0,"",IF(AM73&lt;AL73*0.4,AH73,""))</f>
        <v/>
      </c>
      <c r="AQ73" s="253"/>
    </row>
    <row r="74" spans="1:43" ht="29.1" customHeight="1" thickBot="1">
      <c r="A74" s="53" t="s">
        <v>55</v>
      </c>
      <c r="B74" s="28"/>
      <c r="C74" s="40">
        <f>SUM(C69:C73)</f>
        <v>216</v>
      </c>
      <c r="D74" s="284">
        <f>SUM(D69:D73)</f>
        <v>212</v>
      </c>
      <c r="E74" s="40">
        <f>SUM(E69:E73)</f>
        <v>216</v>
      </c>
      <c r="F74" s="284">
        <f>SUM(F69:F73)</f>
        <v>0</v>
      </c>
      <c r="G74" s="16"/>
      <c r="H74" s="182" t="s">
        <v>64</v>
      </c>
      <c r="I74" s="474" t="str">
        <f>ادخال1!$BG$5</f>
        <v>د. عبدالرحمن خليفة العريبي</v>
      </c>
      <c r="J74" s="475"/>
      <c r="L74" s="53" t="s">
        <v>55</v>
      </c>
      <c r="M74" s="28"/>
      <c r="N74" s="40">
        <f>SUM(N69:N73)</f>
        <v>216</v>
      </c>
      <c r="O74" s="284">
        <f>SUM(O69:O73)</f>
        <v>211</v>
      </c>
      <c r="P74" s="40">
        <f>SUM(P69:P73)</f>
        <v>216</v>
      </c>
      <c r="Q74" s="284">
        <f>SUM(Q69:Q73)</f>
        <v>0</v>
      </c>
      <c r="R74" s="16"/>
      <c r="S74" s="182" t="s">
        <v>64</v>
      </c>
      <c r="T74" s="474" t="str">
        <f>ادخال1!$BG$5</f>
        <v>د. عبدالرحمن خليفة العريبي</v>
      </c>
      <c r="U74" s="475"/>
      <c r="W74" s="53" t="s">
        <v>55</v>
      </c>
      <c r="X74" s="28"/>
      <c r="Y74" s="40">
        <f>SUM(Y69:Y73)</f>
        <v>216</v>
      </c>
      <c r="Z74" s="284">
        <f>SUM(Z69:Z73)</f>
        <v>204</v>
      </c>
      <c r="AA74" s="40">
        <f>SUM(AA69:AA73)</f>
        <v>216</v>
      </c>
      <c r="AB74" s="284">
        <f>SUM(AB69:AB73)</f>
        <v>0</v>
      </c>
      <c r="AC74" s="16"/>
      <c r="AD74" s="182" t="s">
        <v>64</v>
      </c>
      <c r="AE74" s="474" t="str">
        <f>ادخال1!$BG$5</f>
        <v>د. عبدالرحمن خليفة العريبي</v>
      </c>
      <c r="AF74" s="475"/>
      <c r="AH74" s="53" t="s">
        <v>55</v>
      </c>
      <c r="AI74" s="28"/>
      <c r="AJ74" s="40">
        <f>SUM(AJ69:AJ73)</f>
        <v>216</v>
      </c>
      <c r="AK74" s="284">
        <f>SUM(AK69:AK73)</f>
        <v>0</v>
      </c>
      <c r="AL74" s="40">
        <f>SUM(AL69:AL73)</f>
        <v>216</v>
      </c>
      <c r="AM74" s="284">
        <f>SUM(AM69:AM73)</f>
        <v>0</v>
      </c>
      <c r="AN74" s="16"/>
      <c r="AO74" s="182" t="s">
        <v>64</v>
      </c>
      <c r="AP74" s="474" t="str">
        <f>ادخال1!$BG$5</f>
        <v>د. عبدالرحمن خليفة العريبي</v>
      </c>
      <c r="AQ74" s="475"/>
    </row>
    <row r="75" spans="1:43" ht="29.1" customHeight="1" thickBot="1">
      <c r="A75" s="30" t="str">
        <f>ادخال1!$L$8</f>
        <v>التربية الفنية</v>
      </c>
      <c r="B75" s="47">
        <f>ادخال1!$L$7</f>
        <v>1</v>
      </c>
      <c r="C75" s="486" t="str">
        <f>IFERROR(VLOOKUP(H78,اسماء,11,0),"")</f>
        <v>جيد جداَ</v>
      </c>
      <c r="D75" s="487"/>
      <c r="E75" s="486">
        <f>IFERROR(VLOOKUP(H78,اسماء,21,0),"")</f>
        <v>0</v>
      </c>
      <c r="F75" s="487"/>
      <c r="G75" s="16"/>
      <c r="H75" s="13" t="s">
        <v>66</v>
      </c>
      <c r="I75" s="465">
        <f ca="1">TODAY()</f>
        <v>46005</v>
      </c>
      <c r="J75" s="466"/>
      <c r="L75" s="30" t="str">
        <f>ادخال1!$L$8</f>
        <v>التربية الفنية</v>
      </c>
      <c r="M75" s="47">
        <f>ادخال1!$L$7</f>
        <v>1</v>
      </c>
      <c r="N75" s="486" t="str">
        <f>IFERROR(VLOOKUP(S78,اسماء,11,0),"")</f>
        <v>جيد جداَ</v>
      </c>
      <c r="O75" s="487"/>
      <c r="P75" s="486">
        <f>IFERROR(VLOOKUP(S78,اسماء,21,0),"")</f>
        <v>0</v>
      </c>
      <c r="Q75" s="487"/>
      <c r="R75" s="16"/>
      <c r="S75" s="13" t="s">
        <v>66</v>
      </c>
      <c r="T75" s="465">
        <f ca="1">TODAY()</f>
        <v>46005</v>
      </c>
      <c r="U75" s="466"/>
      <c r="W75" s="30" t="str">
        <f>ادخال1!$L$8</f>
        <v>التربية الفنية</v>
      </c>
      <c r="X75" s="47">
        <f>ادخال1!$L$7</f>
        <v>1</v>
      </c>
      <c r="Y75" s="486" t="str">
        <f>IFERROR(VLOOKUP(AD78,اسماء,11,0),"")</f>
        <v>جيد جداَ</v>
      </c>
      <c r="Z75" s="487"/>
      <c r="AA75" s="486">
        <f>IFERROR(VLOOKUP(AD78,اسماء,21,0),"")</f>
        <v>0</v>
      </c>
      <c r="AB75" s="487"/>
      <c r="AC75" s="16"/>
      <c r="AD75" s="13" t="s">
        <v>66</v>
      </c>
      <c r="AE75" s="465">
        <f ca="1">TODAY()</f>
        <v>46005</v>
      </c>
      <c r="AF75" s="466"/>
      <c r="AH75" s="30" t="str">
        <f>ادخال1!$L$8</f>
        <v>التربية الفنية</v>
      </c>
      <c r="AI75" s="47">
        <f>ادخال1!$L$7</f>
        <v>1</v>
      </c>
      <c r="AJ75" s="486" t="str">
        <f>IFERROR(VLOOKUP(AO78,اسماء,11,0),"")</f>
        <v/>
      </c>
      <c r="AK75" s="487"/>
      <c r="AL75" s="486" t="str">
        <f>IFERROR(VLOOKUP(AO78,اسماء,21,0),"")</f>
        <v/>
      </c>
      <c r="AM75" s="487"/>
      <c r="AN75" s="16"/>
      <c r="AO75" s="13" t="s">
        <v>66</v>
      </c>
      <c r="AP75" s="465">
        <f ca="1">TODAY()</f>
        <v>46005</v>
      </c>
      <c r="AQ75" s="466"/>
    </row>
    <row r="76" spans="1:43" ht="29.1" customHeight="1" thickBot="1">
      <c r="A76" s="378" t="str">
        <f>ادخال1!$M$8</f>
        <v>التربية البدنية</v>
      </c>
      <c r="B76" s="377">
        <f>ادخال1!$M$7</f>
        <v>2</v>
      </c>
      <c r="C76" s="448" t="str">
        <f>IFERROR(VLOOKUP(H78,اسماء,12,0),"")</f>
        <v>جيد جداَ</v>
      </c>
      <c r="D76" s="449"/>
      <c r="E76" s="448">
        <f>IFERROR(VLOOKUP(H78,اسماء,22,0),"")</f>
        <v>0</v>
      </c>
      <c r="F76" s="449"/>
      <c r="G76" s="16"/>
      <c r="H76" s="62"/>
      <c r="I76" s="465"/>
      <c r="J76" s="466"/>
      <c r="L76" s="378" t="str">
        <f>ادخال1!$M$8</f>
        <v>التربية البدنية</v>
      </c>
      <c r="M76" s="377">
        <f>ادخال1!$M$7</f>
        <v>2</v>
      </c>
      <c r="N76" s="448" t="str">
        <f>IFERROR(VLOOKUP(S78,اسماء,12,0),"")</f>
        <v>جيد جداَ</v>
      </c>
      <c r="O76" s="449"/>
      <c r="P76" s="448">
        <f>IFERROR(VLOOKUP(S78,اسماء,22,0),"")</f>
        <v>0</v>
      </c>
      <c r="Q76" s="449"/>
      <c r="R76" s="16"/>
      <c r="S76" s="62"/>
      <c r="T76" s="465"/>
      <c r="U76" s="466"/>
      <c r="W76" s="378" t="str">
        <f>ادخال1!$M$8</f>
        <v>التربية البدنية</v>
      </c>
      <c r="X76" s="377">
        <f>ادخال1!$M$7</f>
        <v>2</v>
      </c>
      <c r="Y76" s="448" t="str">
        <f>IFERROR(VLOOKUP(AD78,اسماء,12,0),"")</f>
        <v>جيد جداَ</v>
      </c>
      <c r="Z76" s="449"/>
      <c r="AA76" s="448">
        <f>IFERROR(VLOOKUP(AD78,اسماء,22,0),"")</f>
        <v>0</v>
      </c>
      <c r="AB76" s="449"/>
      <c r="AC76" s="16"/>
      <c r="AD76" s="62"/>
      <c r="AE76" s="465"/>
      <c r="AF76" s="466"/>
      <c r="AH76" s="378" t="str">
        <f>ادخال1!$M$8</f>
        <v>التربية البدنية</v>
      </c>
      <c r="AI76" s="377">
        <f>ادخال1!$M$7</f>
        <v>2</v>
      </c>
      <c r="AJ76" s="448" t="str">
        <f>IFERROR(VLOOKUP(AO78,اسماء,12,0),"")</f>
        <v/>
      </c>
      <c r="AK76" s="449"/>
      <c r="AL76" s="448" t="str">
        <f>IFERROR(VLOOKUP(AO78,اسماء,22,0),"")</f>
        <v/>
      </c>
      <c r="AM76" s="449"/>
      <c r="AN76" s="16"/>
      <c r="AO76" s="62"/>
      <c r="AP76" s="465"/>
      <c r="AQ76" s="466"/>
    </row>
    <row r="77" spans="1:43" ht="29.1" customHeight="1">
      <c r="A77" s="333" t="str">
        <f>ادخال1!$N$8</f>
        <v>مكتبة</v>
      </c>
      <c r="B77" s="380">
        <f>ادخال1!$N$7</f>
        <v>1</v>
      </c>
      <c r="C77" s="448">
        <f>IFERROR(VLOOKUP(H78,اسماء,13,0),"")</f>
        <v>0</v>
      </c>
      <c r="D77" s="449"/>
      <c r="E77" s="448">
        <f>IFERROR(VLOOKUP(H78,اسماء,23,0),"")</f>
        <v>0</v>
      </c>
      <c r="F77" s="449"/>
      <c r="G77" s="16"/>
      <c r="H77" s="62"/>
      <c r="I77" s="331"/>
      <c r="J77" s="332"/>
      <c r="L77" s="333" t="str">
        <f>ادخال1!$N$8</f>
        <v>مكتبة</v>
      </c>
      <c r="M77" s="380">
        <f>ادخال1!$N$7</f>
        <v>1</v>
      </c>
      <c r="N77" s="448">
        <f>IFERROR(VLOOKUP(S78,اسماء,13,0),"")</f>
        <v>0</v>
      </c>
      <c r="O77" s="449"/>
      <c r="P77" s="448">
        <f>IFERROR(VLOOKUP(S78,اسماء,23,0),"")</f>
        <v>0</v>
      </c>
      <c r="Q77" s="449"/>
      <c r="R77" s="16"/>
      <c r="S77" s="62"/>
      <c r="T77" s="331"/>
      <c r="U77" s="332"/>
      <c r="W77" s="333" t="str">
        <f>ادخال1!$N$8</f>
        <v>مكتبة</v>
      </c>
      <c r="X77" s="380">
        <f>ادخال1!$N$7</f>
        <v>1</v>
      </c>
      <c r="Y77" s="448">
        <f>IFERROR(VLOOKUP(AD78,اسماء,13,0),"")</f>
        <v>0</v>
      </c>
      <c r="Z77" s="449"/>
      <c r="AA77" s="448">
        <f>IFERROR(VLOOKUP(AD78,اسماء,23,0),"")</f>
        <v>0</v>
      </c>
      <c r="AB77" s="449"/>
      <c r="AC77" s="16"/>
      <c r="AD77" s="62"/>
      <c r="AE77" s="331"/>
      <c r="AF77" s="332"/>
      <c r="AH77" s="333" t="str">
        <f>ادخال1!$N$8</f>
        <v>مكتبة</v>
      </c>
      <c r="AI77" s="380">
        <f>ادخال1!$N$7</f>
        <v>1</v>
      </c>
      <c r="AJ77" s="448" t="str">
        <f>IFERROR(VLOOKUP(AO78,اسماء,13,0),"")</f>
        <v/>
      </c>
      <c r="AK77" s="449"/>
      <c r="AL77" s="448" t="str">
        <f>IFERROR(VLOOKUP(AO78,اسماء,23,0),"")</f>
        <v/>
      </c>
      <c r="AM77" s="449"/>
      <c r="AN77" s="16"/>
      <c r="AO77" s="62"/>
      <c r="AP77" s="331"/>
      <c r="AQ77" s="332"/>
    </row>
    <row r="78" spans="1:43" ht="29.1" customHeight="1" thickBot="1">
      <c r="A78" s="379" t="s">
        <v>119</v>
      </c>
      <c r="B78" s="473">
        <f>IFERROR(VLOOKUP(H78,اسماء,62,0),"")</f>
        <v>120181209020</v>
      </c>
      <c r="C78" s="473" t="str">
        <f>IFERROR(VLOOKUP(G83,اسماء,8,0),"")</f>
        <v/>
      </c>
      <c r="D78" s="473" t="str">
        <f>IFERROR(VLOOKUP(H83,اسماء,8,0),"")</f>
        <v/>
      </c>
      <c r="E78" s="473" t="str">
        <f>IFERROR(VLOOKUP(I83,اسماء,8,0),"")</f>
        <v/>
      </c>
      <c r="F78" s="309"/>
      <c r="G78" s="16"/>
      <c r="H78" s="474" t="str">
        <f>INDEX(عمود2,MATCH(J65,عمود1))</f>
        <v>زكريا محمد علي علي</v>
      </c>
      <c r="I78" s="474"/>
      <c r="J78" s="475"/>
      <c r="L78" s="379" t="s">
        <v>119</v>
      </c>
      <c r="M78" s="473">
        <f>IFERROR(VLOOKUP(S78,اسماء,62,0),"")</f>
        <v>120181204148</v>
      </c>
      <c r="N78" s="473" t="str">
        <f>IFERROR(VLOOKUP(R83,اسماء,8,0),"")</f>
        <v/>
      </c>
      <c r="O78" s="473" t="str">
        <f>IFERROR(VLOOKUP(S83,اسماء,8,0),"")</f>
        <v/>
      </c>
      <c r="P78" s="473" t="str">
        <f>IFERROR(VLOOKUP(T83,اسماء,8,0),"")</f>
        <v/>
      </c>
      <c r="Q78" s="309"/>
      <c r="R78" s="16"/>
      <c r="S78" s="474" t="str">
        <f>INDEX(عمود2,MATCH(U65,عمود1))</f>
        <v>قاسم عبدالمنعم موسي الشيخي</v>
      </c>
      <c r="T78" s="474"/>
      <c r="U78" s="475"/>
      <c r="W78" s="379" t="s">
        <v>119</v>
      </c>
      <c r="X78" s="473">
        <f>IFERROR(VLOOKUP(AD78,اسماء,62,0),"")</f>
        <v>120180783129</v>
      </c>
      <c r="Y78" s="473" t="str">
        <f>IFERROR(VLOOKUP(AC83,اسماء,8,0),"")</f>
        <v/>
      </c>
      <c r="Z78" s="473" t="str">
        <f>IFERROR(VLOOKUP(AD83,اسماء,8,0),"")</f>
        <v/>
      </c>
      <c r="AA78" s="473" t="str">
        <f>IFERROR(VLOOKUP(AE83,اسماء,8,0),"")</f>
        <v/>
      </c>
      <c r="AB78" s="309"/>
      <c r="AC78" s="16"/>
      <c r="AD78" s="474" t="str">
        <f>INDEX(عمود2,MATCH(AF65,عمود1))</f>
        <v>وسام خليل محمد علي المغربي</v>
      </c>
      <c r="AE78" s="474"/>
      <c r="AF78" s="475"/>
      <c r="AH78" s="379" t="s">
        <v>119</v>
      </c>
      <c r="AI78" s="473" t="str">
        <f>IFERROR(VLOOKUP(AO78,اسماء,62,0),"")</f>
        <v/>
      </c>
      <c r="AJ78" s="473" t="str">
        <f>IFERROR(VLOOKUP(AN83,اسماء,8,0),"")</f>
        <v/>
      </c>
      <c r="AK78" s="473" t="str">
        <f>IFERROR(VLOOKUP(AO83,اسماء,8,0),"")</f>
        <v/>
      </c>
      <c r="AL78" s="473" t="str">
        <f>IFERROR(VLOOKUP(AP83,اسماء,8,0),"")</f>
        <v/>
      </c>
      <c r="AM78" s="309"/>
      <c r="AN78" s="16"/>
      <c r="AO78" s="474">
        <f>INDEX(عمود2,MATCH(AQ65,عمود1))</f>
        <v>0</v>
      </c>
      <c r="AP78" s="474"/>
      <c r="AQ78" s="475"/>
    </row>
    <row r="79" spans="1:43" ht="29.1" customHeight="1">
      <c r="A79" s="458" t="s">
        <v>57</v>
      </c>
      <c r="B79" s="459"/>
      <c r="C79" s="451">
        <f>IFERROR(VLOOKUP(H78,اسماء,34,0),"")</f>
        <v>0</v>
      </c>
      <c r="D79" s="460"/>
      <c r="E79" s="451">
        <f>IFERROR(VLOOKUP(H78,اسماء,35,0),"")</f>
        <v>0</v>
      </c>
      <c r="F79" s="460"/>
      <c r="G79" s="16"/>
      <c r="H79" s="476" t="s">
        <v>89</v>
      </c>
      <c r="I79" s="476"/>
      <c r="J79" s="477"/>
      <c r="L79" s="458" t="s">
        <v>57</v>
      </c>
      <c r="M79" s="459"/>
      <c r="N79" s="451">
        <f>IFERROR(VLOOKUP(S78,اسماء,34,0),"")</f>
        <v>0</v>
      </c>
      <c r="O79" s="460"/>
      <c r="P79" s="451">
        <f>IFERROR(VLOOKUP(S78,اسماء,35,0),"")</f>
        <v>0</v>
      </c>
      <c r="Q79" s="460"/>
      <c r="R79" s="16"/>
      <c r="S79" s="476" t="s">
        <v>89</v>
      </c>
      <c r="T79" s="476"/>
      <c r="U79" s="477"/>
      <c r="W79" s="458" t="s">
        <v>57</v>
      </c>
      <c r="X79" s="459"/>
      <c r="Y79" s="451">
        <f>IFERROR(VLOOKUP(AD78,اسماء,34,0),"")</f>
        <v>0</v>
      </c>
      <c r="Z79" s="460"/>
      <c r="AA79" s="451">
        <f>IFERROR(VLOOKUP(AD78,اسماء,35,0),"")</f>
        <v>0</v>
      </c>
      <c r="AB79" s="460"/>
      <c r="AC79" s="16"/>
      <c r="AD79" s="476" t="s">
        <v>89</v>
      </c>
      <c r="AE79" s="476"/>
      <c r="AF79" s="477"/>
      <c r="AH79" s="458" t="s">
        <v>57</v>
      </c>
      <c r="AI79" s="459"/>
      <c r="AJ79" s="451" t="str">
        <f>IFERROR(VLOOKUP(AO78,اسماء,34,0),"")</f>
        <v/>
      </c>
      <c r="AK79" s="460"/>
      <c r="AL79" s="451" t="str">
        <f>IFERROR(VLOOKUP(AO78,اسماء,35,0),"")</f>
        <v/>
      </c>
      <c r="AM79" s="460"/>
      <c r="AN79" s="16"/>
      <c r="AO79" s="476" t="s">
        <v>89</v>
      </c>
      <c r="AP79" s="476"/>
      <c r="AQ79" s="477"/>
    </row>
    <row r="80" spans="1:43" ht="29.1" customHeight="1">
      <c r="A80" s="461" t="s">
        <v>58</v>
      </c>
      <c r="B80" s="462"/>
      <c r="C80" s="463">
        <f>IFERROR(VLOOKUP(H78,اسماء,37,0),"")</f>
        <v>0</v>
      </c>
      <c r="D80" s="464"/>
      <c r="E80" s="463">
        <f>IFERROR(VLOOKUP(H78,اسماء,39,0),"")</f>
        <v>0</v>
      </c>
      <c r="F80" s="464"/>
      <c r="G80" s="16"/>
      <c r="H80" s="476"/>
      <c r="I80" s="476"/>
      <c r="J80" s="477"/>
      <c r="L80" s="461" t="s">
        <v>58</v>
      </c>
      <c r="M80" s="462"/>
      <c r="N80" s="463">
        <f>IFERROR(VLOOKUP(S78,اسماء,37,0),"")</f>
        <v>0</v>
      </c>
      <c r="O80" s="464"/>
      <c r="P80" s="463">
        <f>IFERROR(VLOOKUP(S78,اسماء,39,0),"")</f>
        <v>0</v>
      </c>
      <c r="Q80" s="464"/>
      <c r="R80" s="16"/>
      <c r="S80" s="476"/>
      <c r="T80" s="476"/>
      <c r="U80" s="477"/>
      <c r="W80" s="461" t="s">
        <v>58</v>
      </c>
      <c r="X80" s="462"/>
      <c r="Y80" s="463">
        <f>IFERROR(VLOOKUP(AD78,اسماء,37,0),"")</f>
        <v>0</v>
      </c>
      <c r="Z80" s="464"/>
      <c r="AA80" s="463">
        <f>IFERROR(VLOOKUP(AD78,اسماء,39,0),"")</f>
        <v>0</v>
      </c>
      <c r="AB80" s="464"/>
      <c r="AC80" s="16"/>
      <c r="AD80" s="476"/>
      <c r="AE80" s="476"/>
      <c r="AF80" s="477"/>
      <c r="AH80" s="461" t="s">
        <v>58</v>
      </c>
      <c r="AI80" s="462"/>
      <c r="AJ80" s="463" t="str">
        <f>IFERROR(VLOOKUP(AO78,اسماء,37,0),"")</f>
        <v/>
      </c>
      <c r="AK80" s="464"/>
      <c r="AL80" s="463" t="str">
        <f>IFERROR(VLOOKUP(AO78,اسماء,39,0),"")</f>
        <v/>
      </c>
      <c r="AM80" s="464"/>
      <c r="AN80" s="16"/>
      <c r="AO80" s="476"/>
      <c r="AP80" s="476"/>
      <c r="AQ80" s="477"/>
    </row>
    <row r="81" spans="1:43" ht="13.5" customHeight="1" thickBot="1">
      <c r="A81" s="480" t="s">
        <v>59</v>
      </c>
      <c r="B81" s="481"/>
      <c r="C81" s="482">
        <f>IFERROR(VLOOKUP(H78,اسماء,38,0),"")</f>
        <v>0</v>
      </c>
      <c r="D81" s="483"/>
      <c r="E81" s="482">
        <f>IFERROR(VLOOKUP(H78,اسماء,40,0),"")</f>
        <v>0</v>
      </c>
      <c r="F81" s="483"/>
      <c r="G81" s="16"/>
      <c r="H81" s="478"/>
      <c r="I81" s="478"/>
      <c r="J81" s="479"/>
      <c r="L81" s="480" t="s">
        <v>59</v>
      </c>
      <c r="M81" s="481"/>
      <c r="N81" s="482">
        <f>IFERROR(VLOOKUP(S78,اسماء,38,0),"")</f>
        <v>0</v>
      </c>
      <c r="O81" s="483"/>
      <c r="P81" s="482">
        <f>IFERROR(VLOOKUP(S78,اسماء,40,0),"")</f>
        <v>0</v>
      </c>
      <c r="Q81" s="483"/>
      <c r="R81" s="16"/>
      <c r="S81" s="478"/>
      <c r="T81" s="478"/>
      <c r="U81" s="479"/>
      <c r="W81" s="480" t="s">
        <v>59</v>
      </c>
      <c r="X81" s="481"/>
      <c r="Y81" s="482">
        <f>IFERROR(VLOOKUP(AD78,اسماء,38,0),"")</f>
        <v>0</v>
      </c>
      <c r="Z81" s="483"/>
      <c r="AA81" s="482">
        <f>IFERROR(VLOOKUP(AD78,اسماء,40,0),"")</f>
        <v>0</v>
      </c>
      <c r="AB81" s="483"/>
      <c r="AC81" s="16"/>
      <c r="AD81" s="478"/>
      <c r="AE81" s="478"/>
      <c r="AF81" s="479"/>
      <c r="AH81" s="480" t="s">
        <v>59</v>
      </c>
      <c r="AI81" s="481"/>
      <c r="AJ81" s="482" t="str">
        <f>IFERROR(VLOOKUP(AO78,اسماء,38,0),"")</f>
        <v/>
      </c>
      <c r="AK81" s="483"/>
      <c r="AL81" s="482" t="str">
        <f>IFERROR(VLOOKUP(AO78,اسماء,40,0),"")</f>
        <v/>
      </c>
      <c r="AM81" s="483"/>
      <c r="AN81" s="16"/>
      <c r="AO81" s="478"/>
      <c r="AP81" s="478"/>
      <c r="AQ81" s="479"/>
    </row>
    <row r="82" spans="1:43" ht="29.1" customHeight="1">
      <c r="A82" s="113" t="s">
        <v>14</v>
      </c>
      <c r="B82" s="450" t="s">
        <v>60</v>
      </c>
      <c r="C82" s="450"/>
      <c r="D82" s="468" t="s">
        <v>61</v>
      </c>
      <c r="E82" s="469"/>
      <c r="F82" s="469"/>
      <c r="G82" s="470"/>
      <c r="H82" s="451" t="s">
        <v>84</v>
      </c>
      <c r="I82" s="452"/>
      <c r="J82" s="262"/>
      <c r="L82" s="111" t="s">
        <v>14</v>
      </c>
      <c r="M82" s="450" t="s">
        <v>60</v>
      </c>
      <c r="N82" s="450"/>
      <c r="O82" s="468" t="s">
        <v>61</v>
      </c>
      <c r="P82" s="469"/>
      <c r="Q82" s="469"/>
      <c r="R82" s="470"/>
      <c r="S82" s="451" t="s">
        <v>84</v>
      </c>
      <c r="T82" s="452"/>
      <c r="U82" s="262"/>
      <c r="W82" s="111" t="s">
        <v>14</v>
      </c>
      <c r="X82" s="450" t="s">
        <v>60</v>
      </c>
      <c r="Y82" s="450"/>
      <c r="Z82" s="468" t="s">
        <v>61</v>
      </c>
      <c r="AA82" s="469"/>
      <c r="AB82" s="469"/>
      <c r="AC82" s="470"/>
      <c r="AD82" s="451" t="s">
        <v>84</v>
      </c>
      <c r="AE82" s="452"/>
      <c r="AF82" s="262"/>
      <c r="AH82" s="111" t="s">
        <v>14</v>
      </c>
      <c r="AI82" s="450" t="s">
        <v>60</v>
      </c>
      <c r="AJ82" s="450"/>
      <c r="AK82" s="468" t="s">
        <v>61</v>
      </c>
      <c r="AL82" s="469"/>
      <c r="AM82" s="469"/>
      <c r="AN82" s="470"/>
      <c r="AO82" s="451" t="s">
        <v>84</v>
      </c>
      <c r="AP82" s="452"/>
      <c r="AQ82" s="262"/>
    </row>
    <row r="83" spans="1:43" ht="29.1" customHeight="1">
      <c r="A83" s="25" t="s">
        <v>63</v>
      </c>
      <c r="B83" s="462"/>
      <c r="C83" s="462"/>
      <c r="D83" s="463"/>
      <c r="E83" s="471"/>
      <c r="F83" s="471"/>
      <c r="G83" s="464"/>
      <c r="H83" s="463"/>
      <c r="I83" s="472"/>
      <c r="J83" s="256"/>
      <c r="L83" s="110" t="s">
        <v>63</v>
      </c>
      <c r="M83" s="462"/>
      <c r="N83" s="462"/>
      <c r="O83" s="463"/>
      <c r="P83" s="471"/>
      <c r="Q83" s="471"/>
      <c r="R83" s="464"/>
      <c r="S83" s="463"/>
      <c r="T83" s="472"/>
      <c r="U83" s="256"/>
      <c r="W83" s="110" t="s">
        <v>63</v>
      </c>
      <c r="X83" s="462"/>
      <c r="Y83" s="462"/>
      <c r="Z83" s="463"/>
      <c r="AA83" s="471"/>
      <c r="AB83" s="471"/>
      <c r="AC83" s="464"/>
      <c r="AD83" s="463"/>
      <c r="AE83" s="472"/>
      <c r="AF83" s="256"/>
      <c r="AH83" s="110" t="s">
        <v>63</v>
      </c>
      <c r="AI83" s="462"/>
      <c r="AJ83" s="462"/>
      <c r="AK83" s="463"/>
      <c r="AL83" s="471"/>
      <c r="AM83" s="471"/>
      <c r="AN83" s="464"/>
      <c r="AO83" s="463"/>
      <c r="AP83" s="472"/>
      <c r="AQ83" s="256"/>
    </row>
    <row r="84" spans="1:43" ht="29.1" customHeight="1" thickBot="1">
      <c r="A84" s="114" t="s">
        <v>65</v>
      </c>
      <c r="B84" s="504"/>
      <c r="C84" s="504"/>
      <c r="D84" s="482"/>
      <c r="E84" s="505"/>
      <c r="F84" s="505"/>
      <c r="G84" s="483"/>
      <c r="H84" s="482"/>
      <c r="I84" s="506"/>
      <c r="J84" s="263"/>
      <c r="L84" s="112" t="s">
        <v>65</v>
      </c>
      <c r="M84" s="454"/>
      <c r="N84" s="454"/>
      <c r="O84" s="455"/>
      <c r="P84" s="456"/>
      <c r="Q84" s="456"/>
      <c r="R84" s="457"/>
      <c r="S84" s="455"/>
      <c r="T84" s="467"/>
      <c r="U84" s="263"/>
      <c r="W84" s="112" t="s">
        <v>65</v>
      </c>
      <c r="X84" s="454"/>
      <c r="Y84" s="454"/>
      <c r="Z84" s="455"/>
      <c r="AA84" s="456"/>
      <c r="AB84" s="456"/>
      <c r="AC84" s="457"/>
      <c r="AD84" s="455"/>
      <c r="AE84" s="467"/>
      <c r="AF84" s="263"/>
      <c r="AH84" s="112" t="s">
        <v>65</v>
      </c>
      <c r="AI84" s="454"/>
      <c r="AJ84" s="454"/>
      <c r="AK84" s="455"/>
      <c r="AL84" s="456"/>
      <c r="AM84" s="456"/>
      <c r="AN84" s="457"/>
      <c r="AO84" s="455"/>
      <c r="AP84" s="467"/>
      <c r="AQ84" s="263"/>
    </row>
    <row r="85" spans="1:43" ht="29.1" customHeight="1" thickBot="1"/>
    <row r="86" spans="1:43" ht="29.1" customHeight="1" thickTop="1">
      <c r="A86" s="498" t="s">
        <v>79</v>
      </c>
      <c r="B86" s="499"/>
      <c r="C86" s="499"/>
      <c r="D86" s="499" t="str">
        <f>ادخال1!$K$4</f>
        <v>الثاني</v>
      </c>
      <c r="E86" s="499"/>
      <c r="F86" s="314" t="s">
        <v>80</v>
      </c>
      <c r="G86" s="245"/>
      <c r="H86" s="245"/>
      <c r="I86" s="245"/>
      <c r="J86" s="264">
        <f>J65+1</f>
        <v>5</v>
      </c>
      <c r="L86" s="507" t="s">
        <v>79</v>
      </c>
      <c r="M86" s="508"/>
      <c r="N86" s="508"/>
      <c r="O86" s="499" t="str">
        <f>ادخال1!$K$4</f>
        <v>الثاني</v>
      </c>
      <c r="P86" s="499"/>
      <c r="Q86" s="315" t="s">
        <v>80</v>
      </c>
      <c r="R86" s="257"/>
      <c r="S86" s="257"/>
      <c r="T86" s="257"/>
      <c r="U86" s="265">
        <f>U65+1</f>
        <v>10</v>
      </c>
      <c r="W86" s="498" t="s">
        <v>79</v>
      </c>
      <c r="X86" s="499"/>
      <c r="Y86" s="499"/>
      <c r="Z86" s="499" t="str">
        <f>ادخال1!$K$4</f>
        <v>الثاني</v>
      </c>
      <c r="AA86" s="499"/>
      <c r="AB86" s="314" t="s">
        <v>80</v>
      </c>
      <c r="AC86" s="245"/>
      <c r="AD86" s="245"/>
      <c r="AE86" s="245"/>
      <c r="AF86" s="264">
        <f>AF65+1</f>
        <v>15</v>
      </c>
      <c r="AH86" s="498" t="s">
        <v>79</v>
      </c>
      <c r="AI86" s="499"/>
      <c r="AJ86" s="499"/>
      <c r="AK86" s="499" t="str">
        <f>ادخال1!$K$4</f>
        <v>الثاني</v>
      </c>
      <c r="AL86" s="499"/>
      <c r="AM86" s="314" t="s">
        <v>80</v>
      </c>
      <c r="AN86" s="245"/>
      <c r="AO86" s="245"/>
      <c r="AP86" s="245"/>
      <c r="AQ86" s="264">
        <f>AQ65+1</f>
        <v>20</v>
      </c>
    </row>
    <row r="87" spans="1:43" ht="29.1" customHeight="1" thickBot="1">
      <c r="A87" s="1" t="s">
        <v>152</v>
      </c>
      <c r="B87" s="453" t="str">
        <f>ادخال1!$B$5</f>
        <v xml:space="preserve"> سهول العلم للتعليم الخاص </v>
      </c>
      <c r="C87" s="453"/>
      <c r="D87" s="453"/>
      <c r="E87" s="453"/>
      <c r="F87" s="312" t="s">
        <v>9</v>
      </c>
      <c r="G87" s="484" t="str">
        <f>H99</f>
        <v>سارة ضياء محمد الترهونى</v>
      </c>
      <c r="H87" s="484"/>
      <c r="I87" s="484"/>
      <c r="J87" s="485"/>
      <c r="L87" s="1" t="s">
        <v>152</v>
      </c>
      <c r="M87" s="453" t="str">
        <f>ادخال1!$B$5</f>
        <v xml:space="preserve"> سهول العلم للتعليم الخاص </v>
      </c>
      <c r="N87" s="453"/>
      <c r="O87" s="453"/>
      <c r="P87" s="453"/>
      <c r="Q87" s="312" t="s">
        <v>9</v>
      </c>
      <c r="R87" s="484" t="str">
        <f>S99</f>
        <v>مثاب نورالدين احمد  الديب</v>
      </c>
      <c r="S87" s="484"/>
      <c r="T87" s="484"/>
      <c r="U87" s="485"/>
      <c r="W87" s="1" t="s">
        <v>152</v>
      </c>
      <c r="X87" s="453" t="str">
        <f>ادخال1!$B$5</f>
        <v xml:space="preserve"> سهول العلم للتعليم الخاص </v>
      </c>
      <c r="Y87" s="453"/>
      <c r="Z87" s="453"/>
      <c r="AA87" s="453"/>
      <c r="AB87" s="312" t="s">
        <v>9</v>
      </c>
      <c r="AC87" s="484">
        <f>AD99</f>
        <v>0</v>
      </c>
      <c r="AD87" s="484"/>
      <c r="AE87" s="484"/>
      <c r="AF87" s="485"/>
      <c r="AH87" s="1" t="s">
        <v>152</v>
      </c>
      <c r="AI87" s="453" t="str">
        <f>ادخال1!$B$5</f>
        <v xml:space="preserve"> سهول العلم للتعليم الخاص </v>
      </c>
      <c r="AJ87" s="453"/>
      <c r="AK87" s="453"/>
      <c r="AL87" s="453"/>
      <c r="AM87" s="312" t="s">
        <v>9</v>
      </c>
      <c r="AN87" s="484">
        <f>AO99</f>
        <v>0</v>
      </c>
      <c r="AO87" s="484"/>
      <c r="AP87" s="484"/>
      <c r="AQ87" s="485"/>
    </row>
    <row r="88" spans="1:43" ht="29.1" customHeight="1" thickBot="1">
      <c r="A88" s="237" t="s">
        <v>44</v>
      </c>
      <c r="B88" s="488" t="s">
        <v>12</v>
      </c>
      <c r="C88" s="490" t="s">
        <v>45</v>
      </c>
      <c r="D88" s="491"/>
      <c r="E88" s="492" t="s">
        <v>46</v>
      </c>
      <c r="F88" s="491"/>
      <c r="G88" s="24"/>
      <c r="H88" s="493" t="s">
        <v>49</v>
      </c>
      <c r="I88" s="494"/>
      <c r="J88" s="495"/>
      <c r="L88" s="237" t="s">
        <v>44</v>
      </c>
      <c r="M88" s="488" t="s">
        <v>12</v>
      </c>
      <c r="N88" s="490" t="s">
        <v>45</v>
      </c>
      <c r="O88" s="491"/>
      <c r="P88" s="492" t="s">
        <v>46</v>
      </c>
      <c r="Q88" s="491"/>
      <c r="R88" s="24"/>
      <c r="S88" s="493" t="s">
        <v>49</v>
      </c>
      <c r="T88" s="494"/>
      <c r="U88" s="495"/>
      <c r="W88" s="237" t="s">
        <v>44</v>
      </c>
      <c r="X88" s="488" t="s">
        <v>12</v>
      </c>
      <c r="Y88" s="490" t="s">
        <v>45</v>
      </c>
      <c r="Z88" s="491"/>
      <c r="AA88" s="492" t="s">
        <v>46</v>
      </c>
      <c r="AB88" s="491"/>
      <c r="AC88" s="24"/>
      <c r="AD88" s="493" t="s">
        <v>49</v>
      </c>
      <c r="AE88" s="494"/>
      <c r="AF88" s="495"/>
      <c r="AH88" s="237" t="s">
        <v>44</v>
      </c>
      <c r="AI88" s="488" t="s">
        <v>12</v>
      </c>
      <c r="AJ88" s="490" t="s">
        <v>45</v>
      </c>
      <c r="AK88" s="491"/>
      <c r="AL88" s="492" t="s">
        <v>46</v>
      </c>
      <c r="AM88" s="491"/>
      <c r="AN88" s="24"/>
      <c r="AO88" s="493" t="s">
        <v>49</v>
      </c>
      <c r="AP88" s="494"/>
      <c r="AQ88" s="495"/>
    </row>
    <row r="89" spans="1:43" ht="29.1" customHeight="1" thickBot="1">
      <c r="A89" s="238" t="s">
        <v>2</v>
      </c>
      <c r="B89" s="489"/>
      <c r="C89" s="37" t="s">
        <v>50</v>
      </c>
      <c r="D89" s="308" t="s">
        <v>51</v>
      </c>
      <c r="E89" s="38" t="s">
        <v>50</v>
      </c>
      <c r="F89" s="308" t="s">
        <v>51</v>
      </c>
      <c r="G89" s="8"/>
      <c r="H89" s="255" t="s">
        <v>54</v>
      </c>
      <c r="I89" s="496" t="str">
        <f>IF(D95=0,"",IF(AND(D90&gt;=C90*0.4,D91&gt;=C91*0.4,D92&gt;=C92*0.4,D93&gt;=C93*0.4,D94&gt;=C94*0.4),LOOKUP(D95,'النتيجة النهائية'!$AA$6:$AB$10),"ضعيف ويحتاج الى اهتمام في المواد"))</f>
        <v>ممتاز</v>
      </c>
      <c r="J89" s="497"/>
      <c r="L89" s="238" t="s">
        <v>2</v>
      </c>
      <c r="M89" s="489"/>
      <c r="N89" s="37" t="s">
        <v>50</v>
      </c>
      <c r="O89" s="308" t="s">
        <v>51</v>
      </c>
      <c r="P89" s="38" t="s">
        <v>50</v>
      </c>
      <c r="Q89" s="308" t="s">
        <v>51</v>
      </c>
      <c r="R89" s="8"/>
      <c r="S89" s="255" t="s">
        <v>54</v>
      </c>
      <c r="T89" s="496" t="str">
        <f>IF(O95=0,"",IF(AND(O90&gt;=N90*0.4,O91&gt;=N91*0.4,O92&gt;=N92*0.4,O93&gt;=N93*0.4,O94&gt;=N94*0.4),LOOKUP(O95,'النتيجة النهائية'!$AA$6:$AB$10),"ضعيف ويحتاج الى اهتمام في المواد"))</f>
        <v>ممتاز</v>
      </c>
      <c r="U89" s="497"/>
      <c r="W89" s="238" t="s">
        <v>2</v>
      </c>
      <c r="X89" s="489"/>
      <c r="Y89" s="37" t="s">
        <v>50</v>
      </c>
      <c r="Z89" s="308" t="s">
        <v>51</v>
      </c>
      <c r="AA89" s="38" t="s">
        <v>50</v>
      </c>
      <c r="AB89" s="308" t="s">
        <v>51</v>
      </c>
      <c r="AC89" s="8"/>
      <c r="AD89" s="255" t="s">
        <v>54</v>
      </c>
      <c r="AE89" s="496" t="str">
        <f>IF(Z95=0,"",IF(AND(Z90&gt;=Y90*0.4,Z91&gt;=Y91*0.4,Z92&gt;=Y92*0.4,Z93&gt;=Y93*0.4,Z94&gt;=Y94*0.4),LOOKUP(Z95,'النتيجة النهائية'!$AA$6:$AB$10),"ضعيف ويحتاج الى اهتمام في المواد"))</f>
        <v/>
      </c>
      <c r="AF89" s="497"/>
      <c r="AH89" s="238" t="s">
        <v>2</v>
      </c>
      <c r="AI89" s="489"/>
      <c r="AJ89" s="37" t="s">
        <v>50</v>
      </c>
      <c r="AK89" s="308" t="s">
        <v>51</v>
      </c>
      <c r="AL89" s="38" t="s">
        <v>50</v>
      </c>
      <c r="AM89" s="308" t="s">
        <v>51</v>
      </c>
      <c r="AN89" s="8"/>
      <c r="AO89" s="255" t="s">
        <v>54</v>
      </c>
      <c r="AP89" s="496" t="str">
        <f>IF(AK95=0,"",IF(AND(AK90&gt;=AJ90*0.4,AK91&gt;=AJ91*0.4,AK92&gt;=AJ92*0.4,AK93&gt;=AJ93*0.4,AK94&gt;=AJ94*0.4),LOOKUP(AK95,'النتيجة النهائية'!$AA$6:$AB$10),"ضعيف ويحتاج الى اهتمام في المواد"))</f>
        <v/>
      </c>
      <c r="AQ89" s="497"/>
    </row>
    <row r="90" spans="1:43" ht="29.1" customHeight="1">
      <c r="A90" s="236" t="str">
        <f>ادخال1!$F$9</f>
        <v>التربية الإسلامية</v>
      </c>
      <c r="B90" s="44">
        <f>ادخال1!$F$7</f>
        <v>3</v>
      </c>
      <c r="C90" s="39">
        <f t="shared" ref="C90:C91" si="32">40*B90*0.3</f>
        <v>36</v>
      </c>
      <c r="D90" s="283">
        <f xml:space="preserve"> IFERROR(VLOOKUP(H99,اسماء,5,0),"")</f>
        <v>32</v>
      </c>
      <c r="E90" s="41">
        <f t="shared" ref="E90:E91" si="33">40*B90*0.3</f>
        <v>36</v>
      </c>
      <c r="F90" s="283">
        <f>IFERROR(VLOOKUP(H99,اسماء,15,0),"")</f>
        <v>0</v>
      </c>
      <c r="G90" s="16"/>
      <c r="H90" s="25" t="str">
        <f>IF(D90=0,"",IF(D90&lt;C90*0.4,A90,""))</f>
        <v/>
      </c>
      <c r="I90" s="27" t="str">
        <f>IF(D91=0,"",IF(D91&lt;C91*0.4,A91,""))</f>
        <v/>
      </c>
      <c r="J90" s="26" t="str">
        <f>IF(D92=0,"",IF(D92&lt;C92*0.4,A92,""))</f>
        <v/>
      </c>
      <c r="L90" s="236" t="str">
        <f>ادخال1!$F$9</f>
        <v>التربية الإسلامية</v>
      </c>
      <c r="M90" s="44">
        <f>ادخال1!$F$7</f>
        <v>3</v>
      </c>
      <c r="N90" s="39">
        <f t="shared" ref="N90:N91" si="34">40*M90*0.3</f>
        <v>36</v>
      </c>
      <c r="O90" s="283">
        <f xml:space="preserve"> IFERROR(VLOOKUP(S99,اسماء,5,0),"")</f>
        <v>34</v>
      </c>
      <c r="P90" s="41">
        <f t="shared" ref="P90:P91" si="35">40*M90*0.3</f>
        <v>36</v>
      </c>
      <c r="Q90" s="283">
        <f>IFERROR(VLOOKUP(S99,اسماء,15,0),"")</f>
        <v>0</v>
      </c>
      <c r="R90" s="16"/>
      <c r="S90" s="25" t="str">
        <f>IF(O90=0,"",IF(O90&lt;N90*0.4,L90,""))</f>
        <v/>
      </c>
      <c r="T90" s="27" t="str">
        <f>IF(O91=0,"",IF(O91&lt;N91*0.4,L91,""))</f>
        <v/>
      </c>
      <c r="U90" s="26" t="str">
        <f>IF(O92=0,"",IF(O92&lt;N92*0.4,L92,""))</f>
        <v/>
      </c>
      <c r="W90" s="236" t="str">
        <f>ادخال1!$F$9</f>
        <v>التربية الإسلامية</v>
      </c>
      <c r="X90" s="44">
        <f>ادخال1!$F$7</f>
        <v>3</v>
      </c>
      <c r="Y90" s="39">
        <f t="shared" ref="Y90:Y91" si="36">40*X90*0.3</f>
        <v>36</v>
      </c>
      <c r="Z90" s="283" t="str">
        <f xml:space="preserve"> IFERROR(VLOOKUP(AD99,اسماء,5,0),"")</f>
        <v/>
      </c>
      <c r="AA90" s="41">
        <f t="shared" ref="AA90:AA91" si="37">40*X90*0.3</f>
        <v>36</v>
      </c>
      <c r="AB90" s="283" t="str">
        <f>IFERROR(VLOOKUP(AD99,اسماء,15,0),"")</f>
        <v/>
      </c>
      <c r="AC90" s="16"/>
      <c r="AD90" s="25" t="str">
        <f>IF(Z90=0,"",IF(Z90&lt;Y90*0.4,W90,""))</f>
        <v/>
      </c>
      <c r="AE90" s="27" t="str">
        <f>IF(Z91=0,"",IF(Z91&lt;Y91*0.4,W91,""))</f>
        <v/>
      </c>
      <c r="AF90" s="26" t="str">
        <f>IF(Z92=0,"",IF(Z92&lt;Y92*0.4,W92,""))</f>
        <v/>
      </c>
      <c r="AH90" s="236" t="str">
        <f>ادخال1!$F$9</f>
        <v>التربية الإسلامية</v>
      </c>
      <c r="AI90" s="44">
        <f>ادخال1!$F$7</f>
        <v>3</v>
      </c>
      <c r="AJ90" s="39">
        <f t="shared" ref="AJ90:AJ91" si="38">40*AI90*0.3</f>
        <v>36</v>
      </c>
      <c r="AK90" s="283" t="str">
        <f xml:space="preserve"> IFERROR(VLOOKUP(AO99,اسماء,5,0),"")</f>
        <v/>
      </c>
      <c r="AL90" s="41">
        <f t="shared" ref="AL90:AL91" si="39">40*AI90*0.3</f>
        <v>36</v>
      </c>
      <c r="AM90" s="283" t="str">
        <f>IFERROR(VLOOKUP(AO99,اسماء,15,0),"")</f>
        <v/>
      </c>
      <c r="AN90" s="16"/>
      <c r="AO90" s="25" t="str">
        <f>IF(AK90=0,"",IF(AK90&lt;AJ90*0.4,AH90,""))</f>
        <v/>
      </c>
      <c r="AP90" s="27" t="str">
        <f>IF(AK91=0,"",IF(AK91&lt;AJ91*0.4,AH91,""))</f>
        <v/>
      </c>
      <c r="AQ90" s="26" t="str">
        <f>IF(AK92=0,"",IF(AK92&lt;AJ92*0.4,AH92,""))</f>
        <v/>
      </c>
    </row>
    <row r="91" spans="1:43" ht="29.1" customHeight="1" thickBot="1">
      <c r="A91" s="51" t="str">
        <f>ادخال1!$G$9</f>
        <v>اللغة العربية</v>
      </c>
      <c r="B91" s="45">
        <f>ادخال1!$G$7</f>
        <v>6</v>
      </c>
      <c r="C91" s="39">
        <f t="shared" si="32"/>
        <v>72</v>
      </c>
      <c r="D91" s="283">
        <f>IFERROR(VLOOKUP(H99,اسماء,6,0),"")</f>
        <v>64</v>
      </c>
      <c r="E91" s="41">
        <f t="shared" si="33"/>
        <v>72</v>
      </c>
      <c r="F91" s="283">
        <f>IFERROR(VLOOKUP(H99,اسماء,16,0),"")</f>
        <v>0</v>
      </c>
      <c r="G91" s="16"/>
      <c r="H91" s="114" t="str">
        <f>IF(D93=0,"",IF(D93&lt;C93*0.4,A93,""))</f>
        <v/>
      </c>
      <c r="I91" s="252" t="str">
        <f>IF(D94=0,"",IF(D94&lt;C94*0.4,A94,""))</f>
        <v/>
      </c>
      <c r="J91" s="253"/>
      <c r="L91" s="51" t="str">
        <f>ادخال1!$G$9</f>
        <v>اللغة العربية</v>
      </c>
      <c r="M91" s="45">
        <f>ادخال1!$G$7</f>
        <v>6</v>
      </c>
      <c r="N91" s="39">
        <f t="shared" si="34"/>
        <v>72</v>
      </c>
      <c r="O91" s="283">
        <f>IFERROR(VLOOKUP(S99,اسماء,6,0),"")</f>
        <v>70</v>
      </c>
      <c r="P91" s="41">
        <f t="shared" si="35"/>
        <v>72</v>
      </c>
      <c r="Q91" s="283">
        <f>IFERROR(VLOOKUP(S99,اسماء,16,0),"")</f>
        <v>0</v>
      </c>
      <c r="R91" s="16"/>
      <c r="S91" s="114" t="str">
        <f>IF(O93=0,"",IF(O93&lt;N93*0.4,L93,""))</f>
        <v/>
      </c>
      <c r="T91" s="252" t="str">
        <f>IF(O94=0,"",IF(O94&lt;N94*0.4,L94,""))</f>
        <v/>
      </c>
      <c r="U91" s="253"/>
      <c r="W91" s="51" t="str">
        <f>ادخال1!$G$9</f>
        <v>اللغة العربية</v>
      </c>
      <c r="X91" s="45">
        <f>ادخال1!$G$7</f>
        <v>6</v>
      </c>
      <c r="Y91" s="39">
        <f t="shared" si="36"/>
        <v>72</v>
      </c>
      <c r="Z91" s="283" t="str">
        <f>IFERROR(VLOOKUP(AD99,اسماء,6,0),"")</f>
        <v/>
      </c>
      <c r="AA91" s="41">
        <f t="shared" si="37"/>
        <v>72</v>
      </c>
      <c r="AB91" s="283" t="str">
        <f>IFERROR(VLOOKUP(AD99,اسماء,16,0),"")</f>
        <v/>
      </c>
      <c r="AC91" s="16"/>
      <c r="AD91" s="114" t="str">
        <f>IF(Z93=0,"",IF(Z93&lt;Y93*0.4,W93,""))</f>
        <v/>
      </c>
      <c r="AE91" s="252" t="str">
        <f>IF(Z94=0,"",IF(Z94&lt;Y94*0.4,W94,""))</f>
        <v/>
      </c>
      <c r="AF91" s="253"/>
      <c r="AH91" s="51" t="str">
        <f>ادخال1!$G$9</f>
        <v>اللغة العربية</v>
      </c>
      <c r="AI91" s="45">
        <f>ادخال1!$G$7</f>
        <v>6</v>
      </c>
      <c r="AJ91" s="39">
        <f t="shared" si="38"/>
        <v>72</v>
      </c>
      <c r="AK91" s="283" t="str">
        <f>IFERROR(VLOOKUP(AO99,اسماء,6,0),"")</f>
        <v/>
      </c>
      <c r="AL91" s="41">
        <f t="shared" si="39"/>
        <v>72</v>
      </c>
      <c r="AM91" s="283" t="str">
        <f>IFERROR(VLOOKUP(AO99,اسماء,16,0),"")</f>
        <v/>
      </c>
      <c r="AN91" s="16"/>
      <c r="AO91" s="114" t="str">
        <f>IF(AK93=0,"",IF(AK93&lt;AJ93*0.4,AH93,""))</f>
        <v/>
      </c>
      <c r="AP91" s="252" t="str">
        <f>IF(AK94=0,"",IF(AK94&lt;AJ94*0.4,AH94,""))</f>
        <v/>
      </c>
      <c r="AQ91" s="253"/>
    </row>
    <row r="92" spans="1:43" ht="29.1" customHeight="1">
      <c r="A92" s="127" t="str">
        <f>ادخال1!$H$9</f>
        <v>اللغة الإنجليزية</v>
      </c>
      <c r="B92" s="45">
        <f>ادخال1!$H$7</f>
        <v>3</v>
      </c>
      <c r="C92" s="39">
        <f>40*B92*0.3</f>
        <v>36</v>
      </c>
      <c r="D92" s="283">
        <f>IFERROR(VLOOKUP(H99,اسماء,7,0),"")</f>
        <v>35</v>
      </c>
      <c r="E92" s="41">
        <f>40*B92*0.3</f>
        <v>36</v>
      </c>
      <c r="F92" s="283">
        <f>IFERROR(VLOOKUP(H99,اسماء,17,0),"")</f>
        <v>0</v>
      </c>
      <c r="G92" s="16"/>
      <c r="H92" s="254" t="s">
        <v>156</v>
      </c>
      <c r="I92" s="496" t="str">
        <f>IF(F95=0,"",IF(AND(F90&gt;=E90*0.4,F91&gt;=E91*0.4,F92&gt;=E92*0.4,F93&gt;=E93*0.4,F94&gt;=E94*0.4),LOOKUP(F95,'النتيجة النهائية'!$AA$6:$AB$10),"ضعيف ويحتاج الى اهتمام في المواد"))</f>
        <v/>
      </c>
      <c r="J92" s="497"/>
      <c r="L92" s="127" t="str">
        <f>ادخال1!$H$9</f>
        <v>اللغة الإنجليزية</v>
      </c>
      <c r="M92" s="45">
        <f>ادخال1!$H$7</f>
        <v>3</v>
      </c>
      <c r="N92" s="39">
        <f>40*M92*0.3</f>
        <v>36</v>
      </c>
      <c r="O92" s="283">
        <f>IFERROR(VLOOKUP(S99,اسماء,7,0),"")</f>
        <v>35</v>
      </c>
      <c r="P92" s="41">
        <f>40*M92*0.3</f>
        <v>36</v>
      </c>
      <c r="Q92" s="283">
        <f>IFERROR(VLOOKUP(S99,اسماء,17,0),"")</f>
        <v>0</v>
      </c>
      <c r="R92" s="16"/>
      <c r="S92" s="254" t="s">
        <v>156</v>
      </c>
      <c r="T92" s="496" t="str">
        <f>IF(Q95=0,"",IF(AND(Q90&gt;=P90*0.4,Q91&gt;=P91*0.4,Q92&gt;=P92*0.4,Q93&gt;=P93*0.4,Q94&gt;=P94*0.4),LOOKUP(Q95,'النتيجة النهائية'!$AA$6:$AB$10),"ضعيف ويحتاج الى اهتمام في المواد"))</f>
        <v/>
      </c>
      <c r="U92" s="497"/>
      <c r="W92" s="127" t="str">
        <f>ادخال1!$H$9</f>
        <v>اللغة الإنجليزية</v>
      </c>
      <c r="X92" s="45">
        <f>ادخال1!$H$7</f>
        <v>3</v>
      </c>
      <c r="Y92" s="39">
        <f>40*X92*0.3</f>
        <v>36</v>
      </c>
      <c r="Z92" s="283" t="str">
        <f>IFERROR(VLOOKUP(AD99,اسماء,7,0),"")</f>
        <v/>
      </c>
      <c r="AA92" s="41">
        <f>40*X92*0.3</f>
        <v>36</v>
      </c>
      <c r="AB92" s="283" t="str">
        <f>IFERROR(VLOOKUP(AD99,اسماء,17,0),"")</f>
        <v/>
      </c>
      <c r="AC92" s="16"/>
      <c r="AD92" s="254" t="s">
        <v>156</v>
      </c>
      <c r="AE92" s="496" t="str">
        <f>IF(AB95=0,"",IF(AND(AB90&gt;=AA90*0.4,AB91&gt;=AA91*0.4,AB92&gt;=AA92*0.4,AB93&gt;=AA93*0.4,AB94&gt;=AA94*0.4),LOOKUP(AB95,'النتيجة النهائية'!$AA$6:$AB$10),"ضعيف ويحتاج الى اهتمام في المواد"))</f>
        <v/>
      </c>
      <c r="AF92" s="497"/>
      <c r="AH92" s="127" t="str">
        <f>ادخال1!$H$9</f>
        <v>اللغة الإنجليزية</v>
      </c>
      <c r="AI92" s="45">
        <f>ادخال1!$H$7</f>
        <v>3</v>
      </c>
      <c r="AJ92" s="39">
        <f>40*AI92*0.3</f>
        <v>36</v>
      </c>
      <c r="AK92" s="283" t="str">
        <f>IFERROR(VLOOKUP(AO99,اسماء,7,0),"")</f>
        <v/>
      </c>
      <c r="AL92" s="41">
        <f>40*AI92*0.3</f>
        <v>36</v>
      </c>
      <c r="AM92" s="283" t="str">
        <f>IFERROR(VLOOKUP(AO99,اسماء,17,0),"")</f>
        <v/>
      </c>
      <c r="AN92" s="16"/>
      <c r="AO92" s="254" t="s">
        <v>156</v>
      </c>
      <c r="AP92" s="496" t="str">
        <f>IF(AM95=0,"",IF(AND(AM90&gt;=AL90*0.4,AM91&gt;=AL91*0.4,AM92&gt;=AL92*0.4,AM93&gt;=AL93*0.4,AM94&gt;=AL94*0.4),LOOKUP(AM95,'النتيجة النهائية'!$AA$6:$AB$10),"ضعيف ويحتاج الى اهتمام في المواد"))</f>
        <v/>
      </c>
      <c r="AQ92" s="497"/>
    </row>
    <row r="93" spans="1:43" ht="29.1" customHeight="1">
      <c r="A93" s="51" t="str">
        <f>ادخال1!$I$9</f>
        <v>الحاسوب</v>
      </c>
      <c r="B93" s="45">
        <f>ادخال1!$I$7</f>
        <v>1</v>
      </c>
      <c r="C93" s="39">
        <f>40*B93*0.3</f>
        <v>12</v>
      </c>
      <c r="D93" s="283">
        <f>IFERROR(VLOOKUP(H99,اسماء,8,0),"")</f>
        <v>12</v>
      </c>
      <c r="E93" s="41">
        <f>40*B93*0.3</f>
        <v>12</v>
      </c>
      <c r="F93" s="283">
        <f>IFERROR(VLOOKUP(H99,اسماء,18,0),"")</f>
        <v>0</v>
      </c>
      <c r="G93" s="16"/>
      <c r="H93" s="25" t="str">
        <f>IF(F90=0,"",IF(F90&lt;E90*0.4,A90,""))</f>
        <v/>
      </c>
      <c r="I93" s="27" t="str">
        <f>IF(F91=0,"",IF(F91&lt;E91*0.4,A91,""))</f>
        <v/>
      </c>
      <c r="J93" s="26" t="str">
        <f>IF(F92=0,"",IF(F92&lt;E92*0.4,A92,""))</f>
        <v/>
      </c>
      <c r="L93" s="51" t="str">
        <f>ادخال1!$I$9</f>
        <v>الحاسوب</v>
      </c>
      <c r="M93" s="45">
        <f>ادخال1!$I$7</f>
        <v>1</v>
      </c>
      <c r="N93" s="39">
        <f>40*M93*0.3</f>
        <v>12</v>
      </c>
      <c r="O93" s="283">
        <f>IFERROR(VLOOKUP(S99,اسماء,8,0),"")</f>
        <v>12</v>
      </c>
      <c r="P93" s="41">
        <f>40*M93*0.3</f>
        <v>12</v>
      </c>
      <c r="Q93" s="283">
        <f>IFERROR(VLOOKUP(S99,اسماء,18,0),"")</f>
        <v>0</v>
      </c>
      <c r="R93" s="16"/>
      <c r="S93" s="25" t="str">
        <f>IF(Q90=0,"",IF(Q90&lt;P90*0.4,L90,""))</f>
        <v/>
      </c>
      <c r="T93" s="27" t="str">
        <f>IF(Q91=0,"",IF(Q91&lt;P91*0.4,L91,""))</f>
        <v/>
      </c>
      <c r="U93" s="26" t="str">
        <f>IF(Q92=0,"",IF(Q92&lt;P92*0.4,L92,""))</f>
        <v/>
      </c>
      <c r="W93" s="51" t="str">
        <f>ادخال1!$I$9</f>
        <v>الحاسوب</v>
      </c>
      <c r="X93" s="45">
        <f>ادخال1!$I$7</f>
        <v>1</v>
      </c>
      <c r="Y93" s="39">
        <f>40*X93*0.3</f>
        <v>12</v>
      </c>
      <c r="Z93" s="283" t="str">
        <f>IFERROR(VLOOKUP(AD99,اسماء,8,0),"")</f>
        <v/>
      </c>
      <c r="AA93" s="41">
        <f>40*X93*0.3</f>
        <v>12</v>
      </c>
      <c r="AB93" s="283" t="str">
        <f>IFERROR(VLOOKUP(AD99,اسماء,18,0),"")</f>
        <v/>
      </c>
      <c r="AC93" s="16"/>
      <c r="AD93" s="25" t="str">
        <f>IF(AB90=0,"",IF(AB90&lt;AA90*0.4,W90,""))</f>
        <v/>
      </c>
      <c r="AE93" s="27" t="str">
        <f>IF(AB91=0,"",IF(AB91&lt;AA91*0.4,W91,""))</f>
        <v/>
      </c>
      <c r="AF93" s="26" t="str">
        <f>IF(AB92=0,"",IF(AB92&lt;AA92*0.4,W92,""))</f>
        <v/>
      </c>
      <c r="AH93" s="51" t="str">
        <f>ادخال1!$I$9</f>
        <v>الحاسوب</v>
      </c>
      <c r="AI93" s="45">
        <f>ادخال1!$I$7</f>
        <v>1</v>
      </c>
      <c r="AJ93" s="39">
        <f>40*AI93*0.3</f>
        <v>12</v>
      </c>
      <c r="AK93" s="283" t="str">
        <f>IFERROR(VLOOKUP(AO99,اسماء,8,0),"")</f>
        <v/>
      </c>
      <c r="AL93" s="41">
        <f>40*AI93*0.3</f>
        <v>12</v>
      </c>
      <c r="AM93" s="283" t="str">
        <f>IFERROR(VLOOKUP(AO99,اسماء,18,0),"")</f>
        <v/>
      </c>
      <c r="AN93" s="16"/>
      <c r="AO93" s="25" t="str">
        <f>IF(AM90=0,"",IF(AM90&lt;AL90*0.4,AH90,""))</f>
        <v/>
      </c>
      <c r="AP93" s="27" t="str">
        <f>IF(AM91=0,"",IF(AM91&lt;AL91*0.4,AH91,""))</f>
        <v/>
      </c>
      <c r="AQ93" s="26" t="str">
        <f>IF(AM92=0,"",IF(AM92&lt;AL92*0.4,AH92,""))</f>
        <v/>
      </c>
    </row>
    <row r="94" spans="1:43" ht="29.1" customHeight="1" thickBot="1">
      <c r="A94" s="109" t="str">
        <f>ادخال1!$J$9</f>
        <v>الرياضيات</v>
      </c>
      <c r="B94" s="46">
        <f>ادخال1!$J$7</f>
        <v>5</v>
      </c>
      <c r="C94" s="39">
        <f>40*B94*0.3</f>
        <v>60</v>
      </c>
      <c r="D94" s="283">
        <f>IFERROR(VLOOKUP(H99,اسماء,9,0),"")</f>
        <v>60</v>
      </c>
      <c r="E94" s="41">
        <f>40*B94*0.3</f>
        <v>60</v>
      </c>
      <c r="F94" s="283">
        <f>IFERROR(VLOOKUP(H99,اسماء,19,0),"")</f>
        <v>0</v>
      </c>
      <c r="G94" s="16"/>
      <c r="H94" s="114" t="str">
        <f>IF(F93=0,"",IF(F93&lt;E93*0.4,A93,""))</f>
        <v/>
      </c>
      <c r="I94" s="252" t="str">
        <f>IF(F94=0,"",IF(F94&lt;E94*0.4,A94,""))</f>
        <v/>
      </c>
      <c r="J94" s="253"/>
      <c r="L94" s="109" t="str">
        <f>ادخال1!$J$9</f>
        <v>الرياضيات</v>
      </c>
      <c r="M94" s="46">
        <f>ادخال1!$J$7</f>
        <v>5</v>
      </c>
      <c r="N94" s="39">
        <f>40*M94*0.3</f>
        <v>60</v>
      </c>
      <c r="O94" s="283">
        <f>IFERROR(VLOOKUP(S99,اسماء,9,0),"")</f>
        <v>60</v>
      </c>
      <c r="P94" s="41">
        <f>40*M94*0.3</f>
        <v>60</v>
      </c>
      <c r="Q94" s="283">
        <f>IFERROR(VLOOKUP(S99,اسماء,19,0),"")</f>
        <v>0</v>
      </c>
      <c r="R94" s="16"/>
      <c r="S94" s="114" t="str">
        <f>IF(Q93=0,"",IF(Q93&lt;P93*0.4,L93,""))</f>
        <v/>
      </c>
      <c r="T94" s="252" t="str">
        <f>IF(Q94=0,"",IF(Q94&lt;P94*0.4,L94,""))</f>
        <v/>
      </c>
      <c r="U94" s="253"/>
      <c r="W94" s="109" t="str">
        <f>ادخال1!$J$9</f>
        <v>الرياضيات</v>
      </c>
      <c r="X94" s="46">
        <f>ادخال1!$J$7</f>
        <v>5</v>
      </c>
      <c r="Y94" s="39">
        <f>40*X94*0.3</f>
        <v>60</v>
      </c>
      <c r="Z94" s="283" t="str">
        <f>IFERROR(VLOOKUP(AD99,اسماء,9,0),"")</f>
        <v/>
      </c>
      <c r="AA94" s="41">
        <f>40*X94*0.3</f>
        <v>60</v>
      </c>
      <c r="AB94" s="283" t="str">
        <f>IFERROR(VLOOKUP(AD99,اسماء,19,0),"")</f>
        <v/>
      </c>
      <c r="AC94" s="16"/>
      <c r="AD94" s="114" t="str">
        <f>IF(AB93=0,"",IF(AB93&lt;AA93*0.4,W93,""))</f>
        <v/>
      </c>
      <c r="AE94" s="252" t="str">
        <f>IF(AB94=0,"",IF(AB94&lt;AA94*0.4,W94,""))</f>
        <v/>
      </c>
      <c r="AF94" s="253"/>
      <c r="AH94" s="109" t="str">
        <f>ادخال1!$J$9</f>
        <v>الرياضيات</v>
      </c>
      <c r="AI94" s="46">
        <f>ادخال1!$J$7</f>
        <v>5</v>
      </c>
      <c r="AJ94" s="39">
        <f>40*AI94*0.3</f>
        <v>60</v>
      </c>
      <c r="AK94" s="283" t="str">
        <f>IFERROR(VLOOKUP(AO99,اسماء,9,0),"")</f>
        <v/>
      </c>
      <c r="AL94" s="41">
        <f>40*AI94*0.3</f>
        <v>60</v>
      </c>
      <c r="AM94" s="283" t="str">
        <f>IFERROR(VLOOKUP(AO99,اسماء,19,0),"")</f>
        <v/>
      </c>
      <c r="AN94" s="16"/>
      <c r="AO94" s="114" t="str">
        <f>IF(AM93=0,"",IF(AM93&lt;AL93*0.4,AH93,""))</f>
        <v/>
      </c>
      <c r="AP94" s="252" t="str">
        <f>IF(AM94=0,"",IF(AM94&lt;AL94*0.4,AH94,""))</f>
        <v/>
      </c>
      <c r="AQ94" s="253"/>
    </row>
    <row r="95" spans="1:43" ht="29.1" customHeight="1" thickBot="1">
      <c r="A95" s="53" t="s">
        <v>55</v>
      </c>
      <c r="B95" s="28"/>
      <c r="C95" s="40">
        <f>SUM(C90:C94)</f>
        <v>216</v>
      </c>
      <c r="D95" s="284">
        <f>SUM(D90:D94)</f>
        <v>203</v>
      </c>
      <c r="E95" s="40">
        <f>SUM(E90:E94)</f>
        <v>216</v>
      </c>
      <c r="F95" s="284">
        <f>SUM(F90:F94)</f>
        <v>0</v>
      </c>
      <c r="G95" s="16"/>
      <c r="H95" s="182" t="s">
        <v>64</v>
      </c>
      <c r="I95" s="474" t="str">
        <f>ادخال1!$BG$5</f>
        <v>د. عبدالرحمن خليفة العريبي</v>
      </c>
      <c r="J95" s="475"/>
      <c r="L95" s="53" t="s">
        <v>55</v>
      </c>
      <c r="M95" s="28"/>
      <c r="N95" s="40">
        <f>SUM(N90:N94)</f>
        <v>216</v>
      </c>
      <c r="O95" s="284">
        <f>SUM(O90:O94)</f>
        <v>211</v>
      </c>
      <c r="P95" s="40">
        <f>SUM(P90:P94)</f>
        <v>216</v>
      </c>
      <c r="Q95" s="284">
        <f>SUM(Q90:Q94)</f>
        <v>0</v>
      </c>
      <c r="R95" s="16"/>
      <c r="S95" s="182" t="s">
        <v>64</v>
      </c>
      <c r="T95" s="474" t="str">
        <f>ادخال1!$BG$5</f>
        <v>د. عبدالرحمن خليفة العريبي</v>
      </c>
      <c r="U95" s="475"/>
      <c r="W95" s="53" t="s">
        <v>55</v>
      </c>
      <c r="X95" s="28"/>
      <c r="Y95" s="40">
        <f>SUM(Y90:Y94)</f>
        <v>216</v>
      </c>
      <c r="Z95" s="284">
        <f>SUM(Z90:Z94)</f>
        <v>0</v>
      </c>
      <c r="AA95" s="40">
        <f>SUM(AA90:AA94)</f>
        <v>216</v>
      </c>
      <c r="AB95" s="284">
        <f>SUM(AB90:AB94)</f>
        <v>0</v>
      </c>
      <c r="AC95" s="16"/>
      <c r="AD95" s="182" t="s">
        <v>64</v>
      </c>
      <c r="AE95" s="474" t="str">
        <f>ادخال1!$BG$5</f>
        <v>د. عبدالرحمن خليفة العريبي</v>
      </c>
      <c r="AF95" s="475"/>
      <c r="AH95" s="53" t="s">
        <v>55</v>
      </c>
      <c r="AI95" s="28"/>
      <c r="AJ95" s="40">
        <f>SUM(AJ90:AJ94)</f>
        <v>216</v>
      </c>
      <c r="AK95" s="284">
        <f>SUM(AK90:AK94)</f>
        <v>0</v>
      </c>
      <c r="AL95" s="40">
        <f>SUM(AL90:AL94)</f>
        <v>216</v>
      </c>
      <c r="AM95" s="284">
        <f>SUM(AM90:AM94)</f>
        <v>0</v>
      </c>
      <c r="AN95" s="16"/>
      <c r="AO95" s="182" t="s">
        <v>64</v>
      </c>
      <c r="AP95" s="474" t="str">
        <f>ادخال1!$BG$5</f>
        <v>د. عبدالرحمن خليفة العريبي</v>
      </c>
      <c r="AQ95" s="475"/>
    </row>
    <row r="96" spans="1:43" ht="29.1" customHeight="1" thickBot="1">
      <c r="A96" s="30" t="str">
        <f>ادخال1!$L$8</f>
        <v>التربية الفنية</v>
      </c>
      <c r="B96" s="47">
        <f>ادخال1!$L$7</f>
        <v>1</v>
      </c>
      <c r="C96" s="486" t="str">
        <f>IFERROR(VLOOKUP(H99,اسماء,11,0),"")</f>
        <v>جيد جداَ</v>
      </c>
      <c r="D96" s="487"/>
      <c r="E96" s="486">
        <f>IFERROR(VLOOKUP(H99,اسماء,21,0),"")</f>
        <v>0</v>
      </c>
      <c r="F96" s="487"/>
      <c r="G96" s="16"/>
      <c r="H96" s="13" t="s">
        <v>66</v>
      </c>
      <c r="I96" s="465">
        <f ca="1">TODAY()</f>
        <v>46005</v>
      </c>
      <c r="J96" s="466"/>
      <c r="L96" s="30" t="str">
        <f>ادخال1!$L$8</f>
        <v>التربية الفنية</v>
      </c>
      <c r="M96" s="47">
        <f>ادخال1!$L$7</f>
        <v>1</v>
      </c>
      <c r="N96" s="486" t="str">
        <f>IFERROR(VLOOKUP(S99,اسماء,11,0),"")</f>
        <v>جيد جداَ</v>
      </c>
      <c r="O96" s="487"/>
      <c r="P96" s="486">
        <f>IFERROR(VLOOKUP(S99,اسماء,21,0),"")</f>
        <v>0</v>
      </c>
      <c r="Q96" s="487"/>
      <c r="R96" s="16"/>
      <c r="S96" s="13" t="s">
        <v>66</v>
      </c>
      <c r="T96" s="465">
        <f ca="1">TODAY()</f>
        <v>46005</v>
      </c>
      <c r="U96" s="466"/>
      <c r="W96" s="30" t="str">
        <f>ادخال1!$L$8</f>
        <v>التربية الفنية</v>
      </c>
      <c r="X96" s="47">
        <f>ادخال1!$L$7</f>
        <v>1</v>
      </c>
      <c r="Y96" s="486" t="str">
        <f>IFERROR(VLOOKUP(AD99,اسماء,11,0),"")</f>
        <v/>
      </c>
      <c r="Z96" s="487"/>
      <c r="AA96" s="486" t="str">
        <f>IFERROR(VLOOKUP(AD99,اسماء,21,0),"")</f>
        <v/>
      </c>
      <c r="AB96" s="487"/>
      <c r="AC96" s="16"/>
      <c r="AD96" s="13" t="s">
        <v>66</v>
      </c>
      <c r="AE96" s="465">
        <f ca="1">TODAY()</f>
        <v>46005</v>
      </c>
      <c r="AF96" s="466"/>
      <c r="AH96" s="30" t="str">
        <f>ادخال1!$L$8</f>
        <v>التربية الفنية</v>
      </c>
      <c r="AI96" s="47">
        <f>ادخال1!$L$7</f>
        <v>1</v>
      </c>
      <c r="AJ96" s="486" t="str">
        <f>IFERROR(VLOOKUP(AO99,اسماء,11,0),"")</f>
        <v/>
      </c>
      <c r="AK96" s="487"/>
      <c r="AL96" s="486" t="str">
        <f>IFERROR(VLOOKUP(AO99,اسماء,21,0),"")</f>
        <v/>
      </c>
      <c r="AM96" s="487"/>
      <c r="AN96" s="16"/>
      <c r="AO96" s="13" t="s">
        <v>66</v>
      </c>
      <c r="AP96" s="465">
        <f ca="1">TODAY()</f>
        <v>46005</v>
      </c>
      <c r="AQ96" s="466"/>
    </row>
    <row r="97" spans="1:43" ht="29.1" customHeight="1" thickBot="1">
      <c r="A97" s="378" t="str">
        <f>ادخال1!$M$8</f>
        <v>التربية البدنية</v>
      </c>
      <c r="B97" s="377">
        <f>ادخال1!$M$7</f>
        <v>2</v>
      </c>
      <c r="C97" s="448" t="str">
        <f>IFERROR(VLOOKUP(H99,اسماء,12,0),"")</f>
        <v>جيد جداَ</v>
      </c>
      <c r="D97" s="449"/>
      <c r="E97" s="448">
        <f>IFERROR(VLOOKUP(H99,اسماء,22,0),"")</f>
        <v>0</v>
      </c>
      <c r="F97" s="449"/>
      <c r="G97" s="16"/>
      <c r="H97" s="62"/>
      <c r="I97" s="465"/>
      <c r="J97" s="466"/>
      <c r="L97" s="378" t="str">
        <f>ادخال1!$M$8</f>
        <v>التربية البدنية</v>
      </c>
      <c r="M97" s="377">
        <f>ادخال1!$M$7</f>
        <v>2</v>
      </c>
      <c r="N97" s="448" t="str">
        <f>IFERROR(VLOOKUP(S99,اسماء,12,0),"")</f>
        <v>جيد جداَ</v>
      </c>
      <c r="O97" s="449"/>
      <c r="P97" s="448">
        <f>IFERROR(VLOOKUP(S99,اسماء,22,0),"")</f>
        <v>0</v>
      </c>
      <c r="Q97" s="449"/>
      <c r="R97" s="16"/>
      <c r="S97" s="62"/>
      <c r="T97" s="465"/>
      <c r="U97" s="466"/>
      <c r="W97" s="378" t="str">
        <f>ادخال1!$M$8</f>
        <v>التربية البدنية</v>
      </c>
      <c r="X97" s="377">
        <f>ادخال1!$M$7</f>
        <v>2</v>
      </c>
      <c r="Y97" s="448" t="str">
        <f>IFERROR(VLOOKUP(AD99,اسماء,12,0),"")</f>
        <v/>
      </c>
      <c r="Z97" s="449"/>
      <c r="AA97" s="448" t="str">
        <f>IFERROR(VLOOKUP(AD99,اسماء,22,0),"")</f>
        <v/>
      </c>
      <c r="AB97" s="449"/>
      <c r="AC97" s="16"/>
      <c r="AD97" s="62"/>
      <c r="AE97" s="465"/>
      <c r="AF97" s="466"/>
      <c r="AH97" s="378" t="str">
        <f>ادخال1!$M$8</f>
        <v>التربية البدنية</v>
      </c>
      <c r="AI97" s="377">
        <f>ادخال1!$M$7</f>
        <v>2</v>
      </c>
      <c r="AJ97" s="448" t="str">
        <f>IFERROR(VLOOKUP(AO99,اسماء,12,0),"")</f>
        <v/>
      </c>
      <c r="AK97" s="449"/>
      <c r="AL97" s="448" t="str">
        <f>IFERROR(VLOOKUP(AO99,اسماء,22,0),"")</f>
        <v/>
      </c>
      <c r="AM97" s="449"/>
      <c r="AN97" s="16"/>
      <c r="AO97" s="62"/>
      <c r="AP97" s="465"/>
      <c r="AQ97" s="466"/>
    </row>
    <row r="98" spans="1:43" ht="29.1" customHeight="1">
      <c r="A98" s="333" t="str">
        <f>ادخال1!$N$8</f>
        <v>مكتبة</v>
      </c>
      <c r="B98" s="380">
        <f>ادخال1!$N$7</f>
        <v>1</v>
      </c>
      <c r="C98" s="448">
        <f>IFERROR(VLOOKUP(H99,اسماء,13,0),"")</f>
        <v>0</v>
      </c>
      <c r="D98" s="449"/>
      <c r="E98" s="448">
        <f>IFERROR(VLOOKUP(H99,اسماء,23,0),"")</f>
        <v>0</v>
      </c>
      <c r="F98" s="449"/>
      <c r="G98" s="16"/>
      <c r="H98" s="62"/>
      <c r="I98" s="331"/>
      <c r="J98" s="332"/>
      <c r="L98" s="333" t="str">
        <f>ادخال1!$N$8</f>
        <v>مكتبة</v>
      </c>
      <c r="M98" s="380">
        <f>ادخال1!$N$7</f>
        <v>1</v>
      </c>
      <c r="N98" s="448">
        <f>IFERROR(VLOOKUP(S99,اسماء,13,0),"")</f>
        <v>0</v>
      </c>
      <c r="O98" s="449"/>
      <c r="P98" s="448">
        <f>IFERROR(VLOOKUP(S99,اسماء,23,0),"")</f>
        <v>0</v>
      </c>
      <c r="Q98" s="449"/>
      <c r="R98" s="16"/>
      <c r="S98" s="62"/>
      <c r="T98" s="331"/>
      <c r="U98" s="332"/>
      <c r="W98" s="333" t="str">
        <f>ادخال1!$N$8</f>
        <v>مكتبة</v>
      </c>
      <c r="X98" s="380">
        <f>ادخال1!$N$7</f>
        <v>1</v>
      </c>
      <c r="Y98" s="448" t="str">
        <f>IFERROR(VLOOKUP(AD99,اسماء,13,0),"")</f>
        <v/>
      </c>
      <c r="Z98" s="449"/>
      <c r="AA98" s="448" t="str">
        <f>IFERROR(VLOOKUP(AD99,اسماء,23,0),"")</f>
        <v/>
      </c>
      <c r="AB98" s="449"/>
      <c r="AC98" s="16"/>
      <c r="AD98" s="62"/>
      <c r="AE98" s="331"/>
      <c r="AF98" s="332"/>
      <c r="AH98" s="333" t="str">
        <f>ادخال1!$N$8</f>
        <v>مكتبة</v>
      </c>
      <c r="AI98" s="380">
        <f>ادخال1!$N$7</f>
        <v>1</v>
      </c>
      <c r="AJ98" s="448" t="str">
        <f>IFERROR(VLOOKUP(AO99,اسماء,13,0),"")</f>
        <v/>
      </c>
      <c r="AK98" s="449"/>
      <c r="AL98" s="448" t="str">
        <f>IFERROR(VLOOKUP(AO99,اسماء,23,0),"")</f>
        <v/>
      </c>
      <c r="AM98" s="449"/>
      <c r="AN98" s="16"/>
      <c r="AO98" s="62"/>
      <c r="AP98" s="331"/>
      <c r="AQ98" s="332"/>
    </row>
    <row r="99" spans="1:43" ht="29.1" customHeight="1" thickBot="1">
      <c r="A99" s="379" t="s">
        <v>119</v>
      </c>
      <c r="B99" s="473">
        <f>IFERROR(VLOOKUP(H99,اسماء,62,0),"")</f>
        <v>220180602649</v>
      </c>
      <c r="C99" s="473" t="str">
        <f>IFERROR(VLOOKUP(G104,اسماء,8,0),"")</f>
        <v/>
      </c>
      <c r="D99" s="473" t="str">
        <f>IFERROR(VLOOKUP(H104,اسماء,8,0),"")</f>
        <v/>
      </c>
      <c r="E99" s="473" t="str">
        <f>IFERROR(VLOOKUP(I104,اسماء,8,0),"")</f>
        <v/>
      </c>
      <c r="F99" s="309"/>
      <c r="G99" s="16"/>
      <c r="H99" s="474" t="str">
        <f>INDEX(عمود2,MATCH(J86,عمود1))</f>
        <v>سارة ضياء محمد الترهونى</v>
      </c>
      <c r="I99" s="474"/>
      <c r="J99" s="475"/>
      <c r="L99" s="379" t="s">
        <v>119</v>
      </c>
      <c r="M99" s="473">
        <f>IFERROR(VLOOKUP(S99,اسماء,62,0),"")</f>
        <v>220181120911</v>
      </c>
      <c r="N99" s="473" t="str">
        <f>IFERROR(VLOOKUP(R104,اسماء,8,0),"")</f>
        <v/>
      </c>
      <c r="O99" s="473" t="str">
        <f>IFERROR(VLOOKUP(S104,اسماء,8,0),"")</f>
        <v/>
      </c>
      <c r="P99" s="473" t="str">
        <f>IFERROR(VLOOKUP(T104,اسماء,8,0),"")</f>
        <v/>
      </c>
      <c r="Q99" s="309"/>
      <c r="R99" s="16"/>
      <c r="S99" s="474" t="str">
        <f>INDEX(عمود2,MATCH(U86,عمود1))</f>
        <v>مثاب نورالدين احمد  الديب</v>
      </c>
      <c r="T99" s="474"/>
      <c r="U99" s="475"/>
      <c r="W99" s="379" t="s">
        <v>119</v>
      </c>
      <c r="X99" s="473" t="str">
        <f>IFERROR(VLOOKUP(AD99,اسماء,62,0),"")</f>
        <v/>
      </c>
      <c r="Y99" s="473" t="str">
        <f>IFERROR(VLOOKUP(AC104,اسماء,8,0),"")</f>
        <v/>
      </c>
      <c r="Z99" s="473" t="str">
        <f>IFERROR(VLOOKUP(AD104,اسماء,8,0),"")</f>
        <v/>
      </c>
      <c r="AA99" s="473" t="str">
        <f>IFERROR(VLOOKUP(AE104,اسماء,8,0),"")</f>
        <v/>
      </c>
      <c r="AB99" s="309"/>
      <c r="AC99" s="16"/>
      <c r="AD99" s="474">
        <f>INDEX(عمود2,MATCH(AF86,عمود1))</f>
        <v>0</v>
      </c>
      <c r="AE99" s="474"/>
      <c r="AF99" s="475"/>
      <c r="AH99" s="379" t="s">
        <v>119</v>
      </c>
      <c r="AI99" s="473" t="str">
        <f>IFERROR(VLOOKUP(AO99,اسماء,62,0),"")</f>
        <v/>
      </c>
      <c r="AJ99" s="473" t="str">
        <f>IFERROR(VLOOKUP(AN104,اسماء,8,0),"")</f>
        <v/>
      </c>
      <c r="AK99" s="473" t="str">
        <f>IFERROR(VLOOKUP(AO104,اسماء,8,0),"")</f>
        <v/>
      </c>
      <c r="AL99" s="473" t="str">
        <f>IFERROR(VLOOKUP(AP104,اسماء,8,0),"")</f>
        <v/>
      </c>
      <c r="AM99" s="309"/>
      <c r="AN99" s="16"/>
      <c r="AO99" s="474">
        <f>INDEX(عمود2,MATCH(AQ86,عمود1))</f>
        <v>0</v>
      </c>
      <c r="AP99" s="474"/>
      <c r="AQ99" s="475"/>
    </row>
    <row r="100" spans="1:43" ht="29.1" customHeight="1">
      <c r="A100" s="458" t="s">
        <v>57</v>
      </c>
      <c r="B100" s="459"/>
      <c r="C100" s="451">
        <f>IFERROR(VLOOKUP(H99,اسماء,34,0),"")</f>
        <v>0</v>
      </c>
      <c r="D100" s="460"/>
      <c r="E100" s="451">
        <f>IFERROR(VLOOKUP(H99,اسماء,35,0),"")</f>
        <v>0</v>
      </c>
      <c r="F100" s="460"/>
      <c r="G100" s="16"/>
      <c r="H100" s="476" t="s">
        <v>89</v>
      </c>
      <c r="I100" s="476"/>
      <c r="J100" s="477"/>
      <c r="L100" s="458" t="s">
        <v>57</v>
      </c>
      <c r="M100" s="459"/>
      <c r="N100" s="451">
        <f>IFERROR(VLOOKUP(S99,اسماء,34,0),"")</f>
        <v>0</v>
      </c>
      <c r="O100" s="460"/>
      <c r="P100" s="451">
        <f>IFERROR(VLOOKUP(S99,اسماء,35,0),"")</f>
        <v>0</v>
      </c>
      <c r="Q100" s="460"/>
      <c r="R100" s="16"/>
      <c r="S100" s="476" t="s">
        <v>89</v>
      </c>
      <c r="T100" s="476"/>
      <c r="U100" s="477"/>
      <c r="W100" s="458" t="s">
        <v>57</v>
      </c>
      <c r="X100" s="459"/>
      <c r="Y100" s="451" t="str">
        <f>IFERROR(VLOOKUP(AD99,اسماء,34,0),"")</f>
        <v/>
      </c>
      <c r="Z100" s="460"/>
      <c r="AA100" s="451" t="str">
        <f>IFERROR(VLOOKUP(AD99,اسماء,35,0),"")</f>
        <v/>
      </c>
      <c r="AB100" s="460"/>
      <c r="AC100" s="16"/>
      <c r="AD100" s="476" t="s">
        <v>89</v>
      </c>
      <c r="AE100" s="476"/>
      <c r="AF100" s="477"/>
      <c r="AH100" s="458" t="s">
        <v>57</v>
      </c>
      <c r="AI100" s="459"/>
      <c r="AJ100" s="451" t="str">
        <f>IFERROR(VLOOKUP(AO99,اسماء,34,0),"")</f>
        <v/>
      </c>
      <c r="AK100" s="460"/>
      <c r="AL100" s="451" t="str">
        <f>IFERROR(VLOOKUP(AO99,اسماء,35,0),"")</f>
        <v/>
      </c>
      <c r="AM100" s="460"/>
      <c r="AN100" s="16"/>
      <c r="AO100" s="476" t="s">
        <v>89</v>
      </c>
      <c r="AP100" s="476"/>
      <c r="AQ100" s="477"/>
    </row>
    <row r="101" spans="1:43" ht="29.1" customHeight="1">
      <c r="A101" s="461" t="s">
        <v>58</v>
      </c>
      <c r="B101" s="462"/>
      <c r="C101" s="463">
        <f>IFERROR(VLOOKUP(H99,اسماء,37,0),"")</f>
        <v>0</v>
      </c>
      <c r="D101" s="464"/>
      <c r="E101" s="463">
        <f>IFERROR(VLOOKUP(H99,اسماء,39,0),"")</f>
        <v>0</v>
      </c>
      <c r="F101" s="464"/>
      <c r="G101" s="16"/>
      <c r="H101" s="476"/>
      <c r="I101" s="476"/>
      <c r="J101" s="477"/>
      <c r="L101" s="461" t="s">
        <v>58</v>
      </c>
      <c r="M101" s="462"/>
      <c r="N101" s="463">
        <f>IFERROR(VLOOKUP(S99,اسماء,37,0),"")</f>
        <v>0</v>
      </c>
      <c r="O101" s="464"/>
      <c r="P101" s="463">
        <f>IFERROR(VLOOKUP(S99,اسماء,39,0),"")</f>
        <v>0</v>
      </c>
      <c r="Q101" s="464"/>
      <c r="R101" s="16"/>
      <c r="S101" s="476"/>
      <c r="T101" s="476"/>
      <c r="U101" s="477"/>
      <c r="W101" s="461" t="s">
        <v>58</v>
      </c>
      <c r="X101" s="462"/>
      <c r="Y101" s="463" t="str">
        <f>IFERROR(VLOOKUP(AD99,اسماء,37,0),"")</f>
        <v/>
      </c>
      <c r="Z101" s="464"/>
      <c r="AA101" s="463" t="str">
        <f>IFERROR(VLOOKUP(AD99,اسماء,39,0),"")</f>
        <v/>
      </c>
      <c r="AB101" s="464"/>
      <c r="AC101" s="16"/>
      <c r="AD101" s="476"/>
      <c r="AE101" s="476"/>
      <c r="AF101" s="477"/>
      <c r="AH101" s="461" t="s">
        <v>58</v>
      </c>
      <c r="AI101" s="462"/>
      <c r="AJ101" s="463" t="str">
        <f>IFERROR(VLOOKUP(AO99,اسماء,37,0),"")</f>
        <v/>
      </c>
      <c r="AK101" s="464"/>
      <c r="AL101" s="463" t="str">
        <f>IFERROR(VLOOKUP(AO99,اسماء,39,0),"")</f>
        <v/>
      </c>
      <c r="AM101" s="464"/>
      <c r="AN101" s="16"/>
      <c r="AO101" s="476"/>
      <c r="AP101" s="476"/>
      <c r="AQ101" s="477"/>
    </row>
    <row r="102" spans="1:43" ht="15" customHeight="1" thickBot="1">
      <c r="A102" s="480" t="s">
        <v>59</v>
      </c>
      <c r="B102" s="481"/>
      <c r="C102" s="482">
        <f>IFERROR(VLOOKUP(H99,اسماء,38,0),"")</f>
        <v>0</v>
      </c>
      <c r="D102" s="483"/>
      <c r="E102" s="482">
        <f>IFERROR(VLOOKUP(H99,اسماء,40,0),"")</f>
        <v>0</v>
      </c>
      <c r="F102" s="483"/>
      <c r="G102" s="16"/>
      <c r="H102" s="478"/>
      <c r="I102" s="478"/>
      <c r="J102" s="479"/>
      <c r="L102" s="480" t="s">
        <v>59</v>
      </c>
      <c r="M102" s="481"/>
      <c r="N102" s="482">
        <f>IFERROR(VLOOKUP(S99,اسماء,38,0),"")</f>
        <v>0</v>
      </c>
      <c r="O102" s="483"/>
      <c r="P102" s="482">
        <f>IFERROR(VLOOKUP(S99,اسماء,40,0),"")</f>
        <v>0</v>
      </c>
      <c r="Q102" s="483"/>
      <c r="R102" s="16"/>
      <c r="S102" s="478"/>
      <c r="T102" s="478"/>
      <c r="U102" s="479"/>
      <c r="W102" s="480" t="s">
        <v>59</v>
      </c>
      <c r="X102" s="481"/>
      <c r="Y102" s="482" t="str">
        <f>IFERROR(VLOOKUP(AD99,اسماء,38,0),"")</f>
        <v/>
      </c>
      <c r="Z102" s="483"/>
      <c r="AA102" s="482" t="str">
        <f>IFERROR(VLOOKUP(AD99,اسماء,40,0),"")</f>
        <v/>
      </c>
      <c r="AB102" s="483"/>
      <c r="AC102" s="16"/>
      <c r="AD102" s="478"/>
      <c r="AE102" s="478"/>
      <c r="AF102" s="479"/>
      <c r="AH102" s="480" t="s">
        <v>59</v>
      </c>
      <c r="AI102" s="481"/>
      <c r="AJ102" s="482" t="str">
        <f>IFERROR(VLOOKUP(AO99,اسماء,38,0),"")</f>
        <v/>
      </c>
      <c r="AK102" s="483"/>
      <c r="AL102" s="482" t="str">
        <f>IFERROR(VLOOKUP(AO99,اسماء,40,0),"")</f>
        <v/>
      </c>
      <c r="AM102" s="483"/>
      <c r="AN102" s="16"/>
      <c r="AO102" s="478"/>
      <c r="AP102" s="478"/>
      <c r="AQ102" s="479"/>
    </row>
    <row r="103" spans="1:43" ht="29.1" customHeight="1">
      <c r="A103" s="113" t="s">
        <v>14</v>
      </c>
      <c r="B103" s="450" t="s">
        <v>60</v>
      </c>
      <c r="C103" s="450"/>
      <c r="D103" s="468" t="s">
        <v>61</v>
      </c>
      <c r="E103" s="469"/>
      <c r="F103" s="469"/>
      <c r="G103" s="470"/>
      <c r="H103" s="451" t="s">
        <v>84</v>
      </c>
      <c r="I103" s="452"/>
      <c r="J103" s="262"/>
      <c r="L103" s="113" t="s">
        <v>14</v>
      </c>
      <c r="M103" s="450" t="s">
        <v>60</v>
      </c>
      <c r="N103" s="450"/>
      <c r="O103" s="468" t="s">
        <v>61</v>
      </c>
      <c r="P103" s="469"/>
      <c r="Q103" s="469"/>
      <c r="R103" s="470"/>
      <c r="S103" s="451" t="s">
        <v>84</v>
      </c>
      <c r="T103" s="452"/>
      <c r="U103" s="266"/>
      <c r="W103" s="111" t="s">
        <v>14</v>
      </c>
      <c r="X103" s="450" t="s">
        <v>60</v>
      </c>
      <c r="Y103" s="450"/>
      <c r="Z103" s="468" t="s">
        <v>61</v>
      </c>
      <c r="AA103" s="469"/>
      <c r="AB103" s="469"/>
      <c r="AC103" s="470"/>
      <c r="AD103" s="451" t="s">
        <v>84</v>
      </c>
      <c r="AE103" s="452"/>
      <c r="AF103" s="262"/>
      <c r="AH103" s="111" t="s">
        <v>14</v>
      </c>
      <c r="AI103" s="450" t="s">
        <v>60</v>
      </c>
      <c r="AJ103" s="450"/>
      <c r="AK103" s="468" t="s">
        <v>61</v>
      </c>
      <c r="AL103" s="469"/>
      <c r="AM103" s="469"/>
      <c r="AN103" s="470"/>
      <c r="AO103" s="451" t="s">
        <v>84</v>
      </c>
      <c r="AP103" s="452"/>
      <c r="AQ103" s="262"/>
    </row>
    <row r="104" spans="1:43" ht="29.1" customHeight="1">
      <c r="A104" s="25" t="s">
        <v>63</v>
      </c>
      <c r="B104" s="462"/>
      <c r="C104" s="462"/>
      <c r="D104" s="463"/>
      <c r="E104" s="471"/>
      <c r="F104" s="471"/>
      <c r="G104" s="464"/>
      <c r="H104" s="463"/>
      <c r="I104" s="472"/>
      <c r="J104" s="256"/>
      <c r="L104" s="25" t="s">
        <v>63</v>
      </c>
      <c r="M104" s="462"/>
      <c r="N104" s="462"/>
      <c r="O104" s="463"/>
      <c r="P104" s="471"/>
      <c r="Q104" s="471"/>
      <c r="R104" s="464"/>
      <c r="S104" s="463"/>
      <c r="T104" s="472"/>
      <c r="U104" s="258"/>
      <c r="W104" s="110" t="s">
        <v>63</v>
      </c>
      <c r="X104" s="462"/>
      <c r="Y104" s="462"/>
      <c r="Z104" s="463"/>
      <c r="AA104" s="471"/>
      <c r="AB104" s="471"/>
      <c r="AC104" s="464"/>
      <c r="AD104" s="463"/>
      <c r="AE104" s="472"/>
      <c r="AF104" s="256"/>
      <c r="AH104" s="110" t="s">
        <v>63</v>
      </c>
      <c r="AI104" s="462"/>
      <c r="AJ104" s="462"/>
      <c r="AK104" s="463"/>
      <c r="AL104" s="471"/>
      <c r="AM104" s="471"/>
      <c r="AN104" s="464"/>
      <c r="AO104" s="463"/>
      <c r="AP104" s="472"/>
      <c r="AQ104" s="256"/>
    </row>
    <row r="105" spans="1:43" ht="29.1" customHeight="1" thickBot="1">
      <c r="A105" s="114" t="s">
        <v>65</v>
      </c>
      <c r="B105" s="504"/>
      <c r="C105" s="504"/>
      <c r="D105" s="482"/>
      <c r="E105" s="505"/>
      <c r="F105" s="505"/>
      <c r="G105" s="483"/>
      <c r="H105" s="482"/>
      <c r="I105" s="506"/>
      <c r="J105" s="263"/>
      <c r="L105" s="114" t="s">
        <v>65</v>
      </c>
      <c r="M105" s="504"/>
      <c r="N105" s="504"/>
      <c r="O105" s="482"/>
      <c r="P105" s="505"/>
      <c r="Q105" s="505"/>
      <c r="R105" s="483"/>
      <c r="S105" s="482"/>
      <c r="T105" s="506"/>
      <c r="U105" s="267"/>
      <c r="W105" s="112" t="s">
        <v>65</v>
      </c>
      <c r="X105" s="454"/>
      <c r="Y105" s="454"/>
      <c r="Z105" s="455"/>
      <c r="AA105" s="456"/>
      <c r="AB105" s="456"/>
      <c r="AC105" s="457"/>
      <c r="AD105" s="455"/>
      <c r="AE105" s="467"/>
      <c r="AF105" s="263"/>
      <c r="AH105" s="112" t="s">
        <v>65</v>
      </c>
      <c r="AI105" s="454"/>
      <c r="AJ105" s="454"/>
      <c r="AK105" s="455"/>
      <c r="AL105" s="456"/>
      <c r="AM105" s="456"/>
      <c r="AN105" s="457"/>
      <c r="AO105" s="455"/>
      <c r="AP105" s="467"/>
      <c r="AQ105" s="263"/>
    </row>
    <row r="106" spans="1:43" ht="29.1" customHeight="1"/>
  </sheetData>
  <sheetProtection selectLockedCells="1"/>
  <mergeCells count="800">
    <mergeCell ref="AA79:AB79"/>
    <mergeCell ref="W80:X80"/>
    <mergeCell ref="Y80:Z80"/>
    <mergeCell ref="AA80:AB80"/>
    <mergeCell ref="N98:O98"/>
    <mergeCell ref="P98:Q98"/>
    <mergeCell ref="M99:P99"/>
    <mergeCell ref="S99:U99"/>
    <mergeCell ref="S100:U102"/>
    <mergeCell ref="L102:M102"/>
    <mergeCell ref="N102:O102"/>
    <mergeCell ref="P102:Q102"/>
    <mergeCell ref="Y98:Z98"/>
    <mergeCell ref="X99:AA99"/>
    <mergeCell ref="W102:X102"/>
    <mergeCell ref="Y102:Z102"/>
    <mergeCell ref="AA102:AB102"/>
    <mergeCell ref="N100:O100"/>
    <mergeCell ref="P100:Q100"/>
    <mergeCell ref="S88:U88"/>
    <mergeCell ref="L101:M101"/>
    <mergeCell ref="N101:O101"/>
    <mergeCell ref="P101:Q101"/>
    <mergeCell ref="Y96:Z96"/>
    <mergeCell ref="C59:D59"/>
    <mergeCell ref="E59:F59"/>
    <mergeCell ref="C77:D77"/>
    <mergeCell ref="E77:F77"/>
    <mergeCell ref="B78:E78"/>
    <mergeCell ref="H78:J78"/>
    <mergeCell ref="H79:J81"/>
    <mergeCell ref="A81:B81"/>
    <mergeCell ref="C81:D81"/>
    <mergeCell ref="E81:F81"/>
    <mergeCell ref="E60:F60"/>
    <mergeCell ref="S58:U60"/>
    <mergeCell ref="L60:M60"/>
    <mergeCell ref="N60:O60"/>
    <mergeCell ref="P60:Q60"/>
    <mergeCell ref="AO37:AQ39"/>
    <mergeCell ref="AH39:AI39"/>
    <mergeCell ref="AJ39:AK39"/>
    <mergeCell ref="AL39:AM39"/>
    <mergeCell ref="AL56:AM56"/>
    <mergeCell ref="AO57:AQ57"/>
    <mergeCell ref="P39:Q39"/>
    <mergeCell ref="O42:R42"/>
    <mergeCell ref="S42:T42"/>
    <mergeCell ref="P38:Q38"/>
    <mergeCell ref="L38:M38"/>
    <mergeCell ref="N38:O38"/>
    <mergeCell ref="L37:M37"/>
    <mergeCell ref="AE54:AF54"/>
    <mergeCell ref="Y55:Z55"/>
    <mergeCell ref="AA55:AB55"/>
    <mergeCell ref="S40:T40"/>
    <mergeCell ref="W37:X37"/>
    <mergeCell ref="Y37:Z37"/>
    <mergeCell ref="AA37:AB37"/>
    <mergeCell ref="C56:D56"/>
    <mergeCell ref="E56:F56"/>
    <mergeCell ref="B57:E57"/>
    <mergeCell ref="H57:J57"/>
    <mergeCell ref="Y56:Z56"/>
    <mergeCell ref="AA56:AB56"/>
    <mergeCell ref="X57:AA57"/>
    <mergeCell ref="AD57:AF57"/>
    <mergeCell ref="AJ56:AK56"/>
    <mergeCell ref="AI57:AL57"/>
    <mergeCell ref="N56:O56"/>
    <mergeCell ref="P56:Q56"/>
    <mergeCell ref="M57:P57"/>
    <mergeCell ref="S57:U57"/>
    <mergeCell ref="C54:D54"/>
    <mergeCell ref="E54:F54"/>
    <mergeCell ref="I54:J54"/>
    <mergeCell ref="A44:C44"/>
    <mergeCell ref="D44:E44"/>
    <mergeCell ref="D40:G40"/>
    <mergeCell ref="X25:X26"/>
    <mergeCell ref="Y25:Z25"/>
    <mergeCell ref="AA25:AB25"/>
    <mergeCell ref="D41:G41"/>
    <mergeCell ref="D42:G42"/>
    <mergeCell ref="B42:C42"/>
    <mergeCell ref="H42:I42"/>
    <mergeCell ref="M40:N40"/>
    <mergeCell ref="O40:R40"/>
    <mergeCell ref="B40:C40"/>
    <mergeCell ref="H40:I40"/>
    <mergeCell ref="B41:C41"/>
    <mergeCell ref="H41:I41"/>
    <mergeCell ref="M41:N41"/>
    <mergeCell ref="O41:R41"/>
    <mergeCell ref="P37:Q37"/>
    <mergeCell ref="S41:T41"/>
    <mergeCell ref="M42:N42"/>
    <mergeCell ref="C35:D35"/>
    <mergeCell ref="E35:F35"/>
    <mergeCell ref="B36:E36"/>
    <mergeCell ref="H36:J36"/>
    <mergeCell ref="N35:O35"/>
    <mergeCell ref="P35:Q35"/>
    <mergeCell ref="M36:P36"/>
    <mergeCell ref="S36:U36"/>
    <mergeCell ref="T29:U29"/>
    <mergeCell ref="C33:D33"/>
    <mergeCell ref="E33:F33"/>
    <mergeCell ref="I29:J29"/>
    <mergeCell ref="N34:O34"/>
    <mergeCell ref="P34:Q34"/>
    <mergeCell ref="AJ35:AK35"/>
    <mergeCell ref="AI36:AL36"/>
    <mergeCell ref="Y35:Z35"/>
    <mergeCell ref="AA35:AB35"/>
    <mergeCell ref="X36:AA36"/>
    <mergeCell ref="AD36:AF36"/>
    <mergeCell ref="AE10:AF10"/>
    <mergeCell ref="AE11:AF11"/>
    <mergeCell ref="AE12:AF12"/>
    <mergeCell ref="X20:Y20"/>
    <mergeCell ref="Z20:AC20"/>
    <mergeCell ref="AD20:AE20"/>
    <mergeCell ref="X21:Y21"/>
    <mergeCell ref="Z21:AC21"/>
    <mergeCell ref="AD21:AE21"/>
    <mergeCell ref="AA15:AB15"/>
    <mergeCell ref="Y13:Z13"/>
    <mergeCell ref="AA13:AB13"/>
    <mergeCell ref="AE29:AF29"/>
    <mergeCell ref="AD25:AF25"/>
    <mergeCell ref="AE26:AF26"/>
    <mergeCell ref="AE32:AF32"/>
    <mergeCell ref="AE33:AF33"/>
    <mergeCell ref="W15:X15"/>
    <mergeCell ref="AC24:AF24"/>
    <mergeCell ref="AJ13:AK13"/>
    <mergeCell ref="AL13:AM13"/>
    <mergeCell ref="S25:U25"/>
    <mergeCell ref="T26:U26"/>
    <mergeCell ref="N33:O33"/>
    <mergeCell ref="P33:Q33"/>
    <mergeCell ref="T32:U32"/>
    <mergeCell ref="T33:U33"/>
    <mergeCell ref="N13:O13"/>
    <mergeCell ref="P13:Q13"/>
    <mergeCell ref="P15:Q15"/>
    <mergeCell ref="Y15:Z15"/>
    <mergeCell ref="R24:U24"/>
    <mergeCell ref="N25:O25"/>
    <mergeCell ref="M14:P14"/>
    <mergeCell ref="S14:U14"/>
    <mergeCell ref="P25:Q25"/>
    <mergeCell ref="N11:O11"/>
    <mergeCell ref="P11:Q11"/>
    <mergeCell ref="W23:Y23"/>
    <mergeCell ref="Z23:AA23"/>
    <mergeCell ref="T34:U34"/>
    <mergeCell ref="L16:M16"/>
    <mergeCell ref="M25:M26"/>
    <mergeCell ref="I32:J32"/>
    <mergeCell ref="I33:J33"/>
    <mergeCell ref="Y33:Z33"/>
    <mergeCell ref="AA33:AB33"/>
    <mergeCell ref="H14:J14"/>
    <mergeCell ref="H25:J25"/>
    <mergeCell ref="I26:J26"/>
    <mergeCell ref="I34:J34"/>
    <mergeCell ref="C13:D13"/>
    <mergeCell ref="E13:F13"/>
    <mergeCell ref="C34:D34"/>
    <mergeCell ref="E34:F34"/>
    <mergeCell ref="B25:B26"/>
    <mergeCell ref="C25:D25"/>
    <mergeCell ref="E25:F25"/>
    <mergeCell ref="E11:F11"/>
    <mergeCell ref="A17:B17"/>
    <mergeCell ref="C17:D17"/>
    <mergeCell ref="E17:F17"/>
    <mergeCell ref="A15:B15"/>
    <mergeCell ref="C15:D15"/>
    <mergeCell ref="E15:F15"/>
    <mergeCell ref="A16:B16"/>
    <mergeCell ref="C16:D16"/>
    <mergeCell ref="E16:F16"/>
    <mergeCell ref="C11:D11"/>
    <mergeCell ref="C12:D12"/>
    <mergeCell ref="E12:F12"/>
    <mergeCell ref="B14:E14"/>
    <mergeCell ref="S3:U3"/>
    <mergeCell ref="T4:U4"/>
    <mergeCell ref="T10:U10"/>
    <mergeCell ref="T11:U11"/>
    <mergeCell ref="T7:U7"/>
    <mergeCell ref="E3:F3"/>
    <mergeCell ref="G24:J24"/>
    <mergeCell ref="H15:J17"/>
    <mergeCell ref="I10:J10"/>
    <mergeCell ref="I11:J11"/>
    <mergeCell ref="I12:J12"/>
    <mergeCell ref="H20:I20"/>
    <mergeCell ref="N16:O16"/>
    <mergeCell ref="P16:Q16"/>
    <mergeCell ref="L17:M17"/>
    <mergeCell ref="N17:O17"/>
    <mergeCell ref="P17:Q17"/>
    <mergeCell ref="M21:N21"/>
    <mergeCell ref="L23:N23"/>
    <mergeCell ref="O21:R21"/>
    <mergeCell ref="S21:T21"/>
    <mergeCell ref="S15:U17"/>
    <mergeCell ref="L15:M15"/>
    <mergeCell ref="N15:O15"/>
    <mergeCell ref="L1:N1"/>
    <mergeCell ref="H3:J3"/>
    <mergeCell ref="I4:J4"/>
    <mergeCell ref="B2:E2"/>
    <mergeCell ref="M2:P2"/>
    <mergeCell ref="O1:P1"/>
    <mergeCell ref="A1:C1"/>
    <mergeCell ref="D1:E1"/>
    <mergeCell ref="I7:J7"/>
    <mergeCell ref="M3:M4"/>
    <mergeCell ref="N3:O3"/>
    <mergeCell ref="P3:Q3"/>
    <mergeCell ref="R2:U2"/>
    <mergeCell ref="G2:J2"/>
    <mergeCell ref="A23:C23"/>
    <mergeCell ref="D23:E23"/>
    <mergeCell ref="M19:N19"/>
    <mergeCell ref="O19:R19"/>
    <mergeCell ref="S19:T19"/>
    <mergeCell ref="M20:N20"/>
    <mergeCell ref="O20:R20"/>
    <mergeCell ref="S20:T20"/>
    <mergeCell ref="B21:C21"/>
    <mergeCell ref="H21:I21"/>
    <mergeCell ref="B19:C19"/>
    <mergeCell ref="B20:C20"/>
    <mergeCell ref="O23:P23"/>
    <mergeCell ref="H19:I19"/>
    <mergeCell ref="D19:G19"/>
    <mergeCell ref="D20:G20"/>
    <mergeCell ref="D21:G21"/>
    <mergeCell ref="N12:O12"/>
    <mergeCell ref="P12:Q12"/>
    <mergeCell ref="T12:U12"/>
    <mergeCell ref="B3:B4"/>
    <mergeCell ref="C3:D3"/>
    <mergeCell ref="A37:B37"/>
    <mergeCell ref="C37:D37"/>
    <mergeCell ref="E37:F37"/>
    <mergeCell ref="A38:B38"/>
    <mergeCell ref="C38:D38"/>
    <mergeCell ref="E38:F38"/>
    <mergeCell ref="N37:O37"/>
    <mergeCell ref="H37:J39"/>
    <mergeCell ref="A39:B39"/>
    <mergeCell ref="C39:D39"/>
    <mergeCell ref="E39:F39"/>
    <mergeCell ref="L39:M39"/>
    <mergeCell ref="N39:O39"/>
    <mergeCell ref="I53:J53"/>
    <mergeCell ref="I55:J55"/>
    <mergeCell ref="T55:U55"/>
    <mergeCell ref="N55:O55"/>
    <mergeCell ref="P55:Q55"/>
    <mergeCell ref="L44:N44"/>
    <mergeCell ref="O44:P44"/>
    <mergeCell ref="G45:J45"/>
    <mergeCell ref="R45:U45"/>
    <mergeCell ref="I50:J50"/>
    <mergeCell ref="T50:U50"/>
    <mergeCell ref="T53:U53"/>
    <mergeCell ref="N54:O54"/>
    <mergeCell ref="P54:Q54"/>
    <mergeCell ref="T54:U54"/>
    <mergeCell ref="B46:B47"/>
    <mergeCell ref="C46:D46"/>
    <mergeCell ref="E46:F46"/>
    <mergeCell ref="H46:J46"/>
    <mergeCell ref="M46:M47"/>
    <mergeCell ref="N46:O46"/>
    <mergeCell ref="P46:Q46"/>
    <mergeCell ref="S46:U46"/>
    <mergeCell ref="I47:J47"/>
    <mergeCell ref="T47:U47"/>
    <mergeCell ref="A58:B58"/>
    <mergeCell ref="C58:D58"/>
    <mergeCell ref="E58:F58"/>
    <mergeCell ref="I71:J71"/>
    <mergeCell ref="T71:U71"/>
    <mergeCell ref="L58:M58"/>
    <mergeCell ref="N58:O58"/>
    <mergeCell ref="P58:Q58"/>
    <mergeCell ref="P67:Q67"/>
    <mergeCell ref="S67:U67"/>
    <mergeCell ref="M67:M68"/>
    <mergeCell ref="N67:O67"/>
    <mergeCell ref="I68:J68"/>
    <mergeCell ref="M66:P66"/>
    <mergeCell ref="O65:P65"/>
    <mergeCell ref="M61:N61"/>
    <mergeCell ref="H67:J67"/>
    <mergeCell ref="L59:M59"/>
    <mergeCell ref="N59:O59"/>
    <mergeCell ref="D61:G61"/>
    <mergeCell ref="D62:G62"/>
    <mergeCell ref="D63:G63"/>
    <mergeCell ref="A59:B59"/>
    <mergeCell ref="H58:J60"/>
    <mergeCell ref="O61:R61"/>
    <mergeCell ref="P59:Q59"/>
    <mergeCell ref="B67:B68"/>
    <mergeCell ref="C67:D67"/>
    <mergeCell ref="E67:F67"/>
    <mergeCell ref="B63:C63"/>
    <mergeCell ref="H63:I63"/>
    <mergeCell ref="R66:U66"/>
    <mergeCell ref="B66:E66"/>
    <mergeCell ref="G66:J66"/>
    <mergeCell ref="B62:C62"/>
    <mergeCell ref="H62:I62"/>
    <mergeCell ref="M62:N62"/>
    <mergeCell ref="O62:R62"/>
    <mergeCell ref="S62:T62"/>
    <mergeCell ref="S63:T63"/>
    <mergeCell ref="A65:C65"/>
    <mergeCell ref="D65:E65"/>
    <mergeCell ref="M63:N63"/>
    <mergeCell ref="O63:R63"/>
    <mergeCell ref="L65:N65"/>
    <mergeCell ref="S61:T61"/>
    <mergeCell ref="A60:B60"/>
    <mergeCell ref="C60:D60"/>
    <mergeCell ref="H84:I84"/>
    <mergeCell ref="M84:N84"/>
    <mergeCell ref="O84:R84"/>
    <mergeCell ref="T68:U68"/>
    <mergeCell ref="N80:O80"/>
    <mergeCell ref="C76:D76"/>
    <mergeCell ref="E76:F76"/>
    <mergeCell ref="I76:J76"/>
    <mergeCell ref="A79:B79"/>
    <mergeCell ref="L80:M80"/>
    <mergeCell ref="I74:J74"/>
    <mergeCell ref="I75:J75"/>
    <mergeCell ref="N75:O75"/>
    <mergeCell ref="A80:B80"/>
    <mergeCell ref="C80:D80"/>
    <mergeCell ref="E80:F80"/>
    <mergeCell ref="P80:Q80"/>
    <mergeCell ref="C75:D75"/>
    <mergeCell ref="T74:U74"/>
    <mergeCell ref="T75:U75"/>
    <mergeCell ref="C79:D79"/>
    <mergeCell ref="E79:F79"/>
    <mergeCell ref="L79:M79"/>
    <mergeCell ref="T76:U76"/>
    <mergeCell ref="P76:Q76"/>
    <mergeCell ref="N79:O79"/>
    <mergeCell ref="P79:Q79"/>
    <mergeCell ref="B83:C83"/>
    <mergeCell ref="H83:I83"/>
    <mergeCell ref="M83:N83"/>
    <mergeCell ref="O83:R83"/>
    <mergeCell ref="S83:T83"/>
    <mergeCell ref="B82:C82"/>
    <mergeCell ref="H82:I82"/>
    <mergeCell ref="M82:N82"/>
    <mergeCell ref="O82:R82"/>
    <mergeCell ref="D82:G82"/>
    <mergeCell ref="D83:G83"/>
    <mergeCell ref="N77:O77"/>
    <mergeCell ref="P77:Q77"/>
    <mergeCell ref="M78:P78"/>
    <mergeCell ref="S78:U78"/>
    <mergeCell ref="S79:U81"/>
    <mergeCell ref="L81:M81"/>
    <mergeCell ref="N81:O81"/>
    <mergeCell ref="P81:Q81"/>
    <mergeCell ref="I89:J89"/>
    <mergeCell ref="T89:U89"/>
    <mergeCell ref="D84:G84"/>
    <mergeCell ref="P75:Q75"/>
    <mergeCell ref="G87:J87"/>
    <mergeCell ref="B87:E87"/>
    <mergeCell ref="M87:P87"/>
    <mergeCell ref="B84:C84"/>
    <mergeCell ref="B88:B89"/>
    <mergeCell ref="C88:D88"/>
    <mergeCell ref="E88:F88"/>
    <mergeCell ref="H88:J88"/>
    <mergeCell ref="M88:M89"/>
    <mergeCell ref="N88:O88"/>
    <mergeCell ref="P88:Q88"/>
    <mergeCell ref="A86:C86"/>
    <mergeCell ref="D86:E86"/>
    <mergeCell ref="L86:N86"/>
    <mergeCell ref="O86:P86"/>
    <mergeCell ref="R87:U87"/>
    <mergeCell ref="S84:T84"/>
    <mergeCell ref="E75:F75"/>
    <mergeCell ref="S82:T82"/>
    <mergeCell ref="N76:O76"/>
    <mergeCell ref="L100:M100"/>
    <mergeCell ref="I92:J92"/>
    <mergeCell ref="T92:U92"/>
    <mergeCell ref="T95:U95"/>
    <mergeCell ref="T96:U96"/>
    <mergeCell ref="T97:U97"/>
    <mergeCell ref="C97:D97"/>
    <mergeCell ref="E97:F97"/>
    <mergeCell ref="N97:O97"/>
    <mergeCell ref="P97:Q97"/>
    <mergeCell ref="C96:D96"/>
    <mergeCell ref="E96:F96"/>
    <mergeCell ref="N96:O96"/>
    <mergeCell ref="P96:Q96"/>
    <mergeCell ref="I95:J95"/>
    <mergeCell ref="I96:J96"/>
    <mergeCell ref="I97:J97"/>
    <mergeCell ref="C98:D98"/>
    <mergeCell ref="E98:F98"/>
    <mergeCell ref="B99:E99"/>
    <mergeCell ref="H99:J99"/>
    <mergeCell ref="H100:J102"/>
    <mergeCell ref="A102:B102"/>
    <mergeCell ref="C102:D102"/>
    <mergeCell ref="E102:F102"/>
    <mergeCell ref="B105:C105"/>
    <mergeCell ref="H105:I105"/>
    <mergeCell ref="A101:B101"/>
    <mergeCell ref="C101:D101"/>
    <mergeCell ref="E101:F101"/>
    <mergeCell ref="A100:B100"/>
    <mergeCell ref="C100:D100"/>
    <mergeCell ref="E100:F100"/>
    <mergeCell ref="M105:N105"/>
    <mergeCell ref="O105:R105"/>
    <mergeCell ref="S103:T103"/>
    <mergeCell ref="B104:C104"/>
    <mergeCell ref="H104:I104"/>
    <mergeCell ref="M104:N104"/>
    <mergeCell ref="O104:R104"/>
    <mergeCell ref="S104:T104"/>
    <mergeCell ref="B103:C103"/>
    <mergeCell ref="H103:I103"/>
    <mergeCell ref="M103:N103"/>
    <mergeCell ref="O103:R103"/>
    <mergeCell ref="D103:G103"/>
    <mergeCell ref="D104:G104"/>
    <mergeCell ref="D105:G105"/>
    <mergeCell ref="S105:T105"/>
    <mergeCell ref="W1:Y1"/>
    <mergeCell ref="Z1:AA1"/>
    <mergeCell ref="Y12:Z12"/>
    <mergeCell ref="AA12:AB12"/>
    <mergeCell ref="W16:X16"/>
    <mergeCell ref="Y16:Z16"/>
    <mergeCell ref="AA16:AB16"/>
    <mergeCell ref="X19:Y19"/>
    <mergeCell ref="Z19:AC19"/>
    <mergeCell ref="Y11:Z11"/>
    <mergeCell ref="AA11:AB11"/>
    <mergeCell ref="X14:AA14"/>
    <mergeCell ref="AC2:AF2"/>
    <mergeCell ref="X3:X4"/>
    <mergeCell ref="Y3:Z3"/>
    <mergeCell ref="AA3:AB3"/>
    <mergeCell ref="AD3:AF3"/>
    <mergeCell ref="AE4:AF4"/>
    <mergeCell ref="AE7:AF7"/>
    <mergeCell ref="X2:AA2"/>
    <mergeCell ref="W17:X17"/>
    <mergeCell ref="Y17:Z17"/>
    <mergeCell ref="AA17:AB17"/>
    <mergeCell ref="AD15:AF17"/>
    <mergeCell ref="W38:X38"/>
    <mergeCell ref="Y38:Z38"/>
    <mergeCell ref="AA38:AB38"/>
    <mergeCell ref="Y34:Z34"/>
    <mergeCell ref="AA34:AB34"/>
    <mergeCell ref="S37:U39"/>
    <mergeCell ref="AD37:AF39"/>
    <mergeCell ref="W39:X39"/>
    <mergeCell ref="Y39:Z39"/>
    <mergeCell ref="AA39:AB39"/>
    <mergeCell ref="AE34:AF34"/>
    <mergeCell ref="X40:Y40"/>
    <mergeCell ref="Z40:AC40"/>
    <mergeCell ref="AD40:AE40"/>
    <mergeCell ref="X41:Y41"/>
    <mergeCell ref="Z41:AC41"/>
    <mergeCell ref="AD41:AE41"/>
    <mergeCell ref="W44:Y44"/>
    <mergeCell ref="Z44:AA44"/>
    <mergeCell ref="W59:X59"/>
    <mergeCell ref="Y59:Z59"/>
    <mergeCell ref="AA59:AB59"/>
    <mergeCell ref="AC45:AF45"/>
    <mergeCell ref="X46:X47"/>
    <mergeCell ref="Y46:Z46"/>
    <mergeCell ref="AA46:AB46"/>
    <mergeCell ref="AD46:AF46"/>
    <mergeCell ref="AE47:AF47"/>
    <mergeCell ref="AE53:AF53"/>
    <mergeCell ref="W58:X58"/>
    <mergeCell ref="Y58:Z58"/>
    <mergeCell ref="AA58:AB58"/>
    <mergeCell ref="AE50:AF50"/>
    <mergeCell ref="Y54:Z54"/>
    <mergeCell ref="AA54:AB54"/>
    <mergeCell ref="AD63:AE63"/>
    <mergeCell ref="AD58:AF60"/>
    <mergeCell ref="W60:X60"/>
    <mergeCell ref="Y60:Z60"/>
    <mergeCell ref="AA60:AB60"/>
    <mergeCell ref="W65:Y65"/>
    <mergeCell ref="Z65:AA65"/>
    <mergeCell ref="X61:Y61"/>
    <mergeCell ref="Z61:AC61"/>
    <mergeCell ref="AD61:AE61"/>
    <mergeCell ref="X62:Y62"/>
    <mergeCell ref="Z62:AC62"/>
    <mergeCell ref="AD62:AE62"/>
    <mergeCell ref="X63:Y63"/>
    <mergeCell ref="Z63:AC63"/>
    <mergeCell ref="AA75:AB75"/>
    <mergeCell ref="AC66:AF66"/>
    <mergeCell ref="X67:X68"/>
    <mergeCell ref="Y67:Z67"/>
    <mergeCell ref="AA67:AB67"/>
    <mergeCell ref="AD67:AF67"/>
    <mergeCell ref="AE68:AF68"/>
    <mergeCell ref="AE74:AF74"/>
    <mergeCell ref="AE75:AF75"/>
    <mergeCell ref="X66:AA66"/>
    <mergeCell ref="AE71:AF71"/>
    <mergeCell ref="Y75:Z75"/>
    <mergeCell ref="Y76:Z76"/>
    <mergeCell ref="AA76:AB76"/>
    <mergeCell ref="AE76:AF76"/>
    <mergeCell ref="AD78:AF78"/>
    <mergeCell ref="AD79:AF81"/>
    <mergeCell ref="X84:Y84"/>
    <mergeCell ref="Z84:AC84"/>
    <mergeCell ref="AD84:AE84"/>
    <mergeCell ref="W86:Y86"/>
    <mergeCell ref="Z86:AA86"/>
    <mergeCell ref="X82:Y82"/>
    <mergeCell ref="Z82:AC82"/>
    <mergeCell ref="AD82:AE82"/>
    <mergeCell ref="X83:Y83"/>
    <mergeCell ref="Z83:AC83"/>
    <mergeCell ref="AD83:AE83"/>
    <mergeCell ref="Y77:Z77"/>
    <mergeCell ref="AA77:AB77"/>
    <mergeCell ref="X78:AA78"/>
    <mergeCell ref="W81:X81"/>
    <mergeCell ref="Y81:Z81"/>
    <mergeCell ref="AA81:AB81"/>
    <mergeCell ref="W79:X79"/>
    <mergeCell ref="Y79:Z79"/>
    <mergeCell ref="AA96:AB96"/>
    <mergeCell ref="AC87:AF87"/>
    <mergeCell ref="X88:X89"/>
    <mergeCell ref="Y88:Z88"/>
    <mergeCell ref="AA88:AB88"/>
    <mergeCell ref="AD88:AF88"/>
    <mergeCell ref="AE89:AF89"/>
    <mergeCell ref="AE95:AF95"/>
    <mergeCell ref="AE96:AF96"/>
    <mergeCell ref="X87:AA87"/>
    <mergeCell ref="AE92:AF92"/>
    <mergeCell ref="Y97:Z97"/>
    <mergeCell ref="AA97:AB97"/>
    <mergeCell ref="AE97:AF97"/>
    <mergeCell ref="AA98:AB98"/>
    <mergeCell ref="AD99:AF99"/>
    <mergeCell ref="AD100:AF102"/>
    <mergeCell ref="AH1:AJ1"/>
    <mergeCell ref="AK1:AL1"/>
    <mergeCell ref="AJ12:AK12"/>
    <mergeCell ref="AL12:AM12"/>
    <mergeCell ref="AH16:AI16"/>
    <mergeCell ref="AJ16:AK16"/>
    <mergeCell ref="AL16:AM16"/>
    <mergeCell ref="AI14:AL14"/>
    <mergeCell ref="AA101:AB101"/>
    <mergeCell ref="AD19:AE19"/>
    <mergeCell ref="AD14:AF14"/>
    <mergeCell ref="AH17:AI17"/>
    <mergeCell ref="AJ17:AK17"/>
    <mergeCell ref="AL17:AM17"/>
    <mergeCell ref="AH58:AI58"/>
    <mergeCell ref="AJ58:AK58"/>
    <mergeCell ref="AL58:AM58"/>
    <mergeCell ref="AH59:AI59"/>
    <mergeCell ref="AH65:AJ65"/>
    <mergeCell ref="AK65:AL65"/>
    <mergeCell ref="AJ75:AK75"/>
    <mergeCell ref="AN2:AQ2"/>
    <mergeCell ref="AI3:AI4"/>
    <mergeCell ref="AJ3:AK3"/>
    <mergeCell ref="AL3:AM3"/>
    <mergeCell ref="AO3:AQ3"/>
    <mergeCell ref="AP4:AQ4"/>
    <mergeCell ref="AO15:AQ17"/>
    <mergeCell ref="AO14:AQ14"/>
    <mergeCell ref="AH15:AI15"/>
    <mergeCell ref="AJ15:AK15"/>
    <mergeCell ref="AL15:AM15"/>
    <mergeCell ref="AJ11:AK11"/>
    <mergeCell ref="AL11:AM11"/>
    <mergeCell ref="AP10:AQ10"/>
    <mergeCell ref="AP11:AQ11"/>
    <mergeCell ref="AP12:AQ12"/>
    <mergeCell ref="AO19:AP19"/>
    <mergeCell ref="AO20:AP20"/>
    <mergeCell ref="AP7:AQ7"/>
    <mergeCell ref="AL35:AM35"/>
    <mergeCell ref="AO36:AQ36"/>
    <mergeCell ref="X105:Y105"/>
    <mergeCell ref="Z105:AC105"/>
    <mergeCell ref="AD105:AE105"/>
    <mergeCell ref="AI19:AJ19"/>
    <mergeCell ref="AK19:AN19"/>
    <mergeCell ref="AH23:AJ23"/>
    <mergeCell ref="AK23:AL23"/>
    <mergeCell ref="X103:Y103"/>
    <mergeCell ref="Z103:AC103"/>
    <mergeCell ref="AD103:AE103"/>
    <mergeCell ref="X104:Y104"/>
    <mergeCell ref="Z104:AC104"/>
    <mergeCell ref="AD104:AE104"/>
    <mergeCell ref="W100:X100"/>
    <mergeCell ref="Y100:Z100"/>
    <mergeCell ref="AA100:AB100"/>
    <mergeCell ref="W101:X101"/>
    <mergeCell ref="Y101:Z101"/>
    <mergeCell ref="AI20:AJ20"/>
    <mergeCell ref="AK20:AN20"/>
    <mergeCell ref="AI21:AJ21"/>
    <mergeCell ref="AK21:AN21"/>
    <mergeCell ref="AI63:AJ63"/>
    <mergeCell ref="AK63:AN63"/>
    <mergeCell ref="AO21:AP21"/>
    <mergeCell ref="AN24:AQ24"/>
    <mergeCell ref="AI25:AI26"/>
    <mergeCell ref="AJ25:AK25"/>
    <mergeCell ref="AL25:AM25"/>
    <mergeCell ref="AJ33:AK33"/>
    <mergeCell ref="AL33:AM33"/>
    <mergeCell ref="AJ34:AK34"/>
    <mergeCell ref="AL34:AM34"/>
    <mergeCell ref="AO25:AQ25"/>
    <mergeCell ref="AP26:AQ26"/>
    <mergeCell ref="AP32:AQ32"/>
    <mergeCell ref="AP33:AQ33"/>
    <mergeCell ref="AP34:AQ34"/>
    <mergeCell ref="AP29:AQ29"/>
    <mergeCell ref="AO46:AQ46"/>
    <mergeCell ref="AP47:AQ47"/>
    <mergeCell ref="AP53:AQ53"/>
    <mergeCell ref="AP54:AQ54"/>
    <mergeCell ref="AL55:AM55"/>
    <mergeCell ref="AO42:AP42"/>
    <mergeCell ref="AH44:AJ44"/>
    <mergeCell ref="AK44:AL44"/>
    <mergeCell ref="AI40:AJ40"/>
    <mergeCell ref="AK40:AN40"/>
    <mergeCell ref="AO40:AP40"/>
    <mergeCell ref="AI41:AJ41"/>
    <mergeCell ref="AK41:AN41"/>
    <mergeCell ref="AO41:AP41"/>
    <mergeCell ref="AI46:AI47"/>
    <mergeCell ref="AJ46:AK46"/>
    <mergeCell ref="AL46:AM46"/>
    <mergeCell ref="AP50:AQ50"/>
    <mergeCell ref="AJ54:AK54"/>
    <mergeCell ref="AL54:AM54"/>
    <mergeCell ref="AP55:AQ55"/>
    <mergeCell ref="AJ55:AK55"/>
    <mergeCell ref="AO63:AP63"/>
    <mergeCell ref="AI61:AJ61"/>
    <mergeCell ref="AK61:AN61"/>
    <mergeCell ref="AO61:AP61"/>
    <mergeCell ref="AI62:AJ62"/>
    <mergeCell ref="AK62:AN62"/>
    <mergeCell ref="AO62:AP62"/>
    <mergeCell ref="AO58:AQ60"/>
    <mergeCell ref="AH60:AI60"/>
    <mergeCell ref="AJ60:AK60"/>
    <mergeCell ref="AL60:AM60"/>
    <mergeCell ref="AJ59:AK59"/>
    <mergeCell ref="AL59:AM59"/>
    <mergeCell ref="AL75:AM75"/>
    <mergeCell ref="AN66:AQ66"/>
    <mergeCell ref="AI67:AI68"/>
    <mergeCell ref="AJ67:AK67"/>
    <mergeCell ref="AL67:AM67"/>
    <mergeCell ref="AO67:AQ67"/>
    <mergeCell ref="AP68:AQ68"/>
    <mergeCell ref="AP74:AQ74"/>
    <mergeCell ref="AP75:AQ75"/>
    <mergeCell ref="AI66:AL66"/>
    <mergeCell ref="AP71:AQ71"/>
    <mergeCell ref="AJ76:AK76"/>
    <mergeCell ref="AL76:AM76"/>
    <mergeCell ref="AP76:AQ76"/>
    <mergeCell ref="AH80:AI80"/>
    <mergeCell ref="AJ77:AK77"/>
    <mergeCell ref="AL77:AM77"/>
    <mergeCell ref="AI78:AL78"/>
    <mergeCell ref="AO78:AQ78"/>
    <mergeCell ref="AO79:AQ81"/>
    <mergeCell ref="AH81:AI81"/>
    <mergeCell ref="AJ81:AK81"/>
    <mergeCell ref="AL81:AM81"/>
    <mergeCell ref="AI82:AJ82"/>
    <mergeCell ref="AK82:AN82"/>
    <mergeCell ref="AO82:AP82"/>
    <mergeCell ref="AI83:AJ83"/>
    <mergeCell ref="AK83:AN83"/>
    <mergeCell ref="AO83:AP83"/>
    <mergeCell ref="AH79:AI79"/>
    <mergeCell ref="AJ79:AK79"/>
    <mergeCell ref="AL79:AM79"/>
    <mergeCell ref="AJ80:AK80"/>
    <mergeCell ref="AL80:AM80"/>
    <mergeCell ref="AL88:AM88"/>
    <mergeCell ref="AO88:AQ88"/>
    <mergeCell ref="AP89:AQ89"/>
    <mergeCell ref="AP95:AQ95"/>
    <mergeCell ref="AP96:AQ96"/>
    <mergeCell ref="AI87:AL87"/>
    <mergeCell ref="AP92:AQ92"/>
    <mergeCell ref="AI84:AJ84"/>
    <mergeCell ref="AK84:AN84"/>
    <mergeCell ref="AO84:AP84"/>
    <mergeCell ref="AH86:AJ86"/>
    <mergeCell ref="AK86:AL86"/>
    <mergeCell ref="AJ98:AK98"/>
    <mergeCell ref="AL98:AM98"/>
    <mergeCell ref="AI99:AL99"/>
    <mergeCell ref="AO99:AQ99"/>
    <mergeCell ref="AO100:AQ102"/>
    <mergeCell ref="AH102:AI102"/>
    <mergeCell ref="AJ102:AK102"/>
    <mergeCell ref="AL102:AM102"/>
    <mergeCell ref="AL38:AM38"/>
    <mergeCell ref="AN45:AQ45"/>
    <mergeCell ref="AH100:AI100"/>
    <mergeCell ref="AJ100:AK100"/>
    <mergeCell ref="AL100:AM100"/>
    <mergeCell ref="AH101:AI101"/>
    <mergeCell ref="AJ101:AK101"/>
    <mergeCell ref="AL101:AM101"/>
    <mergeCell ref="AJ97:AK97"/>
    <mergeCell ref="AL97:AM97"/>
    <mergeCell ref="AP97:AQ97"/>
    <mergeCell ref="AJ96:AK96"/>
    <mergeCell ref="AL96:AM96"/>
    <mergeCell ref="AN87:AQ87"/>
    <mergeCell ref="AI88:AI89"/>
    <mergeCell ref="AJ88:AK88"/>
    <mergeCell ref="AI105:AJ105"/>
    <mergeCell ref="AK105:AN105"/>
    <mergeCell ref="AO105:AP105"/>
    <mergeCell ref="AI103:AJ103"/>
    <mergeCell ref="AK103:AN103"/>
    <mergeCell ref="AO103:AP103"/>
    <mergeCell ref="AI104:AJ104"/>
    <mergeCell ref="AK104:AN104"/>
    <mergeCell ref="AO104:AP104"/>
    <mergeCell ref="C55:D55"/>
    <mergeCell ref="E55:F55"/>
    <mergeCell ref="B61:C61"/>
    <mergeCell ref="H61:I61"/>
    <mergeCell ref="AI2:AL2"/>
    <mergeCell ref="B24:E24"/>
    <mergeCell ref="M24:P24"/>
    <mergeCell ref="X24:AA24"/>
    <mergeCell ref="AI24:AL24"/>
    <mergeCell ref="AI45:AL45"/>
    <mergeCell ref="X45:AA45"/>
    <mergeCell ref="M45:P45"/>
    <mergeCell ref="B45:E45"/>
    <mergeCell ref="AI42:AJ42"/>
    <mergeCell ref="AK42:AN42"/>
    <mergeCell ref="AH37:AI37"/>
    <mergeCell ref="AJ37:AK37"/>
    <mergeCell ref="AL37:AM37"/>
    <mergeCell ref="AH38:AI38"/>
    <mergeCell ref="AJ38:AK38"/>
    <mergeCell ref="AE55:AF55"/>
    <mergeCell ref="X42:Y42"/>
    <mergeCell ref="Z42:AC42"/>
    <mergeCell ref="AD42:AE42"/>
  </mergeCells>
  <dataValidations count="1">
    <dataValidation type="list" showDropDown="1" showInputMessage="1" showErrorMessage="1" sqref="W103:AF1048576 K1:K1048576 A103:J1048576 L1:U2 V1:V1048576 L103:U1048576 W1:AF2 AG1:AG1048576 AR1:AW1048576 AH1:AQ2 AH103:AQ1048576 G22:J23 R18:U23 AC18:AF23 AN18:AQ23 G40:J44 R40:U44 AC40:AF44 AN40:AQ44 G61:J65 R61:U65 AC61:AF65 AN61:AQ65 G82:J86 R82:U86 AC82:AF86 A22:F24 L18:Q24 W18:AB24 AH18:AM24 A40:F45 L40:Q45 W40:AB45 AH40:AM45 A61:F66 L61:Q66 W61:AB66 AH61:AM66 A82:F87 L82:Q87 W82:AB87 AH82:AM87 AN82:AQ86" xr:uid="{00000000-0002-0000-0200-000000000000}">
      <formula1>"نتتالللبسيسسشسشس444444444444444444"</formula1>
    </dataValidation>
  </dataValidations>
  <printOptions horizontalCentered="1" verticalCentered="1"/>
  <pageMargins left="0" right="0" top="3.937007874015748E-2" bottom="3.937007874015748E-2" header="0" footer="0.11811023622047245"/>
  <pageSetup paperSize="9" scale="125" orientation="portrait" horizontalDpi="300" verticalDpi="300" r:id="rId1"/>
  <rowBreaks count="4" manualBreakCount="4">
    <brk id="22" max="16383" man="1"/>
    <brk id="43" max="16383" man="1"/>
    <brk id="64" max="16383" man="1"/>
    <brk id="85" max="16383" man="1"/>
  </rowBreaks>
  <colBreaks count="2" manualBreakCount="2">
    <brk id="11" max="1048575" man="1"/>
    <brk id="21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ورقة7">
    <tabColor theme="7" tint="-0.499984740745262"/>
  </sheetPr>
  <dimension ref="A1:CM396"/>
  <sheetViews>
    <sheetView showZeros="0" rightToLeft="1" zoomScaleNormal="100" zoomScaleSheetLayoutView="90" workbookViewId="0">
      <selection activeCell="D23" sqref="D23"/>
    </sheetView>
  </sheetViews>
  <sheetFormatPr defaultColWidth="9" defaultRowHeight="13.8"/>
  <cols>
    <col min="1" max="1" width="6" style="2" customWidth="1"/>
    <col min="2" max="2" width="22.8984375" style="13" customWidth="1"/>
    <col min="3" max="3" width="9" style="62" customWidth="1"/>
    <col min="4" max="4" width="16.19921875" style="13" bestFit="1" customWidth="1"/>
    <col min="5" max="5" width="5" style="63" customWidth="1"/>
    <col min="6" max="10" width="3.59765625" style="1" customWidth="1"/>
    <col min="11" max="11" width="4.59765625" style="1" customWidth="1"/>
    <col min="12" max="14" width="5.3984375" style="1" customWidth="1"/>
    <col min="15" max="15" width="5" style="344" customWidth="1"/>
    <col min="16" max="20" width="3.59765625" style="1" customWidth="1"/>
    <col min="21" max="21" width="4.59765625" style="1" customWidth="1"/>
    <col min="22" max="24" width="5.3984375" style="1" customWidth="1"/>
    <col min="25" max="25" width="5" style="63" customWidth="1"/>
    <col min="26" max="30" width="3.59765625" style="1" customWidth="1"/>
    <col min="31" max="31" width="4.59765625" style="1" customWidth="1"/>
    <col min="32" max="34" width="5.3984375" style="1" customWidth="1"/>
    <col min="35" max="35" width="7.3984375" style="1" bestFit="1" customWidth="1"/>
    <col min="36" max="37" width="7.69921875" style="1" bestFit="1" customWidth="1"/>
    <col min="38" max="39" width="6.59765625" style="1" customWidth="1"/>
    <col min="40" max="43" width="9" style="1" customWidth="1"/>
    <col min="44" max="45" width="17.19921875" style="223" hidden="1" customWidth="1"/>
    <col min="46" max="46" width="17.19921875" style="223" customWidth="1"/>
    <col min="47" max="47" width="9" style="13"/>
    <col min="48" max="48" width="9.19921875" style="13" customWidth="1"/>
    <col min="49" max="49" width="22.19921875" style="13" customWidth="1"/>
    <col min="50" max="50" width="15" style="13" hidden="1" customWidth="1"/>
    <col min="51" max="51" width="9" style="13" hidden="1" customWidth="1"/>
    <col min="52" max="52" width="9" style="13"/>
    <col min="53" max="53" width="9.19921875" style="13" customWidth="1"/>
    <col min="54" max="54" width="22.19921875" style="13" customWidth="1"/>
    <col min="55" max="55" width="15" style="13" hidden="1" customWidth="1"/>
    <col min="56" max="56" width="13.69921875" style="13" hidden="1" customWidth="1"/>
    <col min="57" max="57" width="9" style="13"/>
    <col min="58" max="58" width="13" style="13" customWidth="1"/>
    <col min="59" max="59" width="22.19921875" style="13" customWidth="1"/>
    <col min="60" max="60" width="11" style="13" customWidth="1"/>
    <col min="61" max="62" width="7.09765625" style="13" customWidth="1"/>
    <col min="63" max="63" width="20.3984375" style="13" customWidth="1"/>
    <col min="64" max="64" width="7.09765625" style="13" customWidth="1"/>
    <col min="65" max="66" width="2.59765625" style="13" customWidth="1"/>
    <col min="67" max="76" width="2.59765625" style="1" customWidth="1"/>
    <col min="77" max="77" width="10.3984375" style="1" customWidth="1"/>
    <col min="78" max="78" width="10.59765625" style="1" customWidth="1"/>
    <col min="79" max="79" width="10.69921875" style="1" customWidth="1"/>
    <col min="80" max="80" width="12.3984375" style="1" customWidth="1"/>
    <col min="81" max="85" width="9" style="1"/>
    <col min="86" max="86" width="9" style="1" hidden="1" customWidth="1"/>
    <col min="87" max="16384" width="9" style="1"/>
  </cols>
  <sheetData>
    <row r="1" spans="1:91" ht="14.4" thickBot="1">
      <c r="B1" s="13">
        <v>1</v>
      </c>
      <c r="C1" s="62">
        <v>2</v>
      </c>
      <c r="D1" s="13">
        <v>3</v>
      </c>
      <c r="E1" s="62">
        <v>4</v>
      </c>
      <c r="F1" s="13">
        <v>5</v>
      </c>
      <c r="G1" s="62">
        <v>6</v>
      </c>
      <c r="H1" s="13">
        <v>7</v>
      </c>
      <c r="I1" s="62">
        <v>8</v>
      </c>
      <c r="J1" s="13">
        <v>9</v>
      </c>
      <c r="K1" s="62">
        <v>10</v>
      </c>
      <c r="L1" s="13">
        <v>11</v>
      </c>
      <c r="M1" s="62">
        <v>12</v>
      </c>
      <c r="N1" s="13">
        <v>13</v>
      </c>
      <c r="O1" s="62">
        <v>14</v>
      </c>
      <c r="P1" s="13">
        <v>15</v>
      </c>
      <c r="Q1" s="62">
        <v>16</v>
      </c>
      <c r="R1" s="13">
        <v>17</v>
      </c>
      <c r="S1" s="62">
        <v>18</v>
      </c>
      <c r="T1" s="13">
        <v>19</v>
      </c>
      <c r="U1" s="62">
        <v>20</v>
      </c>
      <c r="V1" s="13">
        <v>21</v>
      </c>
      <c r="W1" s="62">
        <v>22</v>
      </c>
      <c r="X1" s="13">
        <v>23</v>
      </c>
      <c r="Y1" s="62">
        <v>24</v>
      </c>
      <c r="Z1" s="13">
        <v>25</v>
      </c>
      <c r="AA1" s="62">
        <v>26</v>
      </c>
      <c r="AB1" s="13">
        <v>27</v>
      </c>
      <c r="AC1" s="62">
        <v>28</v>
      </c>
      <c r="AD1" s="13">
        <v>29</v>
      </c>
      <c r="AE1" s="62">
        <v>30</v>
      </c>
      <c r="AF1" s="13">
        <v>31</v>
      </c>
      <c r="AG1" s="62">
        <v>32</v>
      </c>
      <c r="AH1" s="13">
        <v>33</v>
      </c>
      <c r="AI1" s="62">
        <v>34</v>
      </c>
      <c r="AJ1" s="13">
        <v>35</v>
      </c>
      <c r="AK1" s="62">
        <v>36</v>
      </c>
      <c r="AL1" s="13">
        <v>37</v>
      </c>
      <c r="AM1" s="62">
        <v>38</v>
      </c>
      <c r="AN1" s="13">
        <v>39</v>
      </c>
      <c r="AO1" s="62">
        <v>40</v>
      </c>
      <c r="AP1" s="13">
        <v>41</v>
      </c>
      <c r="AQ1" s="62">
        <v>42</v>
      </c>
      <c r="AR1" s="13">
        <v>43</v>
      </c>
      <c r="AS1" s="62">
        <v>44</v>
      </c>
      <c r="AT1" s="13">
        <v>45</v>
      </c>
      <c r="AU1" s="62">
        <v>46</v>
      </c>
      <c r="AV1" s="13">
        <v>47</v>
      </c>
      <c r="AW1" s="62">
        <v>48</v>
      </c>
      <c r="AX1" s="13">
        <v>49</v>
      </c>
      <c r="AY1" s="62">
        <v>50</v>
      </c>
      <c r="AZ1" s="13">
        <v>51</v>
      </c>
      <c r="BA1" s="62">
        <v>52</v>
      </c>
      <c r="BB1" s="13">
        <v>53</v>
      </c>
      <c r="BC1" s="62">
        <v>54</v>
      </c>
      <c r="BD1" s="13">
        <v>55</v>
      </c>
      <c r="BE1" s="62">
        <v>56</v>
      </c>
      <c r="BF1" s="13">
        <v>57</v>
      </c>
      <c r="BG1" s="62">
        <v>58</v>
      </c>
      <c r="BH1" s="13">
        <v>59</v>
      </c>
      <c r="BI1" s="62">
        <v>60</v>
      </c>
      <c r="BJ1" s="13">
        <v>61</v>
      </c>
      <c r="BK1" s="62">
        <v>62</v>
      </c>
      <c r="BL1" s="13">
        <v>63</v>
      </c>
      <c r="BM1" s="62">
        <v>64</v>
      </c>
      <c r="BN1" s="13">
        <v>65</v>
      </c>
      <c r="BO1" s="62">
        <v>66</v>
      </c>
      <c r="BP1" s="13">
        <v>67</v>
      </c>
      <c r="BQ1" s="62">
        <v>68</v>
      </c>
      <c r="BR1" s="13">
        <v>69</v>
      </c>
      <c r="BS1" s="62">
        <v>70</v>
      </c>
      <c r="BT1" s="13">
        <v>71</v>
      </c>
      <c r="BU1" s="62">
        <v>72</v>
      </c>
      <c r="BV1" s="13">
        <v>73</v>
      </c>
      <c r="BW1" s="62">
        <v>74</v>
      </c>
      <c r="BX1" s="13">
        <v>75</v>
      </c>
      <c r="BY1" s="62">
        <v>76</v>
      </c>
      <c r="BZ1" s="13">
        <v>77</v>
      </c>
      <c r="CA1" s="62">
        <v>78</v>
      </c>
      <c r="CB1" s="13">
        <v>79</v>
      </c>
      <c r="CC1" s="62">
        <v>80</v>
      </c>
      <c r="CD1" s="13">
        <v>81</v>
      </c>
      <c r="CE1" s="62">
        <v>82</v>
      </c>
      <c r="CF1" s="13">
        <v>83</v>
      </c>
      <c r="CG1" s="62">
        <v>84</v>
      </c>
      <c r="CH1" s="13">
        <v>85</v>
      </c>
      <c r="CI1" s="62">
        <v>86</v>
      </c>
      <c r="CJ1" s="13">
        <v>87</v>
      </c>
      <c r="CK1" s="13">
        <v>85</v>
      </c>
      <c r="CL1" s="62">
        <v>86</v>
      </c>
      <c r="CM1" s="13">
        <v>87</v>
      </c>
    </row>
    <row r="2" spans="1:91" ht="20.25" customHeight="1">
      <c r="A2" s="628" t="s">
        <v>38</v>
      </c>
      <c r="B2" s="628"/>
      <c r="C2" s="628"/>
      <c r="D2" s="628" t="s">
        <v>181</v>
      </c>
      <c r="E2" s="628"/>
      <c r="F2" s="628"/>
      <c r="G2" s="628"/>
      <c r="H2" s="628"/>
      <c r="I2" s="628"/>
      <c r="J2" s="628"/>
      <c r="K2" s="628"/>
      <c r="L2" s="628"/>
      <c r="M2" s="628"/>
      <c r="N2" s="185"/>
      <c r="O2" s="339">
        <v>4</v>
      </c>
      <c r="P2" s="13">
        <v>5</v>
      </c>
      <c r="Q2" s="13">
        <v>6</v>
      </c>
      <c r="R2" s="13">
        <v>7</v>
      </c>
      <c r="S2" s="13">
        <v>8</v>
      </c>
      <c r="T2" s="13">
        <v>9</v>
      </c>
      <c r="U2" s="13">
        <v>12</v>
      </c>
      <c r="V2" s="13">
        <v>13</v>
      </c>
      <c r="W2" s="13">
        <v>14</v>
      </c>
      <c r="X2" s="13"/>
      <c r="Y2" s="13">
        <v>4</v>
      </c>
      <c r="Z2" s="13">
        <v>5</v>
      </c>
      <c r="AA2" s="13">
        <v>6</v>
      </c>
      <c r="AB2" s="13">
        <v>7</v>
      </c>
      <c r="AC2" s="13">
        <v>8</v>
      </c>
      <c r="AD2" s="13">
        <v>9</v>
      </c>
      <c r="AE2" s="13">
        <v>12</v>
      </c>
      <c r="AF2" s="13">
        <v>13</v>
      </c>
      <c r="AG2" s="13">
        <v>14</v>
      </c>
      <c r="AH2" s="13"/>
      <c r="AI2" s="222"/>
      <c r="AJ2" s="222"/>
      <c r="AK2" s="222"/>
      <c r="AM2" s="13"/>
      <c r="AX2" s="231"/>
      <c r="AY2" s="231"/>
      <c r="AZ2" s="231"/>
      <c r="BA2" s="231"/>
      <c r="BB2" s="231"/>
      <c r="BC2" s="231"/>
      <c r="BD2" s="231"/>
      <c r="BE2" s="231"/>
      <c r="BF2" s="708" t="s">
        <v>151</v>
      </c>
      <c r="BG2" s="709"/>
      <c r="BH2" s="231"/>
      <c r="BI2" s="231"/>
      <c r="BL2" s="151"/>
    </row>
    <row r="3" spans="1:91" ht="20.25" customHeight="1" thickBot="1">
      <c r="A3" s="628" t="s">
        <v>39</v>
      </c>
      <c r="B3" s="628"/>
      <c r="C3" s="628"/>
      <c r="D3" s="185"/>
      <c r="E3" s="80"/>
      <c r="F3" s="80"/>
      <c r="G3" s="80"/>
      <c r="H3" s="80"/>
      <c r="I3" s="80"/>
      <c r="J3" s="80"/>
      <c r="K3" s="80"/>
      <c r="L3" s="629" t="s">
        <v>41</v>
      </c>
      <c r="M3" s="629"/>
      <c r="N3" s="629"/>
      <c r="O3" s="629"/>
      <c r="P3" s="629"/>
      <c r="Q3" s="629"/>
      <c r="R3" s="629"/>
      <c r="S3" s="629"/>
      <c r="T3" s="629"/>
      <c r="U3" s="629"/>
      <c r="V3" s="629"/>
      <c r="W3" s="629"/>
      <c r="X3" s="629"/>
      <c r="Y3" s="629"/>
      <c r="Z3" s="629"/>
      <c r="AA3" s="629"/>
      <c r="AB3" s="629"/>
      <c r="AC3" s="629"/>
      <c r="AD3" s="629"/>
      <c r="AE3" s="629"/>
      <c r="AF3" s="629"/>
      <c r="AG3" s="629"/>
      <c r="AH3" s="629"/>
      <c r="AI3" s="629"/>
      <c r="AJ3" s="629"/>
      <c r="AK3" s="629"/>
      <c r="AL3" s="629"/>
      <c r="AX3" s="220"/>
      <c r="AY3" s="232"/>
      <c r="AZ3" s="232"/>
      <c r="BA3" s="232"/>
      <c r="BB3" s="232"/>
      <c r="BC3" s="232"/>
      <c r="BD3" s="232"/>
      <c r="BE3" s="232"/>
      <c r="BF3" s="239" t="s">
        <v>8</v>
      </c>
      <c r="BG3" s="240"/>
      <c r="BH3" s="232"/>
      <c r="BI3" s="232"/>
      <c r="CH3" s="1" t="s">
        <v>146</v>
      </c>
    </row>
    <row r="4" spans="1:91" ht="15.75" customHeight="1" thickTop="1" thickBot="1">
      <c r="A4" s="628" t="s">
        <v>162</v>
      </c>
      <c r="B4" s="628"/>
      <c r="C4" s="628"/>
      <c r="D4" s="186" t="s">
        <v>42</v>
      </c>
      <c r="E4" s="628" t="s">
        <v>43</v>
      </c>
      <c r="F4" s="628"/>
      <c r="G4" s="628"/>
      <c r="H4" s="628"/>
      <c r="I4" s="22"/>
      <c r="J4" s="22"/>
      <c r="K4" s="632" t="s">
        <v>180</v>
      </c>
      <c r="L4" s="632"/>
      <c r="M4" s="632"/>
      <c r="N4" s="338"/>
      <c r="O4" s="80">
        <f>ادخال1!O3</f>
        <v>0</v>
      </c>
      <c r="P4" s="80">
        <f>ادخال1!P3</f>
        <v>0</v>
      </c>
      <c r="Q4" s="80">
        <f>ادخال1!Q3</f>
        <v>0</v>
      </c>
      <c r="R4" s="80">
        <f>ادخال1!R3</f>
        <v>0</v>
      </c>
      <c r="S4" s="80">
        <f>ادخال1!S3</f>
        <v>0</v>
      </c>
      <c r="T4" s="80">
        <f>ادخال1!T3</f>
        <v>0</v>
      </c>
      <c r="U4" s="80">
        <f>ادخال1!U3</f>
        <v>0</v>
      </c>
      <c r="V4" s="22"/>
      <c r="W4" s="22"/>
      <c r="X4" s="22"/>
      <c r="Y4" s="80">
        <f>ادخال1!Y3</f>
        <v>0</v>
      </c>
      <c r="Z4" s="80">
        <f>ادخال1!Z3</f>
        <v>0</v>
      </c>
      <c r="AA4" s="80">
        <f>ادخال1!AA3</f>
        <v>0</v>
      </c>
      <c r="AB4" s="80">
        <f>ادخال1!AB3</f>
        <v>0</v>
      </c>
      <c r="AC4" s="80">
        <f>ادخال1!AC3</f>
        <v>0</v>
      </c>
      <c r="AD4" s="80">
        <f>ادخال1!AD3</f>
        <v>0</v>
      </c>
      <c r="AE4" s="80">
        <f>ادخال1!AE3</f>
        <v>0</v>
      </c>
      <c r="AF4" s="22"/>
      <c r="AG4" s="22"/>
      <c r="AH4" s="22"/>
      <c r="AI4" s="22"/>
      <c r="AJ4" s="22"/>
      <c r="AK4" s="22"/>
      <c r="AX4" s="220"/>
      <c r="AY4" s="232"/>
      <c r="AZ4" s="232"/>
      <c r="BA4" s="232"/>
      <c r="BB4" s="232"/>
      <c r="BC4" s="232"/>
      <c r="BD4" s="232"/>
      <c r="BE4" s="232"/>
      <c r="BF4" s="239" t="s">
        <v>10</v>
      </c>
      <c r="BG4" s="240"/>
      <c r="BH4" s="232"/>
      <c r="BI4" s="232"/>
      <c r="BZ4" s="149"/>
      <c r="CA4" s="152" t="s">
        <v>112</v>
      </c>
      <c r="CB4" s="153" t="s">
        <v>153</v>
      </c>
      <c r="CH4" s="1" t="s">
        <v>139</v>
      </c>
    </row>
    <row r="5" spans="1:91" ht="22.5" customHeight="1" thickTop="1" thickBot="1">
      <c r="A5" s="185" t="s">
        <v>152</v>
      </c>
      <c r="B5" s="653" t="s">
        <v>171</v>
      </c>
      <c r="C5" s="653"/>
      <c r="D5" s="234"/>
      <c r="E5" s="710" t="s">
        <v>176</v>
      </c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  <c r="Q5" s="710"/>
      <c r="R5" s="710"/>
      <c r="S5" s="710"/>
      <c r="T5" s="710"/>
      <c r="U5" s="710"/>
      <c r="V5" s="710"/>
      <c r="W5" s="710"/>
      <c r="X5" s="710"/>
      <c r="Y5" s="710"/>
      <c r="Z5" s="710"/>
      <c r="AA5" s="710"/>
      <c r="AB5" s="710"/>
      <c r="AC5" s="710"/>
      <c r="AD5" s="710"/>
      <c r="AE5" s="710"/>
      <c r="AF5" s="710"/>
      <c r="AG5" s="368"/>
      <c r="AH5" s="368"/>
      <c r="AI5" s="654" t="s">
        <v>159</v>
      </c>
      <c r="AJ5" s="654"/>
      <c r="AK5" s="654"/>
      <c r="AL5" s="654"/>
      <c r="AM5" s="654"/>
      <c r="AN5" s="654"/>
      <c r="AO5" s="654"/>
      <c r="AP5" s="654"/>
      <c r="AQ5" s="654"/>
      <c r="AX5" s="220"/>
      <c r="AY5" s="232"/>
      <c r="AZ5" s="232"/>
      <c r="BA5" s="232"/>
      <c r="BB5" s="232"/>
      <c r="BC5" s="232"/>
      <c r="BD5" s="232"/>
      <c r="BE5" s="232"/>
      <c r="BF5" s="239" t="s">
        <v>15</v>
      </c>
      <c r="BG5" s="240" t="s">
        <v>178</v>
      </c>
      <c r="BH5" s="232"/>
      <c r="BI5" s="232"/>
      <c r="CA5" s="154" t="s">
        <v>113</v>
      </c>
      <c r="CB5" s="153" t="s">
        <v>179</v>
      </c>
    </row>
    <row r="6" spans="1:91" ht="15" customHeight="1" thickTop="1" thickBot="1">
      <c r="A6" s="760" t="s">
        <v>1</v>
      </c>
      <c r="B6" s="763" t="s">
        <v>0</v>
      </c>
      <c r="C6" s="771" t="s">
        <v>26</v>
      </c>
      <c r="D6" s="766" t="s">
        <v>27</v>
      </c>
      <c r="E6" s="723" t="s">
        <v>105</v>
      </c>
      <c r="F6" s="723"/>
      <c r="G6" s="723"/>
      <c r="H6" s="723"/>
      <c r="I6" s="723"/>
      <c r="J6" s="723"/>
      <c r="K6" s="723"/>
      <c r="L6" s="723"/>
      <c r="M6" s="723"/>
      <c r="N6" s="723"/>
      <c r="O6" s="727" t="s">
        <v>106</v>
      </c>
      <c r="P6" s="727"/>
      <c r="Q6" s="727"/>
      <c r="R6" s="727"/>
      <c r="S6" s="727"/>
      <c r="T6" s="727"/>
      <c r="U6" s="727"/>
      <c r="V6" s="727"/>
      <c r="W6" s="727"/>
      <c r="X6" s="727"/>
      <c r="Y6" s="738" t="s">
        <v>107</v>
      </c>
      <c r="Z6" s="738"/>
      <c r="AA6" s="738"/>
      <c r="AB6" s="738"/>
      <c r="AC6" s="738"/>
      <c r="AD6" s="738"/>
      <c r="AE6" s="738"/>
      <c r="AF6" s="738"/>
      <c r="AG6" s="738"/>
      <c r="AH6" s="738"/>
      <c r="AI6" s="751" t="s">
        <v>90</v>
      </c>
      <c r="AJ6" s="752"/>
      <c r="AK6" s="753"/>
      <c r="AL6" s="711" t="s">
        <v>92</v>
      </c>
      <c r="AM6" s="712"/>
      <c r="AN6" s="712"/>
      <c r="AO6" s="712"/>
      <c r="AP6" s="712"/>
      <c r="AQ6" s="713"/>
      <c r="AX6" s="220"/>
      <c r="AY6" s="232"/>
      <c r="AZ6" s="232"/>
      <c r="BA6" s="232"/>
      <c r="BB6" s="232"/>
      <c r="BC6" s="232"/>
      <c r="BD6" s="232"/>
      <c r="BE6" s="232"/>
      <c r="BF6" s="241" t="s">
        <v>101</v>
      </c>
      <c r="BG6" s="242"/>
      <c r="BH6" s="232"/>
      <c r="BI6" s="232"/>
      <c r="BY6" s="154" t="s">
        <v>40</v>
      </c>
      <c r="BZ6" s="730" t="s">
        <v>170</v>
      </c>
      <c r="CA6" s="731"/>
    </row>
    <row r="7" spans="1:91" ht="21" customHeight="1" thickTop="1" thickBot="1">
      <c r="A7" s="761"/>
      <c r="B7" s="764"/>
      <c r="C7" s="772"/>
      <c r="D7" s="767"/>
      <c r="E7" s="355"/>
      <c r="F7" s="202">
        <v>3</v>
      </c>
      <c r="G7" s="202">
        <v>6</v>
      </c>
      <c r="H7" s="202">
        <v>3</v>
      </c>
      <c r="I7" s="202">
        <v>1</v>
      </c>
      <c r="J7" s="202">
        <v>5</v>
      </c>
      <c r="K7" s="724" t="s">
        <v>24</v>
      </c>
      <c r="L7" s="202">
        <v>1</v>
      </c>
      <c r="M7" s="202">
        <v>2</v>
      </c>
      <c r="N7" s="202">
        <v>1</v>
      </c>
      <c r="O7" s="363"/>
      <c r="P7" s="203">
        <f t="shared" ref="P7:T9" si="0">F7</f>
        <v>3</v>
      </c>
      <c r="Q7" s="203">
        <f t="shared" si="0"/>
        <v>6</v>
      </c>
      <c r="R7" s="203">
        <f t="shared" si="0"/>
        <v>3</v>
      </c>
      <c r="S7" s="203">
        <f t="shared" si="0"/>
        <v>1</v>
      </c>
      <c r="T7" s="203">
        <f t="shared" si="0"/>
        <v>5</v>
      </c>
      <c r="U7" s="725" t="s">
        <v>24</v>
      </c>
      <c r="V7" s="203">
        <f t="shared" ref="V7:X8" si="1">L7</f>
        <v>1</v>
      </c>
      <c r="W7" s="203">
        <f t="shared" si="1"/>
        <v>2</v>
      </c>
      <c r="X7" s="203">
        <f t="shared" si="1"/>
        <v>1</v>
      </c>
      <c r="Y7" s="373"/>
      <c r="Z7" s="204">
        <f>F7</f>
        <v>3</v>
      </c>
      <c r="AA7" s="204">
        <f>G7</f>
        <v>6</v>
      </c>
      <c r="AB7" s="204">
        <f>H7</f>
        <v>3</v>
      </c>
      <c r="AC7" s="204">
        <f>I7</f>
        <v>1</v>
      </c>
      <c r="AD7" s="204">
        <f>J7</f>
        <v>5</v>
      </c>
      <c r="AE7" s="726" t="s">
        <v>24</v>
      </c>
      <c r="AF7" s="204">
        <f t="shared" ref="AF7:AH8" si="2">L7</f>
        <v>1</v>
      </c>
      <c r="AG7" s="204">
        <f t="shared" si="2"/>
        <v>2</v>
      </c>
      <c r="AH7" s="204">
        <f t="shared" si="2"/>
        <v>1</v>
      </c>
      <c r="AI7" s="754"/>
      <c r="AJ7" s="755"/>
      <c r="AK7" s="756"/>
      <c r="AL7" s="714"/>
      <c r="AM7" s="715"/>
      <c r="AN7" s="715"/>
      <c r="AO7" s="715"/>
      <c r="AP7" s="715"/>
      <c r="AQ7" s="716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L7" s="155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CA7" s="732" t="s">
        <v>114</v>
      </c>
      <c r="CB7" s="733"/>
      <c r="CC7" s="154" t="s">
        <v>115</v>
      </c>
      <c r="CD7" s="156" t="s">
        <v>116</v>
      </c>
    </row>
    <row r="8" spans="1:91" ht="21" customHeight="1" thickTop="1" thickBot="1">
      <c r="A8" s="761"/>
      <c r="B8" s="764"/>
      <c r="C8" s="772"/>
      <c r="D8" s="767"/>
      <c r="E8" s="355"/>
      <c r="F8" s="202">
        <f>F7*40*0.3</f>
        <v>36</v>
      </c>
      <c r="G8" s="202">
        <f t="shared" ref="G8" si="3">G7*40*0.3</f>
        <v>72</v>
      </c>
      <c r="H8" s="202">
        <f t="shared" ref="H8:J8" si="4">H7*40*0.3</f>
        <v>36</v>
      </c>
      <c r="I8" s="202">
        <f t="shared" si="4"/>
        <v>12</v>
      </c>
      <c r="J8" s="202">
        <f t="shared" si="4"/>
        <v>60</v>
      </c>
      <c r="K8" s="724"/>
      <c r="L8" s="724" t="s">
        <v>16</v>
      </c>
      <c r="M8" s="724" t="s">
        <v>172</v>
      </c>
      <c r="N8" s="724" t="s">
        <v>165</v>
      </c>
      <c r="O8" s="363"/>
      <c r="P8" s="203">
        <f t="shared" si="0"/>
        <v>36</v>
      </c>
      <c r="Q8" s="203">
        <f t="shared" si="0"/>
        <v>72</v>
      </c>
      <c r="R8" s="203">
        <f t="shared" si="0"/>
        <v>36</v>
      </c>
      <c r="S8" s="203">
        <f t="shared" si="0"/>
        <v>12</v>
      </c>
      <c r="T8" s="203">
        <f t="shared" si="0"/>
        <v>60</v>
      </c>
      <c r="U8" s="725"/>
      <c r="V8" s="725" t="str">
        <f t="shared" si="1"/>
        <v>التربية الفنية</v>
      </c>
      <c r="W8" s="725" t="str">
        <f t="shared" si="1"/>
        <v>التربية البدنية</v>
      </c>
      <c r="X8" s="725" t="str">
        <f t="shared" si="1"/>
        <v>مكتبة</v>
      </c>
      <c r="Y8" s="373"/>
      <c r="Z8" s="204">
        <f>Z7*40*0.4</f>
        <v>48</v>
      </c>
      <c r="AA8" s="204">
        <f t="shared" ref="AA8:AD8" si="5">AA7*40*0.4</f>
        <v>96</v>
      </c>
      <c r="AB8" s="204">
        <f t="shared" si="5"/>
        <v>48</v>
      </c>
      <c r="AC8" s="204">
        <f t="shared" si="5"/>
        <v>16</v>
      </c>
      <c r="AD8" s="204">
        <f t="shared" si="5"/>
        <v>80</v>
      </c>
      <c r="AE8" s="726"/>
      <c r="AF8" s="726" t="str">
        <f t="shared" si="2"/>
        <v>التربية الفنية</v>
      </c>
      <c r="AG8" s="726" t="str">
        <f t="shared" si="2"/>
        <v>التربية البدنية</v>
      </c>
      <c r="AH8" s="726" t="str">
        <f t="shared" si="2"/>
        <v>مكتبة</v>
      </c>
      <c r="AI8" s="754"/>
      <c r="AJ8" s="755"/>
      <c r="AK8" s="756"/>
      <c r="AL8" s="717"/>
      <c r="AM8" s="718"/>
      <c r="AN8" s="718"/>
      <c r="AO8" s="718"/>
      <c r="AP8" s="718"/>
      <c r="AQ8" s="719"/>
      <c r="AX8" s="62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L8" s="155"/>
      <c r="BY8" s="157" t="s">
        <v>117</v>
      </c>
      <c r="BZ8" s="153" t="s">
        <v>169</v>
      </c>
      <c r="CA8" s="158" t="s">
        <v>175</v>
      </c>
      <c r="CB8" s="159" t="s">
        <v>174</v>
      </c>
    </row>
    <row r="9" spans="1:91" s="182" customFormat="1" ht="32.25" customHeight="1" thickTop="1" thickBot="1">
      <c r="A9" s="761"/>
      <c r="B9" s="764"/>
      <c r="C9" s="772"/>
      <c r="D9" s="767"/>
      <c r="E9" s="356"/>
      <c r="F9" s="728" t="s">
        <v>18</v>
      </c>
      <c r="G9" s="728" t="s">
        <v>154</v>
      </c>
      <c r="H9" s="728" t="s">
        <v>17</v>
      </c>
      <c r="I9" s="729" t="s">
        <v>164</v>
      </c>
      <c r="J9" s="728" t="s">
        <v>163</v>
      </c>
      <c r="K9" s="724"/>
      <c r="L9" s="724"/>
      <c r="M9" s="724"/>
      <c r="N9" s="724"/>
      <c r="O9" s="364"/>
      <c r="P9" s="722" t="str">
        <f t="shared" si="0"/>
        <v>التربية الإسلامية</v>
      </c>
      <c r="Q9" s="722" t="str">
        <f t="shared" si="0"/>
        <v>اللغة العربية</v>
      </c>
      <c r="R9" s="722" t="str">
        <f t="shared" si="0"/>
        <v>اللغة الإنجليزية</v>
      </c>
      <c r="S9" s="722" t="str">
        <f t="shared" si="0"/>
        <v>الحاسوب</v>
      </c>
      <c r="T9" s="774" t="str">
        <f t="shared" si="0"/>
        <v>الرياضيات</v>
      </c>
      <c r="U9" s="725"/>
      <c r="V9" s="725"/>
      <c r="W9" s="725"/>
      <c r="X9" s="725"/>
      <c r="Y9" s="374"/>
      <c r="Z9" s="735" t="str">
        <f>F9</f>
        <v>التربية الإسلامية</v>
      </c>
      <c r="AA9" s="735" t="str">
        <f>G9</f>
        <v>اللغة العربية</v>
      </c>
      <c r="AB9" s="735" t="str">
        <f>H9</f>
        <v>اللغة الإنجليزية</v>
      </c>
      <c r="AC9" s="735" t="str">
        <f>I9</f>
        <v>الحاسوب</v>
      </c>
      <c r="AD9" s="750" t="str">
        <f>J9</f>
        <v>الرياضيات</v>
      </c>
      <c r="AE9" s="726"/>
      <c r="AF9" s="726"/>
      <c r="AG9" s="726"/>
      <c r="AH9" s="726"/>
      <c r="AI9" s="757"/>
      <c r="AJ9" s="758"/>
      <c r="AK9" s="759"/>
      <c r="AL9" s="769" t="s">
        <v>91</v>
      </c>
      <c r="AM9" s="770"/>
      <c r="AN9" s="720" t="s">
        <v>65</v>
      </c>
      <c r="AO9" s="721"/>
      <c r="AP9" s="736" t="s">
        <v>85</v>
      </c>
      <c r="AQ9" s="737"/>
      <c r="AR9" s="224"/>
      <c r="AS9" s="224"/>
      <c r="AT9" s="224"/>
      <c r="AW9" s="221"/>
      <c r="AX9" s="216"/>
      <c r="AY9" s="217"/>
      <c r="AZ9" s="221"/>
      <c r="BA9" s="221"/>
      <c r="BB9" s="221"/>
      <c r="BC9" s="216"/>
      <c r="BD9" s="217"/>
      <c r="BE9" s="221"/>
      <c r="BF9" s="221"/>
      <c r="BG9" s="221"/>
      <c r="BH9" s="217"/>
      <c r="BI9" s="217"/>
      <c r="BJ9" s="217"/>
      <c r="BK9" s="217"/>
      <c r="BL9" s="217"/>
      <c r="BM9" s="734"/>
      <c r="BN9" s="734"/>
      <c r="BO9" s="734"/>
      <c r="BP9" s="734"/>
      <c r="BQ9" s="734"/>
      <c r="BR9" s="734"/>
      <c r="BS9" s="734"/>
      <c r="BT9" s="734"/>
      <c r="BU9" s="734"/>
      <c r="BV9" s="734"/>
      <c r="BW9" s="734"/>
      <c r="BX9" s="734"/>
    </row>
    <row r="10" spans="1:91" s="182" customFormat="1" ht="32.25" customHeight="1" thickBot="1">
      <c r="A10" s="762"/>
      <c r="B10" s="765"/>
      <c r="C10" s="773"/>
      <c r="D10" s="768"/>
      <c r="E10" s="356"/>
      <c r="F10" s="728"/>
      <c r="G10" s="728"/>
      <c r="H10" s="728"/>
      <c r="I10" s="729"/>
      <c r="J10" s="728"/>
      <c r="K10" s="357">
        <f>SUM(F8:J8)</f>
        <v>216</v>
      </c>
      <c r="L10" s="358" t="s">
        <v>19</v>
      </c>
      <c r="M10" s="358" t="s">
        <v>19</v>
      </c>
      <c r="N10" s="358" t="s">
        <v>19</v>
      </c>
      <c r="O10" s="364"/>
      <c r="P10" s="722"/>
      <c r="Q10" s="722"/>
      <c r="R10" s="722"/>
      <c r="S10" s="722"/>
      <c r="T10" s="774"/>
      <c r="U10" s="365">
        <f>SUM(P8:T8)</f>
        <v>216</v>
      </c>
      <c r="V10" s="366" t="str">
        <f>L10</f>
        <v>تقديرات</v>
      </c>
      <c r="W10" s="366" t="str">
        <f>M10</f>
        <v>تقديرات</v>
      </c>
      <c r="X10" s="366"/>
      <c r="Y10" s="374"/>
      <c r="Z10" s="735"/>
      <c r="AA10" s="735"/>
      <c r="AB10" s="735"/>
      <c r="AC10" s="735"/>
      <c r="AD10" s="750"/>
      <c r="AE10" s="375">
        <f>SUM(Z8:AD8)</f>
        <v>288</v>
      </c>
      <c r="AF10" s="376" t="str">
        <f>L10</f>
        <v>تقديرات</v>
      </c>
      <c r="AG10" s="376" t="str">
        <f>M10</f>
        <v>تقديرات</v>
      </c>
      <c r="AH10" s="376" t="str">
        <f>N10</f>
        <v>تقديرات</v>
      </c>
      <c r="AI10" s="367" t="s">
        <v>91</v>
      </c>
      <c r="AJ10" s="268" t="s">
        <v>65</v>
      </c>
      <c r="AK10" s="269" t="s">
        <v>85</v>
      </c>
      <c r="AL10" s="270" t="s">
        <v>93</v>
      </c>
      <c r="AM10" s="271" t="s">
        <v>94</v>
      </c>
      <c r="AN10" s="272" t="s">
        <v>93</v>
      </c>
      <c r="AO10" s="273" t="s">
        <v>94</v>
      </c>
      <c r="AP10" s="274" t="s">
        <v>93</v>
      </c>
      <c r="AQ10" s="275" t="s">
        <v>94</v>
      </c>
      <c r="AR10" s="224"/>
      <c r="AS10" s="224"/>
      <c r="AT10" s="224" t="s">
        <v>150</v>
      </c>
      <c r="AU10" s="747" t="s">
        <v>104</v>
      </c>
      <c r="AV10" s="748"/>
      <c r="AW10" s="749"/>
      <c r="AX10" s="216"/>
      <c r="AY10" s="217"/>
      <c r="AZ10" s="744" t="s">
        <v>102</v>
      </c>
      <c r="BA10" s="745"/>
      <c r="BB10" s="746"/>
      <c r="BC10" s="216"/>
      <c r="BD10" s="217"/>
      <c r="BE10" s="741" t="s">
        <v>110</v>
      </c>
      <c r="BF10" s="742"/>
      <c r="BG10" s="743"/>
      <c r="BH10" s="217"/>
      <c r="BI10" s="217"/>
      <c r="BJ10" s="217"/>
      <c r="BK10" s="218" t="s">
        <v>148</v>
      </c>
      <c r="BL10" s="218" t="s">
        <v>118</v>
      </c>
      <c r="BM10" s="739" t="s">
        <v>119</v>
      </c>
      <c r="BN10" s="739"/>
      <c r="BO10" s="739"/>
      <c r="BP10" s="739"/>
      <c r="BQ10" s="739"/>
      <c r="BR10" s="739"/>
      <c r="BS10" s="739"/>
      <c r="BT10" s="739"/>
      <c r="BU10" s="739"/>
      <c r="BV10" s="739"/>
      <c r="BW10" s="739"/>
      <c r="BX10" s="740"/>
      <c r="BY10" s="183" t="s">
        <v>120</v>
      </c>
      <c r="BZ10" s="183" t="s">
        <v>121</v>
      </c>
      <c r="CA10" s="183" t="s">
        <v>122</v>
      </c>
      <c r="CB10" s="183" t="s">
        <v>123</v>
      </c>
      <c r="CC10" s="183" t="s">
        <v>86</v>
      </c>
    </row>
    <row r="11" spans="1:91" ht="17.25" customHeight="1" thickBot="1">
      <c r="A11" s="190">
        <v>1</v>
      </c>
      <c r="B11" s="410" t="s">
        <v>189</v>
      </c>
      <c r="C11" s="179">
        <v>43087</v>
      </c>
      <c r="D11" s="137" t="s">
        <v>202</v>
      </c>
      <c r="E11" s="198" t="s">
        <v>177</v>
      </c>
      <c r="F11" s="199">
        <v>25</v>
      </c>
      <c r="G11" s="200">
        <v>54</v>
      </c>
      <c r="H11" s="200">
        <v>25</v>
      </c>
      <c r="I11" s="200">
        <v>10</v>
      </c>
      <c r="J11" s="200">
        <v>24</v>
      </c>
      <c r="K11" s="276">
        <f>SUM(F11:J11)</f>
        <v>138</v>
      </c>
      <c r="L11" s="353" t="s">
        <v>173</v>
      </c>
      <c r="M11" s="354" t="s">
        <v>173</v>
      </c>
      <c r="N11" s="349"/>
      <c r="O11" s="340" t="s">
        <v>65</v>
      </c>
      <c r="P11" s="199"/>
      <c r="Q11" s="200"/>
      <c r="R11" s="200"/>
      <c r="S11" s="362"/>
      <c r="T11" s="319"/>
      <c r="U11" s="276"/>
      <c r="V11" s="353"/>
      <c r="W11" s="354"/>
      <c r="X11" s="349"/>
      <c r="Y11" s="369" t="s">
        <v>147</v>
      </c>
      <c r="Z11" s="12"/>
      <c r="AA11" s="370"/>
      <c r="AB11" s="370"/>
      <c r="AC11" s="371"/>
      <c r="AD11" s="319"/>
      <c r="AE11" s="276"/>
      <c r="AF11" s="12"/>
      <c r="AG11" s="371"/>
      <c r="AH11" s="372"/>
      <c r="AI11" s="325"/>
      <c r="AJ11" s="94"/>
      <c r="AK11" s="214"/>
      <c r="AL11" s="213"/>
      <c r="AM11" s="82"/>
      <c r="AN11" s="213"/>
      <c r="AO11" s="82"/>
      <c r="AP11" s="213"/>
      <c r="AQ11" s="82"/>
      <c r="AR11" s="13">
        <f t="shared" ref="AR11:AR59" si="6">K11+ROW()*0.0000001</f>
        <v>138.00000109999999</v>
      </c>
      <c r="AS11" s="13" t="str">
        <f t="shared" ref="AS11:AS59" si="7">B11</f>
        <v xml:space="preserve">الجبير خليل الدوكالي اليونسي </v>
      </c>
      <c r="AT11" s="13"/>
      <c r="AU11" s="192">
        <v>1</v>
      </c>
      <c r="AV11" s="77">
        <f t="shared" ref="AV11:AV74" si="8">IFERROR(LARGE($AR$11:$AR$396,AU11),"")</f>
        <v>214.00000159999999</v>
      </c>
      <c r="AW11" s="192" t="str">
        <f t="shared" ref="AW11:AW59" si="9">IFERROR(VLOOKUP(AV11,الترتيب1,2,0),"")</f>
        <v>سوزان عبدالباسط اللافى محمد</v>
      </c>
      <c r="AX11" s="219">
        <f t="shared" ref="AX11:AX59" si="10">U11+ROW()*0.0000001</f>
        <v>1.1000000000000001E-6</v>
      </c>
      <c r="AY11" s="13" t="str">
        <f>AS11</f>
        <v xml:space="preserve">الجبير خليل الدوكالي اليونسي </v>
      </c>
      <c r="AZ11" s="192">
        <v>1</v>
      </c>
      <c r="BA11" s="77">
        <f t="shared" ref="BA11:BA74" si="11">IFERROR(LARGE($AX$11:$AX$396,AZ11),"")</f>
        <v>3.96E-5</v>
      </c>
      <c r="BB11" s="192" t="str">
        <f t="shared" ref="BB11:BB59" si="12">IFERROR(VLOOKUP(BA11,الترتيب2,2,0),"")</f>
        <v/>
      </c>
      <c r="BC11" s="219">
        <f>AE11+ROW()*0.0000001</f>
        <v>1.1000000000000001E-6</v>
      </c>
      <c r="BD11" s="13" t="str">
        <f>AY11</f>
        <v xml:space="preserve">الجبير خليل الدوكالي اليونسي </v>
      </c>
      <c r="BE11" s="192">
        <v>1</v>
      </c>
      <c r="BF11" s="77">
        <f t="shared" ref="BF11:BF74" si="13">IFERROR(LARGE($BC$11:$BC$396,BE11),"")</f>
        <v>3.96E-5</v>
      </c>
      <c r="BG11" s="192">
        <f t="shared" ref="BG11:BG59" si="14">IFERROR(VLOOKUP(BF11,الترتيب3,2,0),"")</f>
        <v>0</v>
      </c>
      <c r="BI11" s="120"/>
      <c r="BJ11" s="120"/>
      <c r="BK11" s="191">
        <v>120171064725</v>
      </c>
      <c r="BL11" s="160" t="s">
        <v>216</v>
      </c>
      <c r="BM11" s="161" t="str">
        <f>MID($BK11,12,1)</f>
        <v>5</v>
      </c>
      <c r="BN11" s="161" t="str">
        <f>MID($BK11,11,1)</f>
        <v>2</v>
      </c>
      <c r="BO11" s="161" t="str">
        <f>MID($BK11,10,1)</f>
        <v>7</v>
      </c>
      <c r="BP11" s="161" t="str">
        <f>MID($BK11,9,1)</f>
        <v>4</v>
      </c>
      <c r="BQ11" s="161" t="str">
        <f>MID($BK11,8,1)</f>
        <v>6</v>
      </c>
      <c r="BR11" s="161" t="str">
        <f>MID($BK11,7,1)</f>
        <v>0</v>
      </c>
      <c r="BS11" s="161" t="str">
        <f>MID($BK11,6,1)</f>
        <v>1</v>
      </c>
      <c r="BT11" s="161" t="str">
        <f>MID($BK11,5,1)</f>
        <v>7</v>
      </c>
      <c r="BU11" s="161" t="str">
        <f>MID($BK11,4,1)</f>
        <v>1</v>
      </c>
      <c r="BV11" s="161" t="str">
        <f>MID($BK11,3,1)</f>
        <v>0</v>
      </c>
      <c r="BW11" s="161" t="str">
        <f>MID($BK11,2,1)</f>
        <v>2</v>
      </c>
      <c r="BX11" s="161" t="str">
        <f t="shared" ref="BX11:BX74" si="15">MID($BK11,1,1)</f>
        <v>1</v>
      </c>
      <c r="BY11" s="148" t="s">
        <v>153</v>
      </c>
      <c r="BZ11" s="148" t="s">
        <v>186</v>
      </c>
      <c r="CA11" s="148" t="s">
        <v>146</v>
      </c>
      <c r="CB11" s="148" t="s">
        <v>149</v>
      </c>
      <c r="CC11" s="148" t="s">
        <v>230</v>
      </c>
    </row>
    <row r="12" spans="1:91" ht="14.25" customHeight="1" thickBot="1">
      <c r="A12" s="190">
        <v>2</v>
      </c>
      <c r="B12" s="410" t="s">
        <v>190</v>
      </c>
      <c r="C12" s="179">
        <v>43147</v>
      </c>
      <c r="D12" s="137" t="s">
        <v>203</v>
      </c>
      <c r="E12" s="198" t="s">
        <v>177</v>
      </c>
      <c r="F12" s="199">
        <v>34</v>
      </c>
      <c r="G12" s="200">
        <v>70</v>
      </c>
      <c r="H12" s="200">
        <v>36</v>
      </c>
      <c r="I12" s="200">
        <v>12</v>
      </c>
      <c r="J12" s="200">
        <v>60</v>
      </c>
      <c r="K12" s="276">
        <f t="shared" ref="K12:K60" si="16">SUM(F12:J12)</f>
        <v>212</v>
      </c>
      <c r="L12" s="353" t="s">
        <v>173</v>
      </c>
      <c r="M12" s="354" t="s">
        <v>173</v>
      </c>
      <c r="N12" s="350"/>
      <c r="O12" s="341" t="s">
        <v>65</v>
      </c>
      <c r="P12" s="189"/>
      <c r="Q12" s="326"/>
      <c r="R12" s="326"/>
      <c r="S12" s="87"/>
      <c r="T12" s="207"/>
      <c r="U12" s="225">
        <f t="shared" ref="U12:U59" si="17">SUM(P12:T12)</f>
        <v>0</v>
      </c>
      <c r="V12" s="277"/>
      <c r="W12" s="278"/>
      <c r="X12" s="350"/>
      <c r="Y12" s="208" t="s">
        <v>147</v>
      </c>
      <c r="Z12" s="11"/>
      <c r="AA12" s="207"/>
      <c r="AB12" s="207"/>
      <c r="AC12" s="3"/>
      <c r="AD12" s="207"/>
      <c r="AE12" s="226">
        <f t="shared" ref="AE12:AE59" si="18">SUM(Z12:AD12)</f>
        <v>0</v>
      </c>
      <c r="AF12" s="11"/>
      <c r="AG12" s="3"/>
      <c r="AH12" s="359"/>
      <c r="AI12" s="96"/>
      <c r="AJ12" s="94"/>
      <c r="AK12" s="214"/>
      <c r="AL12" s="213"/>
      <c r="AM12" s="82"/>
      <c r="AN12" s="213"/>
      <c r="AO12" s="82"/>
      <c r="AP12" s="213"/>
      <c r="AQ12" s="82"/>
      <c r="AR12" s="13">
        <f t="shared" si="6"/>
        <v>212.00000120000001</v>
      </c>
      <c r="AS12" s="13" t="str">
        <f t="shared" si="7"/>
        <v>ديالا علي حمد القبائلي</v>
      </c>
      <c r="AT12" s="13"/>
      <c r="AU12" s="195">
        <v>7</v>
      </c>
      <c r="AV12" s="77">
        <f t="shared" si="8"/>
        <v>210.00000209999999</v>
      </c>
      <c r="AW12" s="192" t="str">
        <f t="shared" si="9"/>
        <v xml:space="preserve">ميرال صالح محمد  ديماس </v>
      </c>
      <c r="AX12" s="219">
        <f t="shared" si="10"/>
        <v>1.1999999999999999E-6</v>
      </c>
      <c r="AY12" s="13" t="str">
        <f t="shared" ref="AY12:AY60" si="19">AS12</f>
        <v>ديالا علي حمد القبائلي</v>
      </c>
      <c r="AZ12" s="195">
        <v>7</v>
      </c>
      <c r="BA12" s="77">
        <f t="shared" si="11"/>
        <v>3.8999999999999999E-5</v>
      </c>
      <c r="BB12" s="192">
        <f t="shared" si="12"/>
        <v>0</v>
      </c>
      <c r="BC12" s="219">
        <f t="shared" ref="BC12:BC60" si="20">AE12+ROW()*0.0000001</f>
        <v>1.1999999999999999E-6</v>
      </c>
      <c r="BD12" s="13" t="str">
        <f t="shared" ref="BD12:BD60" si="21">AY12</f>
        <v>ديالا علي حمد القبائلي</v>
      </c>
      <c r="BE12" s="195">
        <v>7</v>
      </c>
      <c r="BF12" s="77">
        <f t="shared" si="13"/>
        <v>3.8999999999999999E-5</v>
      </c>
      <c r="BG12" s="192">
        <f t="shared" si="14"/>
        <v>0</v>
      </c>
      <c r="BI12" s="120"/>
      <c r="BJ12" s="120"/>
      <c r="BK12" s="160">
        <v>220180172537</v>
      </c>
      <c r="BL12" s="160" t="s">
        <v>217</v>
      </c>
      <c r="BM12" s="161" t="str">
        <f t="shared" ref="BM12:BM75" si="22">MID($BK12,12,1)</f>
        <v>7</v>
      </c>
      <c r="BN12" s="161" t="str">
        <f t="shared" ref="BN12:BN75" si="23">MID($BK12,11,1)</f>
        <v>3</v>
      </c>
      <c r="BO12" s="161" t="str">
        <f t="shared" ref="BO12:BO75" si="24">MID($BK12,10,1)</f>
        <v>5</v>
      </c>
      <c r="BP12" s="161" t="str">
        <f t="shared" ref="BP12:BP75" si="25">MID($BK12,9,1)</f>
        <v>2</v>
      </c>
      <c r="BQ12" s="161" t="str">
        <f t="shared" ref="BQ12:BQ75" si="26">MID($BK12,8,1)</f>
        <v>7</v>
      </c>
      <c r="BR12" s="161" t="str">
        <f t="shared" ref="BR12:BR75" si="27">MID($BK12,7,1)</f>
        <v>1</v>
      </c>
      <c r="BS12" s="161" t="str">
        <f t="shared" ref="BS12:BS75" si="28">MID($BK12,6,1)</f>
        <v>0</v>
      </c>
      <c r="BT12" s="161" t="str">
        <f t="shared" ref="BT12:BT68" si="29">MID($BK12,5,1)</f>
        <v>8</v>
      </c>
      <c r="BU12" s="161" t="str">
        <f t="shared" ref="BU12:BU75" si="30">MID($BK12,4,1)</f>
        <v>1</v>
      </c>
      <c r="BV12" s="161" t="str">
        <f t="shared" ref="BV12:BV75" si="31">MID($BK12,3,1)</f>
        <v>0</v>
      </c>
      <c r="BW12" s="161" t="str">
        <f t="shared" ref="BW12:BW75" si="32">MID($BK12,2,1)</f>
        <v>2</v>
      </c>
      <c r="BX12" s="161" t="str">
        <f t="shared" si="15"/>
        <v>2</v>
      </c>
      <c r="BY12" s="148" t="s">
        <v>182</v>
      </c>
      <c r="BZ12" s="148" t="s">
        <v>183</v>
      </c>
      <c r="CA12" s="148" t="s">
        <v>146</v>
      </c>
      <c r="CB12" s="148" t="s">
        <v>149</v>
      </c>
      <c r="CC12" s="148" t="s">
        <v>230</v>
      </c>
    </row>
    <row r="13" spans="1:91" ht="14.25" customHeight="1" thickBot="1">
      <c r="A13" s="190">
        <v>3</v>
      </c>
      <c r="B13" s="410" t="s">
        <v>191</v>
      </c>
      <c r="C13" s="180">
        <v>43288</v>
      </c>
      <c r="D13" s="136" t="s">
        <v>204</v>
      </c>
      <c r="E13" s="198" t="s">
        <v>177</v>
      </c>
      <c r="F13" s="199">
        <v>30</v>
      </c>
      <c r="G13" s="188">
        <v>48</v>
      </c>
      <c r="H13" s="188">
        <v>29</v>
      </c>
      <c r="I13" s="200">
        <v>12</v>
      </c>
      <c r="J13" s="188">
        <v>24</v>
      </c>
      <c r="K13" s="276">
        <f t="shared" si="16"/>
        <v>143</v>
      </c>
      <c r="L13" s="353" t="s">
        <v>173</v>
      </c>
      <c r="M13" s="354" t="s">
        <v>173</v>
      </c>
      <c r="N13" s="351"/>
      <c r="O13" s="342" t="s">
        <v>65</v>
      </c>
      <c r="P13" s="187"/>
      <c r="Q13" s="188"/>
      <c r="R13" s="188"/>
      <c r="S13" s="119"/>
      <c r="T13" s="188"/>
      <c r="U13" s="211">
        <f t="shared" si="17"/>
        <v>0</v>
      </c>
      <c r="V13" s="279"/>
      <c r="W13" s="280"/>
      <c r="X13" s="351"/>
      <c r="Y13" s="209" t="s">
        <v>85</v>
      </c>
      <c r="Z13" s="71"/>
      <c r="AA13" s="321"/>
      <c r="AB13" s="321"/>
      <c r="AC13" s="322"/>
      <c r="AD13" s="188"/>
      <c r="AE13" s="18">
        <f t="shared" si="18"/>
        <v>0</v>
      </c>
      <c r="AF13" s="71"/>
      <c r="AG13" s="322"/>
      <c r="AH13" s="360"/>
      <c r="AI13" s="97"/>
      <c r="AJ13" s="194"/>
      <c r="AK13" s="193"/>
      <c r="AL13" s="205"/>
      <c r="AM13" s="197"/>
      <c r="AN13" s="205"/>
      <c r="AO13" s="197"/>
      <c r="AP13" s="205"/>
      <c r="AQ13" s="197"/>
      <c r="AR13" s="13">
        <f t="shared" si="6"/>
        <v>143.00000130000001</v>
      </c>
      <c r="AS13" s="13" t="str">
        <f t="shared" si="7"/>
        <v>رؤى عبدالحميد سيد ابوبكر عبداللطيف</v>
      </c>
      <c r="AT13" s="13"/>
      <c r="AU13" s="195">
        <v>14</v>
      </c>
      <c r="AV13" s="77">
        <f t="shared" si="8"/>
        <v>128.00000180000001</v>
      </c>
      <c r="AW13" s="192" t="str">
        <f t="shared" si="9"/>
        <v>عبدالمجيد محمد عبدالمجيد عرابى</v>
      </c>
      <c r="AX13" s="219">
        <f t="shared" si="10"/>
        <v>1.2999999999999998E-6</v>
      </c>
      <c r="AY13" s="13" t="str">
        <f t="shared" si="19"/>
        <v>رؤى عبدالحميد سيد ابوبكر عبداللطيف</v>
      </c>
      <c r="AZ13" s="195">
        <v>14</v>
      </c>
      <c r="BA13" s="77">
        <f t="shared" si="11"/>
        <v>3.8299999999999996E-5</v>
      </c>
      <c r="BB13" s="192">
        <f t="shared" si="12"/>
        <v>0</v>
      </c>
      <c r="BC13" s="219">
        <f t="shared" si="20"/>
        <v>1.2999999999999998E-6</v>
      </c>
      <c r="BD13" s="13" t="str">
        <f t="shared" si="21"/>
        <v>رؤى عبدالحميد سيد ابوبكر عبداللطيف</v>
      </c>
      <c r="BE13" s="195">
        <v>14</v>
      </c>
      <c r="BF13" s="77">
        <f t="shared" si="13"/>
        <v>3.8299999999999996E-5</v>
      </c>
      <c r="BG13" s="192">
        <f t="shared" si="14"/>
        <v>0</v>
      </c>
      <c r="BI13" s="120"/>
      <c r="BJ13" s="120"/>
      <c r="BK13" s="160"/>
      <c r="BL13" s="160" t="s">
        <v>218</v>
      </c>
      <c r="BM13" s="161" t="str">
        <f t="shared" si="22"/>
        <v/>
      </c>
      <c r="BN13" s="161" t="str">
        <f t="shared" si="23"/>
        <v/>
      </c>
      <c r="BO13" s="161" t="str">
        <f t="shared" si="24"/>
        <v/>
      </c>
      <c r="BP13" s="161" t="str">
        <f t="shared" si="25"/>
        <v/>
      </c>
      <c r="BQ13" s="161" t="str">
        <f t="shared" si="26"/>
        <v/>
      </c>
      <c r="BR13" s="161" t="str">
        <f t="shared" si="27"/>
        <v/>
      </c>
      <c r="BS13" s="161" t="str">
        <f t="shared" si="28"/>
        <v/>
      </c>
      <c r="BT13" s="161" t="str">
        <f t="shared" si="29"/>
        <v/>
      </c>
      <c r="BU13" s="161" t="str">
        <f t="shared" si="30"/>
        <v/>
      </c>
      <c r="BV13" s="161" t="str">
        <f t="shared" si="31"/>
        <v/>
      </c>
      <c r="BW13" s="161" t="str">
        <f t="shared" si="32"/>
        <v/>
      </c>
      <c r="BX13" s="161" t="str">
        <f t="shared" si="15"/>
        <v/>
      </c>
      <c r="BY13" s="148" t="s">
        <v>184</v>
      </c>
      <c r="BZ13" s="148" t="s">
        <v>219</v>
      </c>
      <c r="CA13" s="148" t="s">
        <v>146</v>
      </c>
      <c r="CB13" s="148" t="s">
        <v>149</v>
      </c>
      <c r="CC13" s="148" t="s">
        <v>230</v>
      </c>
    </row>
    <row r="14" spans="1:91" ht="14.25" customHeight="1" thickBot="1">
      <c r="A14" s="190">
        <v>4</v>
      </c>
      <c r="B14" s="410" t="s">
        <v>192</v>
      </c>
      <c r="C14" s="179">
        <v>43261</v>
      </c>
      <c r="D14" s="137" t="s">
        <v>205</v>
      </c>
      <c r="E14" s="198" t="s">
        <v>177</v>
      </c>
      <c r="F14" s="199">
        <v>36</v>
      </c>
      <c r="G14" s="200">
        <v>69</v>
      </c>
      <c r="H14" s="200">
        <v>35</v>
      </c>
      <c r="I14" s="200">
        <v>12</v>
      </c>
      <c r="J14" s="200">
        <v>60</v>
      </c>
      <c r="K14" s="276">
        <f t="shared" si="16"/>
        <v>212</v>
      </c>
      <c r="L14" s="353" t="s">
        <v>173</v>
      </c>
      <c r="M14" s="354" t="s">
        <v>173</v>
      </c>
      <c r="N14" s="350"/>
      <c r="O14" s="341" t="s">
        <v>65</v>
      </c>
      <c r="P14" s="189"/>
      <c r="Q14" s="326"/>
      <c r="R14" s="326"/>
      <c r="S14" s="87"/>
      <c r="T14" s="207"/>
      <c r="U14" s="225">
        <f t="shared" si="17"/>
        <v>0</v>
      </c>
      <c r="V14" s="277"/>
      <c r="W14" s="278"/>
      <c r="X14" s="350"/>
      <c r="Y14" s="208" t="s">
        <v>147</v>
      </c>
      <c r="Z14" s="11"/>
      <c r="AA14" s="207"/>
      <c r="AB14" s="207"/>
      <c r="AC14" s="3"/>
      <c r="AD14" s="207"/>
      <c r="AE14" s="226">
        <f t="shared" si="18"/>
        <v>0</v>
      </c>
      <c r="AF14" s="11"/>
      <c r="AG14" s="3"/>
      <c r="AH14" s="359"/>
      <c r="AI14" s="96"/>
      <c r="AJ14" s="94"/>
      <c r="AK14" s="214"/>
      <c r="AL14" s="213"/>
      <c r="AM14" s="82"/>
      <c r="AN14" s="213"/>
      <c r="AO14" s="82"/>
      <c r="AP14" s="213"/>
      <c r="AQ14" s="82"/>
      <c r="AR14" s="13">
        <f t="shared" si="6"/>
        <v>212.0000014</v>
      </c>
      <c r="AS14" s="13" t="str">
        <f t="shared" si="7"/>
        <v>زكريا محمد علي علي</v>
      </c>
      <c r="AT14" s="13"/>
      <c r="AU14" s="195">
        <v>16</v>
      </c>
      <c r="AV14" s="77">
        <f t="shared" si="8"/>
        <v>3.9499999999999998E-5</v>
      </c>
      <c r="AW14" s="192">
        <f t="shared" si="9"/>
        <v>0</v>
      </c>
      <c r="AX14" s="219">
        <f t="shared" si="10"/>
        <v>1.3999999999999999E-6</v>
      </c>
      <c r="AY14" s="13" t="str">
        <f t="shared" si="19"/>
        <v>زكريا محمد علي علي</v>
      </c>
      <c r="AZ14" s="195">
        <v>16</v>
      </c>
      <c r="BA14" s="77">
        <f t="shared" si="11"/>
        <v>3.8099999999999998E-5</v>
      </c>
      <c r="BB14" s="192">
        <f t="shared" si="12"/>
        <v>0</v>
      </c>
      <c r="BC14" s="219">
        <f t="shared" si="20"/>
        <v>1.3999999999999999E-6</v>
      </c>
      <c r="BD14" s="13" t="str">
        <f t="shared" si="21"/>
        <v>زكريا محمد علي علي</v>
      </c>
      <c r="BE14" s="195">
        <v>16</v>
      </c>
      <c r="BF14" s="77">
        <f t="shared" si="13"/>
        <v>3.8099999999999998E-5</v>
      </c>
      <c r="BG14" s="192">
        <f t="shared" si="14"/>
        <v>0</v>
      </c>
      <c r="BI14" s="120"/>
      <c r="BJ14" s="120"/>
      <c r="BK14" s="160">
        <v>120181209020</v>
      </c>
      <c r="BL14" s="160" t="s">
        <v>220</v>
      </c>
      <c r="BM14" s="161" t="str">
        <f t="shared" si="22"/>
        <v>0</v>
      </c>
      <c r="BN14" s="161" t="str">
        <f t="shared" si="23"/>
        <v>2</v>
      </c>
      <c r="BO14" s="161" t="str">
        <f t="shared" si="24"/>
        <v>0</v>
      </c>
      <c r="BP14" s="161" t="str">
        <f t="shared" si="25"/>
        <v>9</v>
      </c>
      <c r="BQ14" s="161" t="str">
        <f t="shared" si="26"/>
        <v>0</v>
      </c>
      <c r="BR14" s="161" t="str">
        <f t="shared" si="27"/>
        <v>2</v>
      </c>
      <c r="BS14" s="161" t="str">
        <f t="shared" si="28"/>
        <v>1</v>
      </c>
      <c r="BT14" s="161" t="str">
        <f t="shared" si="29"/>
        <v>8</v>
      </c>
      <c r="BU14" s="161" t="str">
        <f t="shared" si="30"/>
        <v>1</v>
      </c>
      <c r="BV14" s="161" t="str">
        <f t="shared" si="31"/>
        <v>0</v>
      </c>
      <c r="BW14" s="161" t="str">
        <f t="shared" si="32"/>
        <v>2</v>
      </c>
      <c r="BX14" s="161" t="str">
        <f t="shared" si="15"/>
        <v>1</v>
      </c>
      <c r="BY14" s="148" t="s">
        <v>221</v>
      </c>
      <c r="BZ14" s="148" t="s">
        <v>186</v>
      </c>
      <c r="CA14" s="148" t="s">
        <v>146</v>
      </c>
      <c r="CB14" s="148" t="s">
        <v>149</v>
      </c>
      <c r="CC14" s="148" t="s">
        <v>230</v>
      </c>
    </row>
    <row r="15" spans="1:91" ht="14.25" customHeight="1" thickBot="1">
      <c r="A15" s="190">
        <v>5</v>
      </c>
      <c r="B15" s="410" t="s">
        <v>193</v>
      </c>
      <c r="C15" s="180">
        <v>43288</v>
      </c>
      <c r="D15" s="136" t="s">
        <v>206</v>
      </c>
      <c r="E15" s="198" t="s">
        <v>177</v>
      </c>
      <c r="F15" s="199">
        <v>32</v>
      </c>
      <c r="G15" s="188">
        <v>64</v>
      </c>
      <c r="H15" s="188">
        <v>35</v>
      </c>
      <c r="I15" s="200">
        <v>12</v>
      </c>
      <c r="J15" s="188">
        <v>60</v>
      </c>
      <c r="K15" s="276">
        <f t="shared" si="16"/>
        <v>203</v>
      </c>
      <c r="L15" s="353" t="s">
        <v>173</v>
      </c>
      <c r="M15" s="354" t="s">
        <v>173</v>
      </c>
      <c r="N15" s="351"/>
      <c r="O15" s="342" t="s">
        <v>65</v>
      </c>
      <c r="P15" s="187"/>
      <c r="Q15" s="188"/>
      <c r="R15" s="188"/>
      <c r="S15" s="119"/>
      <c r="T15" s="188"/>
      <c r="U15" s="211">
        <f t="shared" si="17"/>
        <v>0</v>
      </c>
      <c r="V15" s="279"/>
      <c r="W15" s="280"/>
      <c r="X15" s="351"/>
      <c r="Y15" s="209" t="s">
        <v>85</v>
      </c>
      <c r="Z15" s="71"/>
      <c r="AA15" s="321"/>
      <c r="AB15" s="321"/>
      <c r="AC15" s="322"/>
      <c r="AD15" s="188"/>
      <c r="AE15" s="18">
        <f t="shared" si="18"/>
        <v>0</v>
      </c>
      <c r="AF15" s="71"/>
      <c r="AG15" s="322"/>
      <c r="AH15" s="360"/>
      <c r="AI15" s="97"/>
      <c r="AJ15" s="194"/>
      <c r="AK15" s="193"/>
      <c r="AL15" s="205"/>
      <c r="AM15" s="197"/>
      <c r="AN15" s="205"/>
      <c r="AO15" s="197"/>
      <c r="AP15" s="205"/>
      <c r="AQ15" s="197"/>
      <c r="AR15" s="13">
        <f t="shared" si="6"/>
        <v>203.0000015</v>
      </c>
      <c r="AS15" s="13" t="str">
        <f t="shared" si="7"/>
        <v>سارة ضياء محمد الترهونى</v>
      </c>
      <c r="AT15" s="13"/>
      <c r="AU15" s="195">
        <v>17</v>
      </c>
      <c r="AV15" s="77">
        <f t="shared" si="8"/>
        <v>3.9399999999999995E-5</v>
      </c>
      <c r="AW15" s="192">
        <f t="shared" si="9"/>
        <v>0</v>
      </c>
      <c r="AX15" s="219">
        <f t="shared" si="10"/>
        <v>1.5E-6</v>
      </c>
      <c r="AY15" s="13" t="str">
        <f t="shared" si="19"/>
        <v>سارة ضياء محمد الترهونى</v>
      </c>
      <c r="AZ15" s="195">
        <v>17</v>
      </c>
      <c r="BA15" s="77">
        <f t="shared" si="11"/>
        <v>3.7999999999999995E-5</v>
      </c>
      <c r="BB15" s="192">
        <f t="shared" si="12"/>
        <v>0</v>
      </c>
      <c r="BC15" s="219">
        <f t="shared" si="20"/>
        <v>1.5E-6</v>
      </c>
      <c r="BD15" s="13" t="str">
        <f t="shared" si="21"/>
        <v>سارة ضياء محمد الترهونى</v>
      </c>
      <c r="BE15" s="195">
        <v>17</v>
      </c>
      <c r="BF15" s="77">
        <f t="shared" si="13"/>
        <v>3.7999999999999995E-5</v>
      </c>
      <c r="BG15" s="192">
        <f t="shared" si="14"/>
        <v>0</v>
      </c>
      <c r="BI15" s="120"/>
      <c r="BJ15" s="120"/>
      <c r="BK15" s="160">
        <v>220180602649</v>
      </c>
      <c r="BL15" s="160" t="s">
        <v>187</v>
      </c>
      <c r="BM15" s="161" t="str">
        <f t="shared" si="22"/>
        <v>9</v>
      </c>
      <c r="BN15" s="161" t="str">
        <f t="shared" si="23"/>
        <v>4</v>
      </c>
      <c r="BO15" s="161" t="str">
        <f t="shared" si="24"/>
        <v>6</v>
      </c>
      <c r="BP15" s="161" t="str">
        <f t="shared" si="25"/>
        <v>2</v>
      </c>
      <c r="BQ15" s="161" t="str">
        <f t="shared" si="26"/>
        <v>0</v>
      </c>
      <c r="BR15" s="161" t="str">
        <f t="shared" si="27"/>
        <v>6</v>
      </c>
      <c r="BS15" s="161" t="str">
        <f t="shared" si="28"/>
        <v>0</v>
      </c>
      <c r="BT15" s="161" t="str">
        <f t="shared" si="29"/>
        <v>8</v>
      </c>
      <c r="BU15" s="161" t="str">
        <f t="shared" si="30"/>
        <v>1</v>
      </c>
      <c r="BV15" s="161" t="str">
        <f t="shared" si="31"/>
        <v>0</v>
      </c>
      <c r="BW15" s="161" t="str">
        <f t="shared" si="32"/>
        <v>2</v>
      </c>
      <c r="BX15" s="161" t="str">
        <f t="shared" si="15"/>
        <v>2</v>
      </c>
      <c r="BY15" s="148" t="s">
        <v>153</v>
      </c>
      <c r="BZ15" s="1" t="s">
        <v>186</v>
      </c>
      <c r="CA15" s="148" t="s">
        <v>146</v>
      </c>
      <c r="CB15" s="148" t="s">
        <v>149</v>
      </c>
      <c r="CC15" s="148" t="s">
        <v>230</v>
      </c>
    </row>
    <row r="16" spans="1:91" ht="14.25" customHeight="1" thickBot="1">
      <c r="A16" s="190">
        <v>6</v>
      </c>
      <c r="B16" s="410" t="s">
        <v>194</v>
      </c>
      <c r="C16" s="181">
        <v>43171</v>
      </c>
      <c r="D16" s="86" t="s">
        <v>207</v>
      </c>
      <c r="E16" s="198" t="s">
        <v>177</v>
      </c>
      <c r="F16" s="199">
        <v>36</v>
      </c>
      <c r="G16" s="93">
        <v>70</v>
      </c>
      <c r="H16" s="93">
        <v>36</v>
      </c>
      <c r="I16" s="200">
        <v>12</v>
      </c>
      <c r="J16" s="93">
        <v>60</v>
      </c>
      <c r="K16" s="276">
        <f t="shared" si="16"/>
        <v>214</v>
      </c>
      <c r="L16" s="353" t="s">
        <v>173</v>
      </c>
      <c r="M16" s="354" t="s">
        <v>173</v>
      </c>
      <c r="N16" s="352"/>
      <c r="O16" s="343" t="s">
        <v>65</v>
      </c>
      <c r="P16" s="88"/>
      <c r="Q16" s="93"/>
      <c r="R16" s="93"/>
      <c r="S16" s="89"/>
      <c r="T16" s="93"/>
      <c r="U16" s="212">
        <f t="shared" si="17"/>
        <v>0</v>
      </c>
      <c r="V16" s="281"/>
      <c r="W16" s="282"/>
      <c r="X16" s="352"/>
      <c r="Y16" s="210" t="s">
        <v>85</v>
      </c>
      <c r="Z16" s="72"/>
      <c r="AA16" s="323"/>
      <c r="AB16" s="323"/>
      <c r="AC16" s="324"/>
      <c r="AD16" s="93"/>
      <c r="AE16" s="81">
        <f t="shared" si="18"/>
        <v>0</v>
      </c>
      <c r="AF16" s="72"/>
      <c r="AG16" s="324"/>
      <c r="AH16" s="361"/>
      <c r="AI16" s="98"/>
      <c r="AJ16" s="95"/>
      <c r="AK16" s="215"/>
      <c r="AL16" s="206"/>
      <c r="AM16" s="83"/>
      <c r="AN16" s="206"/>
      <c r="AO16" s="83"/>
      <c r="AP16" s="206"/>
      <c r="AQ16" s="83"/>
      <c r="AR16" s="13">
        <f t="shared" si="6"/>
        <v>214.00000159999999</v>
      </c>
      <c r="AS16" s="13" t="str">
        <f t="shared" si="7"/>
        <v>سوزان عبدالباسط اللافى محمد</v>
      </c>
      <c r="AT16" s="13"/>
      <c r="AU16" s="195">
        <v>18</v>
      </c>
      <c r="AV16" s="77">
        <f t="shared" si="8"/>
        <v>3.93E-5</v>
      </c>
      <c r="AW16" s="192">
        <f t="shared" si="9"/>
        <v>0</v>
      </c>
      <c r="AX16" s="219">
        <f t="shared" si="10"/>
        <v>1.5999999999999999E-6</v>
      </c>
      <c r="AY16" s="13" t="str">
        <f t="shared" si="19"/>
        <v>سوزان عبدالباسط اللافى محمد</v>
      </c>
      <c r="AZ16" s="195">
        <v>18</v>
      </c>
      <c r="BA16" s="77">
        <f t="shared" si="11"/>
        <v>3.79E-5</v>
      </c>
      <c r="BB16" s="192">
        <f t="shared" si="12"/>
        <v>0</v>
      </c>
      <c r="BC16" s="219">
        <f t="shared" si="20"/>
        <v>1.5999999999999999E-6</v>
      </c>
      <c r="BD16" s="13" t="str">
        <f t="shared" si="21"/>
        <v>سوزان عبدالباسط اللافى محمد</v>
      </c>
      <c r="BE16" s="195">
        <v>18</v>
      </c>
      <c r="BF16" s="77">
        <f t="shared" si="13"/>
        <v>3.79E-5</v>
      </c>
      <c r="BG16" s="192">
        <f t="shared" si="14"/>
        <v>0</v>
      </c>
      <c r="BI16" s="120"/>
      <c r="BJ16" s="120"/>
      <c r="BK16" s="160">
        <v>220180204533</v>
      </c>
      <c r="BL16" s="160" t="s">
        <v>222</v>
      </c>
      <c r="BM16" s="161" t="str">
        <f t="shared" si="22"/>
        <v>3</v>
      </c>
      <c r="BN16" s="161" t="str">
        <f t="shared" si="23"/>
        <v>3</v>
      </c>
      <c r="BO16" s="161" t="str">
        <f t="shared" si="24"/>
        <v>5</v>
      </c>
      <c r="BP16" s="161" t="str">
        <f t="shared" si="25"/>
        <v>4</v>
      </c>
      <c r="BQ16" s="161" t="str">
        <f t="shared" si="26"/>
        <v>0</v>
      </c>
      <c r="BR16" s="161" t="str">
        <f t="shared" si="27"/>
        <v>2</v>
      </c>
      <c r="BS16" s="161" t="str">
        <f t="shared" si="28"/>
        <v>0</v>
      </c>
      <c r="BT16" s="161" t="str">
        <f t="shared" si="29"/>
        <v>8</v>
      </c>
      <c r="BU16" s="161" t="str">
        <f t="shared" si="30"/>
        <v>1</v>
      </c>
      <c r="BV16" s="161" t="str">
        <f t="shared" si="31"/>
        <v>0</v>
      </c>
      <c r="BW16" s="161" t="str">
        <f t="shared" si="32"/>
        <v>2</v>
      </c>
      <c r="BX16" s="161" t="str">
        <f t="shared" si="15"/>
        <v>2</v>
      </c>
      <c r="BY16" s="148" t="s">
        <v>153</v>
      </c>
      <c r="BZ16" s="148" t="s">
        <v>183</v>
      </c>
      <c r="CA16" s="148" t="s">
        <v>146</v>
      </c>
      <c r="CB16" s="148" t="s">
        <v>149</v>
      </c>
      <c r="CC16" s="148" t="s">
        <v>230</v>
      </c>
    </row>
    <row r="17" spans="1:81" ht="14.25" customHeight="1" thickBot="1">
      <c r="A17" s="190">
        <v>7</v>
      </c>
      <c r="B17" s="410" t="s">
        <v>195</v>
      </c>
      <c r="C17" s="180">
        <v>43179</v>
      </c>
      <c r="D17" s="136" t="s">
        <v>208</v>
      </c>
      <c r="E17" s="198" t="s">
        <v>177</v>
      </c>
      <c r="F17" s="199">
        <v>32</v>
      </c>
      <c r="G17" s="188">
        <v>70</v>
      </c>
      <c r="H17" s="188">
        <v>36</v>
      </c>
      <c r="I17" s="200">
        <v>12</v>
      </c>
      <c r="J17" s="188">
        <v>58</v>
      </c>
      <c r="K17" s="276">
        <f t="shared" si="16"/>
        <v>208</v>
      </c>
      <c r="L17" s="353" t="s">
        <v>173</v>
      </c>
      <c r="M17" s="354" t="s">
        <v>173</v>
      </c>
      <c r="N17" s="351"/>
      <c r="O17" s="342" t="s">
        <v>65</v>
      </c>
      <c r="P17" s="187"/>
      <c r="Q17" s="188"/>
      <c r="R17" s="188"/>
      <c r="S17" s="119"/>
      <c r="T17" s="188"/>
      <c r="U17" s="211">
        <f t="shared" si="17"/>
        <v>0</v>
      </c>
      <c r="V17" s="279"/>
      <c r="W17" s="280"/>
      <c r="X17" s="351"/>
      <c r="Y17" s="209" t="s">
        <v>85</v>
      </c>
      <c r="Z17" s="71"/>
      <c r="AA17" s="321"/>
      <c r="AB17" s="321"/>
      <c r="AC17" s="322"/>
      <c r="AD17" s="188"/>
      <c r="AE17" s="18">
        <f t="shared" si="18"/>
        <v>0</v>
      </c>
      <c r="AF17" s="71"/>
      <c r="AG17" s="322"/>
      <c r="AH17" s="360"/>
      <c r="AI17" s="97"/>
      <c r="AJ17" s="194"/>
      <c r="AK17" s="193"/>
      <c r="AL17" s="205"/>
      <c r="AM17" s="197"/>
      <c r="AN17" s="205"/>
      <c r="AO17" s="197"/>
      <c r="AP17" s="205"/>
      <c r="AQ17" s="197"/>
      <c r="AR17" s="13">
        <f t="shared" si="6"/>
        <v>208.00000170000001</v>
      </c>
      <c r="AS17" s="13" t="str">
        <f t="shared" si="7"/>
        <v>عبدالرحمن فرج  محمد المغربي</v>
      </c>
      <c r="AT17" s="13"/>
      <c r="AU17" s="195">
        <v>20</v>
      </c>
      <c r="AV17" s="77">
        <f t="shared" si="8"/>
        <v>3.9099999999999995E-5</v>
      </c>
      <c r="AW17" s="192">
        <f t="shared" si="9"/>
        <v>0</v>
      </c>
      <c r="AX17" s="219">
        <f t="shared" si="10"/>
        <v>1.6999999999999998E-6</v>
      </c>
      <c r="AY17" s="13" t="str">
        <f t="shared" si="19"/>
        <v>عبدالرحمن فرج  محمد المغربي</v>
      </c>
      <c r="AZ17" s="195">
        <v>20</v>
      </c>
      <c r="BA17" s="77">
        <f t="shared" si="11"/>
        <v>3.7700000000000002E-5</v>
      </c>
      <c r="BB17" s="192">
        <f t="shared" si="12"/>
        <v>0</v>
      </c>
      <c r="BC17" s="219">
        <f t="shared" si="20"/>
        <v>1.6999999999999998E-6</v>
      </c>
      <c r="BD17" s="13" t="str">
        <f t="shared" si="21"/>
        <v>عبدالرحمن فرج  محمد المغربي</v>
      </c>
      <c r="BE17" s="195">
        <v>20</v>
      </c>
      <c r="BF17" s="77">
        <f t="shared" si="13"/>
        <v>3.7700000000000002E-5</v>
      </c>
      <c r="BG17" s="192">
        <f t="shared" si="14"/>
        <v>0</v>
      </c>
      <c r="BI17" s="120"/>
      <c r="BJ17" s="120"/>
      <c r="BK17" s="160">
        <v>120180241465</v>
      </c>
      <c r="BL17" s="160" t="s">
        <v>185</v>
      </c>
      <c r="BM17" s="161" t="str">
        <f t="shared" si="22"/>
        <v>5</v>
      </c>
      <c r="BN17" s="161" t="str">
        <f t="shared" si="23"/>
        <v>6</v>
      </c>
      <c r="BO17" s="161" t="str">
        <f t="shared" si="24"/>
        <v>4</v>
      </c>
      <c r="BP17" s="161" t="str">
        <f t="shared" si="25"/>
        <v>1</v>
      </c>
      <c r="BQ17" s="161" t="str">
        <f t="shared" si="26"/>
        <v>4</v>
      </c>
      <c r="BR17" s="161" t="str">
        <f t="shared" si="27"/>
        <v>2</v>
      </c>
      <c r="BS17" s="161" t="str">
        <f t="shared" si="28"/>
        <v>0</v>
      </c>
      <c r="BT17" s="161" t="str">
        <f t="shared" si="29"/>
        <v>8</v>
      </c>
      <c r="BU17" s="161" t="str">
        <f t="shared" si="30"/>
        <v>1</v>
      </c>
      <c r="BV17" s="161" t="str">
        <f t="shared" si="31"/>
        <v>0</v>
      </c>
      <c r="BW17" s="161" t="str">
        <f t="shared" si="32"/>
        <v>2</v>
      </c>
      <c r="BX17" s="161" t="str">
        <f t="shared" si="15"/>
        <v>1</v>
      </c>
      <c r="BY17" s="148" t="s">
        <v>153</v>
      </c>
      <c r="BZ17" s="148" t="s">
        <v>186</v>
      </c>
      <c r="CA17" s="148" t="s">
        <v>146</v>
      </c>
      <c r="CB17" s="148" t="s">
        <v>149</v>
      </c>
      <c r="CC17" s="148" t="s">
        <v>230</v>
      </c>
    </row>
    <row r="18" spans="1:81" ht="14.25" customHeight="1" thickBot="1">
      <c r="A18" s="190">
        <v>8</v>
      </c>
      <c r="B18" s="410" t="s">
        <v>196</v>
      </c>
      <c r="C18" s="181">
        <v>43448</v>
      </c>
      <c r="D18" s="86" t="s">
        <v>209</v>
      </c>
      <c r="E18" s="198" t="s">
        <v>177</v>
      </c>
      <c r="F18" s="199">
        <v>26</v>
      </c>
      <c r="G18" s="93">
        <v>42</v>
      </c>
      <c r="H18" s="93">
        <v>25</v>
      </c>
      <c r="I18" s="200">
        <v>10</v>
      </c>
      <c r="J18" s="93">
        <v>25</v>
      </c>
      <c r="K18" s="276">
        <f t="shared" si="16"/>
        <v>128</v>
      </c>
      <c r="L18" s="353" t="s">
        <v>173</v>
      </c>
      <c r="M18" s="354" t="s">
        <v>173</v>
      </c>
      <c r="N18" s="352"/>
      <c r="O18" s="343" t="s">
        <v>65</v>
      </c>
      <c r="P18" s="88"/>
      <c r="Q18" s="93"/>
      <c r="R18" s="93"/>
      <c r="S18" s="89"/>
      <c r="T18" s="93"/>
      <c r="U18" s="212">
        <f t="shared" si="17"/>
        <v>0</v>
      </c>
      <c r="V18" s="281"/>
      <c r="W18" s="282"/>
      <c r="X18" s="352"/>
      <c r="Y18" s="210" t="s">
        <v>85</v>
      </c>
      <c r="Z18" s="72"/>
      <c r="AA18" s="323"/>
      <c r="AB18" s="323"/>
      <c r="AC18" s="324"/>
      <c r="AD18" s="93"/>
      <c r="AE18" s="81">
        <f t="shared" si="18"/>
        <v>0</v>
      </c>
      <c r="AF18" s="72"/>
      <c r="AG18" s="324"/>
      <c r="AH18" s="361"/>
      <c r="AI18" s="98"/>
      <c r="AJ18" s="95"/>
      <c r="AK18" s="215"/>
      <c r="AL18" s="206"/>
      <c r="AM18" s="83"/>
      <c r="AN18" s="206"/>
      <c r="AO18" s="83"/>
      <c r="AP18" s="206"/>
      <c r="AQ18" s="83"/>
      <c r="AR18" s="13">
        <f t="shared" si="6"/>
        <v>128.00000180000001</v>
      </c>
      <c r="AS18" s="13" t="str">
        <f t="shared" si="7"/>
        <v>عبدالمجيد محمد عبدالمجيد عرابى</v>
      </c>
      <c r="AT18" s="13"/>
      <c r="AU18" s="195">
        <v>21</v>
      </c>
      <c r="AV18" s="77">
        <f t="shared" si="8"/>
        <v>3.8999999999999999E-5</v>
      </c>
      <c r="AW18" s="192">
        <f t="shared" si="9"/>
        <v>0</v>
      </c>
      <c r="AX18" s="219">
        <f t="shared" si="10"/>
        <v>1.7999999999999999E-6</v>
      </c>
      <c r="AY18" s="13" t="str">
        <f t="shared" si="19"/>
        <v>عبدالمجيد محمد عبدالمجيد عرابى</v>
      </c>
      <c r="AZ18" s="195">
        <v>21</v>
      </c>
      <c r="BA18" s="77">
        <f t="shared" si="11"/>
        <v>3.7599999999999999E-5</v>
      </c>
      <c r="BB18" s="192">
        <f t="shared" si="12"/>
        <v>0</v>
      </c>
      <c r="BC18" s="219">
        <f t="shared" si="20"/>
        <v>1.7999999999999999E-6</v>
      </c>
      <c r="BD18" s="13" t="str">
        <f t="shared" si="21"/>
        <v>عبدالمجيد محمد عبدالمجيد عرابى</v>
      </c>
      <c r="BE18" s="195">
        <v>21</v>
      </c>
      <c r="BF18" s="77">
        <f t="shared" si="13"/>
        <v>3.7599999999999999E-5</v>
      </c>
      <c r="BG18" s="192">
        <f t="shared" si="14"/>
        <v>0</v>
      </c>
      <c r="BI18" s="120"/>
      <c r="BJ18" s="120"/>
      <c r="BK18" s="160">
        <v>120181034240</v>
      </c>
      <c r="BL18" s="160" t="s">
        <v>223</v>
      </c>
      <c r="BM18" s="161" t="str">
        <f t="shared" si="22"/>
        <v>0</v>
      </c>
      <c r="BN18" s="161" t="str">
        <f t="shared" si="23"/>
        <v>4</v>
      </c>
      <c r="BO18" s="161" t="str">
        <f t="shared" si="24"/>
        <v>2</v>
      </c>
      <c r="BP18" s="161" t="str">
        <f t="shared" si="25"/>
        <v>4</v>
      </c>
      <c r="BQ18" s="161" t="str">
        <f t="shared" si="26"/>
        <v>3</v>
      </c>
      <c r="BR18" s="161" t="str">
        <f t="shared" si="27"/>
        <v>0</v>
      </c>
      <c r="BS18" s="161" t="str">
        <f t="shared" si="28"/>
        <v>1</v>
      </c>
      <c r="BT18" s="161" t="str">
        <f t="shared" si="29"/>
        <v>8</v>
      </c>
      <c r="BU18" s="161" t="str">
        <f t="shared" si="30"/>
        <v>1</v>
      </c>
      <c r="BV18" s="161" t="str">
        <f t="shared" si="31"/>
        <v>0</v>
      </c>
      <c r="BW18" s="161" t="str">
        <f t="shared" si="32"/>
        <v>2</v>
      </c>
      <c r="BX18" s="161" t="str">
        <f t="shared" si="15"/>
        <v>1</v>
      </c>
      <c r="BY18" s="148" t="s">
        <v>188</v>
      </c>
      <c r="BZ18" s="148" t="s">
        <v>186</v>
      </c>
      <c r="CA18" s="148" t="s">
        <v>146</v>
      </c>
      <c r="CB18" s="148" t="s">
        <v>149</v>
      </c>
      <c r="CC18" s="148" t="s">
        <v>230</v>
      </c>
    </row>
    <row r="19" spans="1:81" ht="14.25" customHeight="1" thickBot="1">
      <c r="A19" s="190">
        <v>9</v>
      </c>
      <c r="B19" s="410" t="s">
        <v>197</v>
      </c>
      <c r="C19" s="179">
        <v>43178</v>
      </c>
      <c r="D19" s="137" t="s">
        <v>210</v>
      </c>
      <c r="E19" s="198" t="s">
        <v>177</v>
      </c>
      <c r="F19" s="199">
        <v>35</v>
      </c>
      <c r="G19" s="200">
        <v>68</v>
      </c>
      <c r="H19" s="200">
        <v>36</v>
      </c>
      <c r="I19" s="200">
        <v>12</v>
      </c>
      <c r="J19" s="200">
        <v>60</v>
      </c>
      <c r="K19" s="276">
        <f t="shared" si="16"/>
        <v>211</v>
      </c>
      <c r="L19" s="353" t="s">
        <v>173</v>
      </c>
      <c r="M19" s="354" t="s">
        <v>173</v>
      </c>
      <c r="N19" s="350"/>
      <c r="O19" s="341" t="s">
        <v>65</v>
      </c>
      <c r="P19" s="189"/>
      <c r="Q19" s="326"/>
      <c r="R19" s="326"/>
      <c r="S19" s="87"/>
      <c r="T19" s="207"/>
      <c r="U19" s="225">
        <f t="shared" ref="U19:U25" si="33">SUM(P19:T19)</f>
        <v>0</v>
      </c>
      <c r="V19" s="277"/>
      <c r="W19" s="278"/>
      <c r="X19" s="350"/>
      <c r="Y19" s="208" t="s">
        <v>147</v>
      </c>
      <c r="Z19" s="11"/>
      <c r="AA19" s="207"/>
      <c r="AB19" s="207"/>
      <c r="AC19" s="3"/>
      <c r="AD19" s="207"/>
      <c r="AE19" s="226">
        <f t="shared" ref="AE19:AE25" si="34">SUM(Z19:AD19)</f>
        <v>0</v>
      </c>
      <c r="AF19" s="11"/>
      <c r="AG19" s="3"/>
      <c r="AH19" s="359"/>
      <c r="AI19" s="96"/>
      <c r="AJ19" s="94"/>
      <c r="AK19" s="214"/>
      <c r="AL19" s="213"/>
      <c r="AM19" s="82"/>
      <c r="AN19" s="213"/>
      <c r="AO19" s="82"/>
      <c r="AP19" s="213"/>
      <c r="AQ19" s="82"/>
      <c r="AR19" s="13">
        <f t="shared" ref="AR19:AR25" si="35">K19+ROW()*0.0000001</f>
        <v>211.0000019</v>
      </c>
      <c r="AS19" s="13" t="str">
        <f t="shared" ref="AS19:AS25" si="36">B19</f>
        <v>قاسم عبدالمنعم موسي الشيخي</v>
      </c>
      <c r="AT19" s="13"/>
      <c r="AU19" s="195">
        <v>22</v>
      </c>
      <c r="AV19" s="77">
        <f t="shared" si="8"/>
        <v>3.8899999999999997E-5</v>
      </c>
      <c r="AW19" s="192">
        <f t="shared" ref="AW19:AW25" si="37">IFERROR(VLOOKUP(AV19,الترتيب1,2,0),"")</f>
        <v>0</v>
      </c>
      <c r="AX19" s="219">
        <f t="shared" ref="AX19:AX25" si="38">U19+ROW()*0.0000001</f>
        <v>1.9E-6</v>
      </c>
      <c r="AY19" s="13" t="str">
        <f t="shared" ref="AY19:AY25" si="39">AS19</f>
        <v>قاسم عبدالمنعم موسي الشيخي</v>
      </c>
      <c r="AZ19" s="195">
        <v>22</v>
      </c>
      <c r="BA19" s="77">
        <f t="shared" si="11"/>
        <v>3.7499999999999997E-5</v>
      </c>
      <c r="BB19" s="192">
        <f t="shared" ref="BB19:BB25" si="40">IFERROR(VLOOKUP(BA19,الترتيب2,2,0),"")</f>
        <v>0</v>
      </c>
      <c r="BC19" s="219">
        <f t="shared" ref="BC19:BC25" si="41">AE19+ROW()*0.0000001</f>
        <v>1.9E-6</v>
      </c>
      <c r="BD19" s="13" t="str">
        <f t="shared" ref="BD19:BD25" si="42">AY19</f>
        <v>قاسم عبدالمنعم موسي الشيخي</v>
      </c>
      <c r="BE19" s="195">
        <v>22</v>
      </c>
      <c r="BF19" s="77">
        <f t="shared" si="13"/>
        <v>3.7499999999999997E-5</v>
      </c>
      <c r="BG19" s="192">
        <f t="shared" ref="BG19:BG25" si="43">IFERROR(VLOOKUP(BF19,الترتيب3,2,0),"")</f>
        <v>0</v>
      </c>
      <c r="BI19" s="120"/>
      <c r="BJ19" s="120"/>
      <c r="BK19" s="160">
        <v>120181204148</v>
      </c>
      <c r="BL19" s="160" t="s">
        <v>224</v>
      </c>
      <c r="BM19" s="161" t="str">
        <f t="shared" si="22"/>
        <v>8</v>
      </c>
      <c r="BN19" s="161" t="str">
        <f t="shared" si="23"/>
        <v>4</v>
      </c>
      <c r="BO19" s="161" t="str">
        <f t="shared" si="24"/>
        <v>1</v>
      </c>
      <c r="BP19" s="161" t="str">
        <f t="shared" si="25"/>
        <v>4</v>
      </c>
      <c r="BQ19" s="161" t="str">
        <f t="shared" si="26"/>
        <v>0</v>
      </c>
      <c r="BR19" s="161" t="str">
        <f t="shared" si="27"/>
        <v>2</v>
      </c>
      <c r="BS19" s="161" t="str">
        <f t="shared" si="28"/>
        <v>1</v>
      </c>
      <c r="BT19" s="161" t="str">
        <f t="shared" si="29"/>
        <v>8</v>
      </c>
      <c r="BU19" s="161" t="str">
        <f t="shared" si="30"/>
        <v>1</v>
      </c>
      <c r="BV19" s="161" t="str">
        <f t="shared" si="31"/>
        <v>0</v>
      </c>
      <c r="BW19" s="161" t="str">
        <f t="shared" si="32"/>
        <v>2</v>
      </c>
      <c r="BX19" s="161" t="str">
        <f t="shared" si="15"/>
        <v>1</v>
      </c>
      <c r="BY19" s="148" t="s">
        <v>153</v>
      </c>
      <c r="BZ19" s="148" t="s">
        <v>186</v>
      </c>
      <c r="CA19" s="148" t="s">
        <v>146</v>
      </c>
      <c r="CB19" s="148" t="s">
        <v>149</v>
      </c>
      <c r="CC19" s="148" t="s">
        <v>230</v>
      </c>
    </row>
    <row r="20" spans="1:81" ht="14.25" customHeight="1" thickBot="1">
      <c r="A20" s="190">
        <v>10</v>
      </c>
      <c r="B20" s="410" t="s">
        <v>229</v>
      </c>
      <c r="C20" s="180">
        <v>43390</v>
      </c>
      <c r="D20" s="136" t="s">
        <v>211</v>
      </c>
      <c r="E20" s="198" t="s">
        <v>177</v>
      </c>
      <c r="F20" s="199">
        <v>34</v>
      </c>
      <c r="G20" s="188">
        <v>70</v>
      </c>
      <c r="H20" s="188">
        <v>35</v>
      </c>
      <c r="I20" s="200">
        <v>12</v>
      </c>
      <c r="J20" s="188">
        <v>60</v>
      </c>
      <c r="K20" s="276">
        <f t="shared" si="16"/>
        <v>211</v>
      </c>
      <c r="L20" s="353" t="s">
        <v>173</v>
      </c>
      <c r="M20" s="354" t="s">
        <v>173</v>
      </c>
      <c r="N20" s="351"/>
      <c r="O20" s="342" t="s">
        <v>65</v>
      </c>
      <c r="P20" s="187"/>
      <c r="Q20" s="188"/>
      <c r="R20" s="188"/>
      <c r="S20" s="119"/>
      <c r="T20" s="188"/>
      <c r="U20" s="211">
        <f t="shared" si="33"/>
        <v>0</v>
      </c>
      <c r="V20" s="279"/>
      <c r="W20" s="280"/>
      <c r="X20" s="351"/>
      <c r="Y20" s="209" t="s">
        <v>85</v>
      </c>
      <c r="Z20" s="71"/>
      <c r="AA20" s="321"/>
      <c r="AB20" s="321"/>
      <c r="AC20" s="322"/>
      <c r="AD20" s="188"/>
      <c r="AE20" s="18">
        <f t="shared" si="34"/>
        <v>0</v>
      </c>
      <c r="AF20" s="71"/>
      <c r="AG20" s="322"/>
      <c r="AH20" s="360"/>
      <c r="AI20" s="97"/>
      <c r="AJ20" s="194"/>
      <c r="AK20" s="193"/>
      <c r="AL20" s="205"/>
      <c r="AM20" s="197"/>
      <c r="AN20" s="205"/>
      <c r="AO20" s="197"/>
      <c r="AP20" s="205"/>
      <c r="AQ20" s="197"/>
      <c r="AR20" s="13">
        <f t="shared" si="35"/>
        <v>211.00000199999999</v>
      </c>
      <c r="AS20" s="13" t="str">
        <f t="shared" si="36"/>
        <v>مثاب نورالدين احمد  الديب</v>
      </c>
      <c r="AT20" s="13"/>
      <c r="AU20" s="195">
        <v>30</v>
      </c>
      <c r="AV20" s="77">
        <f t="shared" si="8"/>
        <v>3.8099999999999998E-5</v>
      </c>
      <c r="AW20" s="192">
        <f t="shared" si="37"/>
        <v>0</v>
      </c>
      <c r="AX20" s="219">
        <f t="shared" si="38"/>
        <v>1.9999999999999999E-6</v>
      </c>
      <c r="AY20" s="13" t="str">
        <f t="shared" si="39"/>
        <v>مثاب نورالدين احمد  الديب</v>
      </c>
      <c r="AZ20" s="195">
        <v>30</v>
      </c>
      <c r="BA20" s="77">
        <f t="shared" si="11"/>
        <v>3.6699999999999998E-5</v>
      </c>
      <c r="BB20" s="192">
        <f t="shared" si="40"/>
        <v>0</v>
      </c>
      <c r="BC20" s="219">
        <f t="shared" si="41"/>
        <v>1.9999999999999999E-6</v>
      </c>
      <c r="BD20" s="13" t="str">
        <f t="shared" si="42"/>
        <v>مثاب نورالدين احمد  الديب</v>
      </c>
      <c r="BE20" s="195">
        <v>30</v>
      </c>
      <c r="BF20" s="77">
        <f t="shared" si="13"/>
        <v>3.6699999999999998E-5</v>
      </c>
      <c r="BG20" s="192">
        <f t="shared" si="43"/>
        <v>0</v>
      </c>
      <c r="BI20" s="120"/>
      <c r="BJ20" s="120"/>
      <c r="BK20" s="160">
        <v>220181120911</v>
      </c>
      <c r="BL20" s="160" t="s">
        <v>225</v>
      </c>
      <c r="BM20" s="161" t="str">
        <f t="shared" si="22"/>
        <v>1</v>
      </c>
      <c r="BN20" s="161" t="str">
        <f t="shared" si="23"/>
        <v>1</v>
      </c>
      <c r="BO20" s="161" t="str">
        <f t="shared" si="24"/>
        <v>9</v>
      </c>
      <c r="BP20" s="161" t="str">
        <f t="shared" si="25"/>
        <v>0</v>
      </c>
      <c r="BQ20" s="161" t="str">
        <f t="shared" si="26"/>
        <v>2</v>
      </c>
      <c r="BR20" s="161" t="str">
        <f t="shared" si="27"/>
        <v>1</v>
      </c>
      <c r="BS20" s="161" t="str">
        <f t="shared" si="28"/>
        <v>1</v>
      </c>
      <c r="BT20" s="161" t="str">
        <f t="shared" si="29"/>
        <v>8</v>
      </c>
      <c r="BU20" s="161" t="str">
        <f t="shared" si="30"/>
        <v>1</v>
      </c>
      <c r="BV20" s="161" t="str">
        <f t="shared" si="31"/>
        <v>0</v>
      </c>
      <c r="BW20" s="161" t="str">
        <f t="shared" si="32"/>
        <v>2</v>
      </c>
      <c r="BX20" s="161" t="str">
        <f t="shared" si="15"/>
        <v>2</v>
      </c>
      <c r="BY20" s="148" t="s">
        <v>153</v>
      </c>
      <c r="BZ20" s="148" t="s">
        <v>183</v>
      </c>
      <c r="CA20" s="148" t="s">
        <v>146</v>
      </c>
      <c r="CB20" s="148" t="s">
        <v>149</v>
      </c>
      <c r="CC20" s="148" t="s">
        <v>230</v>
      </c>
    </row>
    <row r="21" spans="1:81" ht="14.25" customHeight="1" thickBot="1">
      <c r="A21" s="190">
        <v>11</v>
      </c>
      <c r="B21" s="410" t="s">
        <v>198</v>
      </c>
      <c r="C21" s="179">
        <v>43430</v>
      </c>
      <c r="D21" s="403" t="s">
        <v>212</v>
      </c>
      <c r="E21" s="198" t="s">
        <v>177</v>
      </c>
      <c r="F21" s="199">
        <v>36</v>
      </c>
      <c r="G21" s="200">
        <v>66</v>
      </c>
      <c r="H21" s="200">
        <v>36</v>
      </c>
      <c r="I21" s="200">
        <v>12</v>
      </c>
      <c r="J21" s="200">
        <v>60</v>
      </c>
      <c r="K21" s="276">
        <f t="shared" si="16"/>
        <v>210</v>
      </c>
      <c r="L21" s="353" t="s">
        <v>173</v>
      </c>
      <c r="M21" s="354" t="s">
        <v>173</v>
      </c>
      <c r="N21" s="350"/>
      <c r="O21" s="341" t="s">
        <v>65</v>
      </c>
      <c r="P21" s="189"/>
      <c r="Q21" s="326"/>
      <c r="R21" s="326"/>
      <c r="S21" s="87"/>
      <c r="T21" s="326"/>
      <c r="U21" s="406">
        <f t="shared" si="33"/>
        <v>0</v>
      </c>
      <c r="V21" s="277"/>
      <c r="W21" s="278"/>
      <c r="X21" s="350"/>
      <c r="Y21" s="408" t="s">
        <v>85</v>
      </c>
      <c r="Z21" s="11"/>
      <c r="AA21" s="207"/>
      <c r="AB21" s="207"/>
      <c r="AC21" s="3"/>
      <c r="AD21" s="326"/>
      <c r="AE21" s="17">
        <f t="shared" si="34"/>
        <v>0</v>
      </c>
      <c r="AF21" s="11"/>
      <c r="AG21" s="3"/>
      <c r="AH21" s="359"/>
      <c r="AI21" s="96"/>
      <c r="AJ21" s="94"/>
      <c r="AK21" s="214"/>
      <c r="AL21" s="213"/>
      <c r="AM21" s="82"/>
      <c r="AN21" s="213"/>
      <c r="AO21" s="82"/>
      <c r="AP21" s="213"/>
      <c r="AQ21" s="82"/>
      <c r="AR21" s="13">
        <f t="shared" si="35"/>
        <v>210.00000209999999</v>
      </c>
      <c r="AS21" s="13" t="str">
        <f t="shared" si="36"/>
        <v xml:space="preserve">ميرال صالح محمد  ديماس </v>
      </c>
      <c r="AT21" s="13"/>
      <c r="AU21" s="195">
        <v>24</v>
      </c>
      <c r="AV21" s="77">
        <f t="shared" si="8"/>
        <v>3.8699999999999999E-5</v>
      </c>
      <c r="AW21" s="192">
        <f t="shared" si="37"/>
        <v>0</v>
      </c>
      <c r="AX21" s="219">
        <f t="shared" si="38"/>
        <v>2.0999999999999998E-6</v>
      </c>
      <c r="AY21" s="13" t="str">
        <f t="shared" si="39"/>
        <v xml:space="preserve">ميرال صالح محمد  ديماس </v>
      </c>
      <c r="AZ21" s="195">
        <v>24</v>
      </c>
      <c r="BA21" s="77">
        <f t="shared" si="11"/>
        <v>3.7299999999999999E-5</v>
      </c>
      <c r="BB21" s="192">
        <f t="shared" si="40"/>
        <v>0</v>
      </c>
      <c r="BC21" s="219">
        <f t="shared" si="41"/>
        <v>2.0999999999999998E-6</v>
      </c>
      <c r="BD21" s="13" t="str">
        <f t="shared" si="42"/>
        <v xml:space="preserve">ميرال صالح محمد  ديماس </v>
      </c>
      <c r="BE21" s="195">
        <v>24</v>
      </c>
      <c r="BF21" s="77">
        <f t="shared" si="13"/>
        <v>3.7299999999999999E-5</v>
      </c>
      <c r="BG21" s="192">
        <f t="shared" si="43"/>
        <v>0</v>
      </c>
      <c r="BI21" s="120"/>
      <c r="BJ21" s="120"/>
      <c r="BK21" s="160"/>
      <c r="BL21" s="160" t="s">
        <v>228</v>
      </c>
      <c r="BM21" s="161" t="str">
        <f t="shared" si="22"/>
        <v/>
      </c>
      <c r="BN21" s="161" t="str">
        <f t="shared" si="23"/>
        <v/>
      </c>
      <c r="BO21" s="161" t="str">
        <f t="shared" si="24"/>
        <v/>
      </c>
      <c r="BP21" s="161" t="str">
        <f t="shared" si="25"/>
        <v/>
      </c>
      <c r="BQ21" s="161" t="str">
        <f t="shared" si="26"/>
        <v/>
      </c>
      <c r="BR21" s="161" t="str">
        <f t="shared" si="27"/>
        <v/>
      </c>
      <c r="BS21" s="161" t="str">
        <f t="shared" si="28"/>
        <v/>
      </c>
      <c r="BT21" s="161" t="str">
        <f t="shared" si="29"/>
        <v/>
      </c>
      <c r="BU21" s="161" t="str">
        <f t="shared" si="30"/>
        <v/>
      </c>
      <c r="BV21" s="161" t="str">
        <f t="shared" si="31"/>
        <v/>
      </c>
      <c r="BW21" s="161" t="str">
        <f t="shared" si="32"/>
        <v/>
      </c>
      <c r="BX21" s="161" t="str">
        <f t="shared" si="15"/>
        <v/>
      </c>
      <c r="BY21" s="148" t="s">
        <v>184</v>
      </c>
      <c r="BZ21" s="148" t="s">
        <v>226</v>
      </c>
      <c r="CA21" s="148" t="s">
        <v>146</v>
      </c>
      <c r="CB21" s="148" t="s">
        <v>149</v>
      </c>
      <c r="CC21" s="148" t="s">
        <v>230</v>
      </c>
    </row>
    <row r="22" spans="1:81" ht="14.25" customHeight="1" thickBot="1">
      <c r="A22" s="190">
        <v>12</v>
      </c>
      <c r="B22" s="410" t="s">
        <v>199</v>
      </c>
      <c r="C22" s="180">
        <v>43184</v>
      </c>
      <c r="D22" s="136" t="s">
        <v>213</v>
      </c>
      <c r="E22" s="198" t="s">
        <v>177</v>
      </c>
      <c r="F22" s="199">
        <v>35</v>
      </c>
      <c r="G22" s="188">
        <v>69</v>
      </c>
      <c r="H22" s="188">
        <v>36</v>
      </c>
      <c r="I22" s="200">
        <v>12</v>
      </c>
      <c r="J22" s="188">
        <v>59</v>
      </c>
      <c r="K22" s="276">
        <f t="shared" si="16"/>
        <v>211</v>
      </c>
      <c r="L22" s="353" t="s">
        <v>173</v>
      </c>
      <c r="M22" s="354" t="s">
        <v>173</v>
      </c>
      <c r="N22" s="351"/>
      <c r="O22" s="342" t="s">
        <v>65</v>
      </c>
      <c r="P22" s="187"/>
      <c r="Q22" s="188"/>
      <c r="R22" s="188"/>
      <c r="S22" s="119"/>
      <c r="T22" s="321"/>
      <c r="U22" s="405">
        <f t="shared" si="33"/>
        <v>0</v>
      </c>
      <c r="V22" s="279"/>
      <c r="W22" s="280"/>
      <c r="X22" s="351"/>
      <c r="Y22" s="407" t="s">
        <v>147</v>
      </c>
      <c r="Z22" s="71"/>
      <c r="AA22" s="321"/>
      <c r="AB22" s="321"/>
      <c r="AC22" s="322"/>
      <c r="AD22" s="321"/>
      <c r="AE22" s="409">
        <f t="shared" si="34"/>
        <v>0</v>
      </c>
      <c r="AF22" s="71"/>
      <c r="AG22" s="322"/>
      <c r="AH22" s="360"/>
      <c r="AI22" s="97"/>
      <c r="AJ22" s="194"/>
      <c r="AK22" s="193"/>
      <c r="AL22" s="205"/>
      <c r="AM22" s="197"/>
      <c r="AN22" s="205"/>
      <c r="AO22" s="197"/>
      <c r="AP22" s="205"/>
      <c r="AQ22" s="197"/>
      <c r="AR22" s="13">
        <f t="shared" si="35"/>
        <v>211.00000220000001</v>
      </c>
      <c r="AS22" s="13" t="str">
        <f t="shared" si="36"/>
        <v>ندى علاء محمد سلطان</v>
      </c>
      <c r="AT22" s="13"/>
      <c r="AU22" s="195">
        <v>25</v>
      </c>
      <c r="AV22" s="77">
        <f t="shared" si="8"/>
        <v>3.8599999999999996E-5</v>
      </c>
      <c r="AW22" s="192">
        <f t="shared" si="37"/>
        <v>0</v>
      </c>
      <c r="AX22" s="219">
        <f t="shared" si="38"/>
        <v>2.2000000000000001E-6</v>
      </c>
      <c r="AY22" s="13" t="str">
        <f t="shared" si="39"/>
        <v>ندى علاء محمد سلطان</v>
      </c>
      <c r="AZ22" s="195">
        <v>25</v>
      </c>
      <c r="BA22" s="77">
        <f t="shared" si="11"/>
        <v>3.7199999999999996E-5</v>
      </c>
      <c r="BB22" s="192">
        <f t="shared" si="40"/>
        <v>0</v>
      </c>
      <c r="BC22" s="219">
        <f t="shared" si="41"/>
        <v>2.2000000000000001E-6</v>
      </c>
      <c r="BD22" s="13" t="str">
        <f t="shared" si="42"/>
        <v>ندى علاء محمد سلطان</v>
      </c>
      <c r="BE22" s="195">
        <v>25</v>
      </c>
      <c r="BF22" s="77">
        <f t="shared" si="13"/>
        <v>3.7199999999999996E-5</v>
      </c>
      <c r="BG22" s="192">
        <f t="shared" si="43"/>
        <v>0</v>
      </c>
      <c r="BI22" s="120"/>
      <c r="BJ22" s="120"/>
      <c r="BK22" s="160"/>
      <c r="BL22" s="160" t="s">
        <v>231</v>
      </c>
      <c r="BM22" s="161" t="str">
        <f t="shared" si="22"/>
        <v/>
      </c>
      <c r="BN22" s="161" t="str">
        <f t="shared" si="23"/>
        <v/>
      </c>
      <c r="BO22" s="161" t="str">
        <f t="shared" si="24"/>
        <v/>
      </c>
      <c r="BP22" s="161" t="str">
        <f t="shared" si="25"/>
        <v/>
      </c>
      <c r="BQ22" s="161" t="str">
        <f t="shared" si="26"/>
        <v/>
      </c>
      <c r="BR22" s="161" t="str">
        <f t="shared" si="27"/>
        <v/>
      </c>
      <c r="BS22" s="161" t="str">
        <f t="shared" si="28"/>
        <v/>
      </c>
      <c r="BT22" s="161" t="str">
        <f t="shared" si="29"/>
        <v/>
      </c>
      <c r="BU22" s="161" t="str">
        <f t="shared" si="30"/>
        <v/>
      </c>
      <c r="BV22" s="161" t="str">
        <f t="shared" si="31"/>
        <v/>
      </c>
      <c r="BW22" s="161" t="str">
        <f t="shared" si="32"/>
        <v/>
      </c>
      <c r="BX22" s="161" t="str">
        <f t="shared" si="15"/>
        <v/>
      </c>
      <c r="BY22" s="148" t="s">
        <v>184</v>
      </c>
      <c r="BZ22" s="148" t="s">
        <v>219</v>
      </c>
      <c r="CA22" s="148" t="s">
        <v>146</v>
      </c>
      <c r="CB22" s="148" t="s">
        <v>149</v>
      </c>
      <c r="CC22" s="148" t="s">
        <v>230</v>
      </c>
    </row>
    <row r="23" spans="1:81" ht="14.25" customHeight="1" thickBot="1">
      <c r="A23" s="190">
        <v>13</v>
      </c>
      <c r="B23" s="410" t="s">
        <v>200</v>
      </c>
      <c r="C23" s="181">
        <v>43361</v>
      </c>
      <c r="D23" s="404" t="s">
        <v>214</v>
      </c>
      <c r="E23" s="198" t="s">
        <v>177</v>
      </c>
      <c r="F23" s="199">
        <v>34</v>
      </c>
      <c r="G23" s="93">
        <v>68</v>
      </c>
      <c r="H23" s="93">
        <v>34</v>
      </c>
      <c r="I23" s="200">
        <v>12</v>
      </c>
      <c r="J23" s="93">
        <v>50</v>
      </c>
      <c r="K23" s="276">
        <f t="shared" si="16"/>
        <v>198</v>
      </c>
      <c r="L23" s="353" t="s">
        <v>173</v>
      </c>
      <c r="M23" s="354" t="s">
        <v>173</v>
      </c>
      <c r="N23" s="352"/>
      <c r="O23" s="343" t="s">
        <v>65</v>
      </c>
      <c r="P23" s="88"/>
      <c r="Q23" s="93"/>
      <c r="R23" s="93"/>
      <c r="S23" s="89"/>
      <c r="T23" s="93"/>
      <c r="U23" s="212">
        <f t="shared" si="33"/>
        <v>0</v>
      </c>
      <c r="V23" s="281"/>
      <c r="W23" s="282"/>
      <c r="X23" s="352"/>
      <c r="Y23" s="210" t="s">
        <v>85</v>
      </c>
      <c r="Z23" s="72"/>
      <c r="AA23" s="323"/>
      <c r="AB23" s="323"/>
      <c r="AC23" s="324"/>
      <c r="AD23" s="93"/>
      <c r="AE23" s="81">
        <f t="shared" si="34"/>
        <v>0</v>
      </c>
      <c r="AF23" s="72"/>
      <c r="AG23" s="324"/>
      <c r="AH23" s="361"/>
      <c r="AI23" s="98"/>
      <c r="AJ23" s="95"/>
      <c r="AK23" s="215"/>
      <c r="AL23" s="206"/>
      <c r="AM23" s="83"/>
      <c r="AN23" s="206"/>
      <c r="AO23" s="83"/>
      <c r="AP23" s="206"/>
      <c r="AQ23" s="83"/>
      <c r="AR23" s="13">
        <f t="shared" si="35"/>
        <v>198.00000230000001</v>
      </c>
      <c r="AS23" s="13" t="str">
        <f t="shared" si="36"/>
        <v>نصير نور الدين عبدالله الشاوش</v>
      </c>
      <c r="AT23" s="13"/>
      <c r="AU23" s="195">
        <v>26</v>
      </c>
      <c r="AV23" s="77">
        <f t="shared" si="8"/>
        <v>3.8500000000000001E-5</v>
      </c>
      <c r="AW23" s="192">
        <f t="shared" si="37"/>
        <v>0</v>
      </c>
      <c r="AX23" s="219">
        <f t="shared" si="38"/>
        <v>2.3E-6</v>
      </c>
      <c r="AY23" s="13" t="str">
        <f t="shared" si="39"/>
        <v>نصير نور الدين عبدالله الشاوش</v>
      </c>
      <c r="AZ23" s="195">
        <v>26</v>
      </c>
      <c r="BA23" s="77">
        <f t="shared" si="11"/>
        <v>3.7100000000000001E-5</v>
      </c>
      <c r="BB23" s="192">
        <f t="shared" si="40"/>
        <v>0</v>
      </c>
      <c r="BC23" s="219">
        <f t="shared" si="41"/>
        <v>2.3E-6</v>
      </c>
      <c r="BD23" s="13" t="str">
        <f t="shared" si="42"/>
        <v>نصير نور الدين عبدالله الشاوش</v>
      </c>
      <c r="BE23" s="195">
        <v>26</v>
      </c>
      <c r="BF23" s="77">
        <f t="shared" si="13"/>
        <v>3.7100000000000001E-5</v>
      </c>
      <c r="BG23" s="192">
        <f t="shared" si="43"/>
        <v>0</v>
      </c>
      <c r="BI23" s="120"/>
      <c r="BJ23" s="120"/>
      <c r="BK23" s="160">
        <v>120180737423</v>
      </c>
      <c r="BL23" s="160" t="s">
        <v>227</v>
      </c>
      <c r="BM23" s="161" t="str">
        <f t="shared" si="22"/>
        <v>3</v>
      </c>
      <c r="BN23" s="161" t="str">
        <f t="shared" si="23"/>
        <v>2</v>
      </c>
      <c r="BO23" s="161" t="str">
        <f t="shared" si="24"/>
        <v>4</v>
      </c>
      <c r="BP23" s="161" t="str">
        <f t="shared" si="25"/>
        <v>7</v>
      </c>
      <c r="BQ23" s="161" t="str">
        <f t="shared" si="26"/>
        <v>3</v>
      </c>
      <c r="BR23" s="161" t="str">
        <f t="shared" si="27"/>
        <v>7</v>
      </c>
      <c r="BS23" s="161" t="str">
        <f t="shared" si="28"/>
        <v>0</v>
      </c>
      <c r="BT23" s="161" t="str">
        <f t="shared" si="29"/>
        <v>8</v>
      </c>
      <c r="BU23" s="161" t="str">
        <f t="shared" si="30"/>
        <v>1</v>
      </c>
      <c r="BV23" s="161" t="str">
        <f t="shared" si="31"/>
        <v>0</v>
      </c>
      <c r="BW23" s="161" t="str">
        <f t="shared" si="32"/>
        <v>2</v>
      </c>
      <c r="BX23" s="161" t="str">
        <f t="shared" si="15"/>
        <v>1</v>
      </c>
      <c r="BY23" s="148" t="s">
        <v>153</v>
      </c>
      <c r="BZ23" s="148" t="s">
        <v>186</v>
      </c>
      <c r="CA23" s="148" t="s">
        <v>146</v>
      </c>
      <c r="CB23" s="148" t="s">
        <v>149</v>
      </c>
      <c r="CC23" s="148" t="s">
        <v>230</v>
      </c>
    </row>
    <row r="24" spans="1:81" ht="14.25" customHeight="1" thickBot="1">
      <c r="A24" s="190">
        <v>14</v>
      </c>
      <c r="B24" s="410" t="s">
        <v>201</v>
      </c>
      <c r="C24" s="179">
        <v>43381</v>
      </c>
      <c r="D24" s="403" t="s">
        <v>215</v>
      </c>
      <c r="E24" s="198" t="s">
        <v>177</v>
      </c>
      <c r="F24" s="199">
        <v>34</v>
      </c>
      <c r="G24" s="200">
        <v>64</v>
      </c>
      <c r="H24" s="200">
        <v>35</v>
      </c>
      <c r="I24" s="200">
        <v>12</v>
      </c>
      <c r="J24" s="200">
        <v>59</v>
      </c>
      <c r="K24" s="276">
        <f t="shared" si="16"/>
        <v>204</v>
      </c>
      <c r="L24" s="353" t="s">
        <v>173</v>
      </c>
      <c r="M24" s="354" t="s">
        <v>173</v>
      </c>
      <c r="N24" s="350"/>
      <c r="O24" s="341" t="s">
        <v>65</v>
      </c>
      <c r="P24" s="189"/>
      <c r="Q24" s="326"/>
      <c r="R24" s="326"/>
      <c r="S24" s="87"/>
      <c r="T24" s="326"/>
      <c r="U24" s="406">
        <f t="shared" si="33"/>
        <v>0</v>
      </c>
      <c r="V24" s="277"/>
      <c r="W24" s="278"/>
      <c r="X24" s="350"/>
      <c r="Y24" s="408" t="s">
        <v>85</v>
      </c>
      <c r="Z24" s="11"/>
      <c r="AA24" s="207"/>
      <c r="AB24" s="207"/>
      <c r="AC24" s="3"/>
      <c r="AD24" s="326"/>
      <c r="AE24" s="17">
        <f t="shared" si="34"/>
        <v>0</v>
      </c>
      <c r="AF24" s="11"/>
      <c r="AG24" s="3"/>
      <c r="AH24" s="359"/>
      <c r="AI24" s="96"/>
      <c r="AJ24" s="94"/>
      <c r="AK24" s="214"/>
      <c r="AL24" s="213"/>
      <c r="AM24" s="82"/>
      <c r="AN24" s="213"/>
      <c r="AO24" s="82"/>
      <c r="AP24" s="213"/>
      <c r="AQ24" s="82"/>
      <c r="AR24" s="13">
        <f t="shared" si="35"/>
        <v>204.0000024</v>
      </c>
      <c r="AS24" s="13" t="str">
        <f t="shared" si="36"/>
        <v>وسام خليل محمد علي المغربي</v>
      </c>
      <c r="AT24" s="13"/>
      <c r="AU24" s="195">
        <v>27</v>
      </c>
      <c r="AV24" s="77">
        <f t="shared" si="8"/>
        <v>3.8399999999999998E-5</v>
      </c>
      <c r="AW24" s="192">
        <f t="shared" si="37"/>
        <v>0</v>
      </c>
      <c r="AX24" s="219">
        <f t="shared" si="38"/>
        <v>2.3999999999999999E-6</v>
      </c>
      <c r="AY24" s="13" t="str">
        <f t="shared" si="39"/>
        <v>وسام خليل محمد علي المغربي</v>
      </c>
      <c r="AZ24" s="195">
        <v>27</v>
      </c>
      <c r="BA24" s="77">
        <f t="shared" si="11"/>
        <v>3.6999999999999998E-5</v>
      </c>
      <c r="BB24" s="192">
        <f t="shared" si="40"/>
        <v>0</v>
      </c>
      <c r="BC24" s="219">
        <f t="shared" si="41"/>
        <v>2.3999999999999999E-6</v>
      </c>
      <c r="BD24" s="13" t="str">
        <f t="shared" si="42"/>
        <v>وسام خليل محمد علي المغربي</v>
      </c>
      <c r="BE24" s="195">
        <v>27</v>
      </c>
      <c r="BF24" s="77">
        <f t="shared" si="13"/>
        <v>3.6999999999999998E-5</v>
      </c>
      <c r="BG24" s="192">
        <f t="shared" si="43"/>
        <v>0</v>
      </c>
      <c r="BI24" s="120"/>
      <c r="BJ24" s="120"/>
      <c r="BK24" s="160">
        <v>120180783129</v>
      </c>
      <c r="BL24" s="160" t="s">
        <v>185</v>
      </c>
      <c r="BM24" s="161" t="str">
        <f t="shared" si="22"/>
        <v>9</v>
      </c>
      <c r="BN24" s="161" t="str">
        <f t="shared" si="23"/>
        <v>2</v>
      </c>
      <c r="BO24" s="161" t="str">
        <f t="shared" si="24"/>
        <v>1</v>
      </c>
      <c r="BP24" s="161" t="str">
        <f t="shared" si="25"/>
        <v>3</v>
      </c>
      <c r="BQ24" s="161" t="str">
        <f t="shared" si="26"/>
        <v>8</v>
      </c>
      <c r="BR24" s="161" t="str">
        <f t="shared" si="27"/>
        <v>7</v>
      </c>
      <c r="BS24" s="161" t="str">
        <f t="shared" si="28"/>
        <v>0</v>
      </c>
      <c r="BT24" s="161" t="str">
        <f t="shared" si="29"/>
        <v>8</v>
      </c>
      <c r="BU24" s="161" t="str">
        <f t="shared" si="30"/>
        <v>1</v>
      </c>
      <c r="BV24" s="161" t="str">
        <f t="shared" si="31"/>
        <v>0</v>
      </c>
      <c r="BW24" s="161" t="str">
        <f t="shared" si="32"/>
        <v>2</v>
      </c>
      <c r="BX24" s="161" t="str">
        <f t="shared" si="15"/>
        <v>1</v>
      </c>
      <c r="BY24" s="148" t="s">
        <v>153</v>
      </c>
      <c r="BZ24" s="148" t="s">
        <v>186</v>
      </c>
      <c r="CA24" s="148" t="s">
        <v>146</v>
      </c>
      <c r="CB24" s="148" t="s">
        <v>149</v>
      </c>
      <c r="CC24" s="148" t="s">
        <v>230</v>
      </c>
    </row>
    <row r="25" spans="1:81" ht="14.25" customHeight="1" thickBot="1">
      <c r="A25" s="190">
        <v>15</v>
      </c>
      <c r="B25" s="410"/>
      <c r="C25" s="180"/>
      <c r="D25" s="136"/>
      <c r="E25" s="198" t="s">
        <v>177</v>
      </c>
      <c r="F25" s="199"/>
      <c r="G25" s="188"/>
      <c r="H25" s="188"/>
      <c r="I25" s="200"/>
      <c r="J25" s="188"/>
      <c r="K25" s="276">
        <f t="shared" si="16"/>
        <v>0</v>
      </c>
      <c r="L25" s="353"/>
      <c r="M25" s="354"/>
      <c r="N25" s="351"/>
      <c r="O25" s="342" t="s">
        <v>65</v>
      </c>
      <c r="P25" s="187"/>
      <c r="Q25" s="188"/>
      <c r="R25" s="188"/>
      <c r="S25" s="119"/>
      <c r="T25" s="321"/>
      <c r="U25" s="405">
        <f t="shared" si="33"/>
        <v>0</v>
      </c>
      <c r="V25" s="279"/>
      <c r="W25" s="280"/>
      <c r="X25" s="351"/>
      <c r="Y25" s="407" t="s">
        <v>147</v>
      </c>
      <c r="Z25" s="71"/>
      <c r="AA25" s="321"/>
      <c r="AB25" s="321"/>
      <c r="AC25" s="322"/>
      <c r="AD25" s="321"/>
      <c r="AE25" s="409">
        <f t="shared" si="34"/>
        <v>0</v>
      </c>
      <c r="AF25" s="71"/>
      <c r="AG25" s="322"/>
      <c r="AH25" s="360"/>
      <c r="AI25" s="97"/>
      <c r="AJ25" s="194"/>
      <c r="AK25" s="193"/>
      <c r="AL25" s="205"/>
      <c r="AM25" s="197"/>
      <c r="AN25" s="205"/>
      <c r="AO25" s="197"/>
      <c r="AP25" s="205"/>
      <c r="AQ25" s="197"/>
      <c r="AR25" s="13">
        <f t="shared" si="35"/>
        <v>2.4999999999999998E-6</v>
      </c>
      <c r="AS25" s="13">
        <f t="shared" si="36"/>
        <v>0</v>
      </c>
      <c r="AT25" s="13"/>
      <c r="AU25" s="195">
        <v>28</v>
      </c>
      <c r="AV25" s="77">
        <f t="shared" si="8"/>
        <v>3.8299999999999996E-5</v>
      </c>
      <c r="AW25" s="192">
        <f t="shared" si="37"/>
        <v>0</v>
      </c>
      <c r="AX25" s="219">
        <f t="shared" si="38"/>
        <v>2.4999999999999998E-6</v>
      </c>
      <c r="AY25" s="13">
        <f t="shared" si="39"/>
        <v>0</v>
      </c>
      <c r="AZ25" s="195">
        <v>28</v>
      </c>
      <c r="BA25" s="77">
        <f t="shared" si="11"/>
        <v>3.6899999999999996E-5</v>
      </c>
      <c r="BB25" s="192">
        <f t="shared" si="40"/>
        <v>0</v>
      </c>
      <c r="BC25" s="219">
        <f t="shared" si="41"/>
        <v>2.4999999999999998E-6</v>
      </c>
      <c r="BD25" s="13">
        <f t="shared" si="42"/>
        <v>0</v>
      </c>
      <c r="BE25" s="195">
        <v>28</v>
      </c>
      <c r="BF25" s="77">
        <f t="shared" si="13"/>
        <v>3.6899999999999996E-5</v>
      </c>
      <c r="BG25" s="192">
        <f t="shared" si="43"/>
        <v>0</v>
      </c>
      <c r="BI25" s="120"/>
      <c r="BJ25" s="120"/>
      <c r="BK25" s="160"/>
      <c r="BL25" s="160"/>
      <c r="BM25" s="161" t="str">
        <f t="shared" si="22"/>
        <v/>
      </c>
      <c r="BN25" s="161" t="str">
        <f t="shared" si="23"/>
        <v/>
      </c>
      <c r="BO25" s="161" t="str">
        <f t="shared" si="24"/>
        <v/>
      </c>
      <c r="BP25" s="161" t="str">
        <f t="shared" si="25"/>
        <v/>
      </c>
      <c r="BQ25" s="161" t="str">
        <f t="shared" si="26"/>
        <v/>
      </c>
      <c r="BR25" s="161" t="str">
        <f t="shared" si="27"/>
        <v/>
      </c>
      <c r="BS25" s="161" t="str">
        <f t="shared" si="28"/>
        <v/>
      </c>
      <c r="BT25" s="161" t="str">
        <f t="shared" si="29"/>
        <v/>
      </c>
      <c r="BU25" s="161" t="str">
        <f t="shared" si="30"/>
        <v/>
      </c>
      <c r="BV25" s="161" t="str">
        <f t="shared" si="31"/>
        <v/>
      </c>
      <c r="BW25" s="161" t="str">
        <f t="shared" si="32"/>
        <v/>
      </c>
      <c r="BX25" s="161" t="str">
        <f t="shared" si="15"/>
        <v/>
      </c>
      <c r="BY25" s="148"/>
      <c r="BZ25" s="148"/>
      <c r="CA25" s="148" t="s">
        <v>146</v>
      </c>
      <c r="CB25" s="148" t="s">
        <v>149</v>
      </c>
      <c r="CC25" s="148" t="s">
        <v>230</v>
      </c>
    </row>
    <row r="26" spans="1:81" ht="14.25" customHeight="1" thickBot="1">
      <c r="A26" s="190">
        <v>16</v>
      </c>
      <c r="B26" s="79"/>
      <c r="C26" s="179"/>
      <c r="D26" s="137"/>
      <c r="E26" s="198" t="s">
        <v>177</v>
      </c>
      <c r="F26" s="199"/>
      <c r="G26" s="200"/>
      <c r="H26" s="200"/>
      <c r="I26" s="200"/>
      <c r="J26" s="200"/>
      <c r="K26" s="276">
        <f t="shared" si="16"/>
        <v>0</v>
      </c>
      <c r="L26" s="277"/>
      <c r="M26" s="278"/>
      <c r="N26" s="350"/>
      <c r="O26" s="341" t="s">
        <v>65</v>
      </c>
      <c r="P26" s="189"/>
      <c r="Q26" s="326"/>
      <c r="R26" s="326"/>
      <c r="S26" s="87"/>
      <c r="T26" s="207"/>
      <c r="U26" s="225">
        <f t="shared" si="17"/>
        <v>0</v>
      </c>
      <c r="V26" s="277"/>
      <c r="W26" s="278"/>
      <c r="X26" s="350"/>
      <c r="Y26" s="208" t="s">
        <v>147</v>
      </c>
      <c r="Z26" s="11"/>
      <c r="AA26" s="207"/>
      <c r="AB26" s="207"/>
      <c r="AC26" s="3"/>
      <c r="AD26" s="207"/>
      <c r="AE26" s="226">
        <f t="shared" si="18"/>
        <v>0</v>
      </c>
      <c r="AF26" s="11"/>
      <c r="AG26" s="3"/>
      <c r="AH26" s="359"/>
      <c r="AI26" s="96"/>
      <c r="AJ26" s="94"/>
      <c r="AK26" s="214"/>
      <c r="AL26" s="213"/>
      <c r="AM26" s="82"/>
      <c r="AN26" s="213"/>
      <c r="AO26" s="82"/>
      <c r="AP26" s="213"/>
      <c r="AQ26" s="82"/>
      <c r="AR26" s="13">
        <f t="shared" si="6"/>
        <v>2.5999999999999997E-6</v>
      </c>
      <c r="AS26" s="13">
        <f t="shared" si="7"/>
        <v>0</v>
      </c>
      <c r="AT26" s="13"/>
      <c r="AU26" s="195">
        <v>31</v>
      </c>
      <c r="AV26" s="77">
        <f t="shared" si="8"/>
        <v>3.7999999999999995E-5</v>
      </c>
      <c r="AW26" s="192">
        <f t="shared" si="9"/>
        <v>0</v>
      </c>
      <c r="AX26" s="219">
        <f t="shared" si="10"/>
        <v>2.5999999999999997E-6</v>
      </c>
      <c r="AY26" s="13">
        <f t="shared" si="19"/>
        <v>0</v>
      </c>
      <c r="AZ26" s="195">
        <v>31</v>
      </c>
      <c r="BA26" s="77">
        <f t="shared" si="11"/>
        <v>3.6599999999999995E-5</v>
      </c>
      <c r="BB26" s="192">
        <f t="shared" si="12"/>
        <v>0</v>
      </c>
      <c r="BC26" s="219">
        <f t="shared" si="20"/>
        <v>2.5999999999999997E-6</v>
      </c>
      <c r="BD26" s="13">
        <f t="shared" si="21"/>
        <v>0</v>
      </c>
      <c r="BE26" s="195">
        <v>31</v>
      </c>
      <c r="BF26" s="77">
        <f t="shared" si="13"/>
        <v>3.6599999999999995E-5</v>
      </c>
      <c r="BG26" s="192">
        <f t="shared" si="14"/>
        <v>0</v>
      </c>
      <c r="BI26" s="120"/>
      <c r="BJ26" s="120"/>
      <c r="BK26" s="160"/>
      <c r="BL26" s="160"/>
      <c r="BM26" s="161" t="str">
        <f t="shared" si="22"/>
        <v/>
      </c>
      <c r="BN26" s="161" t="str">
        <f t="shared" si="23"/>
        <v/>
      </c>
      <c r="BO26" s="161" t="str">
        <f t="shared" si="24"/>
        <v/>
      </c>
      <c r="BP26" s="161" t="str">
        <f t="shared" si="25"/>
        <v/>
      </c>
      <c r="BQ26" s="161" t="str">
        <f t="shared" si="26"/>
        <v/>
      </c>
      <c r="BR26" s="161" t="str">
        <f t="shared" si="27"/>
        <v/>
      </c>
      <c r="BS26" s="161" t="str">
        <f t="shared" si="28"/>
        <v/>
      </c>
      <c r="BT26" s="161" t="str">
        <f t="shared" si="29"/>
        <v/>
      </c>
      <c r="BU26" s="161" t="str">
        <f t="shared" si="30"/>
        <v/>
      </c>
      <c r="BV26" s="161" t="str">
        <f t="shared" si="31"/>
        <v/>
      </c>
      <c r="BW26" s="161" t="str">
        <f t="shared" si="32"/>
        <v/>
      </c>
      <c r="BX26" s="161" t="str">
        <f t="shared" si="15"/>
        <v/>
      </c>
      <c r="BY26" s="148"/>
      <c r="BZ26" s="148"/>
      <c r="CA26" s="148"/>
      <c r="CB26" s="148" t="s">
        <v>149</v>
      </c>
      <c r="CC26" s="148" t="s">
        <v>230</v>
      </c>
    </row>
    <row r="27" spans="1:81" ht="14.25" customHeight="1" thickBot="1">
      <c r="A27" s="190">
        <v>17</v>
      </c>
      <c r="B27" s="196"/>
      <c r="C27" s="180"/>
      <c r="D27" s="136"/>
      <c r="E27" s="198" t="s">
        <v>177</v>
      </c>
      <c r="F27" s="199"/>
      <c r="G27" s="188"/>
      <c r="H27" s="188"/>
      <c r="I27" s="188"/>
      <c r="J27" s="188"/>
      <c r="K27" s="276">
        <f t="shared" si="16"/>
        <v>0</v>
      </c>
      <c r="L27" s="279"/>
      <c r="M27" s="280"/>
      <c r="N27" s="351"/>
      <c r="O27" s="342" t="s">
        <v>65</v>
      </c>
      <c r="P27" s="187"/>
      <c r="Q27" s="188"/>
      <c r="R27" s="188"/>
      <c r="S27" s="119"/>
      <c r="T27" s="188"/>
      <c r="U27" s="211">
        <f t="shared" si="17"/>
        <v>0</v>
      </c>
      <c r="V27" s="279"/>
      <c r="W27" s="280"/>
      <c r="X27" s="351"/>
      <c r="Y27" s="209" t="s">
        <v>85</v>
      </c>
      <c r="Z27" s="71"/>
      <c r="AA27" s="321"/>
      <c r="AB27" s="321"/>
      <c r="AC27" s="322"/>
      <c r="AD27" s="188"/>
      <c r="AE27" s="18">
        <f t="shared" si="18"/>
        <v>0</v>
      </c>
      <c r="AF27" s="71"/>
      <c r="AG27" s="322"/>
      <c r="AH27" s="360"/>
      <c r="AI27" s="97"/>
      <c r="AJ27" s="194"/>
      <c r="AK27" s="193"/>
      <c r="AL27" s="205"/>
      <c r="AM27" s="197"/>
      <c r="AN27" s="205"/>
      <c r="AO27" s="197"/>
      <c r="AP27" s="205"/>
      <c r="AQ27" s="197"/>
      <c r="AR27" s="13">
        <f t="shared" si="6"/>
        <v>2.7E-6</v>
      </c>
      <c r="AS27" s="13">
        <f t="shared" si="7"/>
        <v>0</v>
      </c>
      <c r="AT27" s="13"/>
      <c r="AU27" s="195">
        <v>32</v>
      </c>
      <c r="AV27" s="77">
        <f t="shared" si="8"/>
        <v>3.79E-5</v>
      </c>
      <c r="AW27" s="192">
        <f t="shared" si="9"/>
        <v>0</v>
      </c>
      <c r="AX27" s="219">
        <f t="shared" si="10"/>
        <v>2.7E-6</v>
      </c>
      <c r="AY27" s="13">
        <f t="shared" si="19"/>
        <v>0</v>
      </c>
      <c r="AZ27" s="195">
        <v>32</v>
      </c>
      <c r="BA27" s="77">
        <f t="shared" si="11"/>
        <v>3.65E-5</v>
      </c>
      <c r="BB27" s="192">
        <f t="shared" si="12"/>
        <v>0</v>
      </c>
      <c r="BC27" s="219">
        <f t="shared" si="20"/>
        <v>2.7E-6</v>
      </c>
      <c r="BD27" s="13">
        <f t="shared" si="21"/>
        <v>0</v>
      </c>
      <c r="BE27" s="195">
        <v>32</v>
      </c>
      <c r="BF27" s="77">
        <f t="shared" si="13"/>
        <v>3.65E-5</v>
      </c>
      <c r="BG27" s="192">
        <f t="shared" si="14"/>
        <v>0</v>
      </c>
      <c r="BI27" s="120"/>
      <c r="BJ27" s="120"/>
      <c r="BK27" s="160"/>
      <c r="BL27" s="160"/>
      <c r="BM27" s="161" t="str">
        <f t="shared" si="22"/>
        <v/>
      </c>
      <c r="BN27" s="161" t="str">
        <f t="shared" si="23"/>
        <v/>
      </c>
      <c r="BO27" s="161" t="str">
        <f t="shared" si="24"/>
        <v/>
      </c>
      <c r="BP27" s="161" t="str">
        <f t="shared" si="25"/>
        <v/>
      </c>
      <c r="BQ27" s="161" t="str">
        <f t="shared" si="26"/>
        <v/>
      </c>
      <c r="BR27" s="161" t="str">
        <f t="shared" si="27"/>
        <v/>
      </c>
      <c r="BS27" s="161" t="str">
        <f t="shared" si="28"/>
        <v/>
      </c>
      <c r="BT27" s="161" t="str">
        <f t="shared" si="29"/>
        <v/>
      </c>
      <c r="BU27" s="161" t="str">
        <f t="shared" si="30"/>
        <v/>
      </c>
      <c r="BV27" s="161" t="str">
        <f t="shared" si="31"/>
        <v/>
      </c>
      <c r="BW27" s="161" t="str">
        <f t="shared" si="32"/>
        <v/>
      </c>
      <c r="BX27" s="161" t="str">
        <f t="shared" si="15"/>
        <v/>
      </c>
      <c r="BY27" s="148"/>
      <c r="BZ27" s="148"/>
      <c r="CA27" s="148"/>
      <c r="CB27" s="148" t="s">
        <v>149</v>
      </c>
      <c r="CC27" s="148" t="s">
        <v>230</v>
      </c>
    </row>
    <row r="28" spans="1:81" ht="14.25" customHeight="1" thickBot="1">
      <c r="A28" s="190">
        <v>18</v>
      </c>
      <c r="B28" s="78"/>
      <c r="C28" s="181"/>
      <c r="D28" s="86"/>
      <c r="E28" s="198" t="s">
        <v>177</v>
      </c>
      <c r="F28" s="199"/>
      <c r="G28" s="93"/>
      <c r="H28" s="93"/>
      <c r="I28" s="93"/>
      <c r="J28" s="93"/>
      <c r="K28" s="276">
        <f t="shared" si="16"/>
        <v>0</v>
      </c>
      <c r="L28" s="281"/>
      <c r="M28" s="282"/>
      <c r="N28" s="352"/>
      <c r="O28" s="343" t="s">
        <v>65</v>
      </c>
      <c r="P28" s="88"/>
      <c r="Q28" s="93"/>
      <c r="R28" s="93"/>
      <c r="S28" s="89"/>
      <c r="T28" s="93"/>
      <c r="U28" s="212">
        <f t="shared" si="17"/>
        <v>0</v>
      </c>
      <c r="V28" s="281"/>
      <c r="W28" s="282"/>
      <c r="X28" s="352"/>
      <c r="Y28" s="210" t="s">
        <v>85</v>
      </c>
      <c r="Z28" s="72"/>
      <c r="AA28" s="323"/>
      <c r="AB28" s="323"/>
      <c r="AC28" s="324"/>
      <c r="AD28" s="93"/>
      <c r="AE28" s="81">
        <f t="shared" si="18"/>
        <v>0</v>
      </c>
      <c r="AF28" s="72"/>
      <c r="AG28" s="324"/>
      <c r="AH28" s="361"/>
      <c r="AI28" s="98"/>
      <c r="AJ28" s="95"/>
      <c r="AK28" s="215"/>
      <c r="AL28" s="206"/>
      <c r="AM28" s="83"/>
      <c r="AN28" s="206"/>
      <c r="AO28" s="83"/>
      <c r="AP28" s="206"/>
      <c r="AQ28" s="83"/>
      <c r="AR28" s="13">
        <f t="shared" si="6"/>
        <v>2.7999999999999999E-6</v>
      </c>
      <c r="AS28" s="13">
        <f t="shared" si="7"/>
        <v>0</v>
      </c>
      <c r="AT28" s="13"/>
      <c r="AU28" s="195">
        <v>33</v>
      </c>
      <c r="AV28" s="77">
        <f t="shared" si="8"/>
        <v>3.7799999999999997E-5</v>
      </c>
      <c r="AW28" s="192">
        <f t="shared" si="9"/>
        <v>0</v>
      </c>
      <c r="AX28" s="219">
        <f t="shared" si="10"/>
        <v>2.7999999999999999E-6</v>
      </c>
      <c r="AY28" s="13">
        <f t="shared" si="19"/>
        <v>0</v>
      </c>
      <c r="AZ28" s="195">
        <v>33</v>
      </c>
      <c r="BA28" s="77">
        <f t="shared" si="11"/>
        <v>3.6399999999999997E-5</v>
      </c>
      <c r="BB28" s="192">
        <f t="shared" si="12"/>
        <v>0</v>
      </c>
      <c r="BC28" s="219">
        <f t="shared" si="20"/>
        <v>2.7999999999999999E-6</v>
      </c>
      <c r="BD28" s="13">
        <f t="shared" si="21"/>
        <v>0</v>
      </c>
      <c r="BE28" s="195">
        <v>33</v>
      </c>
      <c r="BF28" s="77">
        <f t="shared" si="13"/>
        <v>3.6399999999999997E-5</v>
      </c>
      <c r="BG28" s="192">
        <f t="shared" si="14"/>
        <v>0</v>
      </c>
      <c r="BI28" s="120"/>
      <c r="BJ28" s="120"/>
      <c r="BK28" s="160"/>
      <c r="BL28" s="160"/>
      <c r="BM28" s="161" t="str">
        <f t="shared" si="22"/>
        <v/>
      </c>
      <c r="BN28" s="161" t="str">
        <f t="shared" si="23"/>
        <v/>
      </c>
      <c r="BO28" s="161" t="str">
        <f t="shared" si="24"/>
        <v/>
      </c>
      <c r="BP28" s="161" t="str">
        <f t="shared" si="25"/>
        <v/>
      </c>
      <c r="BQ28" s="161" t="str">
        <f t="shared" si="26"/>
        <v/>
      </c>
      <c r="BR28" s="161" t="str">
        <f t="shared" si="27"/>
        <v/>
      </c>
      <c r="BS28" s="161" t="str">
        <f t="shared" si="28"/>
        <v/>
      </c>
      <c r="BT28" s="161" t="str">
        <f t="shared" si="29"/>
        <v/>
      </c>
      <c r="BU28" s="161" t="str">
        <f t="shared" si="30"/>
        <v/>
      </c>
      <c r="BV28" s="161" t="str">
        <f t="shared" si="31"/>
        <v/>
      </c>
      <c r="BW28" s="161" t="str">
        <f t="shared" si="32"/>
        <v/>
      </c>
      <c r="BX28" s="161" t="str">
        <f t="shared" si="15"/>
        <v/>
      </c>
      <c r="BY28" s="148"/>
      <c r="BZ28" s="148"/>
      <c r="CA28" s="148"/>
      <c r="CB28" s="148" t="s">
        <v>149</v>
      </c>
      <c r="CC28" s="148" t="s">
        <v>230</v>
      </c>
    </row>
    <row r="29" spans="1:81" ht="14.25" customHeight="1" thickBot="1">
      <c r="A29" s="190">
        <v>19</v>
      </c>
      <c r="B29" s="79"/>
      <c r="C29" s="179"/>
      <c r="D29" s="137"/>
      <c r="E29" s="198" t="s">
        <v>177</v>
      </c>
      <c r="F29" s="199"/>
      <c r="G29" s="200"/>
      <c r="H29" s="200"/>
      <c r="I29" s="200"/>
      <c r="J29" s="200"/>
      <c r="K29" s="276">
        <f t="shared" si="16"/>
        <v>0</v>
      </c>
      <c r="L29" s="277"/>
      <c r="M29" s="278"/>
      <c r="N29" s="350"/>
      <c r="O29" s="341" t="s">
        <v>65</v>
      </c>
      <c r="P29" s="189"/>
      <c r="Q29" s="326"/>
      <c r="R29" s="326"/>
      <c r="S29" s="87"/>
      <c r="T29" s="207"/>
      <c r="U29" s="225">
        <f t="shared" si="17"/>
        <v>0</v>
      </c>
      <c r="V29" s="277"/>
      <c r="W29" s="278"/>
      <c r="X29" s="350"/>
      <c r="Y29" s="208" t="s">
        <v>147</v>
      </c>
      <c r="Z29" s="11"/>
      <c r="AA29" s="207"/>
      <c r="AB29" s="207"/>
      <c r="AC29" s="3"/>
      <c r="AD29" s="207"/>
      <c r="AE29" s="226">
        <f t="shared" si="18"/>
        <v>0</v>
      </c>
      <c r="AF29" s="11"/>
      <c r="AG29" s="3"/>
      <c r="AH29" s="359"/>
      <c r="AI29" s="96"/>
      <c r="AJ29" s="94"/>
      <c r="AK29" s="214"/>
      <c r="AL29" s="213"/>
      <c r="AM29" s="82"/>
      <c r="AN29" s="213"/>
      <c r="AO29" s="82"/>
      <c r="AP29" s="213"/>
      <c r="AQ29" s="82"/>
      <c r="AR29" s="13">
        <f t="shared" si="6"/>
        <v>2.8999999999999998E-6</v>
      </c>
      <c r="AS29" s="13">
        <f t="shared" si="7"/>
        <v>0</v>
      </c>
      <c r="AT29" s="13"/>
      <c r="AU29" s="195">
        <v>34</v>
      </c>
      <c r="AV29" s="77">
        <f t="shared" si="8"/>
        <v>3.7700000000000002E-5</v>
      </c>
      <c r="AW29" s="192">
        <f t="shared" si="9"/>
        <v>0</v>
      </c>
      <c r="AX29" s="219">
        <f t="shared" si="10"/>
        <v>2.8999999999999998E-6</v>
      </c>
      <c r="AY29" s="13">
        <f t="shared" si="19"/>
        <v>0</v>
      </c>
      <c r="AZ29" s="195">
        <v>34</v>
      </c>
      <c r="BA29" s="77">
        <f t="shared" si="11"/>
        <v>3.6300000000000001E-5</v>
      </c>
      <c r="BB29" s="192">
        <f t="shared" si="12"/>
        <v>0</v>
      </c>
      <c r="BC29" s="219">
        <f t="shared" si="20"/>
        <v>2.8999999999999998E-6</v>
      </c>
      <c r="BD29" s="13">
        <f t="shared" si="21"/>
        <v>0</v>
      </c>
      <c r="BE29" s="195">
        <v>34</v>
      </c>
      <c r="BF29" s="77">
        <f t="shared" si="13"/>
        <v>3.6300000000000001E-5</v>
      </c>
      <c r="BG29" s="192">
        <f t="shared" si="14"/>
        <v>0</v>
      </c>
      <c r="BI29" s="120"/>
      <c r="BJ29" s="120"/>
      <c r="BK29" s="160"/>
      <c r="BL29" s="160"/>
      <c r="BM29" s="161" t="str">
        <f t="shared" si="22"/>
        <v/>
      </c>
      <c r="BN29" s="161" t="str">
        <f t="shared" si="23"/>
        <v/>
      </c>
      <c r="BO29" s="161" t="str">
        <f t="shared" si="24"/>
        <v/>
      </c>
      <c r="BP29" s="161" t="str">
        <f t="shared" si="25"/>
        <v/>
      </c>
      <c r="BQ29" s="161" t="str">
        <f t="shared" si="26"/>
        <v/>
      </c>
      <c r="BR29" s="161" t="str">
        <f t="shared" si="27"/>
        <v/>
      </c>
      <c r="BS29" s="161" t="str">
        <f t="shared" si="28"/>
        <v/>
      </c>
      <c r="BT29" s="161" t="str">
        <f t="shared" si="29"/>
        <v/>
      </c>
      <c r="BU29" s="161" t="str">
        <f t="shared" si="30"/>
        <v/>
      </c>
      <c r="BV29" s="161" t="str">
        <f t="shared" si="31"/>
        <v/>
      </c>
      <c r="BW29" s="161" t="str">
        <f t="shared" si="32"/>
        <v/>
      </c>
      <c r="BX29" s="161" t="str">
        <f t="shared" si="15"/>
        <v/>
      </c>
      <c r="BY29" s="148"/>
      <c r="BZ29" s="148"/>
      <c r="CA29" s="148"/>
      <c r="CB29" s="148" t="s">
        <v>149</v>
      </c>
      <c r="CC29" s="148" t="s">
        <v>230</v>
      </c>
    </row>
    <row r="30" spans="1:81" ht="14.25" customHeight="1" thickBot="1">
      <c r="A30" s="190">
        <v>20</v>
      </c>
      <c r="B30" s="196"/>
      <c r="C30" s="180"/>
      <c r="D30" s="136"/>
      <c r="E30" s="198" t="s">
        <v>177</v>
      </c>
      <c r="F30" s="199"/>
      <c r="G30" s="188"/>
      <c r="H30" s="188"/>
      <c r="I30" s="188"/>
      <c r="J30" s="188"/>
      <c r="K30" s="276">
        <f t="shared" si="16"/>
        <v>0</v>
      </c>
      <c r="L30" s="279"/>
      <c r="M30" s="280"/>
      <c r="N30" s="351"/>
      <c r="O30" s="342" t="s">
        <v>65</v>
      </c>
      <c r="P30" s="187"/>
      <c r="Q30" s="188"/>
      <c r="R30" s="188"/>
      <c r="S30" s="119"/>
      <c r="T30" s="188"/>
      <c r="U30" s="211">
        <f t="shared" si="17"/>
        <v>0</v>
      </c>
      <c r="V30" s="279"/>
      <c r="W30" s="280"/>
      <c r="X30" s="351"/>
      <c r="Y30" s="209" t="s">
        <v>85</v>
      </c>
      <c r="Z30" s="71"/>
      <c r="AA30" s="321"/>
      <c r="AB30" s="321"/>
      <c r="AC30" s="322"/>
      <c r="AD30" s="188"/>
      <c r="AE30" s="18">
        <f t="shared" si="18"/>
        <v>0</v>
      </c>
      <c r="AF30" s="71"/>
      <c r="AG30" s="322"/>
      <c r="AH30" s="360"/>
      <c r="AI30" s="97"/>
      <c r="AJ30" s="194"/>
      <c r="AK30" s="193"/>
      <c r="AL30" s="205"/>
      <c r="AM30" s="197"/>
      <c r="AN30" s="205"/>
      <c r="AO30" s="197"/>
      <c r="AP30" s="205"/>
      <c r="AQ30" s="197"/>
      <c r="AR30" s="13">
        <f t="shared" si="6"/>
        <v>3.0000000000000001E-6</v>
      </c>
      <c r="AS30" s="13">
        <f t="shared" si="7"/>
        <v>0</v>
      </c>
      <c r="AT30" s="13"/>
      <c r="AU30" s="195">
        <v>35</v>
      </c>
      <c r="AV30" s="77">
        <f t="shared" si="8"/>
        <v>3.7599999999999999E-5</v>
      </c>
      <c r="AW30" s="192">
        <f t="shared" si="9"/>
        <v>0</v>
      </c>
      <c r="AX30" s="219">
        <f t="shared" si="10"/>
        <v>3.0000000000000001E-6</v>
      </c>
      <c r="AY30" s="13">
        <f t="shared" si="19"/>
        <v>0</v>
      </c>
      <c r="AZ30" s="195">
        <v>35</v>
      </c>
      <c r="BA30" s="77">
        <f t="shared" si="11"/>
        <v>3.6199999999999999E-5</v>
      </c>
      <c r="BB30" s="192">
        <f t="shared" si="12"/>
        <v>0</v>
      </c>
      <c r="BC30" s="219">
        <f t="shared" si="20"/>
        <v>3.0000000000000001E-6</v>
      </c>
      <c r="BD30" s="13">
        <f t="shared" si="21"/>
        <v>0</v>
      </c>
      <c r="BE30" s="195">
        <v>35</v>
      </c>
      <c r="BF30" s="77">
        <f t="shared" si="13"/>
        <v>3.6199999999999999E-5</v>
      </c>
      <c r="BG30" s="192">
        <f t="shared" si="14"/>
        <v>0</v>
      </c>
      <c r="BI30" s="120"/>
      <c r="BJ30" s="120"/>
      <c r="BK30" s="160"/>
      <c r="BL30" s="160"/>
      <c r="BM30" s="161" t="str">
        <f t="shared" si="22"/>
        <v/>
      </c>
      <c r="BN30" s="161" t="str">
        <f t="shared" si="23"/>
        <v/>
      </c>
      <c r="BO30" s="161" t="str">
        <f t="shared" si="24"/>
        <v/>
      </c>
      <c r="BP30" s="161" t="str">
        <f t="shared" si="25"/>
        <v/>
      </c>
      <c r="BQ30" s="161" t="str">
        <f t="shared" si="26"/>
        <v/>
      </c>
      <c r="BR30" s="161" t="str">
        <f t="shared" si="27"/>
        <v/>
      </c>
      <c r="BS30" s="161" t="str">
        <f t="shared" si="28"/>
        <v/>
      </c>
      <c r="BT30" s="161" t="str">
        <f t="shared" si="29"/>
        <v/>
      </c>
      <c r="BU30" s="161" t="str">
        <f t="shared" si="30"/>
        <v/>
      </c>
      <c r="BV30" s="161" t="str">
        <f t="shared" si="31"/>
        <v/>
      </c>
      <c r="BW30" s="161" t="str">
        <f t="shared" si="32"/>
        <v/>
      </c>
      <c r="BX30" s="161" t="str">
        <f t="shared" si="15"/>
        <v/>
      </c>
      <c r="BY30" s="148"/>
      <c r="BZ30" s="148"/>
      <c r="CA30" s="148"/>
      <c r="CB30" s="148" t="s">
        <v>149</v>
      </c>
      <c r="CC30" s="148" t="s">
        <v>230</v>
      </c>
    </row>
    <row r="31" spans="1:81" ht="14.25" customHeight="1" thickBot="1">
      <c r="A31" s="190">
        <v>21</v>
      </c>
      <c r="B31" s="78"/>
      <c r="C31" s="181"/>
      <c r="D31" s="86"/>
      <c r="E31" s="198" t="s">
        <v>177</v>
      </c>
      <c r="F31" s="199"/>
      <c r="G31" s="93"/>
      <c r="H31" s="93"/>
      <c r="I31" s="93"/>
      <c r="J31" s="93"/>
      <c r="K31" s="276">
        <f t="shared" si="16"/>
        <v>0</v>
      </c>
      <c r="L31" s="281"/>
      <c r="M31" s="282"/>
      <c r="N31" s="352"/>
      <c r="O31" s="343" t="s">
        <v>65</v>
      </c>
      <c r="P31" s="88"/>
      <c r="Q31" s="93"/>
      <c r="R31" s="93"/>
      <c r="S31" s="89"/>
      <c r="T31" s="93"/>
      <c r="U31" s="212">
        <f t="shared" si="17"/>
        <v>0</v>
      </c>
      <c r="V31" s="281"/>
      <c r="W31" s="282"/>
      <c r="X31" s="352"/>
      <c r="Y31" s="210" t="s">
        <v>85</v>
      </c>
      <c r="Z31" s="72"/>
      <c r="AA31" s="323"/>
      <c r="AB31" s="323"/>
      <c r="AC31" s="324"/>
      <c r="AD31" s="93"/>
      <c r="AE31" s="81">
        <f t="shared" si="18"/>
        <v>0</v>
      </c>
      <c r="AF31" s="72"/>
      <c r="AG31" s="324"/>
      <c r="AH31" s="361"/>
      <c r="AI31" s="98"/>
      <c r="AJ31" s="95"/>
      <c r="AK31" s="215"/>
      <c r="AL31" s="206"/>
      <c r="AM31" s="83"/>
      <c r="AN31" s="206"/>
      <c r="AO31" s="83"/>
      <c r="AP31" s="206"/>
      <c r="AQ31" s="83"/>
      <c r="AR31" s="13">
        <f t="shared" si="6"/>
        <v>3.1E-6</v>
      </c>
      <c r="AS31" s="13">
        <f t="shared" si="7"/>
        <v>0</v>
      </c>
      <c r="AT31" s="13"/>
      <c r="AU31" s="195">
        <v>36</v>
      </c>
      <c r="AV31" s="77">
        <f t="shared" si="8"/>
        <v>3.7499999999999997E-5</v>
      </c>
      <c r="AW31" s="192">
        <f t="shared" si="9"/>
        <v>0</v>
      </c>
      <c r="AX31" s="219">
        <f t="shared" si="10"/>
        <v>3.1E-6</v>
      </c>
      <c r="AY31" s="13">
        <f t="shared" si="19"/>
        <v>0</v>
      </c>
      <c r="AZ31" s="195">
        <v>36</v>
      </c>
      <c r="BA31" s="77">
        <f t="shared" si="11"/>
        <v>3.6099999999999997E-5</v>
      </c>
      <c r="BB31" s="192">
        <f t="shared" si="12"/>
        <v>0</v>
      </c>
      <c r="BC31" s="219">
        <f t="shared" si="20"/>
        <v>3.1E-6</v>
      </c>
      <c r="BD31" s="13">
        <f t="shared" si="21"/>
        <v>0</v>
      </c>
      <c r="BE31" s="195">
        <v>36</v>
      </c>
      <c r="BF31" s="77">
        <f t="shared" si="13"/>
        <v>3.6099999999999997E-5</v>
      </c>
      <c r="BG31" s="192">
        <f t="shared" si="14"/>
        <v>0</v>
      </c>
      <c r="BI31" s="120"/>
      <c r="BJ31" s="120"/>
      <c r="BK31" s="160"/>
      <c r="BL31" s="160"/>
      <c r="BM31" s="161" t="str">
        <f t="shared" si="22"/>
        <v/>
      </c>
      <c r="BN31" s="161" t="str">
        <f t="shared" si="23"/>
        <v/>
      </c>
      <c r="BO31" s="161" t="str">
        <f t="shared" si="24"/>
        <v/>
      </c>
      <c r="BP31" s="161" t="str">
        <f t="shared" si="25"/>
        <v/>
      </c>
      <c r="BQ31" s="161" t="str">
        <f t="shared" si="26"/>
        <v/>
      </c>
      <c r="BR31" s="161" t="str">
        <f t="shared" si="27"/>
        <v/>
      </c>
      <c r="BS31" s="161" t="str">
        <f t="shared" si="28"/>
        <v/>
      </c>
      <c r="BT31" s="161" t="str">
        <f t="shared" si="29"/>
        <v/>
      </c>
      <c r="BU31" s="161" t="str">
        <f t="shared" si="30"/>
        <v/>
      </c>
      <c r="BV31" s="161" t="str">
        <f t="shared" si="31"/>
        <v/>
      </c>
      <c r="BW31" s="161" t="str">
        <f t="shared" si="32"/>
        <v/>
      </c>
      <c r="BX31" s="161" t="str">
        <f t="shared" si="15"/>
        <v/>
      </c>
      <c r="BY31" s="148"/>
      <c r="BZ31" s="148"/>
      <c r="CA31" s="148"/>
      <c r="CB31" s="148" t="s">
        <v>149</v>
      </c>
      <c r="CC31" s="148" t="s">
        <v>230</v>
      </c>
    </row>
    <row r="32" spans="1:81" ht="14.25" customHeight="1" thickBot="1">
      <c r="A32" s="190">
        <v>22</v>
      </c>
      <c r="B32" s="79"/>
      <c r="C32" s="179"/>
      <c r="D32" s="137"/>
      <c r="E32" s="198" t="s">
        <v>177</v>
      </c>
      <c r="F32" s="199"/>
      <c r="G32" s="200"/>
      <c r="H32" s="200"/>
      <c r="I32" s="200"/>
      <c r="J32" s="200"/>
      <c r="K32" s="276">
        <f t="shared" si="16"/>
        <v>0</v>
      </c>
      <c r="L32" s="277"/>
      <c r="M32" s="278"/>
      <c r="N32" s="350"/>
      <c r="O32" s="341" t="s">
        <v>65</v>
      </c>
      <c r="P32" s="189"/>
      <c r="Q32" s="326"/>
      <c r="R32" s="326"/>
      <c r="S32" s="87"/>
      <c r="T32" s="207"/>
      <c r="U32" s="225">
        <f t="shared" si="17"/>
        <v>0</v>
      </c>
      <c r="V32" s="277"/>
      <c r="W32" s="278"/>
      <c r="X32" s="350"/>
      <c r="Y32" s="208" t="s">
        <v>147</v>
      </c>
      <c r="Z32" s="11"/>
      <c r="AA32" s="207"/>
      <c r="AB32" s="207"/>
      <c r="AC32" s="3"/>
      <c r="AD32" s="207"/>
      <c r="AE32" s="226">
        <f t="shared" si="18"/>
        <v>0</v>
      </c>
      <c r="AF32" s="11"/>
      <c r="AG32" s="3"/>
      <c r="AH32" s="359"/>
      <c r="AI32" s="96"/>
      <c r="AJ32" s="94"/>
      <c r="AK32" s="214"/>
      <c r="AL32" s="213"/>
      <c r="AM32" s="82"/>
      <c r="AN32" s="213"/>
      <c r="AO32" s="82"/>
      <c r="AP32" s="213"/>
      <c r="AQ32" s="82"/>
      <c r="AR32" s="13">
        <f t="shared" si="6"/>
        <v>3.1999999999999999E-6</v>
      </c>
      <c r="AS32" s="13">
        <f t="shared" si="7"/>
        <v>0</v>
      </c>
      <c r="AT32" s="13"/>
      <c r="AU32" s="195">
        <v>37</v>
      </c>
      <c r="AV32" s="77">
        <f t="shared" si="8"/>
        <v>3.7400000000000001E-5</v>
      </c>
      <c r="AW32" s="192">
        <f t="shared" si="9"/>
        <v>0</v>
      </c>
      <c r="AX32" s="219">
        <f t="shared" si="10"/>
        <v>3.1999999999999999E-6</v>
      </c>
      <c r="AY32" s="13">
        <f t="shared" si="19"/>
        <v>0</v>
      </c>
      <c r="AZ32" s="195">
        <v>37</v>
      </c>
      <c r="BA32" s="77">
        <f t="shared" si="11"/>
        <v>3.6000000000000001E-5</v>
      </c>
      <c r="BB32" s="192">
        <f t="shared" si="12"/>
        <v>0</v>
      </c>
      <c r="BC32" s="219">
        <f t="shared" si="20"/>
        <v>3.1999999999999999E-6</v>
      </c>
      <c r="BD32" s="13">
        <f t="shared" si="21"/>
        <v>0</v>
      </c>
      <c r="BE32" s="195">
        <v>37</v>
      </c>
      <c r="BF32" s="77">
        <f t="shared" si="13"/>
        <v>3.6000000000000001E-5</v>
      </c>
      <c r="BG32" s="192">
        <f t="shared" si="14"/>
        <v>0</v>
      </c>
      <c r="BI32" s="120"/>
      <c r="BJ32" s="120"/>
      <c r="BK32" s="160"/>
      <c r="BL32" s="160"/>
      <c r="BM32" s="161" t="str">
        <f t="shared" si="22"/>
        <v/>
      </c>
      <c r="BN32" s="161" t="str">
        <f t="shared" si="23"/>
        <v/>
      </c>
      <c r="BO32" s="161" t="str">
        <f t="shared" si="24"/>
        <v/>
      </c>
      <c r="BP32" s="161" t="str">
        <f t="shared" si="25"/>
        <v/>
      </c>
      <c r="BQ32" s="161" t="str">
        <f t="shared" si="26"/>
        <v/>
      </c>
      <c r="BR32" s="161" t="str">
        <f t="shared" si="27"/>
        <v/>
      </c>
      <c r="BS32" s="161" t="str">
        <f t="shared" si="28"/>
        <v/>
      </c>
      <c r="BT32" s="161" t="str">
        <f t="shared" si="29"/>
        <v/>
      </c>
      <c r="BU32" s="161" t="str">
        <f t="shared" si="30"/>
        <v/>
      </c>
      <c r="BV32" s="161" t="str">
        <f t="shared" si="31"/>
        <v/>
      </c>
      <c r="BW32" s="161" t="str">
        <f t="shared" si="32"/>
        <v/>
      </c>
      <c r="BX32" s="161" t="str">
        <f t="shared" si="15"/>
        <v/>
      </c>
      <c r="BY32" s="148"/>
      <c r="BZ32" s="148"/>
      <c r="CA32" s="148"/>
      <c r="CB32" s="148" t="s">
        <v>149</v>
      </c>
      <c r="CC32" s="148" t="s">
        <v>230</v>
      </c>
    </row>
    <row r="33" spans="1:81" ht="14.25" customHeight="1" thickBot="1">
      <c r="A33" s="190">
        <v>23</v>
      </c>
      <c r="B33" s="196"/>
      <c r="C33" s="180"/>
      <c r="D33" s="136"/>
      <c r="E33" s="198" t="s">
        <v>177</v>
      </c>
      <c r="F33" s="199"/>
      <c r="G33" s="188"/>
      <c r="H33" s="188"/>
      <c r="I33" s="188"/>
      <c r="J33" s="188"/>
      <c r="K33" s="276">
        <f t="shared" si="16"/>
        <v>0</v>
      </c>
      <c r="L33" s="279"/>
      <c r="M33" s="280"/>
      <c r="N33" s="351"/>
      <c r="O33" s="342" t="s">
        <v>65</v>
      </c>
      <c r="P33" s="187"/>
      <c r="Q33" s="188"/>
      <c r="R33" s="188"/>
      <c r="S33" s="119"/>
      <c r="T33" s="188"/>
      <c r="U33" s="211">
        <f t="shared" si="17"/>
        <v>0</v>
      </c>
      <c r="V33" s="279"/>
      <c r="W33" s="280"/>
      <c r="X33" s="351"/>
      <c r="Y33" s="209" t="s">
        <v>85</v>
      </c>
      <c r="Z33" s="71"/>
      <c r="AA33" s="321"/>
      <c r="AB33" s="321"/>
      <c r="AC33" s="322"/>
      <c r="AD33" s="188"/>
      <c r="AE33" s="18">
        <f t="shared" si="18"/>
        <v>0</v>
      </c>
      <c r="AF33" s="71"/>
      <c r="AG33" s="322"/>
      <c r="AH33" s="360"/>
      <c r="AI33" s="97"/>
      <c r="AJ33" s="194"/>
      <c r="AK33" s="193"/>
      <c r="AL33" s="205"/>
      <c r="AM33" s="197"/>
      <c r="AN33" s="205"/>
      <c r="AO33" s="197"/>
      <c r="AP33" s="205"/>
      <c r="AQ33" s="197"/>
      <c r="AR33" s="13">
        <f t="shared" si="6"/>
        <v>3.2999999999999997E-6</v>
      </c>
      <c r="AS33" s="13">
        <f t="shared" si="7"/>
        <v>0</v>
      </c>
      <c r="AT33" s="13"/>
      <c r="AU33" s="195">
        <v>38</v>
      </c>
      <c r="AV33" s="77">
        <f t="shared" si="8"/>
        <v>3.7299999999999999E-5</v>
      </c>
      <c r="AW33" s="192">
        <f t="shared" si="9"/>
        <v>0</v>
      </c>
      <c r="AX33" s="219">
        <f t="shared" si="10"/>
        <v>3.2999999999999997E-6</v>
      </c>
      <c r="AY33" s="13">
        <f t="shared" si="19"/>
        <v>0</v>
      </c>
      <c r="AZ33" s="195">
        <v>38</v>
      </c>
      <c r="BA33" s="77">
        <f t="shared" si="11"/>
        <v>3.5899999999999998E-5</v>
      </c>
      <c r="BB33" s="192">
        <f t="shared" si="12"/>
        <v>0</v>
      </c>
      <c r="BC33" s="219">
        <f t="shared" si="20"/>
        <v>3.2999999999999997E-6</v>
      </c>
      <c r="BD33" s="13">
        <f t="shared" si="21"/>
        <v>0</v>
      </c>
      <c r="BE33" s="195">
        <v>38</v>
      </c>
      <c r="BF33" s="77">
        <f t="shared" si="13"/>
        <v>3.5899999999999998E-5</v>
      </c>
      <c r="BG33" s="192">
        <f t="shared" si="14"/>
        <v>0</v>
      </c>
      <c r="BI33" s="120"/>
      <c r="BJ33" s="120"/>
      <c r="BK33" s="160"/>
      <c r="BL33" s="160"/>
      <c r="BM33" s="161" t="str">
        <f t="shared" si="22"/>
        <v/>
      </c>
      <c r="BN33" s="161" t="str">
        <f t="shared" si="23"/>
        <v/>
      </c>
      <c r="BO33" s="161" t="str">
        <f t="shared" si="24"/>
        <v/>
      </c>
      <c r="BP33" s="161" t="str">
        <f t="shared" si="25"/>
        <v/>
      </c>
      <c r="BQ33" s="161" t="str">
        <f t="shared" si="26"/>
        <v/>
      </c>
      <c r="BR33" s="161" t="str">
        <f t="shared" si="27"/>
        <v/>
      </c>
      <c r="BS33" s="161" t="str">
        <f t="shared" si="28"/>
        <v/>
      </c>
      <c r="BT33" s="161" t="str">
        <f t="shared" si="29"/>
        <v/>
      </c>
      <c r="BU33" s="161" t="str">
        <f t="shared" si="30"/>
        <v/>
      </c>
      <c r="BV33" s="161" t="str">
        <f t="shared" si="31"/>
        <v/>
      </c>
      <c r="BW33" s="161" t="str">
        <f t="shared" si="32"/>
        <v/>
      </c>
      <c r="BX33" s="161" t="str">
        <f t="shared" si="15"/>
        <v/>
      </c>
      <c r="BY33" s="148"/>
      <c r="BZ33" s="148"/>
      <c r="CA33" s="148"/>
      <c r="CB33" s="148" t="s">
        <v>149</v>
      </c>
      <c r="CC33" s="148" t="s">
        <v>230</v>
      </c>
    </row>
    <row r="34" spans="1:81" ht="14.25" customHeight="1" thickBot="1">
      <c r="A34" s="190">
        <v>24</v>
      </c>
      <c r="B34" s="78"/>
      <c r="C34" s="181"/>
      <c r="D34" s="86"/>
      <c r="E34" s="198" t="s">
        <v>177</v>
      </c>
      <c r="F34" s="199"/>
      <c r="G34" s="93"/>
      <c r="H34" s="93"/>
      <c r="I34" s="93"/>
      <c r="J34" s="93"/>
      <c r="K34" s="276">
        <f t="shared" si="16"/>
        <v>0</v>
      </c>
      <c r="L34" s="281"/>
      <c r="M34" s="282"/>
      <c r="N34" s="352"/>
      <c r="O34" s="343" t="s">
        <v>65</v>
      </c>
      <c r="P34" s="88"/>
      <c r="Q34" s="93"/>
      <c r="R34" s="93"/>
      <c r="S34" s="89"/>
      <c r="T34" s="93"/>
      <c r="U34" s="212">
        <f t="shared" si="17"/>
        <v>0</v>
      </c>
      <c r="V34" s="281"/>
      <c r="W34" s="282"/>
      <c r="X34" s="352"/>
      <c r="Y34" s="210" t="s">
        <v>85</v>
      </c>
      <c r="Z34" s="72"/>
      <c r="AA34" s="323"/>
      <c r="AB34" s="323"/>
      <c r="AC34" s="324"/>
      <c r="AD34" s="93"/>
      <c r="AE34" s="81">
        <f t="shared" si="18"/>
        <v>0</v>
      </c>
      <c r="AF34" s="72"/>
      <c r="AG34" s="324"/>
      <c r="AH34" s="361"/>
      <c r="AI34" s="98"/>
      <c r="AJ34" s="95"/>
      <c r="AK34" s="215"/>
      <c r="AL34" s="206"/>
      <c r="AM34" s="83"/>
      <c r="AN34" s="206"/>
      <c r="AO34" s="83"/>
      <c r="AP34" s="206"/>
      <c r="AQ34" s="83"/>
      <c r="AR34" s="13">
        <f t="shared" si="6"/>
        <v>3.3999999999999996E-6</v>
      </c>
      <c r="AS34" s="13">
        <f t="shared" si="7"/>
        <v>0</v>
      </c>
      <c r="AT34" s="13"/>
      <c r="AU34" s="195">
        <v>39</v>
      </c>
      <c r="AV34" s="77">
        <f t="shared" si="8"/>
        <v>3.7199999999999996E-5</v>
      </c>
      <c r="AW34" s="192">
        <f t="shared" si="9"/>
        <v>0</v>
      </c>
      <c r="AX34" s="219">
        <f t="shared" si="10"/>
        <v>3.3999999999999996E-6</v>
      </c>
      <c r="AY34" s="13">
        <f t="shared" si="19"/>
        <v>0</v>
      </c>
      <c r="AZ34" s="195">
        <v>39</v>
      </c>
      <c r="BA34" s="77">
        <f t="shared" si="11"/>
        <v>3.5799999999999996E-5</v>
      </c>
      <c r="BB34" s="192">
        <f t="shared" si="12"/>
        <v>0</v>
      </c>
      <c r="BC34" s="219">
        <f t="shared" si="20"/>
        <v>3.3999999999999996E-6</v>
      </c>
      <c r="BD34" s="13">
        <f t="shared" si="21"/>
        <v>0</v>
      </c>
      <c r="BE34" s="195">
        <v>39</v>
      </c>
      <c r="BF34" s="77">
        <f t="shared" si="13"/>
        <v>3.5799999999999996E-5</v>
      </c>
      <c r="BG34" s="192">
        <f t="shared" si="14"/>
        <v>0</v>
      </c>
      <c r="BI34" s="120"/>
      <c r="BJ34" s="120"/>
      <c r="BK34" s="160"/>
      <c r="BL34" s="160"/>
      <c r="BM34" s="161" t="str">
        <f t="shared" si="22"/>
        <v/>
      </c>
      <c r="BN34" s="161" t="str">
        <f t="shared" si="23"/>
        <v/>
      </c>
      <c r="BO34" s="161" t="str">
        <f t="shared" si="24"/>
        <v/>
      </c>
      <c r="BP34" s="161" t="str">
        <f t="shared" si="25"/>
        <v/>
      </c>
      <c r="BQ34" s="161" t="str">
        <f t="shared" si="26"/>
        <v/>
      </c>
      <c r="BR34" s="161" t="str">
        <f t="shared" si="27"/>
        <v/>
      </c>
      <c r="BS34" s="161" t="str">
        <f t="shared" si="28"/>
        <v/>
      </c>
      <c r="BT34" s="161" t="str">
        <f t="shared" si="29"/>
        <v/>
      </c>
      <c r="BU34" s="161" t="str">
        <f t="shared" si="30"/>
        <v/>
      </c>
      <c r="BV34" s="161" t="str">
        <f t="shared" si="31"/>
        <v/>
      </c>
      <c r="BW34" s="161" t="str">
        <f t="shared" si="32"/>
        <v/>
      </c>
      <c r="BX34" s="161" t="str">
        <f t="shared" si="15"/>
        <v/>
      </c>
      <c r="BY34" s="148"/>
      <c r="BZ34" s="148"/>
      <c r="CA34" s="148"/>
      <c r="CB34" s="148" t="s">
        <v>149</v>
      </c>
      <c r="CC34" s="148" t="s">
        <v>230</v>
      </c>
    </row>
    <row r="35" spans="1:81" ht="14.25" customHeight="1" thickBot="1">
      <c r="A35" s="190">
        <v>25</v>
      </c>
      <c r="B35" s="79"/>
      <c r="C35" s="179"/>
      <c r="D35" s="137"/>
      <c r="E35" s="198" t="s">
        <v>177</v>
      </c>
      <c r="F35" s="199"/>
      <c r="G35" s="200"/>
      <c r="H35" s="200"/>
      <c r="I35" s="200"/>
      <c r="J35" s="200"/>
      <c r="K35" s="276">
        <f t="shared" si="16"/>
        <v>0</v>
      </c>
      <c r="L35" s="277"/>
      <c r="M35" s="278"/>
      <c r="N35" s="350"/>
      <c r="O35" s="341" t="s">
        <v>65</v>
      </c>
      <c r="P35" s="189"/>
      <c r="Q35" s="326"/>
      <c r="R35" s="326"/>
      <c r="S35" s="87"/>
      <c r="T35" s="207"/>
      <c r="U35" s="225">
        <f t="shared" si="17"/>
        <v>0</v>
      </c>
      <c r="V35" s="277"/>
      <c r="W35" s="278"/>
      <c r="X35" s="350"/>
      <c r="Y35" s="208" t="s">
        <v>147</v>
      </c>
      <c r="Z35" s="11"/>
      <c r="AA35" s="207"/>
      <c r="AB35" s="207"/>
      <c r="AC35" s="3"/>
      <c r="AD35" s="207"/>
      <c r="AE35" s="226">
        <f t="shared" si="18"/>
        <v>0</v>
      </c>
      <c r="AF35" s="11"/>
      <c r="AG35" s="3"/>
      <c r="AH35" s="359"/>
      <c r="AI35" s="96"/>
      <c r="AJ35" s="94"/>
      <c r="AK35" s="214"/>
      <c r="AL35" s="213"/>
      <c r="AM35" s="82"/>
      <c r="AN35" s="213"/>
      <c r="AO35" s="82"/>
      <c r="AP35" s="213"/>
      <c r="AQ35" s="82"/>
      <c r="AR35" s="13">
        <f t="shared" si="6"/>
        <v>3.4999999999999999E-6</v>
      </c>
      <c r="AS35" s="13">
        <f t="shared" si="7"/>
        <v>0</v>
      </c>
      <c r="AT35" s="13"/>
      <c r="AU35" s="195">
        <v>40</v>
      </c>
      <c r="AV35" s="77">
        <f t="shared" si="8"/>
        <v>3.7100000000000001E-5</v>
      </c>
      <c r="AW35" s="192">
        <f t="shared" si="9"/>
        <v>0</v>
      </c>
      <c r="AX35" s="219">
        <f t="shared" si="10"/>
        <v>3.4999999999999999E-6</v>
      </c>
      <c r="AY35" s="13">
        <f t="shared" si="19"/>
        <v>0</v>
      </c>
      <c r="AZ35" s="195">
        <v>40</v>
      </c>
      <c r="BA35" s="77">
        <f t="shared" si="11"/>
        <v>3.57E-5</v>
      </c>
      <c r="BB35" s="192">
        <f t="shared" si="12"/>
        <v>0</v>
      </c>
      <c r="BC35" s="219">
        <f t="shared" si="20"/>
        <v>3.4999999999999999E-6</v>
      </c>
      <c r="BD35" s="13">
        <f t="shared" si="21"/>
        <v>0</v>
      </c>
      <c r="BE35" s="195">
        <v>40</v>
      </c>
      <c r="BF35" s="77">
        <f t="shared" si="13"/>
        <v>3.57E-5</v>
      </c>
      <c r="BG35" s="192">
        <f t="shared" si="14"/>
        <v>0</v>
      </c>
      <c r="BI35" s="120"/>
      <c r="BJ35" s="120"/>
      <c r="BK35" s="160"/>
      <c r="BL35" s="160"/>
      <c r="BM35" s="161" t="str">
        <f t="shared" si="22"/>
        <v/>
      </c>
      <c r="BN35" s="161" t="str">
        <f t="shared" si="23"/>
        <v/>
      </c>
      <c r="BO35" s="161" t="str">
        <f t="shared" si="24"/>
        <v/>
      </c>
      <c r="BP35" s="161" t="str">
        <f t="shared" si="25"/>
        <v/>
      </c>
      <c r="BQ35" s="161" t="str">
        <f t="shared" si="26"/>
        <v/>
      </c>
      <c r="BR35" s="161" t="str">
        <f t="shared" si="27"/>
        <v/>
      </c>
      <c r="BS35" s="161" t="str">
        <f t="shared" si="28"/>
        <v/>
      </c>
      <c r="BT35" s="161" t="str">
        <f t="shared" si="29"/>
        <v/>
      </c>
      <c r="BU35" s="161" t="str">
        <f t="shared" si="30"/>
        <v/>
      </c>
      <c r="BV35" s="161" t="str">
        <f t="shared" si="31"/>
        <v/>
      </c>
      <c r="BW35" s="161" t="str">
        <f t="shared" si="32"/>
        <v/>
      </c>
      <c r="BX35" s="161" t="str">
        <f t="shared" si="15"/>
        <v/>
      </c>
      <c r="BY35" s="148"/>
      <c r="BZ35" s="148"/>
      <c r="CA35" s="148"/>
      <c r="CB35" s="148" t="s">
        <v>149</v>
      </c>
      <c r="CC35" s="148" t="s">
        <v>230</v>
      </c>
    </row>
    <row r="36" spans="1:81" ht="14.25" customHeight="1" thickBot="1">
      <c r="A36" s="190">
        <v>26</v>
      </c>
      <c r="B36" s="196"/>
      <c r="C36" s="180"/>
      <c r="D36" s="136"/>
      <c r="E36" s="198" t="s">
        <v>177</v>
      </c>
      <c r="F36" s="199"/>
      <c r="G36" s="188"/>
      <c r="H36" s="188"/>
      <c r="I36" s="188"/>
      <c r="J36" s="188"/>
      <c r="K36" s="276">
        <f t="shared" si="16"/>
        <v>0</v>
      </c>
      <c r="L36" s="279"/>
      <c r="M36" s="280"/>
      <c r="N36" s="351"/>
      <c r="O36" s="342" t="s">
        <v>65</v>
      </c>
      <c r="P36" s="187"/>
      <c r="Q36" s="188"/>
      <c r="R36" s="188"/>
      <c r="S36" s="119"/>
      <c r="T36" s="188"/>
      <c r="U36" s="211">
        <f t="shared" si="17"/>
        <v>0</v>
      </c>
      <c r="V36" s="279"/>
      <c r="W36" s="280"/>
      <c r="X36" s="351"/>
      <c r="Y36" s="209" t="s">
        <v>85</v>
      </c>
      <c r="Z36" s="71"/>
      <c r="AA36" s="321"/>
      <c r="AB36" s="321"/>
      <c r="AC36" s="322"/>
      <c r="AD36" s="188"/>
      <c r="AE36" s="18">
        <f t="shared" si="18"/>
        <v>0</v>
      </c>
      <c r="AF36" s="71"/>
      <c r="AG36" s="322"/>
      <c r="AH36" s="360"/>
      <c r="AI36" s="97"/>
      <c r="AJ36" s="194"/>
      <c r="AK36" s="193"/>
      <c r="AL36" s="205"/>
      <c r="AM36" s="197"/>
      <c r="AN36" s="205"/>
      <c r="AO36" s="197"/>
      <c r="AP36" s="205"/>
      <c r="AQ36" s="197"/>
      <c r="AR36" s="13">
        <f t="shared" si="6"/>
        <v>3.5999999999999998E-6</v>
      </c>
      <c r="AS36" s="13">
        <f t="shared" si="7"/>
        <v>0</v>
      </c>
      <c r="AT36" s="13"/>
      <c r="AU36" s="195">
        <v>41</v>
      </c>
      <c r="AV36" s="77">
        <f t="shared" si="8"/>
        <v>3.6999999999999998E-5</v>
      </c>
      <c r="AW36" s="192">
        <f t="shared" si="9"/>
        <v>0</v>
      </c>
      <c r="AX36" s="219">
        <f t="shared" si="10"/>
        <v>3.5999999999999998E-6</v>
      </c>
      <c r="AY36" s="13">
        <f t="shared" si="19"/>
        <v>0</v>
      </c>
      <c r="AZ36" s="195">
        <v>41</v>
      </c>
      <c r="BA36" s="77">
        <f t="shared" si="11"/>
        <v>3.5599999999999998E-5</v>
      </c>
      <c r="BB36" s="192">
        <f t="shared" si="12"/>
        <v>0</v>
      </c>
      <c r="BC36" s="219">
        <f t="shared" si="20"/>
        <v>3.5999999999999998E-6</v>
      </c>
      <c r="BD36" s="13">
        <f t="shared" si="21"/>
        <v>0</v>
      </c>
      <c r="BE36" s="195">
        <v>41</v>
      </c>
      <c r="BF36" s="77">
        <f t="shared" si="13"/>
        <v>3.5599999999999998E-5</v>
      </c>
      <c r="BG36" s="192">
        <f t="shared" si="14"/>
        <v>0</v>
      </c>
      <c r="BI36" s="120"/>
      <c r="BJ36" s="120"/>
      <c r="BK36" s="160"/>
      <c r="BL36" s="160"/>
      <c r="BM36" s="161" t="str">
        <f t="shared" si="22"/>
        <v/>
      </c>
      <c r="BN36" s="161" t="str">
        <f t="shared" si="23"/>
        <v/>
      </c>
      <c r="BO36" s="161" t="str">
        <f t="shared" si="24"/>
        <v/>
      </c>
      <c r="BP36" s="161" t="str">
        <f t="shared" si="25"/>
        <v/>
      </c>
      <c r="BQ36" s="161" t="str">
        <f t="shared" si="26"/>
        <v/>
      </c>
      <c r="BR36" s="161" t="str">
        <f t="shared" si="27"/>
        <v/>
      </c>
      <c r="BS36" s="161" t="str">
        <f t="shared" si="28"/>
        <v/>
      </c>
      <c r="BT36" s="161" t="str">
        <f t="shared" si="29"/>
        <v/>
      </c>
      <c r="BU36" s="161" t="str">
        <f t="shared" si="30"/>
        <v/>
      </c>
      <c r="BV36" s="161" t="str">
        <f t="shared" si="31"/>
        <v/>
      </c>
      <c r="BW36" s="161" t="str">
        <f t="shared" si="32"/>
        <v/>
      </c>
      <c r="BX36" s="161" t="str">
        <f t="shared" si="15"/>
        <v/>
      </c>
      <c r="BY36" s="148"/>
      <c r="BZ36" s="148"/>
      <c r="CA36" s="148"/>
      <c r="CB36" s="148" t="s">
        <v>149</v>
      </c>
      <c r="CC36" s="148" t="s">
        <v>230</v>
      </c>
    </row>
    <row r="37" spans="1:81" ht="14.25" customHeight="1" thickBot="1">
      <c r="A37" s="190">
        <v>27</v>
      </c>
      <c r="B37" s="78"/>
      <c r="C37" s="181"/>
      <c r="D37" s="86"/>
      <c r="E37" s="198" t="s">
        <v>177</v>
      </c>
      <c r="F37" s="199"/>
      <c r="G37" s="93"/>
      <c r="H37" s="93"/>
      <c r="I37" s="93"/>
      <c r="J37" s="93"/>
      <c r="K37" s="276">
        <f t="shared" si="16"/>
        <v>0</v>
      </c>
      <c r="L37" s="281"/>
      <c r="M37" s="282"/>
      <c r="N37" s="352"/>
      <c r="O37" s="343" t="s">
        <v>65</v>
      </c>
      <c r="P37" s="88"/>
      <c r="Q37" s="93"/>
      <c r="R37" s="93"/>
      <c r="S37" s="89"/>
      <c r="T37" s="93"/>
      <c r="U37" s="212">
        <f t="shared" si="17"/>
        <v>0</v>
      </c>
      <c r="V37" s="281"/>
      <c r="W37" s="282"/>
      <c r="X37" s="352"/>
      <c r="Y37" s="210" t="s">
        <v>85</v>
      </c>
      <c r="Z37" s="72"/>
      <c r="AA37" s="323"/>
      <c r="AB37" s="323"/>
      <c r="AC37" s="324"/>
      <c r="AD37" s="93"/>
      <c r="AE37" s="81">
        <f t="shared" si="18"/>
        <v>0</v>
      </c>
      <c r="AF37" s="72"/>
      <c r="AG37" s="324"/>
      <c r="AH37" s="361"/>
      <c r="AI37" s="98"/>
      <c r="AJ37" s="95"/>
      <c r="AK37" s="215"/>
      <c r="AL37" s="206"/>
      <c r="AM37" s="83"/>
      <c r="AN37" s="206"/>
      <c r="AO37" s="83"/>
      <c r="AP37" s="206"/>
      <c r="AQ37" s="83"/>
      <c r="AR37" s="13">
        <f t="shared" si="6"/>
        <v>3.6999999999999997E-6</v>
      </c>
      <c r="AS37" s="13">
        <f t="shared" si="7"/>
        <v>0</v>
      </c>
      <c r="AT37" s="13"/>
      <c r="AU37" s="195">
        <v>42</v>
      </c>
      <c r="AV37" s="77">
        <f t="shared" si="8"/>
        <v>3.6899999999999996E-5</v>
      </c>
      <c r="AW37" s="192">
        <f t="shared" si="9"/>
        <v>0</v>
      </c>
      <c r="AX37" s="219">
        <f t="shared" si="10"/>
        <v>3.6999999999999997E-6</v>
      </c>
      <c r="AY37" s="13">
        <f t="shared" si="19"/>
        <v>0</v>
      </c>
      <c r="AZ37" s="195">
        <v>42</v>
      </c>
      <c r="BA37" s="77">
        <f t="shared" si="11"/>
        <v>3.5499999999999996E-5</v>
      </c>
      <c r="BB37" s="192">
        <f t="shared" si="12"/>
        <v>0</v>
      </c>
      <c r="BC37" s="219">
        <f t="shared" si="20"/>
        <v>3.6999999999999997E-6</v>
      </c>
      <c r="BD37" s="13">
        <f t="shared" si="21"/>
        <v>0</v>
      </c>
      <c r="BE37" s="195">
        <v>42</v>
      </c>
      <c r="BF37" s="77">
        <f t="shared" si="13"/>
        <v>3.5499999999999996E-5</v>
      </c>
      <c r="BG37" s="192">
        <f t="shared" si="14"/>
        <v>0</v>
      </c>
      <c r="BI37" s="120"/>
      <c r="BJ37" s="120"/>
      <c r="BK37" s="160"/>
      <c r="BL37" s="160"/>
      <c r="BM37" s="161" t="str">
        <f t="shared" si="22"/>
        <v/>
      </c>
      <c r="BN37" s="161" t="str">
        <f t="shared" si="23"/>
        <v/>
      </c>
      <c r="BO37" s="161" t="str">
        <f t="shared" si="24"/>
        <v/>
      </c>
      <c r="BP37" s="161" t="str">
        <f t="shared" si="25"/>
        <v/>
      </c>
      <c r="BQ37" s="161" t="str">
        <f t="shared" si="26"/>
        <v/>
      </c>
      <c r="BR37" s="161" t="str">
        <f t="shared" si="27"/>
        <v/>
      </c>
      <c r="BS37" s="161" t="str">
        <f t="shared" si="28"/>
        <v/>
      </c>
      <c r="BT37" s="161" t="str">
        <f t="shared" si="29"/>
        <v/>
      </c>
      <c r="BU37" s="161" t="str">
        <f t="shared" si="30"/>
        <v/>
      </c>
      <c r="BV37" s="161" t="str">
        <f t="shared" si="31"/>
        <v/>
      </c>
      <c r="BW37" s="161" t="str">
        <f t="shared" si="32"/>
        <v/>
      </c>
      <c r="BX37" s="161" t="str">
        <f t="shared" si="15"/>
        <v/>
      </c>
      <c r="BY37" s="148"/>
      <c r="BZ37" s="148"/>
      <c r="CA37" s="148"/>
      <c r="CB37" s="148" t="s">
        <v>149</v>
      </c>
      <c r="CC37" s="148" t="s">
        <v>230</v>
      </c>
    </row>
    <row r="38" spans="1:81" ht="14.25" customHeight="1" thickBot="1">
      <c r="A38" s="190">
        <v>28</v>
      </c>
      <c r="B38" s="79"/>
      <c r="C38" s="179"/>
      <c r="D38" s="137"/>
      <c r="E38" s="198" t="s">
        <v>177</v>
      </c>
      <c r="F38" s="199"/>
      <c r="G38" s="200"/>
      <c r="H38" s="200"/>
      <c r="I38" s="200"/>
      <c r="J38" s="200"/>
      <c r="K38" s="276">
        <f t="shared" si="16"/>
        <v>0</v>
      </c>
      <c r="L38" s="277"/>
      <c r="M38" s="278"/>
      <c r="N38" s="350"/>
      <c r="O38" s="341" t="s">
        <v>65</v>
      </c>
      <c r="P38" s="189"/>
      <c r="Q38" s="326"/>
      <c r="R38" s="326"/>
      <c r="S38" s="87"/>
      <c r="T38" s="207"/>
      <c r="U38" s="225">
        <f t="shared" si="17"/>
        <v>0</v>
      </c>
      <c r="V38" s="277"/>
      <c r="W38" s="278"/>
      <c r="X38" s="350"/>
      <c r="Y38" s="208" t="s">
        <v>147</v>
      </c>
      <c r="Z38" s="11"/>
      <c r="AA38" s="207"/>
      <c r="AB38" s="207"/>
      <c r="AC38" s="3"/>
      <c r="AD38" s="207"/>
      <c r="AE38" s="226">
        <f t="shared" si="18"/>
        <v>0</v>
      </c>
      <c r="AF38" s="11"/>
      <c r="AG38" s="3"/>
      <c r="AH38" s="359"/>
      <c r="AI38" s="96"/>
      <c r="AJ38" s="94"/>
      <c r="AK38" s="214"/>
      <c r="AL38" s="213"/>
      <c r="AM38" s="82"/>
      <c r="AN38" s="213"/>
      <c r="AO38" s="82"/>
      <c r="AP38" s="213"/>
      <c r="AQ38" s="82"/>
      <c r="AR38" s="13">
        <f t="shared" si="6"/>
        <v>3.8E-6</v>
      </c>
      <c r="AS38" s="13">
        <f t="shared" si="7"/>
        <v>0</v>
      </c>
      <c r="AT38" s="13"/>
      <c r="AU38" s="195">
        <v>43</v>
      </c>
      <c r="AV38" s="77">
        <f t="shared" si="8"/>
        <v>3.68E-5</v>
      </c>
      <c r="AW38" s="192">
        <f t="shared" si="9"/>
        <v>0</v>
      </c>
      <c r="AX38" s="219">
        <f t="shared" si="10"/>
        <v>3.8E-6</v>
      </c>
      <c r="AY38" s="13">
        <f t="shared" si="19"/>
        <v>0</v>
      </c>
      <c r="AZ38" s="195">
        <v>43</v>
      </c>
      <c r="BA38" s="77">
        <f t="shared" si="11"/>
        <v>3.54E-5</v>
      </c>
      <c r="BB38" s="192">
        <f t="shared" si="12"/>
        <v>0</v>
      </c>
      <c r="BC38" s="219">
        <f t="shared" si="20"/>
        <v>3.8E-6</v>
      </c>
      <c r="BD38" s="13">
        <f t="shared" si="21"/>
        <v>0</v>
      </c>
      <c r="BE38" s="195">
        <v>43</v>
      </c>
      <c r="BF38" s="77">
        <f t="shared" si="13"/>
        <v>3.54E-5</v>
      </c>
      <c r="BG38" s="192">
        <f t="shared" si="14"/>
        <v>0</v>
      </c>
      <c r="BI38" s="120"/>
      <c r="BJ38" s="120"/>
      <c r="BK38" s="160"/>
      <c r="BL38" s="160"/>
      <c r="BM38" s="161" t="str">
        <f t="shared" si="22"/>
        <v/>
      </c>
      <c r="BN38" s="161" t="str">
        <f t="shared" si="23"/>
        <v/>
      </c>
      <c r="BO38" s="161" t="str">
        <f t="shared" si="24"/>
        <v/>
      </c>
      <c r="BP38" s="161" t="str">
        <f t="shared" si="25"/>
        <v/>
      </c>
      <c r="BQ38" s="161" t="str">
        <f t="shared" si="26"/>
        <v/>
      </c>
      <c r="BR38" s="161" t="str">
        <f t="shared" si="27"/>
        <v/>
      </c>
      <c r="BS38" s="161" t="str">
        <f t="shared" si="28"/>
        <v/>
      </c>
      <c r="BT38" s="161" t="str">
        <f t="shared" si="29"/>
        <v/>
      </c>
      <c r="BU38" s="161" t="str">
        <f t="shared" si="30"/>
        <v/>
      </c>
      <c r="BV38" s="161" t="str">
        <f t="shared" si="31"/>
        <v/>
      </c>
      <c r="BW38" s="161" t="str">
        <f t="shared" si="32"/>
        <v/>
      </c>
      <c r="BX38" s="161" t="str">
        <f t="shared" si="15"/>
        <v/>
      </c>
      <c r="BY38" s="148"/>
      <c r="BZ38" s="148"/>
      <c r="CA38" s="148"/>
      <c r="CB38" s="148" t="s">
        <v>149</v>
      </c>
      <c r="CC38" s="148" t="s">
        <v>230</v>
      </c>
    </row>
    <row r="39" spans="1:81" ht="14.25" customHeight="1" thickBot="1">
      <c r="A39" s="190">
        <v>29</v>
      </c>
      <c r="B39" s="196"/>
      <c r="C39" s="180"/>
      <c r="D39" s="136"/>
      <c r="E39" s="198" t="s">
        <v>177</v>
      </c>
      <c r="F39" s="199"/>
      <c r="G39" s="188"/>
      <c r="H39" s="188"/>
      <c r="I39" s="188"/>
      <c r="J39" s="188"/>
      <c r="K39" s="276">
        <f t="shared" si="16"/>
        <v>0</v>
      </c>
      <c r="L39" s="279"/>
      <c r="M39" s="280"/>
      <c r="N39" s="351"/>
      <c r="O39" s="342" t="s">
        <v>65</v>
      </c>
      <c r="P39" s="187"/>
      <c r="Q39" s="188"/>
      <c r="R39" s="188"/>
      <c r="S39" s="119"/>
      <c r="T39" s="188"/>
      <c r="U39" s="211">
        <f t="shared" si="17"/>
        <v>0</v>
      </c>
      <c r="V39" s="279"/>
      <c r="W39" s="280"/>
      <c r="X39" s="351"/>
      <c r="Y39" s="209" t="s">
        <v>85</v>
      </c>
      <c r="Z39" s="71"/>
      <c r="AA39" s="321"/>
      <c r="AB39" s="321"/>
      <c r="AC39" s="322"/>
      <c r="AD39" s="188"/>
      <c r="AE39" s="18">
        <f t="shared" si="18"/>
        <v>0</v>
      </c>
      <c r="AF39" s="71"/>
      <c r="AG39" s="322"/>
      <c r="AH39" s="360"/>
      <c r="AI39" s="97"/>
      <c r="AJ39" s="194"/>
      <c r="AK39" s="193"/>
      <c r="AL39" s="205"/>
      <c r="AM39" s="197"/>
      <c r="AN39" s="205"/>
      <c r="AO39" s="197"/>
      <c r="AP39" s="205"/>
      <c r="AQ39" s="197"/>
      <c r="AR39" s="13">
        <f t="shared" si="6"/>
        <v>3.8999999999999999E-6</v>
      </c>
      <c r="AS39" s="13">
        <f t="shared" si="7"/>
        <v>0</v>
      </c>
      <c r="AT39" s="13"/>
      <c r="AU39" s="195">
        <v>44</v>
      </c>
      <c r="AV39" s="77">
        <f t="shared" si="8"/>
        <v>3.6699999999999998E-5</v>
      </c>
      <c r="AW39" s="192">
        <f t="shared" si="9"/>
        <v>0</v>
      </c>
      <c r="AX39" s="219">
        <f t="shared" si="10"/>
        <v>3.8999999999999999E-6</v>
      </c>
      <c r="AY39" s="13">
        <f t="shared" si="19"/>
        <v>0</v>
      </c>
      <c r="AZ39" s="195">
        <v>44</v>
      </c>
      <c r="BA39" s="77">
        <f t="shared" si="11"/>
        <v>3.5299999999999997E-5</v>
      </c>
      <c r="BB39" s="192">
        <f t="shared" si="12"/>
        <v>0</v>
      </c>
      <c r="BC39" s="219">
        <f t="shared" si="20"/>
        <v>3.8999999999999999E-6</v>
      </c>
      <c r="BD39" s="13">
        <f t="shared" si="21"/>
        <v>0</v>
      </c>
      <c r="BE39" s="195">
        <v>44</v>
      </c>
      <c r="BF39" s="77">
        <f t="shared" si="13"/>
        <v>3.5299999999999997E-5</v>
      </c>
      <c r="BG39" s="192">
        <f t="shared" si="14"/>
        <v>0</v>
      </c>
      <c r="BI39" s="120"/>
      <c r="BJ39" s="120"/>
      <c r="BK39" s="160"/>
      <c r="BL39" s="160"/>
      <c r="BM39" s="161" t="str">
        <f t="shared" si="22"/>
        <v/>
      </c>
      <c r="BN39" s="161" t="str">
        <f t="shared" si="23"/>
        <v/>
      </c>
      <c r="BO39" s="161" t="str">
        <f t="shared" si="24"/>
        <v/>
      </c>
      <c r="BP39" s="161" t="str">
        <f t="shared" si="25"/>
        <v/>
      </c>
      <c r="BQ39" s="161" t="str">
        <f t="shared" si="26"/>
        <v/>
      </c>
      <c r="BR39" s="161" t="str">
        <f t="shared" si="27"/>
        <v/>
      </c>
      <c r="BS39" s="161" t="str">
        <f t="shared" si="28"/>
        <v/>
      </c>
      <c r="BT39" s="161" t="str">
        <f t="shared" si="29"/>
        <v/>
      </c>
      <c r="BU39" s="161" t="str">
        <f t="shared" si="30"/>
        <v/>
      </c>
      <c r="BV39" s="161" t="str">
        <f t="shared" si="31"/>
        <v/>
      </c>
      <c r="BW39" s="161" t="str">
        <f t="shared" si="32"/>
        <v/>
      </c>
      <c r="BX39" s="161" t="str">
        <f t="shared" si="15"/>
        <v/>
      </c>
      <c r="BY39" s="148"/>
      <c r="BZ39" s="148"/>
      <c r="CA39" s="148"/>
      <c r="CB39" s="148" t="s">
        <v>149</v>
      </c>
      <c r="CC39" s="148" t="s">
        <v>230</v>
      </c>
    </row>
    <row r="40" spans="1:81" ht="14.25" customHeight="1" thickBot="1">
      <c r="A40" s="190">
        <v>30</v>
      </c>
      <c r="B40" s="78"/>
      <c r="C40" s="181"/>
      <c r="D40" s="86"/>
      <c r="E40" s="198" t="s">
        <v>177</v>
      </c>
      <c r="F40" s="199"/>
      <c r="G40" s="93"/>
      <c r="H40" s="93"/>
      <c r="I40" s="93"/>
      <c r="J40" s="93"/>
      <c r="K40" s="276">
        <f t="shared" si="16"/>
        <v>0</v>
      </c>
      <c r="L40" s="281"/>
      <c r="M40" s="282"/>
      <c r="N40" s="352"/>
      <c r="O40" s="343" t="s">
        <v>65</v>
      </c>
      <c r="P40" s="88"/>
      <c r="Q40" s="93"/>
      <c r="R40" s="93"/>
      <c r="S40" s="89"/>
      <c r="T40" s="93"/>
      <c r="U40" s="212">
        <f t="shared" si="17"/>
        <v>0</v>
      </c>
      <c r="V40" s="281"/>
      <c r="W40" s="282"/>
      <c r="X40" s="352"/>
      <c r="Y40" s="210" t="s">
        <v>85</v>
      </c>
      <c r="Z40" s="72"/>
      <c r="AA40" s="323"/>
      <c r="AB40" s="323"/>
      <c r="AC40" s="324"/>
      <c r="AD40" s="93"/>
      <c r="AE40" s="81">
        <f t="shared" si="18"/>
        <v>0</v>
      </c>
      <c r="AF40" s="72"/>
      <c r="AG40" s="324"/>
      <c r="AH40" s="361"/>
      <c r="AI40" s="98"/>
      <c r="AJ40" s="95"/>
      <c r="AK40" s="215"/>
      <c r="AL40" s="206"/>
      <c r="AM40" s="83"/>
      <c r="AN40" s="206"/>
      <c r="AO40" s="83"/>
      <c r="AP40" s="206"/>
      <c r="AQ40" s="83"/>
      <c r="AR40" s="13">
        <f t="shared" si="6"/>
        <v>3.9999999999999998E-6</v>
      </c>
      <c r="AS40" s="13">
        <f t="shared" si="7"/>
        <v>0</v>
      </c>
      <c r="AT40" s="13"/>
      <c r="AU40" s="195">
        <v>45</v>
      </c>
      <c r="AV40" s="77">
        <f t="shared" si="8"/>
        <v>3.6599999999999995E-5</v>
      </c>
      <c r="AW40" s="192">
        <f t="shared" si="9"/>
        <v>0</v>
      </c>
      <c r="AX40" s="219">
        <f t="shared" si="10"/>
        <v>3.9999999999999998E-6</v>
      </c>
      <c r="AY40" s="13">
        <f t="shared" si="19"/>
        <v>0</v>
      </c>
      <c r="AZ40" s="195">
        <v>45</v>
      </c>
      <c r="BA40" s="77">
        <f t="shared" si="11"/>
        <v>3.5200000000000002E-5</v>
      </c>
      <c r="BB40" s="192">
        <f t="shared" si="12"/>
        <v>0</v>
      </c>
      <c r="BC40" s="219">
        <f t="shared" si="20"/>
        <v>3.9999999999999998E-6</v>
      </c>
      <c r="BD40" s="13">
        <f t="shared" si="21"/>
        <v>0</v>
      </c>
      <c r="BE40" s="195">
        <v>45</v>
      </c>
      <c r="BF40" s="77">
        <f t="shared" si="13"/>
        <v>3.5200000000000002E-5</v>
      </c>
      <c r="BG40" s="192">
        <f t="shared" si="14"/>
        <v>0</v>
      </c>
      <c r="BI40" s="120"/>
      <c r="BJ40" s="120"/>
      <c r="BK40" s="160"/>
      <c r="BL40" s="160"/>
      <c r="BM40" s="161" t="str">
        <f t="shared" si="22"/>
        <v/>
      </c>
      <c r="BN40" s="161" t="str">
        <f t="shared" si="23"/>
        <v/>
      </c>
      <c r="BO40" s="161" t="str">
        <f t="shared" si="24"/>
        <v/>
      </c>
      <c r="BP40" s="161" t="str">
        <f t="shared" si="25"/>
        <v/>
      </c>
      <c r="BQ40" s="161" t="str">
        <f t="shared" si="26"/>
        <v/>
      </c>
      <c r="BR40" s="161" t="str">
        <f t="shared" si="27"/>
        <v/>
      </c>
      <c r="BS40" s="161" t="str">
        <f t="shared" si="28"/>
        <v/>
      </c>
      <c r="BT40" s="161" t="str">
        <f t="shared" si="29"/>
        <v/>
      </c>
      <c r="BU40" s="161" t="str">
        <f t="shared" si="30"/>
        <v/>
      </c>
      <c r="BV40" s="161" t="str">
        <f t="shared" si="31"/>
        <v/>
      </c>
      <c r="BW40" s="161" t="str">
        <f t="shared" si="32"/>
        <v/>
      </c>
      <c r="BX40" s="161" t="str">
        <f t="shared" si="15"/>
        <v/>
      </c>
      <c r="BY40" s="148"/>
      <c r="BZ40" s="148"/>
      <c r="CA40" s="148"/>
      <c r="CB40" s="148" t="s">
        <v>149</v>
      </c>
      <c r="CC40" s="148" t="s">
        <v>230</v>
      </c>
    </row>
    <row r="41" spans="1:81" ht="14.25" customHeight="1" thickBot="1">
      <c r="A41" s="190">
        <v>31</v>
      </c>
      <c r="B41" s="79"/>
      <c r="C41" s="179"/>
      <c r="D41" s="137"/>
      <c r="E41" s="198" t="s">
        <v>177</v>
      </c>
      <c r="F41" s="199"/>
      <c r="G41" s="200"/>
      <c r="H41" s="200"/>
      <c r="I41" s="200"/>
      <c r="J41" s="200"/>
      <c r="K41" s="276">
        <f t="shared" si="16"/>
        <v>0</v>
      </c>
      <c r="L41" s="277"/>
      <c r="M41" s="278"/>
      <c r="N41" s="350"/>
      <c r="O41" s="341" t="s">
        <v>65</v>
      </c>
      <c r="P41" s="189"/>
      <c r="Q41" s="326"/>
      <c r="R41" s="326"/>
      <c r="S41" s="87"/>
      <c r="T41" s="207"/>
      <c r="U41" s="225">
        <f t="shared" si="17"/>
        <v>0</v>
      </c>
      <c r="V41" s="277"/>
      <c r="W41" s="278"/>
      <c r="X41" s="350"/>
      <c r="Y41" s="208" t="s">
        <v>147</v>
      </c>
      <c r="Z41" s="11"/>
      <c r="AA41" s="207"/>
      <c r="AB41" s="207"/>
      <c r="AC41" s="3"/>
      <c r="AD41" s="207"/>
      <c r="AE41" s="226">
        <f t="shared" si="18"/>
        <v>0</v>
      </c>
      <c r="AF41" s="11"/>
      <c r="AG41" s="3"/>
      <c r="AH41" s="359"/>
      <c r="AI41" s="96"/>
      <c r="AJ41" s="94"/>
      <c r="AK41" s="214"/>
      <c r="AL41" s="213"/>
      <c r="AM41" s="82"/>
      <c r="AN41" s="213"/>
      <c r="AO41" s="82"/>
      <c r="AP41" s="213"/>
      <c r="AQ41" s="82"/>
      <c r="AR41" s="13">
        <f t="shared" si="6"/>
        <v>4.0999999999999997E-6</v>
      </c>
      <c r="AS41" s="13">
        <f t="shared" si="7"/>
        <v>0</v>
      </c>
      <c r="AT41" s="13"/>
      <c r="AU41" s="195">
        <v>46</v>
      </c>
      <c r="AV41" s="77">
        <f t="shared" si="8"/>
        <v>3.65E-5</v>
      </c>
      <c r="AW41" s="192">
        <f t="shared" si="9"/>
        <v>0</v>
      </c>
      <c r="AX41" s="219">
        <f t="shared" si="10"/>
        <v>4.0999999999999997E-6</v>
      </c>
      <c r="AY41" s="13">
        <f t="shared" si="19"/>
        <v>0</v>
      </c>
      <c r="AZ41" s="195">
        <v>46</v>
      </c>
      <c r="BA41" s="77">
        <f t="shared" si="11"/>
        <v>3.5099999999999999E-5</v>
      </c>
      <c r="BB41" s="192">
        <f t="shared" si="12"/>
        <v>0</v>
      </c>
      <c r="BC41" s="219">
        <f t="shared" si="20"/>
        <v>4.0999999999999997E-6</v>
      </c>
      <c r="BD41" s="13">
        <f t="shared" si="21"/>
        <v>0</v>
      </c>
      <c r="BE41" s="195">
        <v>46</v>
      </c>
      <c r="BF41" s="77">
        <f t="shared" si="13"/>
        <v>3.5099999999999999E-5</v>
      </c>
      <c r="BG41" s="192">
        <f t="shared" si="14"/>
        <v>0</v>
      </c>
      <c r="BI41" s="120"/>
      <c r="BJ41" s="120"/>
      <c r="BK41" s="160"/>
      <c r="BL41" s="160"/>
      <c r="BM41" s="161" t="str">
        <f t="shared" si="22"/>
        <v/>
      </c>
      <c r="BN41" s="161" t="str">
        <f t="shared" si="23"/>
        <v/>
      </c>
      <c r="BO41" s="161" t="str">
        <f t="shared" si="24"/>
        <v/>
      </c>
      <c r="BP41" s="161" t="str">
        <f t="shared" si="25"/>
        <v/>
      </c>
      <c r="BQ41" s="161" t="str">
        <f t="shared" si="26"/>
        <v/>
      </c>
      <c r="BR41" s="161" t="str">
        <f t="shared" si="27"/>
        <v/>
      </c>
      <c r="BS41" s="161" t="str">
        <f t="shared" si="28"/>
        <v/>
      </c>
      <c r="BT41" s="161" t="str">
        <f t="shared" si="29"/>
        <v/>
      </c>
      <c r="BU41" s="161" t="str">
        <f t="shared" si="30"/>
        <v/>
      </c>
      <c r="BV41" s="161" t="str">
        <f t="shared" si="31"/>
        <v/>
      </c>
      <c r="BW41" s="161" t="str">
        <f t="shared" si="32"/>
        <v/>
      </c>
      <c r="BX41" s="161" t="str">
        <f t="shared" si="15"/>
        <v/>
      </c>
      <c r="BY41" s="148"/>
      <c r="BZ41" s="148"/>
      <c r="CA41" s="148"/>
      <c r="CB41" s="148" t="s">
        <v>149</v>
      </c>
      <c r="CC41" s="148" t="s">
        <v>230</v>
      </c>
    </row>
    <row r="42" spans="1:81" ht="14.25" customHeight="1" thickBot="1">
      <c r="A42" s="190">
        <v>32</v>
      </c>
      <c r="B42" s="196"/>
      <c r="C42" s="180"/>
      <c r="D42" s="136"/>
      <c r="E42" s="198" t="s">
        <v>177</v>
      </c>
      <c r="F42" s="199"/>
      <c r="G42" s="188"/>
      <c r="H42" s="188"/>
      <c r="I42" s="188"/>
      <c r="J42" s="188"/>
      <c r="K42" s="276">
        <f t="shared" si="16"/>
        <v>0</v>
      </c>
      <c r="L42" s="279"/>
      <c r="M42" s="280"/>
      <c r="N42" s="351"/>
      <c r="O42" s="342" t="s">
        <v>65</v>
      </c>
      <c r="P42" s="187"/>
      <c r="Q42" s="188"/>
      <c r="R42" s="188"/>
      <c r="S42" s="119"/>
      <c r="T42" s="188"/>
      <c r="U42" s="211">
        <f t="shared" si="17"/>
        <v>0</v>
      </c>
      <c r="V42" s="279"/>
      <c r="W42" s="280"/>
      <c r="X42" s="351"/>
      <c r="Y42" s="209" t="s">
        <v>85</v>
      </c>
      <c r="Z42" s="71"/>
      <c r="AA42" s="321"/>
      <c r="AB42" s="321"/>
      <c r="AC42" s="322"/>
      <c r="AD42" s="188"/>
      <c r="AE42" s="18">
        <f t="shared" si="18"/>
        <v>0</v>
      </c>
      <c r="AF42" s="71"/>
      <c r="AG42" s="322"/>
      <c r="AH42" s="360"/>
      <c r="AI42" s="97"/>
      <c r="AJ42" s="194"/>
      <c r="AK42" s="193"/>
      <c r="AL42" s="205"/>
      <c r="AM42" s="197"/>
      <c r="AN42" s="205"/>
      <c r="AO42" s="197"/>
      <c r="AP42" s="205"/>
      <c r="AQ42" s="197"/>
      <c r="AR42" s="13">
        <f t="shared" si="6"/>
        <v>4.1999999999999996E-6</v>
      </c>
      <c r="AS42" s="13">
        <f t="shared" si="7"/>
        <v>0</v>
      </c>
      <c r="AT42" s="13"/>
      <c r="AU42" s="195">
        <v>47</v>
      </c>
      <c r="AV42" s="77">
        <f t="shared" si="8"/>
        <v>3.6399999999999997E-5</v>
      </c>
      <c r="AW42" s="192">
        <f t="shared" si="9"/>
        <v>0</v>
      </c>
      <c r="AX42" s="219">
        <f t="shared" si="10"/>
        <v>4.1999999999999996E-6</v>
      </c>
      <c r="AY42" s="13">
        <f t="shared" si="19"/>
        <v>0</v>
      </c>
      <c r="AZ42" s="195">
        <v>47</v>
      </c>
      <c r="BA42" s="77">
        <f t="shared" si="11"/>
        <v>3.4999999999999997E-5</v>
      </c>
      <c r="BB42" s="192">
        <f t="shared" si="12"/>
        <v>0</v>
      </c>
      <c r="BC42" s="219">
        <f t="shared" si="20"/>
        <v>4.1999999999999996E-6</v>
      </c>
      <c r="BD42" s="13">
        <f t="shared" si="21"/>
        <v>0</v>
      </c>
      <c r="BE42" s="195">
        <v>47</v>
      </c>
      <c r="BF42" s="77">
        <f t="shared" si="13"/>
        <v>3.4999999999999997E-5</v>
      </c>
      <c r="BG42" s="192">
        <f t="shared" si="14"/>
        <v>0</v>
      </c>
      <c r="BI42" s="120"/>
      <c r="BJ42" s="120"/>
      <c r="BK42" s="160"/>
      <c r="BL42" s="160"/>
      <c r="BM42" s="161" t="str">
        <f t="shared" si="22"/>
        <v/>
      </c>
      <c r="BN42" s="161" t="str">
        <f t="shared" si="23"/>
        <v/>
      </c>
      <c r="BO42" s="161" t="str">
        <f t="shared" si="24"/>
        <v/>
      </c>
      <c r="BP42" s="161" t="str">
        <f t="shared" si="25"/>
        <v/>
      </c>
      <c r="BQ42" s="161" t="str">
        <f t="shared" si="26"/>
        <v/>
      </c>
      <c r="BR42" s="161" t="str">
        <f t="shared" si="27"/>
        <v/>
      </c>
      <c r="BS42" s="161" t="str">
        <f t="shared" si="28"/>
        <v/>
      </c>
      <c r="BT42" s="161" t="str">
        <f t="shared" si="29"/>
        <v/>
      </c>
      <c r="BU42" s="161" t="str">
        <f t="shared" si="30"/>
        <v/>
      </c>
      <c r="BV42" s="161" t="str">
        <f t="shared" si="31"/>
        <v/>
      </c>
      <c r="BW42" s="161" t="str">
        <f t="shared" si="32"/>
        <v/>
      </c>
      <c r="BX42" s="161" t="str">
        <f t="shared" si="15"/>
        <v/>
      </c>
      <c r="BY42" s="148"/>
      <c r="BZ42" s="148"/>
      <c r="CA42" s="148"/>
      <c r="CB42" s="148" t="s">
        <v>149</v>
      </c>
      <c r="CC42" s="148" t="s">
        <v>230</v>
      </c>
    </row>
    <row r="43" spans="1:81" ht="14.25" customHeight="1" thickBot="1">
      <c r="A43" s="190">
        <v>33</v>
      </c>
      <c r="B43" s="78"/>
      <c r="C43" s="181"/>
      <c r="D43" s="86"/>
      <c r="E43" s="198" t="s">
        <v>177</v>
      </c>
      <c r="F43" s="199"/>
      <c r="G43" s="93"/>
      <c r="H43" s="93"/>
      <c r="I43" s="93"/>
      <c r="J43" s="93"/>
      <c r="K43" s="276">
        <f t="shared" si="16"/>
        <v>0</v>
      </c>
      <c r="L43" s="281"/>
      <c r="M43" s="282"/>
      <c r="N43" s="352"/>
      <c r="O43" s="343" t="s">
        <v>65</v>
      </c>
      <c r="P43" s="88"/>
      <c r="Q43" s="93"/>
      <c r="R43" s="93"/>
      <c r="S43" s="89"/>
      <c r="T43" s="93"/>
      <c r="U43" s="212">
        <f t="shared" si="17"/>
        <v>0</v>
      </c>
      <c r="V43" s="281"/>
      <c r="W43" s="282"/>
      <c r="X43" s="352"/>
      <c r="Y43" s="210" t="s">
        <v>85</v>
      </c>
      <c r="Z43" s="72"/>
      <c r="AA43" s="323"/>
      <c r="AB43" s="323"/>
      <c r="AC43" s="324"/>
      <c r="AD43" s="93"/>
      <c r="AE43" s="81">
        <f t="shared" si="18"/>
        <v>0</v>
      </c>
      <c r="AF43" s="72"/>
      <c r="AG43" s="324"/>
      <c r="AH43" s="361"/>
      <c r="AI43" s="98"/>
      <c r="AJ43" s="95"/>
      <c r="AK43" s="215"/>
      <c r="AL43" s="206"/>
      <c r="AM43" s="83"/>
      <c r="AN43" s="206"/>
      <c r="AO43" s="83"/>
      <c r="AP43" s="206"/>
      <c r="AQ43" s="83"/>
      <c r="AR43" s="13">
        <f t="shared" si="6"/>
        <v>4.2999999999999995E-6</v>
      </c>
      <c r="AS43" s="13">
        <f t="shared" si="7"/>
        <v>0</v>
      </c>
      <c r="AT43" s="13"/>
      <c r="AU43" s="195">
        <v>48</v>
      </c>
      <c r="AV43" s="77">
        <f t="shared" si="8"/>
        <v>3.6300000000000001E-5</v>
      </c>
      <c r="AW43" s="192">
        <f t="shared" si="9"/>
        <v>0</v>
      </c>
      <c r="AX43" s="219">
        <f t="shared" si="10"/>
        <v>4.2999999999999995E-6</v>
      </c>
      <c r="AY43" s="13">
        <f t="shared" si="19"/>
        <v>0</v>
      </c>
      <c r="AZ43" s="195">
        <v>48</v>
      </c>
      <c r="BA43" s="77">
        <f t="shared" si="11"/>
        <v>3.4900000000000001E-5</v>
      </c>
      <c r="BB43" s="192">
        <f t="shared" si="12"/>
        <v>0</v>
      </c>
      <c r="BC43" s="219">
        <f t="shared" si="20"/>
        <v>4.2999999999999995E-6</v>
      </c>
      <c r="BD43" s="13">
        <f t="shared" si="21"/>
        <v>0</v>
      </c>
      <c r="BE43" s="195">
        <v>48</v>
      </c>
      <c r="BF43" s="77">
        <f t="shared" si="13"/>
        <v>3.4900000000000001E-5</v>
      </c>
      <c r="BG43" s="192">
        <f t="shared" si="14"/>
        <v>0</v>
      </c>
      <c r="BI43" s="120"/>
      <c r="BJ43" s="120"/>
      <c r="BK43" s="160"/>
      <c r="BL43" s="160"/>
      <c r="BM43" s="161" t="str">
        <f t="shared" si="22"/>
        <v/>
      </c>
      <c r="BN43" s="161" t="str">
        <f t="shared" si="23"/>
        <v/>
      </c>
      <c r="BO43" s="161" t="str">
        <f t="shared" si="24"/>
        <v/>
      </c>
      <c r="BP43" s="161" t="str">
        <f t="shared" si="25"/>
        <v/>
      </c>
      <c r="BQ43" s="161" t="str">
        <f t="shared" si="26"/>
        <v/>
      </c>
      <c r="BR43" s="161" t="str">
        <f t="shared" si="27"/>
        <v/>
      </c>
      <c r="BS43" s="161" t="str">
        <f t="shared" si="28"/>
        <v/>
      </c>
      <c r="BT43" s="161" t="str">
        <f t="shared" si="29"/>
        <v/>
      </c>
      <c r="BU43" s="161" t="str">
        <f t="shared" si="30"/>
        <v/>
      </c>
      <c r="BV43" s="161" t="str">
        <f t="shared" si="31"/>
        <v/>
      </c>
      <c r="BW43" s="161" t="str">
        <f t="shared" si="32"/>
        <v/>
      </c>
      <c r="BX43" s="161" t="str">
        <f t="shared" si="15"/>
        <v/>
      </c>
      <c r="BY43" s="148"/>
      <c r="BZ43" s="148"/>
      <c r="CA43" s="148"/>
      <c r="CB43" s="148" t="s">
        <v>149</v>
      </c>
      <c r="CC43" s="148" t="s">
        <v>230</v>
      </c>
    </row>
    <row r="44" spans="1:81" ht="14.25" customHeight="1" thickBot="1">
      <c r="A44" s="190">
        <v>34</v>
      </c>
      <c r="B44" s="79"/>
      <c r="C44" s="179"/>
      <c r="D44" s="137"/>
      <c r="E44" s="198" t="s">
        <v>177</v>
      </c>
      <c r="F44" s="199"/>
      <c r="G44" s="200"/>
      <c r="H44" s="200"/>
      <c r="I44" s="200"/>
      <c r="J44" s="200"/>
      <c r="K44" s="276">
        <f t="shared" si="16"/>
        <v>0</v>
      </c>
      <c r="L44" s="277"/>
      <c r="M44" s="278"/>
      <c r="N44" s="350"/>
      <c r="O44" s="341" t="s">
        <v>65</v>
      </c>
      <c r="P44" s="189"/>
      <c r="Q44" s="326"/>
      <c r="R44" s="326"/>
      <c r="S44" s="87"/>
      <c r="T44" s="207"/>
      <c r="U44" s="225">
        <f t="shared" si="17"/>
        <v>0</v>
      </c>
      <c r="V44" s="277"/>
      <c r="W44" s="278"/>
      <c r="X44" s="350"/>
      <c r="Y44" s="208" t="s">
        <v>147</v>
      </c>
      <c r="Z44" s="11"/>
      <c r="AA44" s="207"/>
      <c r="AB44" s="207"/>
      <c r="AC44" s="3"/>
      <c r="AD44" s="207"/>
      <c r="AE44" s="226">
        <f t="shared" si="18"/>
        <v>0</v>
      </c>
      <c r="AF44" s="11"/>
      <c r="AG44" s="3"/>
      <c r="AH44" s="359"/>
      <c r="AI44" s="96"/>
      <c r="AJ44" s="94"/>
      <c r="AK44" s="214"/>
      <c r="AL44" s="213"/>
      <c r="AM44" s="82"/>
      <c r="AN44" s="213"/>
      <c r="AO44" s="82"/>
      <c r="AP44" s="213"/>
      <c r="AQ44" s="82"/>
      <c r="AR44" s="13">
        <f t="shared" si="6"/>
        <v>4.4000000000000002E-6</v>
      </c>
      <c r="AS44" s="13">
        <f t="shared" si="7"/>
        <v>0</v>
      </c>
      <c r="AT44" s="13"/>
      <c r="AU44" s="195">
        <v>49</v>
      </c>
      <c r="AV44" s="77">
        <f t="shared" si="8"/>
        <v>3.6199999999999999E-5</v>
      </c>
      <c r="AW44" s="192">
        <f t="shared" si="9"/>
        <v>0</v>
      </c>
      <c r="AX44" s="219">
        <f t="shared" si="10"/>
        <v>4.4000000000000002E-6</v>
      </c>
      <c r="AY44" s="13">
        <f t="shared" si="19"/>
        <v>0</v>
      </c>
      <c r="AZ44" s="195">
        <v>49</v>
      </c>
      <c r="BA44" s="77">
        <f t="shared" si="11"/>
        <v>3.4799999999999999E-5</v>
      </c>
      <c r="BB44" s="192">
        <f t="shared" si="12"/>
        <v>0</v>
      </c>
      <c r="BC44" s="219">
        <f t="shared" si="20"/>
        <v>4.4000000000000002E-6</v>
      </c>
      <c r="BD44" s="13">
        <f t="shared" si="21"/>
        <v>0</v>
      </c>
      <c r="BE44" s="195">
        <v>49</v>
      </c>
      <c r="BF44" s="77">
        <f t="shared" si="13"/>
        <v>3.4799999999999999E-5</v>
      </c>
      <c r="BG44" s="192">
        <f t="shared" si="14"/>
        <v>0</v>
      </c>
      <c r="BI44" s="120"/>
      <c r="BJ44" s="120"/>
      <c r="BK44" s="160"/>
      <c r="BL44" s="160"/>
      <c r="BM44" s="161" t="str">
        <f t="shared" si="22"/>
        <v/>
      </c>
      <c r="BN44" s="161" t="str">
        <f t="shared" si="23"/>
        <v/>
      </c>
      <c r="BO44" s="161" t="str">
        <f t="shared" si="24"/>
        <v/>
      </c>
      <c r="BP44" s="161" t="str">
        <f t="shared" si="25"/>
        <v/>
      </c>
      <c r="BQ44" s="161" t="str">
        <f t="shared" si="26"/>
        <v/>
      </c>
      <c r="BR44" s="161" t="str">
        <f t="shared" si="27"/>
        <v/>
      </c>
      <c r="BS44" s="161" t="str">
        <f t="shared" si="28"/>
        <v/>
      </c>
      <c r="BT44" s="161" t="str">
        <f t="shared" si="29"/>
        <v/>
      </c>
      <c r="BU44" s="161" t="str">
        <f t="shared" si="30"/>
        <v/>
      </c>
      <c r="BV44" s="161" t="str">
        <f t="shared" si="31"/>
        <v/>
      </c>
      <c r="BW44" s="161" t="str">
        <f t="shared" si="32"/>
        <v/>
      </c>
      <c r="BX44" s="161" t="str">
        <f t="shared" si="15"/>
        <v/>
      </c>
      <c r="BY44" s="148"/>
      <c r="BZ44" s="148"/>
      <c r="CA44" s="148"/>
      <c r="CB44" s="148" t="s">
        <v>149</v>
      </c>
      <c r="CC44" s="148" t="s">
        <v>230</v>
      </c>
    </row>
    <row r="45" spans="1:81" ht="14.25" customHeight="1" thickBot="1">
      <c r="A45" s="190">
        <v>35</v>
      </c>
      <c r="B45" s="196"/>
      <c r="C45" s="180"/>
      <c r="D45" s="136"/>
      <c r="E45" s="198" t="s">
        <v>177</v>
      </c>
      <c r="F45" s="199"/>
      <c r="G45" s="188"/>
      <c r="H45" s="188"/>
      <c r="I45" s="188"/>
      <c r="J45" s="188"/>
      <c r="K45" s="276">
        <f t="shared" si="16"/>
        <v>0</v>
      </c>
      <c r="L45" s="279"/>
      <c r="M45" s="280"/>
      <c r="N45" s="351"/>
      <c r="O45" s="342" t="s">
        <v>65</v>
      </c>
      <c r="P45" s="187"/>
      <c r="Q45" s="188"/>
      <c r="R45" s="188"/>
      <c r="S45" s="119"/>
      <c r="T45" s="188"/>
      <c r="U45" s="211">
        <f t="shared" si="17"/>
        <v>0</v>
      </c>
      <c r="V45" s="279"/>
      <c r="W45" s="280"/>
      <c r="X45" s="351"/>
      <c r="Y45" s="209" t="s">
        <v>85</v>
      </c>
      <c r="Z45" s="71"/>
      <c r="AA45" s="321"/>
      <c r="AB45" s="321"/>
      <c r="AC45" s="322"/>
      <c r="AD45" s="188"/>
      <c r="AE45" s="18">
        <f t="shared" si="18"/>
        <v>0</v>
      </c>
      <c r="AF45" s="71"/>
      <c r="AG45" s="322"/>
      <c r="AH45" s="360"/>
      <c r="AI45" s="97"/>
      <c r="AJ45" s="194"/>
      <c r="AK45" s="193"/>
      <c r="AL45" s="205"/>
      <c r="AM45" s="197"/>
      <c r="AN45" s="205"/>
      <c r="AO45" s="197"/>
      <c r="AP45" s="205"/>
      <c r="AQ45" s="197"/>
      <c r="AR45" s="13">
        <f t="shared" si="6"/>
        <v>4.5000000000000001E-6</v>
      </c>
      <c r="AS45" s="13">
        <f t="shared" si="7"/>
        <v>0</v>
      </c>
      <c r="AT45" s="13"/>
      <c r="AU45" s="195">
        <v>50</v>
      </c>
      <c r="AV45" s="77">
        <f t="shared" si="8"/>
        <v>3.6099999999999997E-5</v>
      </c>
      <c r="AW45" s="192">
        <f t="shared" si="9"/>
        <v>0</v>
      </c>
      <c r="AX45" s="219">
        <f t="shared" si="10"/>
        <v>4.5000000000000001E-6</v>
      </c>
      <c r="AY45" s="13">
        <f t="shared" si="19"/>
        <v>0</v>
      </c>
      <c r="AZ45" s="195">
        <v>50</v>
      </c>
      <c r="BA45" s="77">
        <f t="shared" si="11"/>
        <v>3.4699999999999996E-5</v>
      </c>
      <c r="BB45" s="192">
        <f t="shared" si="12"/>
        <v>0</v>
      </c>
      <c r="BC45" s="219">
        <f t="shared" si="20"/>
        <v>4.5000000000000001E-6</v>
      </c>
      <c r="BD45" s="13">
        <f t="shared" si="21"/>
        <v>0</v>
      </c>
      <c r="BE45" s="195">
        <v>50</v>
      </c>
      <c r="BF45" s="77">
        <f t="shared" si="13"/>
        <v>3.4699999999999996E-5</v>
      </c>
      <c r="BG45" s="192">
        <f t="shared" si="14"/>
        <v>0</v>
      </c>
      <c r="BI45" s="120"/>
      <c r="BJ45" s="120"/>
      <c r="BK45" s="160"/>
      <c r="BL45" s="160"/>
      <c r="BM45" s="161" t="str">
        <f t="shared" si="22"/>
        <v/>
      </c>
      <c r="BN45" s="161" t="str">
        <f t="shared" si="23"/>
        <v/>
      </c>
      <c r="BO45" s="161" t="str">
        <f t="shared" si="24"/>
        <v/>
      </c>
      <c r="BP45" s="161" t="str">
        <f t="shared" si="25"/>
        <v/>
      </c>
      <c r="BQ45" s="161" t="str">
        <f t="shared" si="26"/>
        <v/>
      </c>
      <c r="BR45" s="161" t="str">
        <f t="shared" si="27"/>
        <v/>
      </c>
      <c r="BS45" s="161" t="str">
        <f t="shared" si="28"/>
        <v/>
      </c>
      <c r="BT45" s="161" t="str">
        <f t="shared" si="29"/>
        <v/>
      </c>
      <c r="BU45" s="161" t="str">
        <f t="shared" si="30"/>
        <v/>
      </c>
      <c r="BV45" s="161" t="str">
        <f t="shared" si="31"/>
        <v/>
      </c>
      <c r="BW45" s="161" t="str">
        <f t="shared" si="32"/>
        <v/>
      </c>
      <c r="BX45" s="161" t="str">
        <f t="shared" si="15"/>
        <v/>
      </c>
      <c r="BY45" s="148"/>
      <c r="BZ45" s="148"/>
      <c r="CA45" s="148"/>
      <c r="CB45" s="148" t="s">
        <v>149</v>
      </c>
      <c r="CC45" s="148" t="s">
        <v>230</v>
      </c>
    </row>
    <row r="46" spans="1:81" ht="14.25" customHeight="1" thickBot="1">
      <c r="A46" s="190">
        <v>36</v>
      </c>
      <c r="B46" s="78"/>
      <c r="C46" s="181"/>
      <c r="D46" s="86"/>
      <c r="E46" s="198" t="s">
        <v>177</v>
      </c>
      <c r="F46" s="199"/>
      <c r="G46" s="93"/>
      <c r="H46" s="93"/>
      <c r="I46" s="93"/>
      <c r="J46" s="93"/>
      <c r="K46" s="276">
        <f t="shared" si="16"/>
        <v>0</v>
      </c>
      <c r="L46" s="281"/>
      <c r="M46" s="282"/>
      <c r="N46" s="352"/>
      <c r="O46" s="343" t="s">
        <v>65</v>
      </c>
      <c r="P46" s="88"/>
      <c r="Q46" s="93"/>
      <c r="R46" s="93"/>
      <c r="S46" s="89"/>
      <c r="T46" s="93"/>
      <c r="U46" s="212">
        <f t="shared" si="17"/>
        <v>0</v>
      </c>
      <c r="V46" s="281"/>
      <c r="W46" s="282"/>
      <c r="X46" s="352"/>
      <c r="Y46" s="210" t="s">
        <v>85</v>
      </c>
      <c r="Z46" s="72"/>
      <c r="AA46" s="323"/>
      <c r="AB46" s="323"/>
      <c r="AC46" s="324"/>
      <c r="AD46" s="93"/>
      <c r="AE46" s="81">
        <f t="shared" si="18"/>
        <v>0</v>
      </c>
      <c r="AF46" s="72"/>
      <c r="AG46" s="324"/>
      <c r="AH46" s="361"/>
      <c r="AI46" s="98"/>
      <c r="AJ46" s="95"/>
      <c r="AK46" s="215"/>
      <c r="AL46" s="206"/>
      <c r="AM46" s="83"/>
      <c r="AN46" s="206"/>
      <c r="AO46" s="83"/>
      <c r="AP46" s="206"/>
      <c r="AQ46" s="83"/>
      <c r="AR46" s="13">
        <f t="shared" si="6"/>
        <v>4.6E-6</v>
      </c>
      <c r="AS46" s="13">
        <f t="shared" si="7"/>
        <v>0</v>
      </c>
      <c r="AT46" s="13"/>
      <c r="AU46" s="195">
        <v>51</v>
      </c>
      <c r="AV46" s="77">
        <f t="shared" si="8"/>
        <v>3.6000000000000001E-5</v>
      </c>
      <c r="AW46" s="192">
        <f t="shared" si="9"/>
        <v>0</v>
      </c>
      <c r="AX46" s="219">
        <f t="shared" si="10"/>
        <v>4.6E-6</v>
      </c>
      <c r="AY46" s="13">
        <f t="shared" si="19"/>
        <v>0</v>
      </c>
      <c r="AZ46" s="195">
        <v>51</v>
      </c>
      <c r="BA46" s="77">
        <f t="shared" si="11"/>
        <v>3.4600000000000001E-5</v>
      </c>
      <c r="BB46" s="192">
        <f t="shared" si="12"/>
        <v>0</v>
      </c>
      <c r="BC46" s="219">
        <f t="shared" si="20"/>
        <v>4.6E-6</v>
      </c>
      <c r="BD46" s="13">
        <f t="shared" si="21"/>
        <v>0</v>
      </c>
      <c r="BE46" s="195">
        <v>51</v>
      </c>
      <c r="BF46" s="77">
        <f t="shared" si="13"/>
        <v>3.4600000000000001E-5</v>
      </c>
      <c r="BG46" s="192">
        <f t="shared" si="14"/>
        <v>0</v>
      </c>
      <c r="BI46" s="120"/>
      <c r="BJ46" s="120"/>
      <c r="BK46" s="160"/>
      <c r="BL46" s="160"/>
      <c r="BM46" s="161" t="str">
        <f t="shared" si="22"/>
        <v/>
      </c>
      <c r="BN46" s="161" t="str">
        <f t="shared" si="23"/>
        <v/>
      </c>
      <c r="BO46" s="161" t="str">
        <f t="shared" si="24"/>
        <v/>
      </c>
      <c r="BP46" s="161" t="str">
        <f t="shared" si="25"/>
        <v/>
      </c>
      <c r="BQ46" s="161" t="str">
        <f t="shared" si="26"/>
        <v/>
      </c>
      <c r="BR46" s="161" t="str">
        <f t="shared" si="27"/>
        <v/>
      </c>
      <c r="BS46" s="161" t="str">
        <f t="shared" si="28"/>
        <v/>
      </c>
      <c r="BT46" s="161" t="str">
        <f t="shared" si="29"/>
        <v/>
      </c>
      <c r="BU46" s="161" t="str">
        <f t="shared" si="30"/>
        <v/>
      </c>
      <c r="BV46" s="161" t="str">
        <f t="shared" si="31"/>
        <v/>
      </c>
      <c r="BW46" s="161" t="str">
        <f t="shared" si="32"/>
        <v/>
      </c>
      <c r="BX46" s="161" t="str">
        <f t="shared" si="15"/>
        <v/>
      </c>
      <c r="BY46" s="148"/>
      <c r="BZ46" s="148"/>
      <c r="CA46" s="148"/>
      <c r="CB46" s="148" t="s">
        <v>149</v>
      </c>
      <c r="CC46" s="148" t="s">
        <v>230</v>
      </c>
    </row>
    <row r="47" spans="1:81" ht="14.25" customHeight="1" thickBot="1">
      <c r="A47" s="190">
        <v>37</v>
      </c>
      <c r="B47" s="79"/>
      <c r="C47" s="179"/>
      <c r="D47" s="137"/>
      <c r="E47" s="198" t="s">
        <v>177</v>
      </c>
      <c r="F47" s="199"/>
      <c r="G47" s="200"/>
      <c r="H47" s="200"/>
      <c r="I47" s="200"/>
      <c r="J47" s="200"/>
      <c r="K47" s="276">
        <f t="shared" si="16"/>
        <v>0</v>
      </c>
      <c r="L47" s="277"/>
      <c r="M47" s="278"/>
      <c r="N47" s="350"/>
      <c r="O47" s="341" t="s">
        <v>65</v>
      </c>
      <c r="P47" s="189"/>
      <c r="Q47" s="326"/>
      <c r="R47" s="326"/>
      <c r="S47" s="87"/>
      <c r="T47" s="207"/>
      <c r="U47" s="225">
        <f t="shared" si="17"/>
        <v>0</v>
      </c>
      <c r="V47" s="277"/>
      <c r="W47" s="278"/>
      <c r="X47" s="350"/>
      <c r="Y47" s="208" t="s">
        <v>147</v>
      </c>
      <c r="Z47" s="11"/>
      <c r="AA47" s="207"/>
      <c r="AB47" s="207"/>
      <c r="AC47" s="3"/>
      <c r="AD47" s="207"/>
      <c r="AE47" s="226">
        <f t="shared" si="18"/>
        <v>0</v>
      </c>
      <c r="AF47" s="11"/>
      <c r="AG47" s="3"/>
      <c r="AH47" s="359"/>
      <c r="AI47" s="96"/>
      <c r="AJ47" s="94"/>
      <c r="AK47" s="214"/>
      <c r="AL47" s="213"/>
      <c r="AM47" s="82"/>
      <c r="AN47" s="213"/>
      <c r="AO47" s="82"/>
      <c r="AP47" s="213"/>
      <c r="AQ47" s="82"/>
      <c r="AR47" s="13">
        <f t="shared" si="6"/>
        <v>4.6999999999999999E-6</v>
      </c>
      <c r="AS47" s="13">
        <f t="shared" si="7"/>
        <v>0</v>
      </c>
      <c r="AT47" s="13"/>
      <c r="AU47" s="195">
        <v>52</v>
      </c>
      <c r="AV47" s="77">
        <f t="shared" si="8"/>
        <v>3.5899999999999998E-5</v>
      </c>
      <c r="AW47" s="192">
        <f t="shared" si="9"/>
        <v>0</v>
      </c>
      <c r="AX47" s="219">
        <f t="shared" si="10"/>
        <v>4.6999999999999999E-6</v>
      </c>
      <c r="AY47" s="13">
        <f t="shared" si="19"/>
        <v>0</v>
      </c>
      <c r="AZ47" s="195">
        <v>52</v>
      </c>
      <c r="BA47" s="77">
        <f t="shared" si="11"/>
        <v>3.4499999999999998E-5</v>
      </c>
      <c r="BB47" s="192">
        <f t="shared" si="12"/>
        <v>0</v>
      </c>
      <c r="BC47" s="219">
        <f t="shared" si="20"/>
        <v>4.6999999999999999E-6</v>
      </c>
      <c r="BD47" s="13">
        <f t="shared" si="21"/>
        <v>0</v>
      </c>
      <c r="BE47" s="195">
        <v>52</v>
      </c>
      <c r="BF47" s="77">
        <f t="shared" si="13"/>
        <v>3.4499999999999998E-5</v>
      </c>
      <c r="BG47" s="192">
        <f t="shared" si="14"/>
        <v>0</v>
      </c>
      <c r="BI47" s="120"/>
      <c r="BJ47" s="120"/>
      <c r="BK47" s="160"/>
      <c r="BL47" s="160"/>
      <c r="BM47" s="161" t="str">
        <f t="shared" si="22"/>
        <v/>
      </c>
      <c r="BN47" s="161" t="str">
        <f t="shared" si="23"/>
        <v/>
      </c>
      <c r="BO47" s="161" t="str">
        <f t="shared" si="24"/>
        <v/>
      </c>
      <c r="BP47" s="161" t="str">
        <f t="shared" si="25"/>
        <v/>
      </c>
      <c r="BQ47" s="161" t="str">
        <f t="shared" si="26"/>
        <v/>
      </c>
      <c r="BR47" s="161" t="str">
        <f t="shared" si="27"/>
        <v/>
      </c>
      <c r="BS47" s="161" t="str">
        <f t="shared" si="28"/>
        <v/>
      </c>
      <c r="BT47" s="161" t="str">
        <f t="shared" si="29"/>
        <v/>
      </c>
      <c r="BU47" s="161" t="str">
        <f t="shared" si="30"/>
        <v/>
      </c>
      <c r="BV47" s="161" t="str">
        <f t="shared" si="31"/>
        <v/>
      </c>
      <c r="BW47" s="161" t="str">
        <f t="shared" si="32"/>
        <v/>
      </c>
      <c r="BX47" s="161" t="str">
        <f t="shared" si="15"/>
        <v/>
      </c>
      <c r="BY47" s="148"/>
      <c r="BZ47" s="148"/>
      <c r="CA47" s="148"/>
      <c r="CB47" s="148" t="s">
        <v>149</v>
      </c>
      <c r="CC47" s="148" t="s">
        <v>230</v>
      </c>
    </row>
    <row r="48" spans="1:81" ht="14.25" customHeight="1" thickBot="1">
      <c r="A48" s="190">
        <v>38</v>
      </c>
      <c r="B48" s="196"/>
      <c r="C48" s="180"/>
      <c r="D48" s="136"/>
      <c r="E48" s="198" t="s">
        <v>177</v>
      </c>
      <c r="F48" s="199"/>
      <c r="G48" s="188"/>
      <c r="H48" s="188"/>
      <c r="I48" s="188"/>
      <c r="J48" s="188"/>
      <c r="K48" s="276">
        <f t="shared" si="16"/>
        <v>0</v>
      </c>
      <c r="L48" s="279"/>
      <c r="M48" s="280"/>
      <c r="N48" s="351"/>
      <c r="O48" s="342" t="s">
        <v>65</v>
      </c>
      <c r="P48" s="187"/>
      <c r="Q48" s="188"/>
      <c r="R48" s="188"/>
      <c r="S48" s="119"/>
      <c r="T48" s="188"/>
      <c r="U48" s="211">
        <f t="shared" si="17"/>
        <v>0</v>
      </c>
      <c r="V48" s="279"/>
      <c r="W48" s="280"/>
      <c r="X48" s="351"/>
      <c r="Y48" s="209" t="s">
        <v>85</v>
      </c>
      <c r="Z48" s="71"/>
      <c r="AA48" s="321"/>
      <c r="AB48" s="321"/>
      <c r="AC48" s="322"/>
      <c r="AD48" s="188"/>
      <c r="AE48" s="18">
        <f t="shared" si="18"/>
        <v>0</v>
      </c>
      <c r="AF48" s="71"/>
      <c r="AG48" s="322"/>
      <c r="AH48" s="360"/>
      <c r="AI48" s="97"/>
      <c r="AJ48" s="194"/>
      <c r="AK48" s="193"/>
      <c r="AL48" s="205"/>
      <c r="AM48" s="197"/>
      <c r="AN48" s="205"/>
      <c r="AO48" s="197"/>
      <c r="AP48" s="205"/>
      <c r="AQ48" s="197"/>
      <c r="AR48" s="13">
        <f t="shared" si="6"/>
        <v>4.7999999999999998E-6</v>
      </c>
      <c r="AS48" s="13">
        <f t="shared" si="7"/>
        <v>0</v>
      </c>
      <c r="AT48" s="13"/>
      <c r="AU48" s="195">
        <v>53</v>
      </c>
      <c r="AV48" s="77">
        <f t="shared" si="8"/>
        <v>3.5799999999999996E-5</v>
      </c>
      <c r="AW48" s="192">
        <f t="shared" si="9"/>
        <v>0</v>
      </c>
      <c r="AX48" s="219">
        <f t="shared" si="10"/>
        <v>4.7999999999999998E-6</v>
      </c>
      <c r="AY48" s="13">
        <f t="shared" si="19"/>
        <v>0</v>
      </c>
      <c r="AZ48" s="195">
        <v>53</v>
      </c>
      <c r="BA48" s="77">
        <f t="shared" si="11"/>
        <v>3.4399999999999996E-5</v>
      </c>
      <c r="BB48" s="192">
        <f t="shared" si="12"/>
        <v>0</v>
      </c>
      <c r="BC48" s="219">
        <f t="shared" si="20"/>
        <v>4.7999999999999998E-6</v>
      </c>
      <c r="BD48" s="13">
        <f t="shared" si="21"/>
        <v>0</v>
      </c>
      <c r="BE48" s="195">
        <v>53</v>
      </c>
      <c r="BF48" s="77">
        <f t="shared" si="13"/>
        <v>3.4399999999999996E-5</v>
      </c>
      <c r="BG48" s="192">
        <f t="shared" si="14"/>
        <v>0</v>
      </c>
      <c r="BI48" s="120"/>
      <c r="BJ48" s="120"/>
      <c r="BK48" s="160"/>
      <c r="BL48" s="160"/>
      <c r="BM48" s="161" t="str">
        <f t="shared" si="22"/>
        <v/>
      </c>
      <c r="BN48" s="161" t="str">
        <f t="shared" si="23"/>
        <v/>
      </c>
      <c r="BO48" s="161" t="str">
        <f t="shared" si="24"/>
        <v/>
      </c>
      <c r="BP48" s="161" t="str">
        <f t="shared" si="25"/>
        <v/>
      </c>
      <c r="BQ48" s="161" t="str">
        <f t="shared" si="26"/>
        <v/>
      </c>
      <c r="BR48" s="161" t="str">
        <f t="shared" si="27"/>
        <v/>
      </c>
      <c r="BS48" s="161" t="str">
        <f t="shared" si="28"/>
        <v/>
      </c>
      <c r="BT48" s="161" t="str">
        <f t="shared" si="29"/>
        <v/>
      </c>
      <c r="BU48" s="161" t="str">
        <f t="shared" si="30"/>
        <v/>
      </c>
      <c r="BV48" s="161" t="str">
        <f t="shared" si="31"/>
        <v/>
      </c>
      <c r="BW48" s="161" t="str">
        <f t="shared" si="32"/>
        <v/>
      </c>
      <c r="BX48" s="161" t="str">
        <f t="shared" si="15"/>
        <v/>
      </c>
      <c r="BY48" s="148"/>
      <c r="BZ48" s="148"/>
      <c r="CA48" s="148"/>
      <c r="CB48" s="148" t="s">
        <v>149</v>
      </c>
      <c r="CC48" s="148" t="s">
        <v>230</v>
      </c>
    </row>
    <row r="49" spans="1:81" ht="14.25" customHeight="1" thickBot="1">
      <c r="A49" s="190">
        <v>39</v>
      </c>
      <c r="B49" s="78"/>
      <c r="C49" s="181"/>
      <c r="D49" s="86"/>
      <c r="E49" s="92"/>
      <c r="F49" s="199"/>
      <c r="G49" s="93"/>
      <c r="H49" s="93"/>
      <c r="I49" s="93"/>
      <c r="J49" s="93"/>
      <c r="K49" s="276">
        <f t="shared" si="16"/>
        <v>0</v>
      </c>
      <c r="L49" s="281"/>
      <c r="M49" s="282"/>
      <c r="N49" s="352"/>
      <c r="O49" s="343" t="s">
        <v>65</v>
      </c>
      <c r="P49" s="88"/>
      <c r="Q49" s="93"/>
      <c r="R49" s="93"/>
      <c r="S49" s="89"/>
      <c r="T49" s="93"/>
      <c r="U49" s="212">
        <f t="shared" si="17"/>
        <v>0</v>
      </c>
      <c r="V49" s="281"/>
      <c r="W49" s="282"/>
      <c r="X49" s="352"/>
      <c r="Y49" s="210" t="s">
        <v>85</v>
      </c>
      <c r="Z49" s="72"/>
      <c r="AA49" s="323"/>
      <c r="AB49" s="323"/>
      <c r="AC49" s="324"/>
      <c r="AD49" s="93"/>
      <c r="AE49" s="81">
        <f t="shared" si="18"/>
        <v>0</v>
      </c>
      <c r="AF49" s="72"/>
      <c r="AG49" s="324"/>
      <c r="AH49" s="361"/>
      <c r="AI49" s="98"/>
      <c r="AJ49" s="95"/>
      <c r="AK49" s="215"/>
      <c r="AL49" s="206"/>
      <c r="AM49" s="83"/>
      <c r="AN49" s="206"/>
      <c r="AO49" s="83"/>
      <c r="AP49" s="206"/>
      <c r="AQ49" s="83"/>
      <c r="AR49" s="13">
        <f t="shared" si="6"/>
        <v>4.8999999999999997E-6</v>
      </c>
      <c r="AS49" s="13">
        <f t="shared" si="7"/>
        <v>0</v>
      </c>
      <c r="AT49" s="13"/>
      <c r="AU49" s="195">
        <v>54</v>
      </c>
      <c r="AV49" s="77">
        <f t="shared" si="8"/>
        <v>3.57E-5</v>
      </c>
      <c r="AW49" s="192">
        <f t="shared" si="9"/>
        <v>0</v>
      </c>
      <c r="AX49" s="219">
        <f t="shared" si="10"/>
        <v>4.8999999999999997E-6</v>
      </c>
      <c r="AY49" s="13">
        <f t="shared" si="19"/>
        <v>0</v>
      </c>
      <c r="AZ49" s="195">
        <v>54</v>
      </c>
      <c r="BA49" s="77">
        <f t="shared" si="11"/>
        <v>3.43E-5</v>
      </c>
      <c r="BB49" s="192">
        <f t="shared" si="12"/>
        <v>0</v>
      </c>
      <c r="BC49" s="219">
        <f t="shared" si="20"/>
        <v>4.8999999999999997E-6</v>
      </c>
      <c r="BD49" s="13">
        <f t="shared" si="21"/>
        <v>0</v>
      </c>
      <c r="BE49" s="195">
        <v>54</v>
      </c>
      <c r="BF49" s="77">
        <f t="shared" si="13"/>
        <v>3.43E-5</v>
      </c>
      <c r="BG49" s="192">
        <f t="shared" si="14"/>
        <v>0</v>
      </c>
      <c r="BI49" s="120"/>
      <c r="BJ49" s="120"/>
      <c r="BK49" s="160"/>
      <c r="BL49" s="160"/>
      <c r="BM49" s="161" t="str">
        <f t="shared" si="22"/>
        <v/>
      </c>
      <c r="BN49" s="161" t="str">
        <f t="shared" si="23"/>
        <v/>
      </c>
      <c r="BO49" s="161" t="str">
        <f t="shared" si="24"/>
        <v/>
      </c>
      <c r="BP49" s="161" t="str">
        <f t="shared" si="25"/>
        <v/>
      </c>
      <c r="BQ49" s="161" t="str">
        <f t="shared" si="26"/>
        <v/>
      </c>
      <c r="BR49" s="161" t="str">
        <f t="shared" si="27"/>
        <v/>
      </c>
      <c r="BS49" s="161" t="str">
        <f t="shared" si="28"/>
        <v/>
      </c>
      <c r="BT49" s="161" t="str">
        <f t="shared" si="29"/>
        <v/>
      </c>
      <c r="BU49" s="161" t="str">
        <f t="shared" si="30"/>
        <v/>
      </c>
      <c r="BV49" s="161" t="str">
        <f t="shared" si="31"/>
        <v/>
      </c>
      <c r="BW49" s="161" t="str">
        <f t="shared" si="32"/>
        <v/>
      </c>
      <c r="BX49" s="161" t="str">
        <f t="shared" si="15"/>
        <v/>
      </c>
      <c r="BY49" s="148"/>
      <c r="BZ49" s="148"/>
      <c r="CA49" s="148"/>
      <c r="CB49" s="148" t="s">
        <v>149</v>
      </c>
      <c r="CC49" s="148" t="s">
        <v>230</v>
      </c>
    </row>
    <row r="50" spans="1:81" ht="14.25" customHeight="1" thickBot="1">
      <c r="A50" s="190">
        <v>40</v>
      </c>
      <c r="B50" s="79"/>
      <c r="C50" s="179"/>
      <c r="D50" s="137"/>
      <c r="E50" s="198"/>
      <c r="F50" s="199"/>
      <c r="G50" s="200"/>
      <c r="H50" s="200"/>
      <c r="I50" s="200"/>
      <c r="J50" s="200"/>
      <c r="K50" s="276">
        <f t="shared" si="16"/>
        <v>0</v>
      </c>
      <c r="L50" s="277"/>
      <c r="M50" s="278"/>
      <c r="N50" s="350"/>
      <c r="O50" s="341" t="s">
        <v>65</v>
      </c>
      <c r="P50" s="189"/>
      <c r="Q50" s="326"/>
      <c r="R50" s="326"/>
      <c r="S50" s="87"/>
      <c r="T50" s="207"/>
      <c r="U50" s="225">
        <f t="shared" si="17"/>
        <v>0</v>
      </c>
      <c r="V50" s="277"/>
      <c r="W50" s="278"/>
      <c r="X50" s="350"/>
      <c r="Y50" s="208" t="s">
        <v>147</v>
      </c>
      <c r="Z50" s="11"/>
      <c r="AA50" s="207"/>
      <c r="AB50" s="207"/>
      <c r="AC50" s="3"/>
      <c r="AD50" s="207"/>
      <c r="AE50" s="226">
        <f t="shared" si="18"/>
        <v>0</v>
      </c>
      <c r="AF50" s="11"/>
      <c r="AG50" s="3"/>
      <c r="AH50" s="359"/>
      <c r="AI50" s="96"/>
      <c r="AJ50" s="94"/>
      <c r="AK50" s="214"/>
      <c r="AL50" s="213"/>
      <c r="AM50" s="82"/>
      <c r="AN50" s="213"/>
      <c r="AO50" s="82"/>
      <c r="AP50" s="213"/>
      <c r="AQ50" s="82"/>
      <c r="AR50" s="13">
        <f t="shared" si="6"/>
        <v>4.9999999999999996E-6</v>
      </c>
      <c r="AS50" s="13">
        <f t="shared" si="7"/>
        <v>0</v>
      </c>
      <c r="AT50" s="13"/>
      <c r="AU50" s="195">
        <v>55</v>
      </c>
      <c r="AV50" s="77">
        <f t="shared" si="8"/>
        <v>3.5599999999999998E-5</v>
      </c>
      <c r="AW50" s="192">
        <f t="shared" si="9"/>
        <v>0</v>
      </c>
      <c r="AX50" s="219">
        <f t="shared" si="10"/>
        <v>4.9999999999999996E-6</v>
      </c>
      <c r="AY50" s="13">
        <f t="shared" si="19"/>
        <v>0</v>
      </c>
      <c r="AZ50" s="195">
        <v>55</v>
      </c>
      <c r="BA50" s="77">
        <f t="shared" si="11"/>
        <v>3.4199999999999998E-5</v>
      </c>
      <c r="BB50" s="192">
        <f t="shared" si="12"/>
        <v>0</v>
      </c>
      <c r="BC50" s="219">
        <f t="shared" si="20"/>
        <v>4.9999999999999996E-6</v>
      </c>
      <c r="BD50" s="13">
        <f t="shared" si="21"/>
        <v>0</v>
      </c>
      <c r="BE50" s="195">
        <v>55</v>
      </c>
      <c r="BF50" s="77">
        <f t="shared" si="13"/>
        <v>3.4199999999999998E-5</v>
      </c>
      <c r="BG50" s="192">
        <f t="shared" si="14"/>
        <v>0</v>
      </c>
      <c r="BI50" s="120"/>
      <c r="BJ50" s="120"/>
      <c r="BK50" s="160"/>
      <c r="BL50" s="160"/>
      <c r="BM50" s="161" t="str">
        <f t="shared" si="22"/>
        <v/>
      </c>
      <c r="BN50" s="161" t="str">
        <f t="shared" si="23"/>
        <v/>
      </c>
      <c r="BO50" s="161" t="str">
        <f t="shared" si="24"/>
        <v/>
      </c>
      <c r="BP50" s="161" t="str">
        <f t="shared" si="25"/>
        <v/>
      </c>
      <c r="BQ50" s="161" t="str">
        <f t="shared" si="26"/>
        <v/>
      </c>
      <c r="BR50" s="161" t="str">
        <f t="shared" si="27"/>
        <v/>
      </c>
      <c r="BS50" s="161" t="str">
        <f t="shared" si="28"/>
        <v/>
      </c>
      <c r="BT50" s="161" t="str">
        <f t="shared" si="29"/>
        <v/>
      </c>
      <c r="BU50" s="161" t="str">
        <f t="shared" si="30"/>
        <v/>
      </c>
      <c r="BV50" s="161" t="str">
        <f t="shared" si="31"/>
        <v/>
      </c>
      <c r="BW50" s="161" t="str">
        <f t="shared" si="32"/>
        <v/>
      </c>
      <c r="BX50" s="161" t="str">
        <f t="shared" si="15"/>
        <v/>
      </c>
      <c r="BY50" s="148"/>
      <c r="BZ50" s="148"/>
      <c r="CA50" s="148"/>
      <c r="CB50" s="148" t="s">
        <v>149</v>
      </c>
      <c r="CC50" s="148" t="s">
        <v>230</v>
      </c>
    </row>
    <row r="51" spans="1:81" ht="14.25" customHeight="1" thickBot="1">
      <c r="A51" s="190">
        <v>41</v>
      </c>
      <c r="B51" s="196"/>
      <c r="C51" s="180"/>
      <c r="D51" s="136"/>
      <c r="E51" s="91"/>
      <c r="F51" s="199"/>
      <c r="G51" s="188"/>
      <c r="H51" s="188"/>
      <c r="I51" s="188"/>
      <c r="J51" s="188"/>
      <c r="K51" s="276">
        <f t="shared" si="16"/>
        <v>0</v>
      </c>
      <c r="L51" s="279"/>
      <c r="M51" s="280"/>
      <c r="N51" s="351"/>
      <c r="O51" s="342" t="s">
        <v>65</v>
      </c>
      <c r="P51" s="187"/>
      <c r="Q51" s="188"/>
      <c r="R51" s="188"/>
      <c r="S51" s="119"/>
      <c r="T51" s="188"/>
      <c r="U51" s="211">
        <f t="shared" si="17"/>
        <v>0</v>
      </c>
      <c r="V51" s="279"/>
      <c r="W51" s="280"/>
      <c r="X51" s="351"/>
      <c r="Y51" s="209" t="s">
        <v>85</v>
      </c>
      <c r="Z51" s="71"/>
      <c r="AA51" s="321"/>
      <c r="AB51" s="321"/>
      <c r="AC51" s="322"/>
      <c r="AD51" s="188"/>
      <c r="AE51" s="18">
        <f t="shared" si="18"/>
        <v>0</v>
      </c>
      <c r="AF51" s="71"/>
      <c r="AG51" s="322"/>
      <c r="AH51" s="360"/>
      <c r="AI51" s="97"/>
      <c r="AJ51" s="194"/>
      <c r="AK51" s="193"/>
      <c r="AL51" s="205"/>
      <c r="AM51" s="197"/>
      <c r="AN51" s="205"/>
      <c r="AO51" s="197"/>
      <c r="AP51" s="205"/>
      <c r="AQ51" s="197"/>
      <c r="AR51" s="13">
        <f t="shared" si="6"/>
        <v>5.0999999999999995E-6</v>
      </c>
      <c r="AS51" s="13">
        <f t="shared" si="7"/>
        <v>0</v>
      </c>
      <c r="AT51" s="13"/>
      <c r="AU51" s="195">
        <v>56</v>
      </c>
      <c r="AV51" s="77">
        <f t="shared" si="8"/>
        <v>3.5499999999999996E-5</v>
      </c>
      <c r="AW51" s="192">
        <f t="shared" si="9"/>
        <v>0</v>
      </c>
      <c r="AX51" s="219">
        <f t="shared" si="10"/>
        <v>5.0999999999999995E-6</v>
      </c>
      <c r="AY51" s="13">
        <f t="shared" si="19"/>
        <v>0</v>
      </c>
      <c r="AZ51" s="195">
        <v>56</v>
      </c>
      <c r="BA51" s="77">
        <f t="shared" si="11"/>
        <v>3.4099999999999995E-5</v>
      </c>
      <c r="BB51" s="192">
        <f t="shared" si="12"/>
        <v>0</v>
      </c>
      <c r="BC51" s="219">
        <f t="shared" si="20"/>
        <v>5.0999999999999995E-6</v>
      </c>
      <c r="BD51" s="13">
        <f t="shared" si="21"/>
        <v>0</v>
      </c>
      <c r="BE51" s="195">
        <v>56</v>
      </c>
      <c r="BF51" s="77">
        <f t="shared" si="13"/>
        <v>3.4099999999999995E-5</v>
      </c>
      <c r="BG51" s="192">
        <f t="shared" si="14"/>
        <v>0</v>
      </c>
      <c r="BI51" s="120"/>
      <c r="BJ51" s="120"/>
      <c r="BK51" s="160"/>
      <c r="BL51" s="160"/>
      <c r="BM51" s="161" t="str">
        <f t="shared" si="22"/>
        <v/>
      </c>
      <c r="BN51" s="161" t="str">
        <f t="shared" si="23"/>
        <v/>
      </c>
      <c r="BO51" s="161" t="str">
        <f t="shared" si="24"/>
        <v/>
      </c>
      <c r="BP51" s="161" t="str">
        <f t="shared" si="25"/>
        <v/>
      </c>
      <c r="BQ51" s="161" t="str">
        <f t="shared" si="26"/>
        <v/>
      </c>
      <c r="BR51" s="161" t="str">
        <f t="shared" si="27"/>
        <v/>
      </c>
      <c r="BS51" s="161" t="str">
        <f t="shared" si="28"/>
        <v/>
      </c>
      <c r="BT51" s="161" t="str">
        <f t="shared" si="29"/>
        <v/>
      </c>
      <c r="BU51" s="161" t="str">
        <f t="shared" si="30"/>
        <v/>
      </c>
      <c r="BV51" s="161" t="str">
        <f t="shared" si="31"/>
        <v/>
      </c>
      <c r="BW51" s="161" t="str">
        <f t="shared" si="32"/>
        <v/>
      </c>
      <c r="BX51" s="161" t="str">
        <f t="shared" si="15"/>
        <v/>
      </c>
      <c r="BY51" s="148"/>
      <c r="BZ51" s="148"/>
      <c r="CA51" s="148"/>
      <c r="CB51" s="148" t="s">
        <v>149</v>
      </c>
      <c r="CC51" s="148" t="s">
        <v>230</v>
      </c>
    </row>
    <row r="52" spans="1:81" ht="14.25" customHeight="1" thickBot="1">
      <c r="A52" s="190">
        <v>42</v>
      </c>
      <c r="B52" s="78"/>
      <c r="C52" s="181"/>
      <c r="D52" s="86"/>
      <c r="E52" s="92"/>
      <c r="F52" s="199"/>
      <c r="G52" s="93"/>
      <c r="H52" s="93"/>
      <c r="I52" s="93"/>
      <c r="J52" s="93"/>
      <c r="K52" s="276">
        <f t="shared" si="16"/>
        <v>0</v>
      </c>
      <c r="L52" s="281"/>
      <c r="M52" s="282"/>
      <c r="N52" s="352"/>
      <c r="O52" s="343" t="s">
        <v>65</v>
      </c>
      <c r="P52" s="88"/>
      <c r="Q52" s="93"/>
      <c r="R52" s="93"/>
      <c r="S52" s="89"/>
      <c r="T52" s="93"/>
      <c r="U52" s="212">
        <f t="shared" si="17"/>
        <v>0</v>
      </c>
      <c r="V52" s="281"/>
      <c r="W52" s="282"/>
      <c r="X52" s="352"/>
      <c r="Y52" s="210" t="s">
        <v>85</v>
      </c>
      <c r="Z52" s="72"/>
      <c r="AA52" s="323"/>
      <c r="AB52" s="323"/>
      <c r="AC52" s="324"/>
      <c r="AD52" s="93"/>
      <c r="AE52" s="81">
        <f t="shared" si="18"/>
        <v>0</v>
      </c>
      <c r="AF52" s="72"/>
      <c r="AG52" s="324"/>
      <c r="AH52" s="361"/>
      <c r="AI52" s="98"/>
      <c r="AJ52" s="95"/>
      <c r="AK52" s="215"/>
      <c r="AL52" s="206"/>
      <c r="AM52" s="83"/>
      <c r="AN52" s="206"/>
      <c r="AO52" s="83"/>
      <c r="AP52" s="206"/>
      <c r="AQ52" s="83"/>
      <c r="AR52" s="13">
        <f t="shared" si="6"/>
        <v>5.1999999999999993E-6</v>
      </c>
      <c r="AS52" s="13">
        <f t="shared" si="7"/>
        <v>0</v>
      </c>
      <c r="AT52" s="13"/>
      <c r="AU52" s="195">
        <v>57</v>
      </c>
      <c r="AV52" s="77">
        <f t="shared" si="8"/>
        <v>3.54E-5</v>
      </c>
      <c r="AW52" s="192">
        <f t="shared" si="9"/>
        <v>0</v>
      </c>
      <c r="AX52" s="219">
        <f t="shared" si="10"/>
        <v>5.1999999999999993E-6</v>
      </c>
      <c r="AY52" s="13">
        <f t="shared" si="19"/>
        <v>0</v>
      </c>
      <c r="AZ52" s="195">
        <v>57</v>
      </c>
      <c r="BA52" s="77">
        <f t="shared" si="11"/>
        <v>3.4E-5</v>
      </c>
      <c r="BB52" s="192">
        <f t="shared" si="12"/>
        <v>0</v>
      </c>
      <c r="BC52" s="219">
        <f t="shared" si="20"/>
        <v>5.1999999999999993E-6</v>
      </c>
      <c r="BD52" s="13">
        <f t="shared" si="21"/>
        <v>0</v>
      </c>
      <c r="BE52" s="195">
        <v>57</v>
      </c>
      <c r="BF52" s="77">
        <f t="shared" si="13"/>
        <v>3.4E-5</v>
      </c>
      <c r="BG52" s="192">
        <f t="shared" si="14"/>
        <v>0</v>
      </c>
      <c r="BI52" s="120"/>
      <c r="BJ52" s="120"/>
      <c r="BK52" s="160"/>
      <c r="BL52" s="160"/>
      <c r="BM52" s="161" t="str">
        <f t="shared" si="22"/>
        <v/>
      </c>
      <c r="BN52" s="161" t="str">
        <f t="shared" si="23"/>
        <v/>
      </c>
      <c r="BO52" s="161" t="str">
        <f t="shared" si="24"/>
        <v/>
      </c>
      <c r="BP52" s="161" t="str">
        <f t="shared" si="25"/>
        <v/>
      </c>
      <c r="BQ52" s="161" t="str">
        <f t="shared" si="26"/>
        <v/>
      </c>
      <c r="BR52" s="161" t="str">
        <f t="shared" si="27"/>
        <v/>
      </c>
      <c r="BS52" s="161" t="str">
        <f t="shared" si="28"/>
        <v/>
      </c>
      <c r="BT52" s="161" t="str">
        <f t="shared" si="29"/>
        <v/>
      </c>
      <c r="BU52" s="161" t="str">
        <f t="shared" si="30"/>
        <v/>
      </c>
      <c r="BV52" s="161" t="str">
        <f t="shared" si="31"/>
        <v/>
      </c>
      <c r="BW52" s="161" t="str">
        <f t="shared" si="32"/>
        <v/>
      </c>
      <c r="BX52" s="161" t="str">
        <f t="shared" si="15"/>
        <v/>
      </c>
      <c r="BY52" s="148"/>
      <c r="BZ52" s="148"/>
      <c r="CA52" s="148"/>
      <c r="CB52" s="148" t="s">
        <v>149</v>
      </c>
      <c r="CC52" s="148" t="s">
        <v>230</v>
      </c>
    </row>
    <row r="53" spans="1:81" ht="14.25" customHeight="1" thickBot="1">
      <c r="A53" s="190">
        <v>43</v>
      </c>
      <c r="B53" s="79"/>
      <c r="C53" s="179"/>
      <c r="D53" s="137"/>
      <c r="E53" s="198"/>
      <c r="F53" s="199"/>
      <c r="G53" s="200"/>
      <c r="H53" s="200"/>
      <c r="I53" s="200"/>
      <c r="J53" s="200"/>
      <c r="K53" s="276">
        <f t="shared" si="16"/>
        <v>0</v>
      </c>
      <c r="L53" s="277"/>
      <c r="M53" s="278"/>
      <c r="N53" s="350"/>
      <c r="O53" s="341" t="s">
        <v>65</v>
      </c>
      <c r="P53" s="189"/>
      <c r="Q53" s="326"/>
      <c r="R53" s="326"/>
      <c r="S53" s="87"/>
      <c r="T53" s="207"/>
      <c r="U53" s="225">
        <f t="shared" si="17"/>
        <v>0</v>
      </c>
      <c r="V53" s="277"/>
      <c r="W53" s="278"/>
      <c r="X53" s="350"/>
      <c r="Y53" s="208" t="s">
        <v>147</v>
      </c>
      <c r="Z53" s="11"/>
      <c r="AA53" s="207"/>
      <c r="AB53" s="207"/>
      <c r="AC53" s="3"/>
      <c r="AD53" s="207"/>
      <c r="AE53" s="226">
        <f t="shared" si="18"/>
        <v>0</v>
      </c>
      <c r="AF53" s="11"/>
      <c r="AG53" s="3"/>
      <c r="AH53" s="359"/>
      <c r="AI53" s="96"/>
      <c r="AJ53" s="94"/>
      <c r="AK53" s="214"/>
      <c r="AL53" s="213"/>
      <c r="AM53" s="82"/>
      <c r="AN53" s="213"/>
      <c r="AO53" s="82"/>
      <c r="AP53" s="213"/>
      <c r="AQ53" s="82"/>
      <c r="AR53" s="13">
        <f t="shared" si="6"/>
        <v>5.3000000000000001E-6</v>
      </c>
      <c r="AS53" s="13">
        <f t="shared" si="7"/>
        <v>0</v>
      </c>
      <c r="AT53" s="13"/>
      <c r="AU53" s="195">
        <v>58</v>
      </c>
      <c r="AV53" s="77">
        <f t="shared" si="8"/>
        <v>3.5299999999999997E-5</v>
      </c>
      <c r="AW53" s="192">
        <f t="shared" si="9"/>
        <v>0</v>
      </c>
      <c r="AX53" s="219">
        <f t="shared" si="10"/>
        <v>5.3000000000000001E-6</v>
      </c>
      <c r="AY53" s="13">
        <f t="shared" si="19"/>
        <v>0</v>
      </c>
      <c r="AZ53" s="195">
        <v>58</v>
      </c>
      <c r="BA53" s="77">
        <f t="shared" si="11"/>
        <v>3.3899999999999997E-5</v>
      </c>
      <c r="BB53" s="192">
        <f t="shared" si="12"/>
        <v>0</v>
      </c>
      <c r="BC53" s="219">
        <f t="shared" si="20"/>
        <v>5.3000000000000001E-6</v>
      </c>
      <c r="BD53" s="13">
        <f t="shared" si="21"/>
        <v>0</v>
      </c>
      <c r="BE53" s="195">
        <v>58</v>
      </c>
      <c r="BF53" s="77">
        <f t="shared" si="13"/>
        <v>3.3899999999999997E-5</v>
      </c>
      <c r="BG53" s="192">
        <f t="shared" si="14"/>
        <v>0</v>
      </c>
      <c r="BI53" s="120"/>
      <c r="BJ53" s="120"/>
      <c r="BK53" s="160"/>
      <c r="BL53" s="160"/>
      <c r="BM53" s="161" t="str">
        <f t="shared" si="22"/>
        <v/>
      </c>
      <c r="BN53" s="161" t="str">
        <f t="shared" si="23"/>
        <v/>
      </c>
      <c r="BO53" s="161" t="str">
        <f t="shared" si="24"/>
        <v/>
      </c>
      <c r="BP53" s="161" t="str">
        <f t="shared" si="25"/>
        <v/>
      </c>
      <c r="BQ53" s="161" t="str">
        <f t="shared" si="26"/>
        <v/>
      </c>
      <c r="BR53" s="161" t="str">
        <f t="shared" si="27"/>
        <v/>
      </c>
      <c r="BS53" s="161" t="str">
        <f t="shared" si="28"/>
        <v/>
      </c>
      <c r="BT53" s="161" t="str">
        <f t="shared" si="29"/>
        <v/>
      </c>
      <c r="BU53" s="161" t="str">
        <f t="shared" si="30"/>
        <v/>
      </c>
      <c r="BV53" s="161" t="str">
        <f t="shared" si="31"/>
        <v/>
      </c>
      <c r="BW53" s="161" t="str">
        <f t="shared" si="32"/>
        <v/>
      </c>
      <c r="BX53" s="161" t="str">
        <f t="shared" si="15"/>
        <v/>
      </c>
      <c r="BY53" s="148"/>
      <c r="BZ53" s="148"/>
      <c r="CA53" s="148"/>
      <c r="CB53" s="148" t="s">
        <v>149</v>
      </c>
      <c r="CC53" s="148" t="s">
        <v>230</v>
      </c>
    </row>
    <row r="54" spans="1:81" ht="14.25" customHeight="1" thickBot="1">
      <c r="A54" s="190">
        <v>44</v>
      </c>
      <c r="B54" s="196"/>
      <c r="C54" s="180"/>
      <c r="D54" s="136"/>
      <c r="E54" s="91"/>
      <c r="F54" s="199"/>
      <c r="G54" s="188"/>
      <c r="H54" s="188"/>
      <c r="I54" s="188"/>
      <c r="J54" s="188"/>
      <c r="K54" s="276">
        <f t="shared" si="16"/>
        <v>0</v>
      </c>
      <c r="L54" s="279"/>
      <c r="M54" s="280"/>
      <c r="N54" s="351"/>
      <c r="O54" s="342" t="s">
        <v>65</v>
      </c>
      <c r="P54" s="187"/>
      <c r="Q54" s="188"/>
      <c r="R54" s="188"/>
      <c r="S54" s="119"/>
      <c r="T54" s="188"/>
      <c r="U54" s="211">
        <f t="shared" si="17"/>
        <v>0</v>
      </c>
      <c r="V54" s="279"/>
      <c r="W54" s="280"/>
      <c r="X54" s="351"/>
      <c r="Y54" s="209" t="s">
        <v>85</v>
      </c>
      <c r="Z54" s="71"/>
      <c r="AA54" s="321"/>
      <c r="AB54" s="321"/>
      <c r="AC54" s="322"/>
      <c r="AD54" s="188"/>
      <c r="AE54" s="18">
        <f t="shared" si="18"/>
        <v>0</v>
      </c>
      <c r="AF54" s="71"/>
      <c r="AG54" s="322"/>
      <c r="AH54" s="360"/>
      <c r="AI54" s="97"/>
      <c r="AJ54" s="194"/>
      <c r="AK54" s="193"/>
      <c r="AL54" s="205"/>
      <c r="AM54" s="197"/>
      <c r="AN54" s="205"/>
      <c r="AO54" s="197"/>
      <c r="AP54" s="205"/>
      <c r="AQ54" s="197"/>
      <c r="AR54" s="13">
        <f t="shared" si="6"/>
        <v>5.4E-6</v>
      </c>
      <c r="AS54" s="13">
        <f t="shared" si="7"/>
        <v>0</v>
      </c>
      <c r="AT54" s="13"/>
      <c r="AU54" s="195">
        <v>59</v>
      </c>
      <c r="AV54" s="77">
        <f t="shared" si="8"/>
        <v>3.5200000000000002E-5</v>
      </c>
      <c r="AW54" s="192">
        <f t="shared" si="9"/>
        <v>0</v>
      </c>
      <c r="AX54" s="219">
        <f t="shared" si="10"/>
        <v>5.4E-6</v>
      </c>
      <c r="AY54" s="13">
        <f t="shared" si="19"/>
        <v>0</v>
      </c>
      <c r="AZ54" s="195">
        <v>59</v>
      </c>
      <c r="BA54" s="77">
        <f t="shared" si="11"/>
        <v>3.3800000000000002E-5</v>
      </c>
      <c r="BB54" s="192">
        <f t="shared" si="12"/>
        <v>0</v>
      </c>
      <c r="BC54" s="219">
        <f t="shared" si="20"/>
        <v>5.4E-6</v>
      </c>
      <c r="BD54" s="13">
        <f t="shared" si="21"/>
        <v>0</v>
      </c>
      <c r="BE54" s="195">
        <v>59</v>
      </c>
      <c r="BF54" s="77">
        <f t="shared" si="13"/>
        <v>3.3800000000000002E-5</v>
      </c>
      <c r="BG54" s="192">
        <f t="shared" si="14"/>
        <v>0</v>
      </c>
      <c r="BI54" s="120"/>
      <c r="BJ54" s="120"/>
      <c r="BK54" s="160"/>
      <c r="BL54" s="160"/>
      <c r="BM54" s="161" t="str">
        <f t="shared" si="22"/>
        <v/>
      </c>
      <c r="BN54" s="161" t="str">
        <f t="shared" si="23"/>
        <v/>
      </c>
      <c r="BO54" s="161" t="str">
        <f t="shared" si="24"/>
        <v/>
      </c>
      <c r="BP54" s="161" t="str">
        <f t="shared" si="25"/>
        <v/>
      </c>
      <c r="BQ54" s="161" t="str">
        <f t="shared" si="26"/>
        <v/>
      </c>
      <c r="BR54" s="161" t="str">
        <f t="shared" si="27"/>
        <v/>
      </c>
      <c r="BS54" s="161" t="str">
        <f t="shared" si="28"/>
        <v/>
      </c>
      <c r="BT54" s="161" t="str">
        <f t="shared" si="29"/>
        <v/>
      </c>
      <c r="BU54" s="161" t="str">
        <f t="shared" si="30"/>
        <v/>
      </c>
      <c r="BV54" s="161" t="str">
        <f t="shared" si="31"/>
        <v/>
      </c>
      <c r="BW54" s="161" t="str">
        <f t="shared" si="32"/>
        <v/>
      </c>
      <c r="BX54" s="161" t="str">
        <f t="shared" si="15"/>
        <v/>
      </c>
      <c r="BY54" s="148"/>
      <c r="BZ54" s="148"/>
      <c r="CA54" s="148"/>
      <c r="CB54" s="148" t="s">
        <v>149</v>
      </c>
      <c r="CC54" s="148" t="s">
        <v>230</v>
      </c>
    </row>
    <row r="55" spans="1:81" ht="14.25" customHeight="1" thickBot="1">
      <c r="A55" s="190">
        <v>45</v>
      </c>
      <c r="B55" s="78"/>
      <c r="C55" s="181"/>
      <c r="D55" s="86"/>
      <c r="E55" s="92"/>
      <c r="F55" s="199"/>
      <c r="G55" s="93"/>
      <c r="H55" s="93"/>
      <c r="I55" s="93"/>
      <c r="J55" s="93"/>
      <c r="K55" s="276">
        <f t="shared" si="16"/>
        <v>0</v>
      </c>
      <c r="L55" s="281"/>
      <c r="M55" s="282"/>
      <c r="N55" s="352"/>
      <c r="O55" s="343" t="s">
        <v>65</v>
      </c>
      <c r="P55" s="88"/>
      <c r="Q55" s="93"/>
      <c r="R55" s="93"/>
      <c r="S55" s="89"/>
      <c r="T55" s="93"/>
      <c r="U55" s="212">
        <f t="shared" si="17"/>
        <v>0</v>
      </c>
      <c r="V55" s="281"/>
      <c r="W55" s="282"/>
      <c r="X55" s="352"/>
      <c r="Y55" s="210" t="s">
        <v>85</v>
      </c>
      <c r="Z55" s="72"/>
      <c r="AA55" s="323"/>
      <c r="AB55" s="323"/>
      <c r="AC55" s="324"/>
      <c r="AD55" s="93"/>
      <c r="AE55" s="81">
        <f t="shared" si="18"/>
        <v>0</v>
      </c>
      <c r="AF55" s="72"/>
      <c r="AG55" s="324"/>
      <c r="AH55" s="361"/>
      <c r="AI55" s="98"/>
      <c r="AJ55" s="95"/>
      <c r="AK55" s="215"/>
      <c r="AL55" s="206"/>
      <c r="AM55" s="83"/>
      <c r="AN55" s="206"/>
      <c r="AO55" s="83"/>
      <c r="AP55" s="206"/>
      <c r="AQ55" s="83"/>
      <c r="AR55" s="13">
        <f t="shared" si="6"/>
        <v>5.4999999999999999E-6</v>
      </c>
      <c r="AS55" s="13">
        <f t="shared" si="7"/>
        <v>0</v>
      </c>
      <c r="AT55" s="13"/>
      <c r="AU55" s="195">
        <v>60</v>
      </c>
      <c r="AV55" s="77">
        <f t="shared" si="8"/>
        <v>3.5099999999999999E-5</v>
      </c>
      <c r="AW55" s="192">
        <f t="shared" si="9"/>
        <v>0</v>
      </c>
      <c r="AX55" s="219">
        <f t="shared" si="10"/>
        <v>5.4999999999999999E-6</v>
      </c>
      <c r="AY55" s="13">
        <f t="shared" si="19"/>
        <v>0</v>
      </c>
      <c r="AZ55" s="195">
        <v>60</v>
      </c>
      <c r="BA55" s="77">
        <f t="shared" si="11"/>
        <v>3.3699999999999999E-5</v>
      </c>
      <c r="BB55" s="192">
        <f t="shared" si="12"/>
        <v>0</v>
      </c>
      <c r="BC55" s="219">
        <f t="shared" si="20"/>
        <v>5.4999999999999999E-6</v>
      </c>
      <c r="BD55" s="13">
        <f t="shared" si="21"/>
        <v>0</v>
      </c>
      <c r="BE55" s="195">
        <v>60</v>
      </c>
      <c r="BF55" s="77">
        <f t="shared" si="13"/>
        <v>3.3699999999999999E-5</v>
      </c>
      <c r="BG55" s="192">
        <f t="shared" si="14"/>
        <v>0</v>
      </c>
      <c r="BI55" s="120"/>
      <c r="BJ55" s="120"/>
      <c r="BK55" s="160"/>
      <c r="BL55" s="160"/>
      <c r="BM55" s="161" t="str">
        <f t="shared" si="22"/>
        <v/>
      </c>
      <c r="BN55" s="161" t="str">
        <f t="shared" si="23"/>
        <v/>
      </c>
      <c r="BO55" s="161" t="str">
        <f t="shared" si="24"/>
        <v/>
      </c>
      <c r="BP55" s="161" t="str">
        <f t="shared" si="25"/>
        <v/>
      </c>
      <c r="BQ55" s="161" t="str">
        <f t="shared" si="26"/>
        <v/>
      </c>
      <c r="BR55" s="161" t="str">
        <f t="shared" si="27"/>
        <v/>
      </c>
      <c r="BS55" s="161" t="str">
        <f t="shared" si="28"/>
        <v/>
      </c>
      <c r="BT55" s="161" t="str">
        <f t="shared" si="29"/>
        <v/>
      </c>
      <c r="BU55" s="161" t="str">
        <f t="shared" si="30"/>
        <v/>
      </c>
      <c r="BV55" s="161" t="str">
        <f t="shared" si="31"/>
        <v/>
      </c>
      <c r="BW55" s="161" t="str">
        <f t="shared" si="32"/>
        <v/>
      </c>
      <c r="BX55" s="161" t="str">
        <f t="shared" si="15"/>
        <v/>
      </c>
      <c r="BY55" s="148"/>
      <c r="BZ55" s="148"/>
      <c r="CA55" s="148"/>
      <c r="CB55" s="148" t="s">
        <v>149</v>
      </c>
      <c r="CC55" s="148" t="s">
        <v>230</v>
      </c>
    </row>
    <row r="56" spans="1:81" ht="14.25" customHeight="1" thickBot="1">
      <c r="A56" s="190">
        <v>46</v>
      </c>
      <c r="B56" s="79"/>
      <c r="C56" s="179"/>
      <c r="D56" s="137"/>
      <c r="E56" s="198"/>
      <c r="F56" s="199"/>
      <c r="G56" s="200"/>
      <c r="H56" s="200"/>
      <c r="I56" s="200"/>
      <c r="J56" s="200"/>
      <c r="K56" s="276">
        <f t="shared" si="16"/>
        <v>0</v>
      </c>
      <c r="L56" s="277"/>
      <c r="M56" s="278"/>
      <c r="N56" s="350"/>
      <c r="O56" s="341" t="s">
        <v>65</v>
      </c>
      <c r="P56" s="189"/>
      <c r="Q56" s="326"/>
      <c r="R56" s="326"/>
      <c r="S56" s="87"/>
      <c r="T56" s="207"/>
      <c r="U56" s="225">
        <f t="shared" si="17"/>
        <v>0</v>
      </c>
      <c r="V56" s="277"/>
      <c r="W56" s="278"/>
      <c r="X56" s="350"/>
      <c r="Y56" s="208" t="s">
        <v>147</v>
      </c>
      <c r="Z56" s="11"/>
      <c r="AA56" s="207"/>
      <c r="AB56" s="207"/>
      <c r="AC56" s="3"/>
      <c r="AD56" s="207"/>
      <c r="AE56" s="226">
        <f t="shared" si="18"/>
        <v>0</v>
      </c>
      <c r="AF56" s="11"/>
      <c r="AG56" s="3"/>
      <c r="AH56" s="359"/>
      <c r="AI56" s="96"/>
      <c r="AJ56" s="94"/>
      <c r="AK56" s="214"/>
      <c r="AL56" s="213"/>
      <c r="AM56" s="82"/>
      <c r="AN56" s="213"/>
      <c r="AO56" s="82"/>
      <c r="AP56" s="213"/>
      <c r="AQ56" s="82"/>
      <c r="AR56" s="13">
        <f t="shared" si="6"/>
        <v>5.5999999999999997E-6</v>
      </c>
      <c r="AS56" s="13">
        <f t="shared" si="7"/>
        <v>0</v>
      </c>
      <c r="AT56" s="13"/>
      <c r="AU56" s="195">
        <v>61</v>
      </c>
      <c r="AV56" s="77">
        <f t="shared" si="8"/>
        <v>3.4999999999999997E-5</v>
      </c>
      <c r="AW56" s="192">
        <f t="shared" si="9"/>
        <v>0</v>
      </c>
      <c r="AX56" s="219">
        <f t="shared" si="10"/>
        <v>5.5999999999999997E-6</v>
      </c>
      <c r="AY56" s="13">
        <f t="shared" si="19"/>
        <v>0</v>
      </c>
      <c r="AZ56" s="195">
        <v>61</v>
      </c>
      <c r="BA56" s="77">
        <f t="shared" si="11"/>
        <v>3.3599999999999997E-5</v>
      </c>
      <c r="BB56" s="192">
        <f t="shared" si="12"/>
        <v>0</v>
      </c>
      <c r="BC56" s="219">
        <f t="shared" si="20"/>
        <v>5.5999999999999997E-6</v>
      </c>
      <c r="BD56" s="13">
        <f t="shared" si="21"/>
        <v>0</v>
      </c>
      <c r="BE56" s="195">
        <v>61</v>
      </c>
      <c r="BF56" s="77">
        <f t="shared" si="13"/>
        <v>3.3599999999999997E-5</v>
      </c>
      <c r="BG56" s="192">
        <f t="shared" si="14"/>
        <v>0</v>
      </c>
      <c r="BI56" s="120"/>
      <c r="BJ56" s="120"/>
      <c r="BK56" s="160"/>
      <c r="BL56" s="160"/>
      <c r="BM56" s="161" t="str">
        <f t="shared" si="22"/>
        <v/>
      </c>
      <c r="BN56" s="161" t="str">
        <f t="shared" si="23"/>
        <v/>
      </c>
      <c r="BO56" s="161" t="str">
        <f t="shared" si="24"/>
        <v/>
      </c>
      <c r="BP56" s="161" t="str">
        <f t="shared" si="25"/>
        <v/>
      </c>
      <c r="BQ56" s="161" t="str">
        <f t="shared" si="26"/>
        <v/>
      </c>
      <c r="BR56" s="161" t="str">
        <f t="shared" si="27"/>
        <v/>
      </c>
      <c r="BS56" s="161" t="str">
        <f t="shared" si="28"/>
        <v/>
      </c>
      <c r="BT56" s="161" t="str">
        <f t="shared" si="29"/>
        <v/>
      </c>
      <c r="BU56" s="161" t="str">
        <f t="shared" si="30"/>
        <v/>
      </c>
      <c r="BV56" s="161" t="str">
        <f t="shared" si="31"/>
        <v/>
      </c>
      <c r="BW56" s="161" t="str">
        <f t="shared" si="32"/>
        <v/>
      </c>
      <c r="BX56" s="161" t="str">
        <f t="shared" si="15"/>
        <v/>
      </c>
      <c r="BY56" s="148"/>
      <c r="BZ56" s="148"/>
      <c r="CA56" s="148"/>
      <c r="CB56" s="148" t="s">
        <v>149</v>
      </c>
      <c r="CC56" s="148" t="s">
        <v>230</v>
      </c>
    </row>
    <row r="57" spans="1:81" ht="14.25" customHeight="1" thickBot="1">
      <c r="A57" s="190">
        <v>47</v>
      </c>
      <c r="B57" s="196"/>
      <c r="C57" s="180"/>
      <c r="D57" s="136"/>
      <c r="E57" s="91"/>
      <c r="F57" s="199"/>
      <c r="G57" s="188"/>
      <c r="H57" s="188"/>
      <c r="I57" s="188"/>
      <c r="J57" s="188"/>
      <c r="K57" s="276">
        <f t="shared" si="16"/>
        <v>0</v>
      </c>
      <c r="L57" s="279"/>
      <c r="M57" s="280"/>
      <c r="N57" s="351"/>
      <c r="O57" s="342" t="s">
        <v>65</v>
      </c>
      <c r="P57" s="187"/>
      <c r="Q57" s="188"/>
      <c r="R57" s="188"/>
      <c r="S57" s="119"/>
      <c r="T57" s="188"/>
      <c r="U57" s="211">
        <f t="shared" si="17"/>
        <v>0</v>
      </c>
      <c r="V57" s="279"/>
      <c r="W57" s="280"/>
      <c r="X57" s="351"/>
      <c r="Y57" s="209" t="s">
        <v>85</v>
      </c>
      <c r="Z57" s="71"/>
      <c r="AA57" s="321"/>
      <c r="AB57" s="321"/>
      <c r="AC57" s="322"/>
      <c r="AD57" s="188"/>
      <c r="AE57" s="18">
        <f t="shared" si="18"/>
        <v>0</v>
      </c>
      <c r="AF57" s="71"/>
      <c r="AG57" s="322"/>
      <c r="AH57" s="360"/>
      <c r="AI57" s="97"/>
      <c r="AJ57" s="194"/>
      <c r="AK57" s="193"/>
      <c r="AL57" s="205"/>
      <c r="AM57" s="197"/>
      <c r="AN57" s="205"/>
      <c r="AO57" s="197"/>
      <c r="AP57" s="205"/>
      <c r="AQ57" s="197"/>
      <c r="AR57" s="13">
        <f t="shared" si="6"/>
        <v>5.6999999999999996E-6</v>
      </c>
      <c r="AS57" s="13">
        <f t="shared" si="7"/>
        <v>0</v>
      </c>
      <c r="AT57" s="13"/>
      <c r="AU57" s="195">
        <v>62</v>
      </c>
      <c r="AV57" s="77">
        <f t="shared" si="8"/>
        <v>3.4900000000000001E-5</v>
      </c>
      <c r="AW57" s="192">
        <f t="shared" si="9"/>
        <v>0</v>
      </c>
      <c r="AX57" s="219">
        <f t="shared" si="10"/>
        <v>5.6999999999999996E-6</v>
      </c>
      <c r="AY57" s="13">
        <f t="shared" si="19"/>
        <v>0</v>
      </c>
      <c r="AZ57" s="195">
        <v>62</v>
      </c>
      <c r="BA57" s="77">
        <f t="shared" si="11"/>
        <v>3.3500000000000001E-5</v>
      </c>
      <c r="BB57" s="192">
        <f t="shared" si="12"/>
        <v>0</v>
      </c>
      <c r="BC57" s="219">
        <f t="shared" si="20"/>
        <v>5.6999999999999996E-6</v>
      </c>
      <c r="BD57" s="13">
        <f t="shared" si="21"/>
        <v>0</v>
      </c>
      <c r="BE57" s="195">
        <v>62</v>
      </c>
      <c r="BF57" s="77">
        <f t="shared" si="13"/>
        <v>3.3500000000000001E-5</v>
      </c>
      <c r="BG57" s="192">
        <f t="shared" si="14"/>
        <v>0</v>
      </c>
      <c r="BI57" s="120"/>
      <c r="BJ57" s="120"/>
      <c r="BK57" s="160"/>
      <c r="BL57" s="160"/>
      <c r="BM57" s="161" t="str">
        <f t="shared" si="22"/>
        <v/>
      </c>
      <c r="BN57" s="161" t="str">
        <f t="shared" si="23"/>
        <v/>
      </c>
      <c r="BO57" s="161" t="str">
        <f t="shared" si="24"/>
        <v/>
      </c>
      <c r="BP57" s="161" t="str">
        <f t="shared" si="25"/>
        <v/>
      </c>
      <c r="BQ57" s="161" t="str">
        <f t="shared" si="26"/>
        <v/>
      </c>
      <c r="BR57" s="161" t="str">
        <f t="shared" si="27"/>
        <v/>
      </c>
      <c r="BS57" s="161" t="str">
        <f t="shared" si="28"/>
        <v/>
      </c>
      <c r="BT57" s="161" t="str">
        <f t="shared" si="29"/>
        <v/>
      </c>
      <c r="BU57" s="161" t="str">
        <f t="shared" si="30"/>
        <v/>
      </c>
      <c r="BV57" s="161" t="str">
        <f t="shared" si="31"/>
        <v/>
      </c>
      <c r="BW57" s="161" t="str">
        <f t="shared" si="32"/>
        <v/>
      </c>
      <c r="BX57" s="161" t="str">
        <f t="shared" si="15"/>
        <v/>
      </c>
      <c r="BY57" s="148"/>
      <c r="BZ57" s="148"/>
      <c r="CA57" s="148"/>
      <c r="CB57" s="148" t="s">
        <v>149</v>
      </c>
      <c r="CC57" s="148" t="s">
        <v>230</v>
      </c>
    </row>
    <row r="58" spans="1:81" ht="14.25" customHeight="1" thickBot="1">
      <c r="A58" s="190">
        <v>48</v>
      </c>
      <c r="B58" s="78"/>
      <c r="C58" s="181"/>
      <c r="D58" s="86"/>
      <c r="E58" s="92"/>
      <c r="F58" s="199"/>
      <c r="G58" s="93"/>
      <c r="H58" s="93"/>
      <c r="I58" s="93"/>
      <c r="J58" s="93"/>
      <c r="K58" s="276">
        <f t="shared" si="16"/>
        <v>0</v>
      </c>
      <c r="L58" s="281"/>
      <c r="M58" s="282"/>
      <c r="N58" s="352"/>
      <c r="O58" s="343" t="s">
        <v>65</v>
      </c>
      <c r="P58" s="88"/>
      <c r="Q58" s="93"/>
      <c r="R58" s="93"/>
      <c r="S58" s="89"/>
      <c r="T58" s="93"/>
      <c r="U58" s="212">
        <f t="shared" si="17"/>
        <v>0</v>
      </c>
      <c r="V58" s="281"/>
      <c r="W58" s="282"/>
      <c r="X58" s="352"/>
      <c r="Y58" s="210" t="s">
        <v>85</v>
      </c>
      <c r="Z58" s="72"/>
      <c r="AA58" s="323"/>
      <c r="AB58" s="323"/>
      <c r="AC58" s="324"/>
      <c r="AD58" s="93"/>
      <c r="AE58" s="81">
        <f t="shared" si="18"/>
        <v>0</v>
      </c>
      <c r="AF58" s="72"/>
      <c r="AG58" s="324"/>
      <c r="AH58" s="361"/>
      <c r="AI58" s="98"/>
      <c r="AJ58" s="95"/>
      <c r="AK58" s="215"/>
      <c r="AL58" s="206"/>
      <c r="AM58" s="83"/>
      <c r="AN58" s="206"/>
      <c r="AO58" s="83"/>
      <c r="AP58" s="206"/>
      <c r="AQ58" s="83"/>
      <c r="AR58" s="13">
        <f t="shared" si="6"/>
        <v>5.7999999999999995E-6</v>
      </c>
      <c r="AS58" s="13">
        <f t="shared" si="7"/>
        <v>0</v>
      </c>
      <c r="AT58" s="13"/>
      <c r="AU58" s="195">
        <v>63</v>
      </c>
      <c r="AV58" s="77">
        <f t="shared" si="8"/>
        <v>3.4799999999999999E-5</v>
      </c>
      <c r="AW58" s="192">
        <f t="shared" si="9"/>
        <v>0</v>
      </c>
      <c r="AX58" s="219">
        <f t="shared" si="10"/>
        <v>5.7999999999999995E-6</v>
      </c>
      <c r="AY58" s="13">
        <f t="shared" si="19"/>
        <v>0</v>
      </c>
      <c r="AZ58" s="195">
        <v>63</v>
      </c>
      <c r="BA58" s="77">
        <f t="shared" si="11"/>
        <v>3.3399999999999999E-5</v>
      </c>
      <c r="BB58" s="192">
        <f t="shared" si="12"/>
        <v>0</v>
      </c>
      <c r="BC58" s="219">
        <f t="shared" si="20"/>
        <v>5.7999999999999995E-6</v>
      </c>
      <c r="BD58" s="13">
        <f t="shared" si="21"/>
        <v>0</v>
      </c>
      <c r="BE58" s="195">
        <v>63</v>
      </c>
      <c r="BF58" s="77">
        <f t="shared" si="13"/>
        <v>3.3399999999999999E-5</v>
      </c>
      <c r="BG58" s="192">
        <f t="shared" si="14"/>
        <v>0</v>
      </c>
      <c r="BI58" s="120"/>
      <c r="BJ58" s="120"/>
      <c r="BK58" s="160"/>
      <c r="BL58" s="160"/>
      <c r="BM58" s="161" t="str">
        <f t="shared" si="22"/>
        <v/>
      </c>
      <c r="BN58" s="161" t="str">
        <f t="shared" si="23"/>
        <v/>
      </c>
      <c r="BO58" s="161" t="str">
        <f t="shared" si="24"/>
        <v/>
      </c>
      <c r="BP58" s="161" t="str">
        <f t="shared" si="25"/>
        <v/>
      </c>
      <c r="BQ58" s="161" t="str">
        <f t="shared" si="26"/>
        <v/>
      </c>
      <c r="BR58" s="161" t="str">
        <f t="shared" si="27"/>
        <v/>
      </c>
      <c r="BS58" s="161" t="str">
        <f t="shared" si="28"/>
        <v/>
      </c>
      <c r="BT58" s="161" t="str">
        <f t="shared" si="29"/>
        <v/>
      </c>
      <c r="BU58" s="161" t="str">
        <f t="shared" si="30"/>
        <v/>
      </c>
      <c r="BV58" s="161" t="str">
        <f t="shared" si="31"/>
        <v/>
      </c>
      <c r="BW58" s="161" t="str">
        <f t="shared" si="32"/>
        <v/>
      </c>
      <c r="BX58" s="161" t="str">
        <f t="shared" si="15"/>
        <v/>
      </c>
      <c r="BY58" s="148"/>
      <c r="BZ58" s="148"/>
      <c r="CA58" s="148"/>
      <c r="CB58" s="148" t="s">
        <v>149</v>
      </c>
      <c r="CC58" s="148" t="s">
        <v>230</v>
      </c>
    </row>
    <row r="59" spans="1:81" ht="14.25" customHeight="1" thickBot="1">
      <c r="A59" s="190">
        <v>49</v>
      </c>
      <c r="B59" s="79"/>
      <c r="C59" s="179"/>
      <c r="D59" s="137"/>
      <c r="E59" s="198"/>
      <c r="F59" s="199"/>
      <c r="G59" s="200"/>
      <c r="H59" s="200"/>
      <c r="I59" s="200"/>
      <c r="J59" s="200"/>
      <c r="K59" s="276">
        <f t="shared" si="16"/>
        <v>0</v>
      </c>
      <c r="L59" s="277"/>
      <c r="M59" s="278"/>
      <c r="N59" s="350"/>
      <c r="O59" s="341" t="s">
        <v>65</v>
      </c>
      <c r="P59" s="189"/>
      <c r="Q59" s="326"/>
      <c r="R59" s="326"/>
      <c r="S59" s="87"/>
      <c r="T59" s="207"/>
      <c r="U59" s="225">
        <f t="shared" si="17"/>
        <v>0</v>
      </c>
      <c r="V59" s="277"/>
      <c r="W59" s="278"/>
      <c r="X59" s="350"/>
      <c r="Y59" s="208" t="s">
        <v>147</v>
      </c>
      <c r="Z59" s="11"/>
      <c r="AA59" s="207"/>
      <c r="AB59" s="207"/>
      <c r="AC59" s="3"/>
      <c r="AD59" s="207"/>
      <c r="AE59" s="226">
        <f t="shared" si="18"/>
        <v>0</v>
      </c>
      <c r="AF59" s="11"/>
      <c r="AG59" s="3"/>
      <c r="AH59" s="359"/>
      <c r="AI59" s="96"/>
      <c r="AJ59" s="94"/>
      <c r="AK59" s="214"/>
      <c r="AL59" s="213"/>
      <c r="AM59" s="82"/>
      <c r="AN59" s="213"/>
      <c r="AO59" s="82"/>
      <c r="AP59" s="213"/>
      <c r="AQ59" s="82"/>
      <c r="AR59" s="13">
        <f t="shared" si="6"/>
        <v>5.8999999999999994E-6</v>
      </c>
      <c r="AS59" s="13">
        <f t="shared" si="7"/>
        <v>0</v>
      </c>
      <c r="AT59" s="13"/>
      <c r="AU59" s="195">
        <v>64</v>
      </c>
      <c r="AV59" s="77">
        <f t="shared" si="8"/>
        <v>3.4699999999999996E-5</v>
      </c>
      <c r="AW59" s="192">
        <f t="shared" si="9"/>
        <v>0</v>
      </c>
      <c r="AX59" s="219">
        <f t="shared" si="10"/>
        <v>5.8999999999999994E-6</v>
      </c>
      <c r="AY59" s="13">
        <f t="shared" si="19"/>
        <v>0</v>
      </c>
      <c r="AZ59" s="195">
        <v>64</v>
      </c>
      <c r="BA59" s="77">
        <f t="shared" si="11"/>
        <v>3.3299999999999996E-5</v>
      </c>
      <c r="BB59" s="192">
        <f t="shared" si="12"/>
        <v>0</v>
      </c>
      <c r="BC59" s="219">
        <f t="shared" si="20"/>
        <v>5.8999999999999994E-6</v>
      </c>
      <c r="BD59" s="13">
        <f t="shared" si="21"/>
        <v>0</v>
      </c>
      <c r="BE59" s="195">
        <v>64</v>
      </c>
      <c r="BF59" s="77">
        <f t="shared" si="13"/>
        <v>3.3299999999999996E-5</v>
      </c>
      <c r="BG59" s="192">
        <f t="shared" si="14"/>
        <v>0</v>
      </c>
      <c r="BI59" s="120"/>
      <c r="BJ59" s="120"/>
      <c r="BK59" s="160"/>
      <c r="BL59" s="160"/>
      <c r="BM59" s="161" t="str">
        <f t="shared" si="22"/>
        <v/>
      </c>
      <c r="BN59" s="161" t="str">
        <f t="shared" si="23"/>
        <v/>
      </c>
      <c r="BO59" s="161" t="str">
        <f t="shared" si="24"/>
        <v/>
      </c>
      <c r="BP59" s="161" t="str">
        <f t="shared" si="25"/>
        <v/>
      </c>
      <c r="BQ59" s="161" t="str">
        <f t="shared" si="26"/>
        <v/>
      </c>
      <c r="BR59" s="161" t="str">
        <f t="shared" si="27"/>
        <v/>
      </c>
      <c r="BS59" s="161" t="str">
        <f t="shared" si="28"/>
        <v/>
      </c>
      <c r="BT59" s="161" t="str">
        <f t="shared" si="29"/>
        <v/>
      </c>
      <c r="BU59" s="161" t="str">
        <f t="shared" si="30"/>
        <v/>
      </c>
      <c r="BV59" s="161" t="str">
        <f t="shared" si="31"/>
        <v/>
      </c>
      <c r="BW59" s="161" t="str">
        <f t="shared" si="32"/>
        <v/>
      </c>
      <c r="BX59" s="161" t="str">
        <f t="shared" si="15"/>
        <v/>
      </c>
      <c r="BY59" s="148"/>
      <c r="BZ59" s="148"/>
      <c r="CA59" s="148"/>
      <c r="CB59" s="148" t="s">
        <v>149</v>
      </c>
      <c r="CC59" s="148" t="s">
        <v>230</v>
      </c>
    </row>
    <row r="60" spans="1:81" ht="14.25" customHeight="1" thickBot="1">
      <c r="A60" s="190">
        <v>50</v>
      </c>
      <c r="B60" s="196"/>
      <c r="C60" s="180"/>
      <c r="D60" s="136"/>
      <c r="E60" s="91"/>
      <c r="F60" s="187"/>
      <c r="G60" s="188"/>
      <c r="H60" s="188"/>
      <c r="I60" s="188"/>
      <c r="J60" s="188"/>
      <c r="K60" s="276">
        <f t="shared" si="16"/>
        <v>0</v>
      </c>
      <c r="L60" s="279"/>
      <c r="M60" s="280"/>
      <c r="N60" s="351"/>
      <c r="O60" s="342" t="s">
        <v>65</v>
      </c>
      <c r="P60" s="187"/>
      <c r="Q60" s="188"/>
      <c r="R60" s="188"/>
      <c r="S60" s="119"/>
      <c r="T60" s="188"/>
      <c r="U60" s="211">
        <f t="shared" ref="U60:U123" si="44">SUM(P60:T60)</f>
        <v>0</v>
      </c>
      <c r="V60" s="279"/>
      <c r="W60" s="280"/>
      <c r="X60" s="351"/>
      <c r="Y60" s="209" t="s">
        <v>85</v>
      </c>
      <c r="Z60" s="71"/>
      <c r="AA60" s="321"/>
      <c r="AB60" s="321"/>
      <c r="AC60" s="322"/>
      <c r="AD60" s="188"/>
      <c r="AE60" s="18">
        <f t="shared" ref="AE60:AE123" si="45">SUM(Z60:AD60)</f>
        <v>0</v>
      </c>
      <c r="AF60" s="71"/>
      <c r="AG60" s="322"/>
      <c r="AH60" s="360"/>
      <c r="AI60" s="97"/>
      <c r="AJ60" s="194"/>
      <c r="AK60" s="193"/>
      <c r="AL60" s="205"/>
      <c r="AM60" s="197"/>
      <c r="AN60" s="205"/>
      <c r="AO60" s="197"/>
      <c r="AP60" s="205"/>
      <c r="AQ60" s="197"/>
      <c r="AR60" s="13">
        <f t="shared" ref="AR60:AR123" si="46">K60+ROW()*0.0000001</f>
        <v>6.0000000000000002E-6</v>
      </c>
      <c r="AS60" s="13">
        <f t="shared" ref="AS60:AS123" si="47">B60</f>
        <v>0</v>
      </c>
      <c r="AT60" s="13"/>
      <c r="AU60" s="195">
        <v>65</v>
      </c>
      <c r="AV60" s="77">
        <f t="shared" si="8"/>
        <v>3.4600000000000001E-5</v>
      </c>
      <c r="AW60" s="192">
        <f t="shared" ref="AW60:AW123" si="48">IFERROR(VLOOKUP(AV60,الترتيب1,2,0),"")</f>
        <v>0</v>
      </c>
      <c r="AX60" s="219">
        <f t="shared" ref="AX60:AX123" si="49">U60+ROW()*0.0000001</f>
        <v>6.0000000000000002E-6</v>
      </c>
      <c r="AY60" s="13">
        <f t="shared" si="19"/>
        <v>0</v>
      </c>
      <c r="AZ60" s="195">
        <v>65</v>
      </c>
      <c r="BA60" s="77">
        <f t="shared" si="11"/>
        <v>3.3200000000000001E-5</v>
      </c>
      <c r="BB60" s="192">
        <f t="shared" ref="BB60:BB123" si="50">IFERROR(VLOOKUP(BA60,الترتيب2,2,0),"")</f>
        <v>0</v>
      </c>
      <c r="BC60" s="219">
        <f t="shared" si="20"/>
        <v>6.0000000000000002E-6</v>
      </c>
      <c r="BD60" s="13">
        <f t="shared" si="21"/>
        <v>0</v>
      </c>
      <c r="BE60" s="195">
        <v>65</v>
      </c>
      <c r="BF60" s="77">
        <f t="shared" si="13"/>
        <v>3.3200000000000001E-5</v>
      </c>
      <c r="BG60" s="192">
        <f t="shared" ref="BG60:BG123" si="51">IFERROR(VLOOKUP(BF60,الترتيب3,2,0),"")</f>
        <v>0</v>
      </c>
      <c r="BI60" s="120"/>
      <c r="BJ60" s="120"/>
      <c r="BK60" s="160"/>
      <c r="BL60" s="160"/>
      <c r="BM60" s="161" t="str">
        <f t="shared" si="22"/>
        <v/>
      </c>
      <c r="BN60" s="161" t="str">
        <f t="shared" si="23"/>
        <v/>
      </c>
      <c r="BO60" s="161" t="str">
        <f t="shared" si="24"/>
        <v/>
      </c>
      <c r="BP60" s="161" t="str">
        <f t="shared" si="25"/>
        <v/>
      </c>
      <c r="BQ60" s="161" t="str">
        <f t="shared" si="26"/>
        <v/>
      </c>
      <c r="BR60" s="161" t="str">
        <f t="shared" si="27"/>
        <v/>
      </c>
      <c r="BS60" s="161" t="str">
        <f t="shared" si="28"/>
        <v/>
      </c>
      <c r="BT60" s="161" t="str">
        <f t="shared" si="29"/>
        <v/>
      </c>
      <c r="BU60" s="161" t="str">
        <f t="shared" si="30"/>
        <v/>
      </c>
      <c r="BV60" s="161" t="str">
        <f t="shared" si="31"/>
        <v/>
      </c>
      <c r="BW60" s="161" t="str">
        <f t="shared" si="32"/>
        <v/>
      </c>
      <c r="BX60" s="161" t="str">
        <f t="shared" si="15"/>
        <v/>
      </c>
      <c r="BY60" s="148"/>
      <c r="BZ60" s="148"/>
      <c r="CA60" s="148"/>
      <c r="CB60" s="148" t="s">
        <v>149</v>
      </c>
      <c r="CC60" s="148" t="s">
        <v>230</v>
      </c>
    </row>
    <row r="61" spans="1:81" ht="14.25" customHeight="1" thickBot="1">
      <c r="A61" s="190">
        <v>51</v>
      </c>
      <c r="B61" s="78"/>
      <c r="C61" s="181"/>
      <c r="D61" s="86"/>
      <c r="E61" s="92"/>
      <c r="F61" s="88"/>
      <c r="G61" s="93"/>
      <c r="H61" s="93"/>
      <c r="I61" s="93"/>
      <c r="J61" s="93"/>
      <c r="K61" s="81">
        <f t="shared" ref="K61:K123" si="52">SUM(F61:J61)</f>
        <v>0</v>
      </c>
      <c r="L61" s="281"/>
      <c r="M61" s="282"/>
      <c r="N61" s="352"/>
      <c r="O61" s="343" t="s">
        <v>65</v>
      </c>
      <c r="P61" s="88"/>
      <c r="Q61" s="93"/>
      <c r="R61" s="93"/>
      <c r="S61" s="89"/>
      <c r="T61" s="93"/>
      <c r="U61" s="212">
        <f t="shared" si="44"/>
        <v>0</v>
      </c>
      <c r="V61" s="281"/>
      <c r="W61" s="282"/>
      <c r="X61" s="352"/>
      <c r="Y61" s="210" t="s">
        <v>85</v>
      </c>
      <c r="Z61" s="72"/>
      <c r="AA61" s="323"/>
      <c r="AB61" s="323"/>
      <c r="AC61" s="324"/>
      <c r="AD61" s="93"/>
      <c r="AE61" s="81">
        <f t="shared" si="45"/>
        <v>0</v>
      </c>
      <c r="AF61" s="72"/>
      <c r="AG61" s="324"/>
      <c r="AH61" s="361"/>
      <c r="AI61" s="98"/>
      <c r="AJ61" s="95"/>
      <c r="AK61" s="215"/>
      <c r="AL61" s="206"/>
      <c r="AM61" s="83"/>
      <c r="AN61" s="206"/>
      <c r="AO61" s="83"/>
      <c r="AP61" s="206"/>
      <c r="AQ61" s="83"/>
      <c r="AR61" s="13">
        <f t="shared" si="46"/>
        <v>6.1E-6</v>
      </c>
      <c r="AS61" s="13">
        <f t="shared" si="47"/>
        <v>0</v>
      </c>
      <c r="AT61" s="13"/>
      <c r="AU61" s="195">
        <v>66</v>
      </c>
      <c r="AV61" s="77">
        <f t="shared" si="8"/>
        <v>3.4499999999999998E-5</v>
      </c>
      <c r="AW61" s="192">
        <f t="shared" si="48"/>
        <v>0</v>
      </c>
      <c r="AX61" s="219">
        <f t="shared" si="49"/>
        <v>6.1E-6</v>
      </c>
      <c r="AY61" s="13">
        <f t="shared" ref="AY61:AY124" si="53">AS61</f>
        <v>0</v>
      </c>
      <c r="AZ61" s="195">
        <v>66</v>
      </c>
      <c r="BA61" s="77">
        <f t="shared" si="11"/>
        <v>3.3099999999999998E-5</v>
      </c>
      <c r="BB61" s="192">
        <f t="shared" si="50"/>
        <v>0</v>
      </c>
      <c r="BC61" s="219">
        <f t="shared" ref="BC61:BC124" si="54">AE61+ROW()*0.0000001</f>
        <v>6.1E-6</v>
      </c>
      <c r="BD61" s="13">
        <f t="shared" ref="BD61:BD124" si="55">AY61</f>
        <v>0</v>
      </c>
      <c r="BE61" s="195">
        <v>66</v>
      </c>
      <c r="BF61" s="77">
        <f t="shared" si="13"/>
        <v>3.3099999999999998E-5</v>
      </c>
      <c r="BG61" s="192">
        <f t="shared" si="51"/>
        <v>0</v>
      </c>
      <c r="BI61" s="120"/>
      <c r="BJ61" s="120"/>
      <c r="BK61" s="160"/>
      <c r="BL61" s="160"/>
      <c r="BM61" s="161" t="str">
        <f t="shared" si="22"/>
        <v/>
      </c>
      <c r="BN61" s="161" t="str">
        <f t="shared" si="23"/>
        <v/>
      </c>
      <c r="BO61" s="161" t="str">
        <f t="shared" si="24"/>
        <v/>
      </c>
      <c r="BP61" s="161" t="str">
        <f t="shared" si="25"/>
        <v/>
      </c>
      <c r="BQ61" s="161" t="str">
        <f t="shared" si="26"/>
        <v/>
      </c>
      <c r="BR61" s="161" t="str">
        <f t="shared" si="27"/>
        <v/>
      </c>
      <c r="BS61" s="161" t="str">
        <f t="shared" si="28"/>
        <v/>
      </c>
      <c r="BT61" s="161" t="str">
        <f t="shared" si="29"/>
        <v/>
      </c>
      <c r="BU61" s="161" t="str">
        <f t="shared" si="30"/>
        <v/>
      </c>
      <c r="BV61" s="161" t="str">
        <f t="shared" si="31"/>
        <v/>
      </c>
      <c r="BW61" s="161" t="str">
        <f t="shared" si="32"/>
        <v/>
      </c>
      <c r="BX61" s="161" t="str">
        <f t="shared" si="15"/>
        <v/>
      </c>
      <c r="BY61" s="148"/>
      <c r="BZ61" s="148"/>
      <c r="CA61" s="148"/>
      <c r="CB61" s="148" t="s">
        <v>149</v>
      </c>
      <c r="CC61" s="148" t="s">
        <v>230</v>
      </c>
    </row>
    <row r="62" spans="1:81" ht="14.25" customHeight="1" thickBot="1">
      <c r="A62" s="190">
        <v>52</v>
      </c>
      <c r="B62" s="79"/>
      <c r="C62" s="179"/>
      <c r="D62" s="137"/>
      <c r="E62" s="198"/>
      <c r="F62" s="199"/>
      <c r="G62" s="200"/>
      <c r="H62" s="200"/>
      <c r="I62" s="200"/>
      <c r="J62" s="200"/>
      <c r="K62" s="201">
        <f t="shared" si="52"/>
        <v>0</v>
      </c>
      <c r="L62" s="277"/>
      <c r="M62" s="278"/>
      <c r="N62" s="350"/>
      <c r="O62" s="341" t="s">
        <v>65</v>
      </c>
      <c r="P62" s="189"/>
      <c r="Q62" s="326"/>
      <c r="R62" s="326"/>
      <c r="S62" s="87"/>
      <c r="T62" s="207"/>
      <c r="U62" s="225">
        <f t="shared" si="44"/>
        <v>0</v>
      </c>
      <c r="V62" s="277"/>
      <c r="W62" s="278"/>
      <c r="X62" s="350"/>
      <c r="Y62" s="208" t="s">
        <v>147</v>
      </c>
      <c r="Z62" s="11"/>
      <c r="AA62" s="207"/>
      <c r="AB62" s="207"/>
      <c r="AC62" s="3"/>
      <c r="AD62" s="207"/>
      <c r="AE62" s="226">
        <f t="shared" si="45"/>
        <v>0</v>
      </c>
      <c r="AF62" s="11"/>
      <c r="AG62" s="3"/>
      <c r="AH62" s="359"/>
      <c r="AI62" s="96"/>
      <c r="AJ62" s="94"/>
      <c r="AK62" s="214"/>
      <c r="AL62" s="213"/>
      <c r="AM62" s="82"/>
      <c r="AN62" s="213"/>
      <c r="AO62" s="82"/>
      <c r="AP62" s="213"/>
      <c r="AQ62" s="82"/>
      <c r="AR62" s="13">
        <f t="shared" si="46"/>
        <v>6.1999999999999999E-6</v>
      </c>
      <c r="AS62" s="13">
        <f t="shared" si="47"/>
        <v>0</v>
      </c>
      <c r="AT62" s="13"/>
      <c r="AU62" s="195">
        <v>67</v>
      </c>
      <c r="AV62" s="77">
        <f t="shared" si="8"/>
        <v>3.4399999999999996E-5</v>
      </c>
      <c r="AW62" s="192">
        <f t="shared" si="48"/>
        <v>0</v>
      </c>
      <c r="AX62" s="219">
        <f t="shared" si="49"/>
        <v>6.1999999999999999E-6</v>
      </c>
      <c r="AY62" s="13">
        <f t="shared" si="53"/>
        <v>0</v>
      </c>
      <c r="AZ62" s="195">
        <v>67</v>
      </c>
      <c r="BA62" s="77">
        <f t="shared" si="11"/>
        <v>3.2999999999999996E-5</v>
      </c>
      <c r="BB62" s="192">
        <f t="shared" si="50"/>
        <v>0</v>
      </c>
      <c r="BC62" s="219">
        <f t="shared" si="54"/>
        <v>6.1999999999999999E-6</v>
      </c>
      <c r="BD62" s="13">
        <f t="shared" si="55"/>
        <v>0</v>
      </c>
      <c r="BE62" s="195">
        <v>67</v>
      </c>
      <c r="BF62" s="77">
        <f t="shared" si="13"/>
        <v>3.2999999999999996E-5</v>
      </c>
      <c r="BG62" s="192">
        <f t="shared" si="51"/>
        <v>0</v>
      </c>
      <c r="BI62" s="120"/>
      <c r="BJ62" s="120"/>
      <c r="BK62" s="160"/>
      <c r="BL62" s="160"/>
      <c r="BM62" s="161" t="str">
        <f t="shared" si="22"/>
        <v/>
      </c>
      <c r="BN62" s="161" t="str">
        <f t="shared" si="23"/>
        <v/>
      </c>
      <c r="BO62" s="161" t="str">
        <f t="shared" si="24"/>
        <v/>
      </c>
      <c r="BP62" s="161" t="str">
        <f t="shared" si="25"/>
        <v/>
      </c>
      <c r="BQ62" s="161" t="str">
        <f t="shared" si="26"/>
        <v/>
      </c>
      <c r="BR62" s="161" t="str">
        <f t="shared" si="27"/>
        <v/>
      </c>
      <c r="BS62" s="161" t="str">
        <f t="shared" si="28"/>
        <v/>
      </c>
      <c r="BT62" s="161" t="str">
        <f t="shared" si="29"/>
        <v/>
      </c>
      <c r="BU62" s="161" t="str">
        <f t="shared" si="30"/>
        <v/>
      </c>
      <c r="BV62" s="161" t="str">
        <f t="shared" si="31"/>
        <v/>
      </c>
      <c r="BW62" s="161" t="str">
        <f t="shared" si="32"/>
        <v/>
      </c>
      <c r="BX62" s="161" t="str">
        <f t="shared" si="15"/>
        <v/>
      </c>
      <c r="BY62" s="148"/>
      <c r="BZ62" s="148"/>
      <c r="CA62" s="148"/>
      <c r="CB62" s="148" t="s">
        <v>149</v>
      </c>
      <c r="CC62" s="148" t="s">
        <v>230</v>
      </c>
    </row>
    <row r="63" spans="1:81" ht="14.25" customHeight="1" thickBot="1">
      <c r="A63" s="190">
        <v>53</v>
      </c>
      <c r="B63" s="196"/>
      <c r="C63" s="180"/>
      <c r="D63" s="136"/>
      <c r="E63" s="91"/>
      <c r="F63" s="187"/>
      <c r="G63" s="188"/>
      <c r="H63" s="188"/>
      <c r="I63" s="188"/>
      <c r="J63" s="188"/>
      <c r="K63" s="18">
        <f t="shared" si="52"/>
        <v>0</v>
      </c>
      <c r="L63" s="279"/>
      <c r="M63" s="280"/>
      <c r="N63" s="351"/>
      <c r="O63" s="342" t="s">
        <v>65</v>
      </c>
      <c r="P63" s="187"/>
      <c r="Q63" s="188"/>
      <c r="R63" s="188"/>
      <c r="S63" s="119"/>
      <c r="T63" s="188"/>
      <c r="U63" s="211">
        <f t="shared" si="44"/>
        <v>0</v>
      </c>
      <c r="V63" s="279"/>
      <c r="W63" s="280"/>
      <c r="X63" s="351"/>
      <c r="Y63" s="209" t="s">
        <v>85</v>
      </c>
      <c r="Z63" s="71"/>
      <c r="AA63" s="321"/>
      <c r="AB63" s="321"/>
      <c r="AC63" s="322"/>
      <c r="AD63" s="188"/>
      <c r="AE63" s="18">
        <f t="shared" si="45"/>
        <v>0</v>
      </c>
      <c r="AF63" s="71"/>
      <c r="AG63" s="322"/>
      <c r="AH63" s="360"/>
      <c r="AI63" s="97"/>
      <c r="AJ63" s="194"/>
      <c r="AK63" s="193"/>
      <c r="AL63" s="205"/>
      <c r="AM63" s="197"/>
      <c r="AN63" s="205"/>
      <c r="AO63" s="197"/>
      <c r="AP63" s="205"/>
      <c r="AQ63" s="197"/>
      <c r="AR63" s="13">
        <f t="shared" si="46"/>
        <v>6.2999999999999998E-6</v>
      </c>
      <c r="AS63" s="13">
        <f t="shared" si="47"/>
        <v>0</v>
      </c>
      <c r="AT63" s="13"/>
      <c r="AU63" s="195">
        <v>68</v>
      </c>
      <c r="AV63" s="77">
        <f t="shared" si="8"/>
        <v>3.43E-5</v>
      </c>
      <c r="AW63" s="192">
        <f t="shared" si="48"/>
        <v>0</v>
      </c>
      <c r="AX63" s="219">
        <f t="shared" si="49"/>
        <v>6.2999999999999998E-6</v>
      </c>
      <c r="AY63" s="13">
        <f t="shared" si="53"/>
        <v>0</v>
      </c>
      <c r="AZ63" s="195">
        <v>68</v>
      </c>
      <c r="BA63" s="77">
        <f t="shared" si="11"/>
        <v>3.29E-5</v>
      </c>
      <c r="BB63" s="192">
        <f t="shared" si="50"/>
        <v>0</v>
      </c>
      <c r="BC63" s="219">
        <f t="shared" si="54"/>
        <v>6.2999999999999998E-6</v>
      </c>
      <c r="BD63" s="13">
        <f t="shared" si="55"/>
        <v>0</v>
      </c>
      <c r="BE63" s="195">
        <v>68</v>
      </c>
      <c r="BF63" s="77">
        <f t="shared" si="13"/>
        <v>3.29E-5</v>
      </c>
      <c r="BG63" s="192">
        <f t="shared" si="51"/>
        <v>0</v>
      </c>
      <c r="BI63" s="120"/>
      <c r="BJ63" s="120"/>
      <c r="BK63" s="160"/>
      <c r="BL63" s="160"/>
      <c r="BM63" s="161" t="str">
        <f t="shared" si="22"/>
        <v/>
      </c>
      <c r="BN63" s="161" t="str">
        <f t="shared" si="23"/>
        <v/>
      </c>
      <c r="BO63" s="161" t="str">
        <f t="shared" si="24"/>
        <v/>
      </c>
      <c r="BP63" s="161" t="str">
        <f t="shared" si="25"/>
        <v/>
      </c>
      <c r="BQ63" s="161" t="str">
        <f t="shared" si="26"/>
        <v/>
      </c>
      <c r="BR63" s="161" t="str">
        <f t="shared" si="27"/>
        <v/>
      </c>
      <c r="BS63" s="161" t="str">
        <f t="shared" si="28"/>
        <v/>
      </c>
      <c r="BT63" s="161" t="str">
        <f t="shared" si="29"/>
        <v/>
      </c>
      <c r="BU63" s="161" t="str">
        <f t="shared" si="30"/>
        <v/>
      </c>
      <c r="BV63" s="161" t="str">
        <f t="shared" si="31"/>
        <v/>
      </c>
      <c r="BW63" s="161" t="str">
        <f t="shared" si="32"/>
        <v/>
      </c>
      <c r="BX63" s="161" t="str">
        <f t="shared" si="15"/>
        <v/>
      </c>
      <c r="BY63" s="148"/>
      <c r="BZ63" s="148"/>
      <c r="CA63" s="148"/>
      <c r="CB63" s="148" t="s">
        <v>149</v>
      </c>
      <c r="CC63" s="148" t="s">
        <v>230</v>
      </c>
    </row>
    <row r="64" spans="1:81" ht="14.25" customHeight="1" thickBot="1">
      <c r="A64" s="190">
        <v>54</v>
      </c>
      <c r="B64" s="78"/>
      <c r="C64" s="181"/>
      <c r="D64" s="86"/>
      <c r="E64" s="92"/>
      <c r="F64" s="88"/>
      <c r="G64" s="93"/>
      <c r="H64" s="93"/>
      <c r="I64" s="93"/>
      <c r="J64" s="93"/>
      <c r="K64" s="81">
        <f t="shared" si="52"/>
        <v>0</v>
      </c>
      <c r="L64" s="281"/>
      <c r="M64" s="282"/>
      <c r="N64" s="352"/>
      <c r="O64" s="343" t="s">
        <v>65</v>
      </c>
      <c r="P64" s="88"/>
      <c r="Q64" s="93"/>
      <c r="R64" s="93"/>
      <c r="S64" s="89"/>
      <c r="T64" s="93"/>
      <c r="U64" s="212">
        <f t="shared" si="44"/>
        <v>0</v>
      </c>
      <c r="V64" s="281"/>
      <c r="W64" s="282"/>
      <c r="X64" s="352"/>
      <c r="Y64" s="210" t="s">
        <v>85</v>
      </c>
      <c r="Z64" s="72"/>
      <c r="AA64" s="323"/>
      <c r="AB64" s="323"/>
      <c r="AC64" s="324"/>
      <c r="AD64" s="93"/>
      <c r="AE64" s="81">
        <f t="shared" si="45"/>
        <v>0</v>
      </c>
      <c r="AF64" s="72"/>
      <c r="AG64" s="324"/>
      <c r="AH64" s="361"/>
      <c r="AI64" s="98"/>
      <c r="AJ64" s="95"/>
      <c r="AK64" s="215"/>
      <c r="AL64" s="206"/>
      <c r="AM64" s="83"/>
      <c r="AN64" s="206"/>
      <c r="AO64" s="83"/>
      <c r="AP64" s="206"/>
      <c r="AQ64" s="83"/>
      <c r="AR64" s="13">
        <f t="shared" si="46"/>
        <v>6.3999999999999997E-6</v>
      </c>
      <c r="AS64" s="13">
        <f t="shared" si="47"/>
        <v>0</v>
      </c>
      <c r="AT64" s="13"/>
      <c r="AU64" s="195">
        <v>69</v>
      </c>
      <c r="AV64" s="77">
        <f t="shared" si="8"/>
        <v>3.4199999999999998E-5</v>
      </c>
      <c r="AW64" s="192">
        <f t="shared" si="48"/>
        <v>0</v>
      </c>
      <c r="AX64" s="219">
        <f t="shared" si="49"/>
        <v>6.3999999999999997E-6</v>
      </c>
      <c r="AY64" s="13">
        <f t="shared" si="53"/>
        <v>0</v>
      </c>
      <c r="AZ64" s="195">
        <v>69</v>
      </c>
      <c r="BA64" s="77">
        <f t="shared" si="11"/>
        <v>3.2799999999999998E-5</v>
      </c>
      <c r="BB64" s="192">
        <f t="shared" si="50"/>
        <v>0</v>
      </c>
      <c r="BC64" s="219">
        <f t="shared" si="54"/>
        <v>6.3999999999999997E-6</v>
      </c>
      <c r="BD64" s="13">
        <f t="shared" si="55"/>
        <v>0</v>
      </c>
      <c r="BE64" s="195">
        <v>69</v>
      </c>
      <c r="BF64" s="77">
        <f t="shared" si="13"/>
        <v>3.2799999999999998E-5</v>
      </c>
      <c r="BG64" s="192">
        <f t="shared" si="51"/>
        <v>0</v>
      </c>
      <c r="BI64" s="120"/>
      <c r="BJ64" s="120"/>
      <c r="BK64" s="160"/>
      <c r="BL64" s="160"/>
      <c r="BM64" s="161" t="str">
        <f t="shared" si="22"/>
        <v/>
      </c>
      <c r="BN64" s="161" t="str">
        <f t="shared" si="23"/>
        <v/>
      </c>
      <c r="BO64" s="161" t="str">
        <f t="shared" si="24"/>
        <v/>
      </c>
      <c r="BP64" s="161" t="str">
        <f t="shared" si="25"/>
        <v/>
      </c>
      <c r="BQ64" s="161" t="str">
        <f t="shared" si="26"/>
        <v/>
      </c>
      <c r="BR64" s="161" t="str">
        <f t="shared" si="27"/>
        <v/>
      </c>
      <c r="BS64" s="161" t="str">
        <f t="shared" si="28"/>
        <v/>
      </c>
      <c r="BT64" s="161" t="str">
        <f t="shared" si="29"/>
        <v/>
      </c>
      <c r="BU64" s="161" t="str">
        <f t="shared" si="30"/>
        <v/>
      </c>
      <c r="BV64" s="161" t="str">
        <f t="shared" si="31"/>
        <v/>
      </c>
      <c r="BW64" s="161" t="str">
        <f t="shared" si="32"/>
        <v/>
      </c>
      <c r="BX64" s="161" t="str">
        <f t="shared" si="15"/>
        <v/>
      </c>
      <c r="BY64" s="148"/>
      <c r="BZ64" s="148"/>
      <c r="CA64" s="148"/>
      <c r="CB64" s="148" t="s">
        <v>149</v>
      </c>
      <c r="CC64" s="148" t="s">
        <v>230</v>
      </c>
    </row>
    <row r="65" spans="1:81" ht="14.25" customHeight="1" thickBot="1">
      <c r="A65" s="190">
        <v>55</v>
      </c>
      <c r="B65" s="79"/>
      <c r="C65" s="179"/>
      <c r="D65" s="137"/>
      <c r="E65" s="198"/>
      <c r="F65" s="199"/>
      <c r="G65" s="200"/>
      <c r="H65" s="200"/>
      <c r="I65" s="200"/>
      <c r="J65" s="200"/>
      <c r="K65" s="201">
        <f t="shared" si="52"/>
        <v>0</v>
      </c>
      <c r="L65" s="277"/>
      <c r="M65" s="278"/>
      <c r="N65" s="350"/>
      <c r="O65" s="341" t="s">
        <v>65</v>
      </c>
      <c r="P65" s="189"/>
      <c r="Q65" s="326"/>
      <c r="R65" s="326"/>
      <c r="S65" s="87"/>
      <c r="T65" s="207"/>
      <c r="U65" s="225">
        <f t="shared" si="44"/>
        <v>0</v>
      </c>
      <c r="V65" s="277"/>
      <c r="W65" s="278"/>
      <c r="X65" s="350"/>
      <c r="Y65" s="208" t="s">
        <v>147</v>
      </c>
      <c r="Z65" s="11"/>
      <c r="AA65" s="207"/>
      <c r="AB65" s="207"/>
      <c r="AC65" s="3"/>
      <c r="AD65" s="207"/>
      <c r="AE65" s="226">
        <f t="shared" si="45"/>
        <v>0</v>
      </c>
      <c r="AF65" s="11"/>
      <c r="AG65" s="3"/>
      <c r="AH65" s="359"/>
      <c r="AI65" s="96"/>
      <c r="AJ65" s="94"/>
      <c r="AK65" s="214"/>
      <c r="AL65" s="213"/>
      <c r="AM65" s="82"/>
      <c r="AN65" s="213"/>
      <c r="AO65" s="82"/>
      <c r="AP65" s="213"/>
      <c r="AQ65" s="82"/>
      <c r="AR65" s="13">
        <f t="shared" si="46"/>
        <v>6.4999999999999996E-6</v>
      </c>
      <c r="AS65" s="13">
        <f t="shared" si="47"/>
        <v>0</v>
      </c>
      <c r="AT65" s="13"/>
      <c r="AU65" s="195">
        <v>70</v>
      </c>
      <c r="AV65" s="77">
        <f t="shared" si="8"/>
        <v>3.4099999999999995E-5</v>
      </c>
      <c r="AW65" s="192">
        <f t="shared" si="48"/>
        <v>0</v>
      </c>
      <c r="AX65" s="219">
        <f t="shared" si="49"/>
        <v>6.4999999999999996E-6</v>
      </c>
      <c r="AY65" s="13">
        <f t="shared" si="53"/>
        <v>0</v>
      </c>
      <c r="AZ65" s="195">
        <v>70</v>
      </c>
      <c r="BA65" s="77">
        <f t="shared" si="11"/>
        <v>3.2699999999999995E-5</v>
      </c>
      <c r="BB65" s="192">
        <f t="shared" si="50"/>
        <v>0</v>
      </c>
      <c r="BC65" s="219">
        <f t="shared" si="54"/>
        <v>6.4999999999999996E-6</v>
      </c>
      <c r="BD65" s="13">
        <f t="shared" si="55"/>
        <v>0</v>
      </c>
      <c r="BE65" s="195">
        <v>70</v>
      </c>
      <c r="BF65" s="77">
        <f t="shared" si="13"/>
        <v>3.2699999999999995E-5</v>
      </c>
      <c r="BG65" s="192">
        <f t="shared" si="51"/>
        <v>0</v>
      </c>
      <c r="BI65" s="120"/>
      <c r="BJ65" s="120"/>
      <c r="BK65" s="160"/>
      <c r="BL65" s="160"/>
      <c r="BM65" s="161" t="str">
        <f t="shared" si="22"/>
        <v/>
      </c>
      <c r="BN65" s="161" t="str">
        <f t="shared" si="23"/>
        <v/>
      </c>
      <c r="BO65" s="161" t="str">
        <f t="shared" si="24"/>
        <v/>
      </c>
      <c r="BP65" s="161" t="str">
        <f t="shared" si="25"/>
        <v/>
      </c>
      <c r="BQ65" s="161" t="str">
        <f t="shared" si="26"/>
        <v/>
      </c>
      <c r="BR65" s="161" t="str">
        <f t="shared" si="27"/>
        <v/>
      </c>
      <c r="BS65" s="161" t="str">
        <f t="shared" si="28"/>
        <v/>
      </c>
      <c r="BT65" s="161" t="str">
        <f t="shared" si="29"/>
        <v/>
      </c>
      <c r="BU65" s="161" t="str">
        <f t="shared" si="30"/>
        <v/>
      </c>
      <c r="BV65" s="161" t="str">
        <f t="shared" si="31"/>
        <v/>
      </c>
      <c r="BW65" s="161" t="str">
        <f t="shared" si="32"/>
        <v/>
      </c>
      <c r="BX65" s="161" t="str">
        <f t="shared" si="15"/>
        <v/>
      </c>
      <c r="BY65" s="148"/>
      <c r="BZ65" s="148"/>
      <c r="CA65" s="148"/>
      <c r="CB65" s="148" t="s">
        <v>149</v>
      </c>
      <c r="CC65" s="148" t="s">
        <v>230</v>
      </c>
    </row>
    <row r="66" spans="1:81" ht="14.25" customHeight="1" thickBot="1">
      <c r="A66" s="190">
        <v>56</v>
      </c>
      <c r="B66" s="196"/>
      <c r="C66" s="180"/>
      <c r="D66" s="136"/>
      <c r="E66" s="91"/>
      <c r="F66" s="187"/>
      <c r="G66" s="188"/>
      <c r="H66" s="188"/>
      <c r="I66" s="188"/>
      <c r="J66" s="188"/>
      <c r="K66" s="18">
        <f t="shared" si="52"/>
        <v>0</v>
      </c>
      <c r="L66" s="279"/>
      <c r="M66" s="280"/>
      <c r="N66" s="351"/>
      <c r="O66" s="342" t="s">
        <v>65</v>
      </c>
      <c r="P66" s="187"/>
      <c r="Q66" s="188"/>
      <c r="R66" s="188"/>
      <c r="S66" s="119"/>
      <c r="T66" s="188"/>
      <c r="U66" s="211">
        <f t="shared" si="44"/>
        <v>0</v>
      </c>
      <c r="V66" s="279"/>
      <c r="W66" s="280"/>
      <c r="X66" s="351"/>
      <c r="Y66" s="209" t="s">
        <v>85</v>
      </c>
      <c r="Z66" s="71"/>
      <c r="AA66" s="321"/>
      <c r="AB66" s="321"/>
      <c r="AC66" s="322"/>
      <c r="AD66" s="188"/>
      <c r="AE66" s="18">
        <f t="shared" si="45"/>
        <v>0</v>
      </c>
      <c r="AF66" s="71"/>
      <c r="AG66" s="322"/>
      <c r="AH66" s="360"/>
      <c r="AI66" s="97"/>
      <c r="AJ66" s="194"/>
      <c r="AK66" s="193"/>
      <c r="AL66" s="205"/>
      <c r="AM66" s="197"/>
      <c r="AN66" s="205"/>
      <c r="AO66" s="197"/>
      <c r="AP66" s="205"/>
      <c r="AQ66" s="197"/>
      <c r="AR66" s="13">
        <f t="shared" si="46"/>
        <v>6.5999999999999995E-6</v>
      </c>
      <c r="AS66" s="13">
        <f t="shared" si="47"/>
        <v>0</v>
      </c>
      <c r="AT66" s="13"/>
      <c r="AU66" s="195">
        <v>71</v>
      </c>
      <c r="AV66" s="77">
        <f t="shared" si="8"/>
        <v>3.4E-5</v>
      </c>
      <c r="AW66" s="192">
        <f t="shared" si="48"/>
        <v>0</v>
      </c>
      <c r="AX66" s="219">
        <f t="shared" si="49"/>
        <v>6.5999999999999995E-6</v>
      </c>
      <c r="AY66" s="13">
        <f t="shared" si="53"/>
        <v>0</v>
      </c>
      <c r="AZ66" s="195">
        <v>71</v>
      </c>
      <c r="BA66" s="77">
        <f t="shared" si="11"/>
        <v>3.26E-5</v>
      </c>
      <c r="BB66" s="192">
        <f t="shared" si="50"/>
        <v>0</v>
      </c>
      <c r="BC66" s="219">
        <f t="shared" si="54"/>
        <v>6.5999999999999995E-6</v>
      </c>
      <c r="BD66" s="13">
        <f t="shared" si="55"/>
        <v>0</v>
      </c>
      <c r="BE66" s="195">
        <v>71</v>
      </c>
      <c r="BF66" s="77">
        <f t="shared" si="13"/>
        <v>3.26E-5</v>
      </c>
      <c r="BG66" s="192">
        <f t="shared" si="51"/>
        <v>0</v>
      </c>
      <c r="BI66" s="120"/>
      <c r="BJ66" s="120"/>
      <c r="BK66" s="160"/>
      <c r="BL66" s="160"/>
      <c r="BM66" s="161" t="str">
        <f t="shared" si="22"/>
        <v/>
      </c>
      <c r="BN66" s="161" t="str">
        <f t="shared" si="23"/>
        <v/>
      </c>
      <c r="BO66" s="161" t="str">
        <f t="shared" si="24"/>
        <v/>
      </c>
      <c r="BP66" s="161" t="str">
        <f t="shared" si="25"/>
        <v/>
      </c>
      <c r="BQ66" s="161" t="str">
        <f t="shared" si="26"/>
        <v/>
      </c>
      <c r="BR66" s="161" t="str">
        <f t="shared" si="27"/>
        <v/>
      </c>
      <c r="BS66" s="161" t="str">
        <f t="shared" si="28"/>
        <v/>
      </c>
      <c r="BT66" s="161" t="str">
        <f t="shared" si="29"/>
        <v/>
      </c>
      <c r="BU66" s="161" t="str">
        <f t="shared" si="30"/>
        <v/>
      </c>
      <c r="BV66" s="161" t="str">
        <f t="shared" si="31"/>
        <v/>
      </c>
      <c r="BW66" s="161" t="str">
        <f t="shared" si="32"/>
        <v/>
      </c>
      <c r="BX66" s="161" t="str">
        <f t="shared" si="15"/>
        <v/>
      </c>
      <c r="BY66" s="148"/>
      <c r="BZ66" s="148"/>
      <c r="CA66" s="148"/>
      <c r="CB66" s="148" t="s">
        <v>149</v>
      </c>
      <c r="CC66" s="148" t="s">
        <v>230</v>
      </c>
    </row>
    <row r="67" spans="1:81" ht="14.25" customHeight="1" thickBot="1">
      <c r="A67" s="190">
        <v>57</v>
      </c>
      <c r="B67" s="78"/>
      <c r="C67" s="181"/>
      <c r="D67" s="86"/>
      <c r="E67" s="92"/>
      <c r="F67" s="88"/>
      <c r="G67" s="93"/>
      <c r="H67" s="93"/>
      <c r="I67" s="93"/>
      <c r="J67" s="93"/>
      <c r="K67" s="81">
        <f t="shared" si="52"/>
        <v>0</v>
      </c>
      <c r="L67" s="281"/>
      <c r="M67" s="282"/>
      <c r="N67" s="352"/>
      <c r="O67" s="343" t="s">
        <v>65</v>
      </c>
      <c r="P67" s="88"/>
      <c r="Q67" s="93"/>
      <c r="R67" s="93"/>
      <c r="S67" s="89"/>
      <c r="T67" s="93"/>
      <c r="U67" s="212">
        <f t="shared" si="44"/>
        <v>0</v>
      </c>
      <c r="V67" s="281"/>
      <c r="W67" s="282"/>
      <c r="X67" s="352"/>
      <c r="Y67" s="210" t="s">
        <v>85</v>
      </c>
      <c r="Z67" s="72"/>
      <c r="AA67" s="323"/>
      <c r="AB67" s="323"/>
      <c r="AC67" s="324"/>
      <c r="AD67" s="93"/>
      <c r="AE67" s="81">
        <f t="shared" si="45"/>
        <v>0</v>
      </c>
      <c r="AF67" s="72"/>
      <c r="AG67" s="324"/>
      <c r="AH67" s="361"/>
      <c r="AI67" s="98"/>
      <c r="AJ67" s="95"/>
      <c r="AK67" s="215"/>
      <c r="AL67" s="206"/>
      <c r="AM67" s="83"/>
      <c r="AN67" s="206"/>
      <c r="AO67" s="83"/>
      <c r="AP67" s="206"/>
      <c r="AQ67" s="83"/>
      <c r="AR67" s="13">
        <f t="shared" si="46"/>
        <v>6.6999999999999994E-6</v>
      </c>
      <c r="AS67" s="13">
        <f t="shared" si="47"/>
        <v>0</v>
      </c>
      <c r="AT67" s="13"/>
      <c r="AU67" s="195">
        <v>72</v>
      </c>
      <c r="AV67" s="77">
        <f t="shared" si="8"/>
        <v>3.3899999999999997E-5</v>
      </c>
      <c r="AW67" s="192">
        <f t="shared" si="48"/>
        <v>0</v>
      </c>
      <c r="AX67" s="219">
        <f t="shared" si="49"/>
        <v>6.6999999999999994E-6</v>
      </c>
      <c r="AY67" s="13">
        <f t="shared" si="53"/>
        <v>0</v>
      </c>
      <c r="AZ67" s="195">
        <v>72</v>
      </c>
      <c r="BA67" s="77">
        <f t="shared" si="11"/>
        <v>3.2499999999999997E-5</v>
      </c>
      <c r="BB67" s="192">
        <f t="shared" si="50"/>
        <v>0</v>
      </c>
      <c r="BC67" s="219">
        <f t="shared" si="54"/>
        <v>6.6999999999999994E-6</v>
      </c>
      <c r="BD67" s="13">
        <f t="shared" si="55"/>
        <v>0</v>
      </c>
      <c r="BE67" s="195">
        <v>72</v>
      </c>
      <c r="BF67" s="77">
        <f t="shared" si="13"/>
        <v>3.2499999999999997E-5</v>
      </c>
      <c r="BG67" s="192">
        <f t="shared" si="51"/>
        <v>0</v>
      </c>
      <c r="BI67" s="120"/>
      <c r="BJ67" s="120"/>
      <c r="BK67" s="160"/>
      <c r="BL67" s="160"/>
      <c r="BM67" s="161" t="str">
        <f t="shared" si="22"/>
        <v/>
      </c>
      <c r="BN67" s="161" t="str">
        <f t="shared" si="23"/>
        <v/>
      </c>
      <c r="BO67" s="161" t="str">
        <f t="shared" si="24"/>
        <v/>
      </c>
      <c r="BP67" s="161" t="str">
        <f t="shared" si="25"/>
        <v/>
      </c>
      <c r="BQ67" s="161" t="str">
        <f t="shared" si="26"/>
        <v/>
      </c>
      <c r="BR67" s="161" t="str">
        <f t="shared" si="27"/>
        <v/>
      </c>
      <c r="BS67" s="161" t="str">
        <f t="shared" si="28"/>
        <v/>
      </c>
      <c r="BT67" s="161" t="str">
        <f t="shared" si="29"/>
        <v/>
      </c>
      <c r="BU67" s="161" t="str">
        <f t="shared" si="30"/>
        <v/>
      </c>
      <c r="BV67" s="161" t="str">
        <f t="shared" si="31"/>
        <v/>
      </c>
      <c r="BW67" s="161" t="str">
        <f t="shared" si="32"/>
        <v/>
      </c>
      <c r="BX67" s="161" t="str">
        <f t="shared" si="15"/>
        <v/>
      </c>
      <c r="BY67" s="148"/>
      <c r="BZ67" s="148"/>
      <c r="CA67" s="148"/>
      <c r="CB67" s="148" t="s">
        <v>149</v>
      </c>
      <c r="CC67" s="148" t="s">
        <v>230</v>
      </c>
    </row>
    <row r="68" spans="1:81" ht="14.25" customHeight="1" thickBot="1">
      <c r="A68" s="190">
        <v>58</v>
      </c>
      <c r="B68" s="79"/>
      <c r="C68" s="179"/>
      <c r="D68" s="137"/>
      <c r="E68" s="198"/>
      <c r="F68" s="199"/>
      <c r="G68" s="200"/>
      <c r="H68" s="200"/>
      <c r="I68" s="200"/>
      <c r="J68" s="200"/>
      <c r="K68" s="201">
        <f t="shared" si="52"/>
        <v>0</v>
      </c>
      <c r="L68" s="277"/>
      <c r="M68" s="278"/>
      <c r="N68" s="350"/>
      <c r="O68" s="341" t="s">
        <v>65</v>
      </c>
      <c r="P68" s="189"/>
      <c r="Q68" s="326"/>
      <c r="R68" s="326"/>
      <c r="S68" s="87"/>
      <c r="T68" s="207"/>
      <c r="U68" s="225">
        <f t="shared" si="44"/>
        <v>0</v>
      </c>
      <c r="V68" s="277"/>
      <c r="W68" s="278"/>
      <c r="X68" s="350"/>
      <c r="Y68" s="208" t="s">
        <v>147</v>
      </c>
      <c r="Z68" s="11"/>
      <c r="AA68" s="207"/>
      <c r="AB68" s="207"/>
      <c r="AC68" s="3"/>
      <c r="AD68" s="207"/>
      <c r="AE68" s="226">
        <f t="shared" si="45"/>
        <v>0</v>
      </c>
      <c r="AF68" s="11"/>
      <c r="AG68" s="3"/>
      <c r="AH68" s="359"/>
      <c r="AI68" s="96"/>
      <c r="AJ68" s="94"/>
      <c r="AK68" s="214"/>
      <c r="AL68" s="213"/>
      <c r="AM68" s="82"/>
      <c r="AN68" s="213"/>
      <c r="AO68" s="82"/>
      <c r="AP68" s="213"/>
      <c r="AQ68" s="82"/>
      <c r="AR68" s="13">
        <f t="shared" si="46"/>
        <v>6.7999999999999993E-6</v>
      </c>
      <c r="AS68" s="13">
        <f t="shared" si="47"/>
        <v>0</v>
      </c>
      <c r="AT68" s="13"/>
      <c r="AU68" s="195">
        <v>73</v>
      </c>
      <c r="AV68" s="77">
        <f t="shared" si="8"/>
        <v>3.3800000000000002E-5</v>
      </c>
      <c r="AW68" s="192">
        <f t="shared" si="48"/>
        <v>0</v>
      </c>
      <c r="AX68" s="219">
        <f t="shared" si="49"/>
        <v>6.7999999999999993E-6</v>
      </c>
      <c r="AY68" s="13">
        <f t="shared" si="53"/>
        <v>0</v>
      </c>
      <c r="AZ68" s="195">
        <v>73</v>
      </c>
      <c r="BA68" s="77">
        <f t="shared" si="11"/>
        <v>3.2400000000000001E-5</v>
      </c>
      <c r="BB68" s="192">
        <f t="shared" si="50"/>
        <v>0</v>
      </c>
      <c r="BC68" s="219">
        <f t="shared" si="54"/>
        <v>6.7999999999999993E-6</v>
      </c>
      <c r="BD68" s="13">
        <f t="shared" si="55"/>
        <v>0</v>
      </c>
      <c r="BE68" s="195">
        <v>73</v>
      </c>
      <c r="BF68" s="77">
        <f t="shared" si="13"/>
        <v>3.2400000000000001E-5</v>
      </c>
      <c r="BG68" s="192">
        <f t="shared" si="51"/>
        <v>0</v>
      </c>
      <c r="BI68" s="120"/>
      <c r="BJ68" s="120"/>
      <c r="BK68" s="160"/>
      <c r="BL68" s="160"/>
      <c r="BM68" s="161" t="str">
        <f t="shared" si="22"/>
        <v/>
      </c>
      <c r="BN68" s="161" t="str">
        <f t="shared" si="23"/>
        <v/>
      </c>
      <c r="BO68" s="161" t="str">
        <f t="shared" si="24"/>
        <v/>
      </c>
      <c r="BP68" s="161" t="str">
        <f t="shared" si="25"/>
        <v/>
      </c>
      <c r="BQ68" s="161" t="str">
        <f t="shared" si="26"/>
        <v/>
      </c>
      <c r="BR68" s="161" t="str">
        <f t="shared" si="27"/>
        <v/>
      </c>
      <c r="BS68" s="161" t="str">
        <f t="shared" si="28"/>
        <v/>
      </c>
      <c r="BT68" s="161" t="str">
        <f t="shared" si="29"/>
        <v/>
      </c>
      <c r="BU68" s="161" t="str">
        <f t="shared" si="30"/>
        <v/>
      </c>
      <c r="BV68" s="161" t="str">
        <f t="shared" si="31"/>
        <v/>
      </c>
      <c r="BW68" s="161" t="str">
        <f t="shared" si="32"/>
        <v/>
      </c>
      <c r="BX68" s="161" t="str">
        <f t="shared" si="15"/>
        <v/>
      </c>
      <c r="BY68" s="148"/>
      <c r="BZ68" s="148"/>
      <c r="CA68" s="148"/>
      <c r="CB68" s="148" t="s">
        <v>149</v>
      </c>
      <c r="CC68" s="148" t="s">
        <v>230</v>
      </c>
    </row>
    <row r="69" spans="1:81" ht="14.25" customHeight="1" thickBot="1">
      <c r="A69" s="190">
        <v>59</v>
      </c>
      <c r="B69" s="196"/>
      <c r="C69" s="180"/>
      <c r="D69" s="136"/>
      <c r="E69" s="91"/>
      <c r="F69" s="187"/>
      <c r="G69" s="188"/>
      <c r="H69" s="188"/>
      <c r="I69" s="188"/>
      <c r="J69" s="188"/>
      <c r="K69" s="18">
        <f t="shared" si="52"/>
        <v>0</v>
      </c>
      <c r="L69" s="279"/>
      <c r="M69" s="280"/>
      <c r="N69" s="351"/>
      <c r="O69" s="342" t="s">
        <v>65</v>
      </c>
      <c r="P69" s="187"/>
      <c r="Q69" s="188"/>
      <c r="R69" s="188"/>
      <c r="S69" s="119"/>
      <c r="T69" s="188"/>
      <c r="U69" s="211">
        <f t="shared" si="44"/>
        <v>0</v>
      </c>
      <c r="V69" s="279"/>
      <c r="W69" s="280"/>
      <c r="X69" s="351"/>
      <c r="Y69" s="209" t="s">
        <v>85</v>
      </c>
      <c r="Z69" s="71"/>
      <c r="AA69" s="321"/>
      <c r="AB69" s="321"/>
      <c r="AC69" s="322"/>
      <c r="AD69" s="188"/>
      <c r="AE69" s="18">
        <f t="shared" si="45"/>
        <v>0</v>
      </c>
      <c r="AF69" s="71"/>
      <c r="AG69" s="322"/>
      <c r="AH69" s="360"/>
      <c r="AI69" s="97"/>
      <c r="AJ69" s="194"/>
      <c r="AK69" s="193"/>
      <c r="AL69" s="205"/>
      <c r="AM69" s="197"/>
      <c r="AN69" s="205"/>
      <c r="AO69" s="197"/>
      <c r="AP69" s="205"/>
      <c r="AQ69" s="197"/>
      <c r="AR69" s="13">
        <f t="shared" si="46"/>
        <v>6.9E-6</v>
      </c>
      <c r="AS69" s="13">
        <f t="shared" si="47"/>
        <v>0</v>
      </c>
      <c r="AT69" s="13"/>
      <c r="AU69" s="195">
        <v>74</v>
      </c>
      <c r="AV69" s="77">
        <f t="shared" si="8"/>
        <v>3.3699999999999999E-5</v>
      </c>
      <c r="AW69" s="192">
        <f t="shared" si="48"/>
        <v>0</v>
      </c>
      <c r="AX69" s="219">
        <f t="shared" si="49"/>
        <v>6.9E-6</v>
      </c>
      <c r="AY69" s="13">
        <f t="shared" si="53"/>
        <v>0</v>
      </c>
      <c r="AZ69" s="195">
        <v>74</v>
      </c>
      <c r="BA69" s="77">
        <f t="shared" si="11"/>
        <v>3.2299999999999999E-5</v>
      </c>
      <c r="BB69" s="192">
        <f t="shared" si="50"/>
        <v>0</v>
      </c>
      <c r="BC69" s="219">
        <f t="shared" si="54"/>
        <v>6.9E-6</v>
      </c>
      <c r="BD69" s="13">
        <f t="shared" si="55"/>
        <v>0</v>
      </c>
      <c r="BE69" s="195">
        <v>74</v>
      </c>
      <c r="BF69" s="77">
        <f t="shared" si="13"/>
        <v>3.2299999999999999E-5</v>
      </c>
      <c r="BG69" s="192">
        <f t="shared" si="51"/>
        <v>0</v>
      </c>
      <c r="BI69" s="120"/>
      <c r="BJ69" s="120"/>
      <c r="BK69" s="160"/>
      <c r="BL69" s="160"/>
      <c r="BM69" s="161" t="str">
        <f t="shared" si="22"/>
        <v/>
      </c>
      <c r="BN69" s="161" t="str">
        <f t="shared" si="23"/>
        <v/>
      </c>
      <c r="BO69" s="161" t="str">
        <f t="shared" si="24"/>
        <v/>
      </c>
      <c r="BP69" s="161" t="str">
        <f t="shared" si="25"/>
        <v/>
      </c>
      <c r="BQ69" s="161" t="str">
        <f t="shared" si="26"/>
        <v/>
      </c>
      <c r="BR69" s="161" t="str">
        <f t="shared" si="27"/>
        <v/>
      </c>
      <c r="BS69" s="161" t="str">
        <f t="shared" si="28"/>
        <v/>
      </c>
      <c r="BT69" s="161" t="str">
        <f t="shared" ref="BT69:BT124" si="56">MID($BK69,5,1)</f>
        <v/>
      </c>
      <c r="BU69" s="161" t="str">
        <f t="shared" si="30"/>
        <v/>
      </c>
      <c r="BV69" s="161" t="str">
        <f t="shared" si="31"/>
        <v/>
      </c>
      <c r="BW69" s="161" t="str">
        <f t="shared" si="32"/>
        <v/>
      </c>
      <c r="BX69" s="161" t="str">
        <f t="shared" si="15"/>
        <v/>
      </c>
      <c r="BY69" s="148"/>
      <c r="BZ69" s="148"/>
      <c r="CA69" s="148"/>
      <c r="CB69" s="148" t="s">
        <v>149</v>
      </c>
      <c r="CC69" s="148" t="s">
        <v>230</v>
      </c>
    </row>
    <row r="70" spans="1:81" ht="14.25" customHeight="1" thickBot="1">
      <c r="A70" s="190">
        <v>60</v>
      </c>
      <c r="B70" s="78"/>
      <c r="C70" s="181"/>
      <c r="D70" s="86"/>
      <c r="E70" s="92"/>
      <c r="F70" s="88"/>
      <c r="G70" s="93"/>
      <c r="H70" s="93"/>
      <c r="I70" s="93"/>
      <c r="J70" s="93"/>
      <c r="K70" s="81">
        <f t="shared" si="52"/>
        <v>0</v>
      </c>
      <c r="L70" s="281"/>
      <c r="M70" s="282"/>
      <c r="N70" s="352"/>
      <c r="O70" s="343" t="s">
        <v>65</v>
      </c>
      <c r="P70" s="88"/>
      <c r="Q70" s="93"/>
      <c r="R70" s="93"/>
      <c r="S70" s="89"/>
      <c r="T70" s="93"/>
      <c r="U70" s="212">
        <f t="shared" si="44"/>
        <v>0</v>
      </c>
      <c r="V70" s="281"/>
      <c r="W70" s="282"/>
      <c r="X70" s="352"/>
      <c r="Y70" s="210" t="s">
        <v>85</v>
      </c>
      <c r="Z70" s="72"/>
      <c r="AA70" s="323"/>
      <c r="AB70" s="323"/>
      <c r="AC70" s="324"/>
      <c r="AD70" s="93"/>
      <c r="AE70" s="81">
        <f t="shared" si="45"/>
        <v>0</v>
      </c>
      <c r="AF70" s="72"/>
      <c r="AG70" s="324"/>
      <c r="AH70" s="361"/>
      <c r="AI70" s="98"/>
      <c r="AJ70" s="95"/>
      <c r="AK70" s="215"/>
      <c r="AL70" s="206"/>
      <c r="AM70" s="83"/>
      <c r="AN70" s="206"/>
      <c r="AO70" s="83"/>
      <c r="AP70" s="206"/>
      <c r="AQ70" s="83"/>
      <c r="AR70" s="13">
        <f t="shared" si="46"/>
        <v>6.9999999999999999E-6</v>
      </c>
      <c r="AS70" s="13">
        <f t="shared" si="47"/>
        <v>0</v>
      </c>
      <c r="AT70" s="13"/>
      <c r="AU70" s="195">
        <v>75</v>
      </c>
      <c r="AV70" s="77">
        <f t="shared" si="8"/>
        <v>3.3599999999999997E-5</v>
      </c>
      <c r="AW70" s="192">
        <f t="shared" si="48"/>
        <v>0</v>
      </c>
      <c r="AX70" s="219">
        <f t="shared" si="49"/>
        <v>6.9999999999999999E-6</v>
      </c>
      <c r="AY70" s="13">
        <f t="shared" si="53"/>
        <v>0</v>
      </c>
      <c r="AZ70" s="195">
        <v>75</v>
      </c>
      <c r="BA70" s="77">
        <f t="shared" si="11"/>
        <v>3.2199999999999997E-5</v>
      </c>
      <c r="BB70" s="192">
        <f t="shared" si="50"/>
        <v>0</v>
      </c>
      <c r="BC70" s="219">
        <f t="shared" si="54"/>
        <v>6.9999999999999999E-6</v>
      </c>
      <c r="BD70" s="13">
        <f t="shared" si="55"/>
        <v>0</v>
      </c>
      <c r="BE70" s="195">
        <v>75</v>
      </c>
      <c r="BF70" s="77">
        <f t="shared" si="13"/>
        <v>3.2199999999999997E-5</v>
      </c>
      <c r="BG70" s="192">
        <f t="shared" si="51"/>
        <v>0</v>
      </c>
      <c r="BI70" s="120"/>
      <c r="BJ70" s="120"/>
      <c r="BK70" s="160"/>
      <c r="BL70" s="160"/>
      <c r="BM70" s="161" t="str">
        <f t="shared" si="22"/>
        <v/>
      </c>
      <c r="BN70" s="161" t="str">
        <f t="shared" si="23"/>
        <v/>
      </c>
      <c r="BO70" s="161" t="str">
        <f t="shared" si="24"/>
        <v/>
      </c>
      <c r="BP70" s="161" t="str">
        <f t="shared" si="25"/>
        <v/>
      </c>
      <c r="BQ70" s="161" t="str">
        <f t="shared" si="26"/>
        <v/>
      </c>
      <c r="BR70" s="161" t="str">
        <f t="shared" si="27"/>
        <v/>
      </c>
      <c r="BS70" s="161" t="str">
        <f t="shared" si="28"/>
        <v/>
      </c>
      <c r="BT70" s="161" t="str">
        <f t="shared" si="56"/>
        <v/>
      </c>
      <c r="BU70" s="161" t="str">
        <f t="shared" si="30"/>
        <v/>
      </c>
      <c r="BV70" s="161" t="str">
        <f t="shared" si="31"/>
        <v/>
      </c>
      <c r="BW70" s="161" t="str">
        <f t="shared" si="32"/>
        <v/>
      </c>
      <c r="BX70" s="161" t="str">
        <f t="shared" si="15"/>
        <v/>
      </c>
      <c r="BY70" s="148"/>
      <c r="BZ70" s="148"/>
      <c r="CA70" s="148"/>
      <c r="CB70" s="148" t="s">
        <v>149</v>
      </c>
      <c r="CC70" s="148" t="s">
        <v>230</v>
      </c>
    </row>
    <row r="71" spans="1:81" ht="14.25" customHeight="1" thickBot="1">
      <c r="A71" s="190">
        <v>61</v>
      </c>
      <c r="B71" s="79"/>
      <c r="C71" s="179"/>
      <c r="D71" s="137"/>
      <c r="E71" s="198"/>
      <c r="F71" s="199"/>
      <c r="G71" s="200"/>
      <c r="H71" s="200"/>
      <c r="I71" s="200"/>
      <c r="J71" s="200"/>
      <c r="K71" s="201">
        <f t="shared" si="52"/>
        <v>0</v>
      </c>
      <c r="L71" s="277"/>
      <c r="M71" s="278"/>
      <c r="N71" s="350"/>
      <c r="O71" s="341" t="s">
        <v>65</v>
      </c>
      <c r="P71" s="189"/>
      <c r="Q71" s="326"/>
      <c r="R71" s="326"/>
      <c r="S71" s="87"/>
      <c r="T71" s="207"/>
      <c r="U71" s="225">
        <f t="shared" si="44"/>
        <v>0</v>
      </c>
      <c r="V71" s="277"/>
      <c r="W71" s="278"/>
      <c r="X71" s="350"/>
      <c r="Y71" s="208" t="s">
        <v>147</v>
      </c>
      <c r="Z71" s="11"/>
      <c r="AA71" s="207"/>
      <c r="AB71" s="207"/>
      <c r="AC71" s="3"/>
      <c r="AD71" s="207"/>
      <c r="AE71" s="226">
        <f t="shared" si="45"/>
        <v>0</v>
      </c>
      <c r="AF71" s="11"/>
      <c r="AG71" s="3"/>
      <c r="AH71" s="359"/>
      <c r="AI71" s="96"/>
      <c r="AJ71" s="94"/>
      <c r="AK71" s="214"/>
      <c r="AL71" s="213"/>
      <c r="AM71" s="82"/>
      <c r="AN71" s="213"/>
      <c r="AO71" s="82"/>
      <c r="AP71" s="213"/>
      <c r="AQ71" s="82"/>
      <c r="AR71" s="13">
        <f t="shared" si="46"/>
        <v>7.0999999999999998E-6</v>
      </c>
      <c r="AS71" s="13">
        <f t="shared" si="47"/>
        <v>0</v>
      </c>
      <c r="AT71" s="13"/>
      <c r="AU71" s="195">
        <v>76</v>
      </c>
      <c r="AV71" s="77">
        <f t="shared" si="8"/>
        <v>3.3500000000000001E-5</v>
      </c>
      <c r="AW71" s="192">
        <f t="shared" si="48"/>
        <v>0</v>
      </c>
      <c r="AX71" s="219">
        <f t="shared" si="49"/>
        <v>7.0999999999999998E-6</v>
      </c>
      <c r="AY71" s="13">
        <f t="shared" si="53"/>
        <v>0</v>
      </c>
      <c r="AZ71" s="195">
        <v>76</v>
      </c>
      <c r="BA71" s="77">
        <f t="shared" si="11"/>
        <v>3.2100000000000001E-5</v>
      </c>
      <c r="BB71" s="192">
        <f t="shared" si="50"/>
        <v>0</v>
      </c>
      <c r="BC71" s="219">
        <f t="shared" si="54"/>
        <v>7.0999999999999998E-6</v>
      </c>
      <c r="BD71" s="13">
        <f t="shared" si="55"/>
        <v>0</v>
      </c>
      <c r="BE71" s="195">
        <v>76</v>
      </c>
      <c r="BF71" s="77">
        <f t="shared" si="13"/>
        <v>3.2100000000000001E-5</v>
      </c>
      <c r="BG71" s="192">
        <f t="shared" si="51"/>
        <v>0</v>
      </c>
      <c r="BI71" s="120"/>
      <c r="BJ71" s="120"/>
      <c r="BK71" s="160"/>
      <c r="BL71" s="160"/>
      <c r="BM71" s="161" t="str">
        <f t="shared" si="22"/>
        <v/>
      </c>
      <c r="BN71" s="161" t="str">
        <f t="shared" si="23"/>
        <v/>
      </c>
      <c r="BO71" s="161" t="str">
        <f t="shared" si="24"/>
        <v/>
      </c>
      <c r="BP71" s="161" t="str">
        <f t="shared" si="25"/>
        <v/>
      </c>
      <c r="BQ71" s="161" t="str">
        <f t="shared" si="26"/>
        <v/>
      </c>
      <c r="BR71" s="161" t="str">
        <f t="shared" si="27"/>
        <v/>
      </c>
      <c r="BS71" s="161" t="str">
        <f t="shared" si="28"/>
        <v/>
      </c>
      <c r="BT71" s="161" t="str">
        <f t="shared" si="56"/>
        <v/>
      </c>
      <c r="BU71" s="161" t="str">
        <f t="shared" si="30"/>
        <v/>
      </c>
      <c r="BV71" s="161" t="str">
        <f t="shared" si="31"/>
        <v/>
      </c>
      <c r="BW71" s="161" t="str">
        <f t="shared" si="32"/>
        <v/>
      </c>
      <c r="BX71" s="161" t="str">
        <f t="shared" si="15"/>
        <v/>
      </c>
      <c r="BY71" s="148"/>
      <c r="BZ71" s="148"/>
      <c r="CA71" s="148"/>
      <c r="CB71" s="148" t="s">
        <v>149</v>
      </c>
      <c r="CC71" s="148" t="s">
        <v>230</v>
      </c>
    </row>
    <row r="72" spans="1:81" ht="14.25" customHeight="1" thickBot="1">
      <c r="A72" s="190">
        <v>62</v>
      </c>
      <c r="B72" s="196"/>
      <c r="C72" s="180"/>
      <c r="D72" s="136"/>
      <c r="E72" s="91"/>
      <c r="F72" s="187"/>
      <c r="G72" s="188"/>
      <c r="H72" s="188"/>
      <c r="I72" s="188"/>
      <c r="J72" s="188"/>
      <c r="K72" s="18">
        <f t="shared" si="52"/>
        <v>0</v>
      </c>
      <c r="L72" s="279"/>
      <c r="M72" s="280"/>
      <c r="N72" s="351"/>
      <c r="O72" s="342" t="s">
        <v>65</v>
      </c>
      <c r="P72" s="187"/>
      <c r="Q72" s="188"/>
      <c r="R72" s="188"/>
      <c r="S72" s="119"/>
      <c r="T72" s="188"/>
      <c r="U72" s="211">
        <f t="shared" si="44"/>
        <v>0</v>
      </c>
      <c r="V72" s="279"/>
      <c r="W72" s="280"/>
      <c r="X72" s="351"/>
      <c r="Y72" s="209" t="s">
        <v>85</v>
      </c>
      <c r="Z72" s="71"/>
      <c r="AA72" s="321"/>
      <c r="AB72" s="321"/>
      <c r="AC72" s="322"/>
      <c r="AD72" s="188"/>
      <c r="AE72" s="18">
        <f t="shared" si="45"/>
        <v>0</v>
      </c>
      <c r="AF72" s="71"/>
      <c r="AG72" s="322"/>
      <c r="AH72" s="360"/>
      <c r="AI72" s="97"/>
      <c r="AJ72" s="194"/>
      <c r="AK72" s="193"/>
      <c r="AL72" s="205"/>
      <c r="AM72" s="197"/>
      <c r="AN72" s="205"/>
      <c r="AO72" s="197"/>
      <c r="AP72" s="205"/>
      <c r="AQ72" s="197"/>
      <c r="AR72" s="13">
        <f t="shared" si="46"/>
        <v>7.1999999999999997E-6</v>
      </c>
      <c r="AS72" s="13">
        <f t="shared" si="47"/>
        <v>0</v>
      </c>
      <c r="AT72" s="13"/>
      <c r="AU72" s="195">
        <v>77</v>
      </c>
      <c r="AV72" s="77">
        <f t="shared" si="8"/>
        <v>3.3399999999999999E-5</v>
      </c>
      <c r="AW72" s="192">
        <f t="shared" si="48"/>
        <v>0</v>
      </c>
      <c r="AX72" s="219">
        <f t="shared" si="49"/>
        <v>7.1999999999999997E-6</v>
      </c>
      <c r="AY72" s="13">
        <f t="shared" si="53"/>
        <v>0</v>
      </c>
      <c r="AZ72" s="195">
        <v>77</v>
      </c>
      <c r="BA72" s="77">
        <f t="shared" si="11"/>
        <v>3.1999999999999999E-5</v>
      </c>
      <c r="BB72" s="192">
        <f t="shared" si="50"/>
        <v>0</v>
      </c>
      <c r="BC72" s="219">
        <f t="shared" si="54"/>
        <v>7.1999999999999997E-6</v>
      </c>
      <c r="BD72" s="13">
        <f t="shared" si="55"/>
        <v>0</v>
      </c>
      <c r="BE72" s="195">
        <v>77</v>
      </c>
      <c r="BF72" s="77">
        <f t="shared" si="13"/>
        <v>3.1999999999999999E-5</v>
      </c>
      <c r="BG72" s="192">
        <f t="shared" si="51"/>
        <v>0</v>
      </c>
      <c r="BI72" s="120"/>
      <c r="BJ72" s="120"/>
      <c r="BK72" s="160"/>
      <c r="BL72" s="160"/>
      <c r="BM72" s="161" t="str">
        <f t="shared" si="22"/>
        <v/>
      </c>
      <c r="BN72" s="161" t="str">
        <f t="shared" si="23"/>
        <v/>
      </c>
      <c r="BO72" s="161" t="str">
        <f t="shared" si="24"/>
        <v/>
      </c>
      <c r="BP72" s="161" t="str">
        <f t="shared" si="25"/>
        <v/>
      </c>
      <c r="BQ72" s="161" t="str">
        <f t="shared" si="26"/>
        <v/>
      </c>
      <c r="BR72" s="161" t="str">
        <f t="shared" si="27"/>
        <v/>
      </c>
      <c r="BS72" s="161" t="str">
        <f t="shared" si="28"/>
        <v/>
      </c>
      <c r="BT72" s="161" t="str">
        <f t="shared" si="56"/>
        <v/>
      </c>
      <c r="BU72" s="161" t="str">
        <f t="shared" si="30"/>
        <v/>
      </c>
      <c r="BV72" s="161" t="str">
        <f t="shared" si="31"/>
        <v/>
      </c>
      <c r="BW72" s="161" t="str">
        <f t="shared" si="32"/>
        <v/>
      </c>
      <c r="BX72" s="161" t="str">
        <f t="shared" si="15"/>
        <v/>
      </c>
      <c r="BY72" s="148"/>
      <c r="BZ72" s="148"/>
      <c r="CA72" s="148"/>
      <c r="CB72" s="148" t="s">
        <v>149</v>
      </c>
      <c r="CC72" s="148" t="s">
        <v>230</v>
      </c>
    </row>
    <row r="73" spans="1:81" ht="14.25" customHeight="1" thickBot="1">
      <c r="A73" s="190">
        <v>63</v>
      </c>
      <c r="B73" s="78"/>
      <c r="C73" s="181"/>
      <c r="D73" s="86"/>
      <c r="E73" s="92"/>
      <c r="F73" s="88"/>
      <c r="G73" s="93"/>
      <c r="H73" s="93"/>
      <c r="I73" s="93"/>
      <c r="J73" s="93"/>
      <c r="K73" s="81">
        <f t="shared" si="52"/>
        <v>0</v>
      </c>
      <c r="L73" s="281"/>
      <c r="M73" s="282"/>
      <c r="N73" s="352"/>
      <c r="O73" s="343" t="s">
        <v>65</v>
      </c>
      <c r="P73" s="88"/>
      <c r="Q73" s="93"/>
      <c r="R73" s="93"/>
      <c r="S73" s="89"/>
      <c r="T73" s="93"/>
      <c r="U73" s="212">
        <f t="shared" si="44"/>
        <v>0</v>
      </c>
      <c r="V73" s="281"/>
      <c r="W73" s="282"/>
      <c r="X73" s="352"/>
      <c r="Y73" s="210" t="s">
        <v>85</v>
      </c>
      <c r="Z73" s="72"/>
      <c r="AA73" s="323"/>
      <c r="AB73" s="323"/>
      <c r="AC73" s="324"/>
      <c r="AD73" s="93"/>
      <c r="AE73" s="81">
        <f t="shared" si="45"/>
        <v>0</v>
      </c>
      <c r="AF73" s="72"/>
      <c r="AG73" s="324"/>
      <c r="AH73" s="361"/>
      <c r="AI73" s="98"/>
      <c r="AJ73" s="95"/>
      <c r="AK73" s="215"/>
      <c r="AL73" s="206"/>
      <c r="AM73" s="83"/>
      <c r="AN73" s="206"/>
      <c r="AO73" s="83"/>
      <c r="AP73" s="206"/>
      <c r="AQ73" s="83"/>
      <c r="AR73" s="13">
        <f t="shared" si="46"/>
        <v>7.2999999999999996E-6</v>
      </c>
      <c r="AS73" s="13">
        <f t="shared" si="47"/>
        <v>0</v>
      </c>
      <c r="AT73" s="13"/>
      <c r="AU73" s="195">
        <v>78</v>
      </c>
      <c r="AV73" s="77">
        <f t="shared" si="8"/>
        <v>3.3299999999999996E-5</v>
      </c>
      <c r="AW73" s="192">
        <f t="shared" si="48"/>
        <v>0</v>
      </c>
      <c r="AX73" s="219">
        <f t="shared" si="49"/>
        <v>7.2999999999999996E-6</v>
      </c>
      <c r="AY73" s="13">
        <f t="shared" si="53"/>
        <v>0</v>
      </c>
      <c r="AZ73" s="195">
        <v>78</v>
      </c>
      <c r="BA73" s="77">
        <f t="shared" si="11"/>
        <v>3.1899999999999996E-5</v>
      </c>
      <c r="BB73" s="192">
        <f t="shared" si="50"/>
        <v>0</v>
      </c>
      <c r="BC73" s="219">
        <f t="shared" si="54"/>
        <v>7.2999999999999996E-6</v>
      </c>
      <c r="BD73" s="13">
        <f t="shared" si="55"/>
        <v>0</v>
      </c>
      <c r="BE73" s="195">
        <v>78</v>
      </c>
      <c r="BF73" s="77">
        <f t="shared" si="13"/>
        <v>3.1899999999999996E-5</v>
      </c>
      <c r="BG73" s="192">
        <f t="shared" si="51"/>
        <v>0</v>
      </c>
      <c r="BI73" s="120"/>
      <c r="BJ73" s="120"/>
      <c r="BK73" s="160"/>
      <c r="BL73" s="160"/>
      <c r="BM73" s="161" t="str">
        <f t="shared" si="22"/>
        <v/>
      </c>
      <c r="BN73" s="161" t="str">
        <f t="shared" si="23"/>
        <v/>
      </c>
      <c r="BO73" s="161" t="str">
        <f t="shared" si="24"/>
        <v/>
      </c>
      <c r="BP73" s="161" t="str">
        <f t="shared" si="25"/>
        <v/>
      </c>
      <c r="BQ73" s="161" t="str">
        <f t="shared" si="26"/>
        <v/>
      </c>
      <c r="BR73" s="161" t="str">
        <f t="shared" si="27"/>
        <v/>
      </c>
      <c r="BS73" s="161" t="str">
        <f t="shared" si="28"/>
        <v/>
      </c>
      <c r="BT73" s="161" t="str">
        <f t="shared" si="56"/>
        <v/>
      </c>
      <c r="BU73" s="161" t="str">
        <f t="shared" si="30"/>
        <v/>
      </c>
      <c r="BV73" s="161" t="str">
        <f t="shared" si="31"/>
        <v/>
      </c>
      <c r="BW73" s="161" t="str">
        <f t="shared" si="32"/>
        <v/>
      </c>
      <c r="BX73" s="161" t="str">
        <f t="shared" si="15"/>
        <v/>
      </c>
      <c r="BY73" s="148"/>
      <c r="BZ73" s="148"/>
      <c r="CA73" s="148"/>
      <c r="CB73" s="148" t="s">
        <v>149</v>
      </c>
      <c r="CC73" s="148" t="s">
        <v>230</v>
      </c>
    </row>
    <row r="74" spans="1:81" ht="14.25" customHeight="1" thickBot="1">
      <c r="A74" s="190">
        <v>64</v>
      </c>
      <c r="B74" s="79"/>
      <c r="C74" s="179"/>
      <c r="D74" s="137"/>
      <c r="E74" s="198"/>
      <c r="F74" s="199"/>
      <c r="G74" s="200"/>
      <c r="H74" s="200"/>
      <c r="I74" s="200"/>
      <c r="J74" s="200"/>
      <c r="K74" s="201">
        <f t="shared" si="52"/>
        <v>0</v>
      </c>
      <c r="L74" s="277"/>
      <c r="M74" s="278"/>
      <c r="N74" s="350"/>
      <c r="O74" s="341" t="s">
        <v>65</v>
      </c>
      <c r="P74" s="189"/>
      <c r="Q74" s="326"/>
      <c r="R74" s="326"/>
      <c r="S74" s="87"/>
      <c r="T74" s="207"/>
      <c r="U74" s="225">
        <f t="shared" si="44"/>
        <v>0</v>
      </c>
      <c r="V74" s="277"/>
      <c r="W74" s="278"/>
      <c r="X74" s="350"/>
      <c r="Y74" s="208" t="s">
        <v>147</v>
      </c>
      <c r="Z74" s="11"/>
      <c r="AA74" s="207"/>
      <c r="AB74" s="207"/>
      <c r="AC74" s="3"/>
      <c r="AD74" s="207"/>
      <c r="AE74" s="226">
        <f t="shared" si="45"/>
        <v>0</v>
      </c>
      <c r="AF74" s="11"/>
      <c r="AG74" s="3"/>
      <c r="AH74" s="359"/>
      <c r="AI74" s="96"/>
      <c r="AJ74" s="94"/>
      <c r="AK74" s="214"/>
      <c r="AL74" s="213"/>
      <c r="AM74" s="82"/>
      <c r="AN74" s="213"/>
      <c r="AO74" s="82"/>
      <c r="AP74" s="213"/>
      <c r="AQ74" s="82"/>
      <c r="AR74" s="13">
        <f t="shared" si="46"/>
        <v>7.3999999999999995E-6</v>
      </c>
      <c r="AS74" s="13">
        <f t="shared" si="47"/>
        <v>0</v>
      </c>
      <c r="AT74" s="13"/>
      <c r="AU74" s="195">
        <v>79</v>
      </c>
      <c r="AV74" s="77">
        <f t="shared" si="8"/>
        <v>3.3200000000000001E-5</v>
      </c>
      <c r="AW74" s="192">
        <f t="shared" si="48"/>
        <v>0</v>
      </c>
      <c r="AX74" s="219">
        <f t="shared" si="49"/>
        <v>7.3999999999999995E-6</v>
      </c>
      <c r="AY74" s="13">
        <f t="shared" si="53"/>
        <v>0</v>
      </c>
      <c r="AZ74" s="195">
        <v>79</v>
      </c>
      <c r="BA74" s="77">
        <f t="shared" si="11"/>
        <v>3.18E-5</v>
      </c>
      <c r="BB74" s="192">
        <f t="shared" si="50"/>
        <v>0</v>
      </c>
      <c r="BC74" s="219">
        <f t="shared" si="54"/>
        <v>7.3999999999999995E-6</v>
      </c>
      <c r="BD74" s="13">
        <f t="shared" si="55"/>
        <v>0</v>
      </c>
      <c r="BE74" s="195">
        <v>79</v>
      </c>
      <c r="BF74" s="77">
        <f t="shared" si="13"/>
        <v>3.18E-5</v>
      </c>
      <c r="BG74" s="192">
        <f t="shared" si="51"/>
        <v>0</v>
      </c>
      <c r="BI74" s="120"/>
      <c r="BJ74" s="120"/>
      <c r="BK74" s="160"/>
      <c r="BL74" s="160"/>
      <c r="BM74" s="161" t="str">
        <f t="shared" si="22"/>
        <v/>
      </c>
      <c r="BN74" s="161" t="str">
        <f t="shared" si="23"/>
        <v/>
      </c>
      <c r="BO74" s="161" t="str">
        <f t="shared" si="24"/>
        <v/>
      </c>
      <c r="BP74" s="161" t="str">
        <f t="shared" si="25"/>
        <v/>
      </c>
      <c r="BQ74" s="161" t="str">
        <f t="shared" si="26"/>
        <v/>
      </c>
      <c r="BR74" s="161" t="str">
        <f t="shared" si="27"/>
        <v/>
      </c>
      <c r="BS74" s="161" t="str">
        <f t="shared" si="28"/>
        <v/>
      </c>
      <c r="BT74" s="161" t="str">
        <f t="shared" si="56"/>
        <v/>
      </c>
      <c r="BU74" s="161" t="str">
        <f t="shared" si="30"/>
        <v/>
      </c>
      <c r="BV74" s="161" t="str">
        <f t="shared" si="31"/>
        <v/>
      </c>
      <c r="BW74" s="161" t="str">
        <f t="shared" si="32"/>
        <v/>
      </c>
      <c r="BX74" s="161" t="str">
        <f t="shared" si="15"/>
        <v/>
      </c>
      <c r="BY74" s="148"/>
      <c r="BZ74" s="148"/>
      <c r="CA74" s="148"/>
      <c r="CB74" s="148" t="s">
        <v>149</v>
      </c>
      <c r="CC74" s="148" t="s">
        <v>230</v>
      </c>
    </row>
    <row r="75" spans="1:81" ht="14.25" customHeight="1" thickBot="1">
      <c r="A75" s="190">
        <v>65</v>
      </c>
      <c r="B75" s="196"/>
      <c r="C75" s="180"/>
      <c r="D75" s="136"/>
      <c r="E75" s="91"/>
      <c r="F75" s="187"/>
      <c r="G75" s="188"/>
      <c r="H75" s="188"/>
      <c r="I75" s="188"/>
      <c r="J75" s="188"/>
      <c r="K75" s="18">
        <f t="shared" si="52"/>
        <v>0</v>
      </c>
      <c r="L75" s="279"/>
      <c r="M75" s="280"/>
      <c r="N75" s="351"/>
      <c r="O75" s="342" t="s">
        <v>65</v>
      </c>
      <c r="P75" s="187"/>
      <c r="Q75" s="188"/>
      <c r="R75" s="188"/>
      <c r="S75" s="119"/>
      <c r="T75" s="188"/>
      <c r="U75" s="211">
        <f t="shared" si="44"/>
        <v>0</v>
      </c>
      <c r="V75" s="279"/>
      <c r="W75" s="280"/>
      <c r="X75" s="351"/>
      <c r="Y75" s="209" t="s">
        <v>85</v>
      </c>
      <c r="Z75" s="71"/>
      <c r="AA75" s="321"/>
      <c r="AB75" s="321"/>
      <c r="AC75" s="322"/>
      <c r="AD75" s="188"/>
      <c r="AE75" s="18">
        <f t="shared" si="45"/>
        <v>0</v>
      </c>
      <c r="AF75" s="71"/>
      <c r="AG75" s="322"/>
      <c r="AH75" s="360"/>
      <c r="AI75" s="97"/>
      <c r="AJ75" s="194"/>
      <c r="AK75" s="193"/>
      <c r="AL75" s="205"/>
      <c r="AM75" s="197"/>
      <c r="AN75" s="205"/>
      <c r="AO75" s="197"/>
      <c r="AP75" s="205"/>
      <c r="AQ75" s="197"/>
      <c r="AR75" s="13">
        <f t="shared" si="46"/>
        <v>7.4999999999999993E-6</v>
      </c>
      <c r="AS75" s="13">
        <f t="shared" si="47"/>
        <v>0</v>
      </c>
      <c r="AT75" s="13"/>
      <c r="AU75" s="195">
        <v>80</v>
      </c>
      <c r="AV75" s="77">
        <f t="shared" ref="AV75:AV138" si="57">IFERROR(LARGE($AR$11:$AR$396,AU75),"")</f>
        <v>3.3099999999999998E-5</v>
      </c>
      <c r="AW75" s="192">
        <f t="shared" si="48"/>
        <v>0</v>
      </c>
      <c r="AX75" s="219">
        <f t="shared" si="49"/>
        <v>7.4999999999999993E-6</v>
      </c>
      <c r="AY75" s="13">
        <f t="shared" si="53"/>
        <v>0</v>
      </c>
      <c r="AZ75" s="195">
        <v>80</v>
      </c>
      <c r="BA75" s="77">
        <f t="shared" ref="BA75:BA138" si="58">IFERROR(LARGE($AX$11:$AX$396,AZ75),"")</f>
        <v>3.1699999999999998E-5</v>
      </c>
      <c r="BB75" s="192">
        <f t="shared" si="50"/>
        <v>0</v>
      </c>
      <c r="BC75" s="219">
        <f t="shared" si="54"/>
        <v>7.4999999999999993E-6</v>
      </c>
      <c r="BD75" s="13">
        <f t="shared" si="55"/>
        <v>0</v>
      </c>
      <c r="BE75" s="195">
        <v>80</v>
      </c>
      <c r="BF75" s="77">
        <f t="shared" ref="BF75:BF138" si="59">IFERROR(LARGE($BC$11:$BC$396,BE75),"")</f>
        <v>3.1699999999999998E-5</v>
      </c>
      <c r="BG75" s="192">
        <f t="shared" si="51"/>
        <v>0</v>
      </c>
      <c r="BI75" s="120"/>
      <c r="BJ75" s="120"/>
      <c r="BK75" s="160"/>
      <c r="BL75" s="160"/>
      <c r="BM75" s="161" t="str">
        <f t="shared" si="22"/>
        <v/>
      </c>
      <c r="BN75" s="161" t="str">
        <f t="shared" si="23"/>
        <v/>
      </c>
      <c r="BO75" s="161" t="str">
        <f t="shared" si="24"/>
        <v/>
      </c>
      <c r="BP75" s="161" t="str">
        <f t="shared" si="25"/>
        <v/>
      </c>
      <c r="BQ75" s="161" t="str">
        <f t="shared" si="26"/>
        <v/>
      </c>
      <c r="BR75" s="161" t="str">
        <f t="shared" si="27"/>
        <v/>
      </c>
      <c r="BS75" s="161" t="str">
        <f t="shared" si="28"/>
        <v/>
      </c>
      <c r="BT75" s="161" t="str">
        <f t="shared" si="56"/>
        <v/>
      </c>
      <c r="BU75" s="161" t="str">
        <f t="shared" si="30"/>
        <v/>
      </c>
      <c r="BV75" s="161" t="str">
        <f t="shared" si="31"/>
        <v/>
      </c>
      <c r="BW75" s="161" t="str">
        <f t="shared" si="32"/>
        <v/>
      </c>
      <c r="BX75" s="161" t="str">
        <f t="shared" ref="BX75:BX138" si="60">MID($BK75,1,1)</f>
        <v/>
      </c>
      <c r="BY75" s="148"/>
      <c r="BZ75" s="148"/>
      <c r="CA75" s="148"/>
      <c r="CB75" s="148" t="s">
        <v>149</v>
      </c>
      <c r="CC75" s="148" t="s">
        <v>230</v>
      </c>
    </row>
    <row r="76" spans="1:81" ht="14.25" customHeight="1" thickBot="1">
      <c r="A76" s="190">
        <v>66</v>
      </c>
      <c r="B76" s="78"/>
      <c r="C76" s="181"/>
      <c r="D76" s="86"/>
      <c r="E76" s="92"/>
      <c r="F76" s="88"/>
      <c r="G76" s="93"/>
      <c r="H76" s="93"/>
      <c r="I76" s="93"/>
      <c r="J76" s="93"/>
      <c r="K76" s="81">
        <f t="shared" si="52"/>
        <v>0</v>
      </c>
      <c r="L76" s="281"/>
      <c r="M76" s="282"/>
      <c r="N76" s="352"/>
      <c r="O76" s="343" t="s">
        <v>65</v>
      </c>
      <c r="P76" s="88"/>
      <c r="Q76" s="93"/>
      <c r="R76" s="93"/>
      <c r="S76" s="89"/>
      <c r="T76" s="93"/>
      <c r="U76" s="212">
        <f t="shared" si="44"/>
        <v>0</v>
      </c>
      <c r="V76" s="281"/>
      <c r="W76" s="282"/>
      <c r="X76" s="352"/>
      <c r="Y76" s="210" t="s">
        <v>85</v>
      </c>
      <c r="Z76" s="72"/>
      <c r="AA76" s="323"/>
      <c r="AB76" s="323"/>
      <c r="AC76" s="324"/>
      <c r="AD76" s="93"/>
      <c r="AE76" s="81">
        <f t="shared" si="45"/>
        <v>0</v>
      </c>
      <c r="AF76" s="72"/>
      <c r="AG76" s="324"/>
      <c r="AH76" s="361"/>
      <c r="AI76" s="98"/>
      <c r="AJ76" s="95"/>
      <c r="AK76" s="215"/>
      <c r="AL76" s="206"/>
      <c r="AM76" s="83"/>
      <c r="AN76" s="206"/>
      <c r="AO76" s="83"/>
      <c r="AP76" s="206"/>
      <c r="AQ76" s="83"/>
      <c r="AR76" s="13">
        <f t="shared" si="46"/>
        <v>7.6000000000000001E-6</v>
      </c>
      <c r="AS76" s="13">
        <f t="shared" si="47"/>
        <v>0</v>
      </c>
      <c r="AT76" s="13"/>
      <c r="AU76" s="195">
        <v>81</v>
      </c>
      <c r="AV76" s="77">
        <f t="shared" si="57"/>
        <v>3.2999999999999996E-5</v>
      </c>
      <c r="AW76" s="192">
        <f t="shared" si="48"/>
        <v>0</v>
      </c>
      <c r="AX76" s="219">
        <f t="shared" si="49"/>
        <v>7.6000000000000001E-6</v>
      </c>
      <c r="AY76" s="13">
        <f t="shared" si="53"/>
        <v>0</v>
      </c>
      <c r="AZ76" s="195">
        <v>81</v>
      </c>
      <c r="BA76" s="77">
        <f t="shared" si="58"/>
        <v>3.1599999999999996E-5</v>
      </c>
      <c r="BB76" s="192">
        <f t="shared" si="50"/>
        <v>0</v>
      </c>
      <c r="BC76" s="219">
        <f t="shared" si="54"/>
        <v>7.6000000000000001E-6</v>
      </c>
      <c r="BD76" s="13">
        <f t="shared" si="55"/>
        <v>0</v>
      </c>
      <c r="BE76" s="195">
        <v>81</v>
      </c>
      <c r="BF76" s="77">
        <f t="shared" si="59"/>
        <v>3.1599999999999996E-5</v>
      </c>
      <c r="BG76" s="192">
        <f t="shared" si="51"/>
        <v>0</v>
      </c>
      <c r="BI76" s="120"/>
      <c r="BJ76" s="120"/>
      <c r="BK76" s="160"/>
      <c r="BL76" s="160"/>
      <c r="BM76" s="161" t="str">
        <f t="shared" ref="BM76:BM139" si="61">MID($BK76,12,1)</f>
        <v/>
      </c>
      <c r="BN76" s="161" t="str">
        <f t="shared" ref="BN76:BN139" si="62">MID($BK76,11,1)</f>
        <v/>
      </c>
      <c r="BO76" s="161" t="str">
        <f t="shared" ref="BO76:BO139" si="63">MID($BK76,10,1)</f>
        <v/>
      </c>
      <c r="BP76" s="161" t="str">
        <f t="shared" ref="BP76:BP139" si="64">MID($BK76,9,1)</f>
        <v/>
      </c>
      <c r="BQ76" s="161" t="str">
        <f t="shared" ref="BQ76:BQ139" si="65">MID($BK76,8,1)</f>
        <v/>
      </c>
      <c r="BR76" s="161" t="str">
        <f t="shared" ref="BR76:BR139" si="66">MID($BK76,7,1)</f>
        <v/>
      </c>
      <c r="BS76" s="161" t="str">
        <f t="shared" ref="BS76:BS139" si="67">MID($BK76,6,1)</f>
        <v/>
      </c>
      <c r="BT76" s="161" t="str">
        <f t="shared" si="56"/>
        <v/>
      </c>
      <c r="BU76" s="161" t="str">
        <f t="shared" ref="BU76:BU139" si="68">MID($BK76,4,1)</f>
        <v/>
      </c>
      <c r="BV76" s="161" t="str">
        <f t="shared" ref="BV76:BV139" si="69">MID($BK76,3,1)</f>
        <v/>
      </c>
      <c r="BW76" s="161" t="str">
        <f t="shared" ref="BW76:BW139" si="70">MID($BK76,2,1)</f>
        <v/>
      </c>
      <c r="BX76" s="161" t="str">
        <f t="shared" si="60"/>
        <v/>
      </c>
      <c r="BY76" s="148"/>
      <c r="BZ76" s="148"/>
      <c r="CA76" s="148"/>
      <c r="CB76" s="148" t="s">
        <v>149</v>
      </c>
      <c r="CC76" s="148" t="s">
        <v>230</v>
      </c>
    </row>
    <row r="77" spans="1:81" ht="14.25" customHeight="1" thickBot="1">
      <c r="A77" s="190">
        <v>67</v>
      </c>
      <c r="B77" s="79"/>
      <c r="C77" s="179"/>
      <c r="D77" s="137"/>
      <c r="E77" s="198"/>
      <c r="F77" s="199"/>
      <c r="G77" s="200"/>
      <c r="H77" s="200"/>
      <c r="I77" s="200"/>
      <c r="J77" s="200"/>
      <c r="K77" s="201">
        <f t="shared" si="52"/>
        <v>0</v>
      </c>
      <c r="L77" s="277"/>
      <c r="M77" s="278"/>
      <c r="N77" s="350"/>
      <c r="O77" s="341" t="s">
        <v>65</v>
      </c>
      <c r="P77" s="189"/>
      <c r="Q77" s="326"/>
      <c r="R77" s="326"/>
      <c r="S77" s="87"/>
      <c r="T77" s="207"/>
      <c r="U77" s="225">
        <f t="shared" si="44"/>
        <v>0</v>
      </c>
      <c r="V77" s="277"/>
      <c r="W77" s="278"/>
      <c r="X77" s="350"/>
      <c r="Y77" s="208" t="s">
        <v>147</v>
      </c>
      <c r="Z77" s="11"/>
      <c r="AA77" s="207"/>
      <c r="AB77" s="207"/>
      <c r="AC77" s="3"/>
      <c r="AD77" s="207"/>
      <c r="AE77" s="226">
        <f t="shared" si="45"/>
        <v>0</v>
      </c>
      <c r="AF77" s="11"/>
      <c r="AG77" s="3"/>
      <c r="AH77" s="359"/>
      <c r="AI77" s="96"/>
      <c r="AJ77" s="94"/>
      <c r="AK77" s="214"/>
      <c r="AL77" s="213"/>
      <c r="AM77" s="82"/>
      <c r="AN77" s="213"/>
      <c r="AO77" s="82"/>
      <c r="AP77" s="213"/>
      <c r="AQ77" s="82"/>
      <c r="AR77" s="13">
        <f t="shared" si="46"/>
        <v>7.6999999999999991E-6</v>
      </c>
      <c r="AS77" s="13">
        <f t="shared" si="47"/>
        <v>0</v>
      </c>
      <c r="AT77" s="13"/>
      <c r="AU77" s="195">
        <v>82</v>
      </c>
      <c r="AV77" s="77">
        <f t="shared" si="57"/>
        <v>3.29E-5</v>
      </c>
      <c r="AW77" s="192">
        <f t="shared" si="48"/>
        <v>0</v>
      </c>
      <c r="AX77" s="219">
        <f t="shared" si="49"/>
        <v>7.6999999999999991E-6</v>
      </c>
      <c r="AY77" s="13">
        <f t="shared" si="53"/>
        <v>0</v>
      </c>
      <c r="AZ77" s="195">
        <v>82</v>
      </c>
      <c r="BA77" s="77">
        <f t="shared" si="58"/>
        <v>3.15E-5</v>
      </c>
      <c r="BB77" s="192">
        <f t="shared" si="50"/>
        <v>0</v>
      </c>
      <c r="BC77" s="219">
        <f t="shared" si="54"/>
        <v>7.6999999999999991E-6</v>
      </c>
      <c r="BD77" s="13">
        <f t="shared" si="55"/>
        <v>0</v>
      </c>
      <c r="BE77" s="195">
        <v>82</v>
      </c>
      <c r="BF77" s="77">
        <f t="shared" si="59"/>
        <v>3.15E-5</v>
      </c>
      <c r="BG77" s="192">
        <f t="shared" si="51"/>
        <v>0</v>
      </c>
      <c r="BI77" s="120"/>
      <c r="BJ77" s="120"/>
      <c r="BK77" s="160"/>
      <c r="BL77" s="160"/>
      <c r="BM77" s="161" t="str">
        <f t="shared" si="61"/>
        <v/>
      </c>
      <c r="BN77" s="161" t="str">
        <f t="shared" si="62"/>
        <v/>
      </c>
      <c r="BO77" s="161" t="str">
        <f t="shared" si="63"/>
        <v/>
      </c>
      <c r="BP77" s="161" t="str">
        <f t="shared" si="64"/>
        <v/>
      </c>
      <c r="BQ77" s="161" t="str">
        <f t="shared" si="65"/>
        <v/>
      </c>
      <c r="BR77" s="161" t="str">
        <f t="shared" si="66"/>
        <v/>
      </c>
      <c r="BS77" s="161" t="str">
        <f t="shared" si="67"/>
        <v/>
      </c>
      <c r="BT77" s="161" t="str">
        <f t="shared" si="56"/>
        <v/>
      </c>
      <c r="BU77" s="161" t="str">
        <f t="shared" si="68"/>
        <v/>
      </c>
      <c r="BV77" s="161" t="str">
        <f t="shared" si="69"/>
        <v/>
      </c>
      <c r="BW77" s="161" t="str">
        <f t="shared" si="70"/>
        <v/>
      </c>
      <c r="BX77" s="161" t="str">
        <f t="shared" si="60"/>
        <v/>
      </c>
      <c r="BY77" s="148"/>
      <c r="BZ77" s="148"/>
      <c r="CA77" s="148"/>
      <c r="CB77" s="148" t="s">
        <v>149</v>
      </c>
      <c r="CC77" s="148" t="s">
        <v>230</v>
      </c>
    </row>
    <row r="78" spans="1:81" ht="14.25" customHeight="1" thickBot="1">
      <c r="A78" s="190">
        <v>68</v>
      </c>
      <c r="B78" s="196"/>
      <c r="C78" s="180"/>
      <c r="D78" s="136"/>
      <c r="E78" s="91"/>
      <c r="F78" s="187"/>
      <c r="G78" s="188"/>
      <c r="H78" s="188"/>
      <c r="I78" s="188"/>
      <c r="J78" s="188"/>
      <c r="K78" s="18">
        <f t="shared" si="52"/>
        <v>0</v>
      </c>
      <c r="L78" s="279"/>
      <c r="M78" s="280"/>
      <c r="N78" s="351"/>
      <c r="O78" s="342" t="s">
        <v>65</v>
      </c>
      <c r="P78" s="187"/>
      <c r="Q78" s="188"/>
      <c r="R78" s="188"/>
      <c r="S78" s="119"/>
      <c r="T78" s="188"/>
      <c r="U78" s="211">
        <f t="shared" si="44"/>
        <v>0</v>
      </c>
      <c r="V78" s="279"/>
      <c r="W78" s="280"/>
      <c r="X78" s="351"/>
      <c r="Y78" s="209" t="s">
        <v>85</v>
      </c>
      <c r="Z78" s="71"/>
      <c r="AA78" s="321"/>
      <c r="AB78" s="321"/>
      <c r="AC78" s="322"/>
      <c r="AD78" s="188"/>
      <c r="AE78" s="18">
        <f t="shared" si="45"/>
        <v>0</v>
      </c>
      <c r="AF78" s="71"/>
      <c r="AG78" s="322"/>
      <c r="AH78" s="360"/>
      <c r="AI78" s="97"/>
      <c r="AJ78" s="194"/>
      <c r="AK78" s="193"/>
      <c r="AL78" s="205"/>
      <c r="AM78" s="197"/>
      <c r="AN78" s="205"/>
      <c r="AO78" s="197"/>
      <c r="AP78" s="205"/>
      <c r="AQ78" s="197"/>
      <c r="AR78" s="13">
        <f t="shared" si="46"/>
        <v>7.7999999999999999E-6</v>
      </c>
      <c r="AS78" s="13">
        <f t="shared" si="47"/>
        <v>0</v>
      </c>
      <c r="AT78" s="13"/>
      <c r="AU78" s="195">
        <v>83</v>
      </c>
      <c r="AV78" s="77">
        <f t="shared" si="57"/>
        <v>3.2799999999999998E-5</v>
      </c>
      <c r="AW78" s="192">
        <f t="shared" si="48"/>
        <v>0</v>
      </c>
      <c r="AX78" s="219">
        <f t="shared" si="49"/>
        <v>7.7999999999999999E-6</v>
      </c>
      <c r="AY78" s="13">
        <f t="shared" si="53"/>
        <v>0</v>
      </c>
      <c r="AZ78" s="195">
        <v>83</v>
      </c>
      <c r="BA78" s="77">
        <f t="shared" si="58"/>
        <v>3.1399999999999998E-5</v>
      </c>
      <c r="BB78" s="192">
        <f t="shared" si="50"/>
        <v>0</v>
      </c>
      <c r="BC78" s="219">
        <f t="shared" si="54"/>
        <v>7.7999999999999999E-6</v>
      </c>
      <c r="BD78" s="13">
        <f t="shared" si="55"/>
        <v>0</v>
      </c>
      <c r="BE78" s="195">
        <v>83</v>
      </c>
      <c r="BF78" s="77">
        <f t="shared" si="59"/>
        <v>3.1399999999999998E-5</v>
      </c>
      <c r="BG78" s="192">
        <f t="shared" si="51"/>
        <v>0</v>
      </c>
      <c r="BI78" s="120"/>
      <c r="BJ78" s="120"/>
      <c r="BK78" s="160"/>
      <c r="BL78" s="160"/>
      <c r="BM78" s="161" t="str">
        <f t="shared" si="61"/>
        <v/>
      </c>
      <c r="BN78" s="161" t="str">
        <f t="shared" si="62"/>
        <v/>
      </c>
      <c r="BO78" s="161" t="str">
        <f t="shared" si="63"/>
        <v/>
      </c>
      <c r="BP78" s="161" t="str">
        <f t="shared" si="64"/>
        <v/>
      </c>
      <c r="BQ78" s="161" t="str">
        <f t="shared" si="65"/>
        <v/>
      </c>
      <c r="BR78" s="161" t="str">
        <f t="shared" si="66"/>
        <v/>
      </c>
      <c r="BS78" s="161" t="str">
        <f t="shared" si="67"/>
        <v/>
      </c>
      <c r="BT78" s="161" t="str">
        <f t="shared" si="56"/>
        <v/>
      </c>
      <c r="BU78" s="161" t="str">
        <f t="shared" si="68"/>
        <v/>
      </c>
      <c r="BV78" s="161" t="str">
        <f t="shared" si="69"/>
        <v/>
      </c>
      <c r="BW78" s="161" t="str">
        <f t="shared" si="70"/>
        <v/>
      </c>
      <c r="BX78" s="161" t="str">
        <f t="shared" si="60"/>
        <v/>
      </c>
      <c r="BY78" s="148"/>
      <c r="BZ78" s="148"/>
      <c r="CA78" s="148"/>
      <c r="CB78" s="148" t="s">
        <v>149</v>
      </c>
      <c r="CC78" s="148" t="s">
        <v>230</v>
      </c>
    </row>
    <row r="79" spans="1:81" ht="14.25" customHeight="1" thickBot="1">
      <c r="A79" s="190">
        <v>69</v>
      </c>
      <c r="B79" s="78"/>
      <c r="C79" s="181"/>
      <c r="D79" s="86"/>
      <c r="E79" s="92"/>
      <c r="F79" s="88"/>
      <c r="G79" s="93"/>
      <c r="H79" s="93"/>
      <c r="I79" s="93"/>
      <c r="J79" s="93"/>
      <c r="K79" s="81">
        <f t="shared" si="52"/>
        <v>0</v>
      </c>
      <c r="L79" s="281"/>
      <c r="M79" s="282"/>
      <c r="N79" s="352"/>
      <c r="O79" s="343" t="s">
        <v>65</v>
      </c>
      <c r="P79" s="88"/>
      <c r="Q79" s="93"/>
      <c r="R79" s="93"/>
      <c r="S79" s="89"/>
      <c r="T79" s="93"/>
      <c r="U79" s="212">
        <f t="shared" si="44"/>
        <v>0</v>
      </c>
      <c r="V79" s="281"/>
      <c r="W79" s="282"/>
      <c r="X79" s="352"/>
      <c r="Y79" s="210" t="s">
        <v>85</v>
      </c>
      <c r="Z79" s="72"/>
      <c r="AA79" s="323"/>
      <c r="AB79" s="323"/>
      <c r="AC79" s="324"/>
      <c r="AD79" s="93"/>
      <c r="AE79" s="81">
        <f t="shared" si="45"/>
        <v>0</v>
      </c>
      <c r="AF79" s="72"/>
      <c r="AG79" s="324"/>
      <c r="AH79" s="361"/>
      <c r="AI79" s="98"/>
      <c r="AJ79" s="95"/>
      <c r="AK79" s="215"/>
      <c r="AL79" s="206"/>
      <c r="AM79" s="83"/>
      <c r="AN79" s="206"/>
      <c r="AO79" s="83"/>
      <c r="AP79" s="206"/>
      <c r="AQ79" s="83"/>
      <c r="AR79" s="13">
        <f t="shared" si="46"/>
        <v>7.8999999999999989E-6</v>
      </c>
      <c r="AS79" s="13">
        <f t="shared" si="47"/>
        <v>0</v>
      </c>
      <c r="AT79" s="13"/>
      <c r="AU79" s="195">
        <v>84</v>
      </c>
      <c r="AV79" s="77">
        <f t="shared" si="57"/>
        <v>3.2699999999999995E-5</v>
      </c>
      <c r="AW79" s="192">
        <f t="shared" si="48"/>
        <v>0</v>
      </c>
      <c r="AX79" s="219">
        <f t="shared" si="49"/>
        <v>7.8999999999999989E-6</v>
      </c>
      <c r="AY79" s="13">
        <f t="shared" si="53"/>
        <v>0</v>
      </c>
      <c r="AZ79" s="195">
        <v>84</v>
      </c>
      <c r="BA79" s="77">
        <f t="shared" si="58"/>
        <v>3.1300000000000002E-5</v>
      </c>
      <c r="BB79" s="192">
        <f t="shared" si="50"/>
        <v>0</v>
      </c>
      <c r="BC79" s="219">
        <f t="shared" si="54"/>
        <v>7.8999999999999989E-6</v>
      </c>
      <c r="BD79" s="13">
        <f t="shared" si="55"/>
        <v>0</v>
      </c>
      <c r="BE79" s="195">
        <v>84</v>
      </c>
      <c r="BF79" s="77">
        <f t="shared" si="59"/>
        <v>3.1300000000000002E-5</v>
      </c>
      <c r="BG79" s="192">
        <f t="shared" si="51"/>
        <v>0</v>
      </c>
      <c r="BI79" s="120"/>
      <c r="BJ79" s="120"/>
      <c r="BK79" s="160"/>
      <c r="BL79" s="160"/>
      <c r="BM79" s="161" t="str">
        <f t="shared" si="61"/>
        <v/>
      </c>
      <c r="BN79" s="161" t="str">
        <f t="shared" si="62"/>
        <v/>
      </c>
      <c r="BO79" s="161" t="str">
        <f t="shared" si="63"/>
        <v/>
      </c>
      <c r="BP79" s="161" t="str">
        <f t="shared" si="64"/>
        <v/>
      </c>
      <c r="BQ79" s="161" t="str">
        <f t="shared" si="65"/>
        <v/>
      </c>
      <c r="BR79" s="161" t="str">
        <f t="shared" si="66"/>
        <v/>
      </c>
      <c r="BS79" s="161" t="str">
        <f t="shared" si="67"/>
        <v/>
      </c>
      <c r="BT79" s="161" t="str">
        <f t="shared" si="56"/>
        <v/>
      </c>
      <c r="BU79" s="161" t="str">
        <f t="shared" si="68"/>
        <v/>
      </c>
      <c r="BV79" s="161" t="str">
        <f t="shared" si="69"/>
        <v/>
      </c>
      <c r="BW79" s="161" t="str">
        <f t="shared" si="70"/>
        <v/>
      </c>
      <c r="BX79" s="161" t="str">
        <f t="shared" si="60"/>
        <v/>
      </c>
      <c r="BY79" s="148"/>
      <c r="BZ79" s="148"/>
      <c r="CA79" s="148"/>
      <c r="CB79" s="148" t="s">
        <v>149</v>
      </c>
      <c r="CC79" s="148" t="s">
        <v>230</v>
      </c>
    </row>
    <row r="80" spans="1:81" ht="14.25" customHeight="1" thickBot="1">
      <c r="A80" s="190">
        <v>70</v>
      </c>
      <c r="B80" s="79"/>
      <c r="C80" s="179"/>
      <c r="D80" s="137"/>
      <c r="E80" s="198"/>
      <c r="F80" s="199"/>
      <c r="G80" s="200"/>
      <c r="H80" s="200"/>
      <c r="I80" s="200"/>
      <c r="J80" s="200"/>
      <c r="K80" s="201">
        <f t="shared" si="52"/>
        <v>0</v>
      </c>
      <c r="L80" s="277"/>
      <c r="M80" s="278"/>
      <c r="N80" s="350"/>
      <c r="O80" s="341" t="s">
        <v>65</v>
      </c>
      <c r="P80" s="189"/>
      <c r="Q80" s="326"/>
      <c r="R80" s="326"/>
      <c r="S80" s="87"/>
      <c r="T80" s="207"/>
      <c r="U80" s="225">
        <f t="shared" si="44"/>
        <v>0</v>
      </c>
      <c r="V80" s="277"/>
      <c r="W80" s="278"/>
      <c r="X80" s="350"/>
      <c r="Y80" s="208" t="s">
        <v>147</v>
      </c>
      <c r="Z80" s="11"/>
      <c r="AA80" s="207"/>
      <c r="AB80" s="207"/>
      <c r="AC80" s="3"/>
      <c r="AD80" s="207"/>
      <c r="AE80" s="226">
        <f t="shared" si="45"/>
        <v>0</v>
      </c>
      <c r="AF80" s="11"/>
      <c r="AG80" s="3"/>
      <c r="AH80" s="359"/>
      <c r="AI80" s="96"/>
      <c r="AJ80" s="94"/>
      <c r="AK80" s="214"/>
      <c r="AL80" s="213"/>
      <c r="AM80" s="82"/>
      <c r="AN80" s="213"/>
      <c r="AO80" s="82"/>
      <c r="AP80" s="213"/>
      <c r="AQ80" s="82"/>
      <c r="AR80" s="13">
        <f t="shared" si="46"/>
        <v>7.9999999999999996E-6</v>
      </c>
      <c r="AS80" s="13">
        <f t="shared" si="47"/>
        <v>0</v>
      </c>
      <c r="AT80" s="13"/>
      <c r="AU80" s="195">
        <v>85</v>
      </c>
      <c r="AV80" s="77">
        <f t="shared" si="57"/>
        <v>3.26E-5</v>
      </c>
      <c r="AW80" s="192">
        <f t="shared" si="48"/>
        <v>0</v>
      </c>
      <c r="AX80" s="219">
        <f t="shared" si="49"/>
        <v>7.9999999999999996E-6</v>
      </c>
      <c r="AY80" s="13">
        <f t="shared" si="53"/>
        <v>0</v>
      </c>
      <c r="AZ80" s="195">
        <v>85</v>
      </c>
      <c r="BA80" s="77">
        <f t="shared" si="58"/>
        <v>3.1199999999999999E-5</v>
      </c>
      <c r="BB80" s="192">
        <f t="shared" si="50"/>
        <v>0</v>
      </c>
      <c r="BC80" s="219">
        <f t="shared" si="54"/>
        <v>7.9999999999999996E-6</v>
      </c>
      <c r="BD80" s="13">
        <f t="shared" si="55"/>
        <v>0</v>
      </c>
      <c r="BE80" s="195">
        <v>85</v>
      </c>
      <c r="BF80" s="77">
        <f t="shared" si="59"/>
        <v>3.1199999999999999E-5</v>
      </c>
      <c r="BG80" s="192">
        <f t="shared" si="51"/>
        <v>0</v>
      </c>
      <c r="BI80" s="120"/>
      <c r="BJ80" s="120"/>
      <c r="BK80" s="160"/>
      <c r="BL80" s="160"/>
      <c r="BM80" s="161" t="str">
        <f t="shared" si="61"/>
        <v/>
      </c>
      <c r="BN80" s="161" t="str">
        <f t="shared" si="62"/>
        <v/>
      </c>
      <c r="BO80" s="161" t="str">
        <f t="shared" si="63"/>
        <v/>
      </c>
      <c r="BP80" s="161" t="str">
        <f t="shared" si="64"/>
        <v/>
      </c>
      <c r="BQ80" s="161" t="str">
        <f t="shared" si="65"/>
        <v/>
      </c>
      <c r="BR80" s="161" t="str">
        <f t="shared" si="66"/>
        <v/>
      </c>
      <c r="BS80" s="161" t="str">
        <f t="shared" si="67"/>
        <v/>
      </c>
      <c r="BT80" s="161" t="str">
        <f t="shared" si="56"/>
        <v/>
      </c>
      <c r="BU80" s="161" t="str">
        <f t="shared" si="68"/>
        <v/>
      </c>
      <c r="BV80" s="161" t="str">
        <f t="shared" si="69"/>
        <v/>
      </c>
      <c r="BW80" s="161" t="str">
        <f t="shared" si="70"/>
        <v/>
      </c>
      <c r="BX80" s="161" t="str">
        <f t="shared" si="60"/>
        <v/>
      </c>
      <c r="BY80" s="148"/>
      <c r="BZ80" s="148"/>
      <c r="CA80" s="148"/>
      <c r="CB80" s="148" t="s">
        <v>149</v>
      </c>
      <c r="CC80" s="148" t="s">
        <v>230</v>
      </c>
    </row>
    <row r="81" spans="1:81" ht="14.25" customHeight="1" thickBot="1">
      <c r="A81" s="190">
        <v>71</v>
      </c>
      <c r="B81" s="196"/>
      <c r="C81" s="180"/>
      <c r="D81" s="136"/>
      <c r="E81" s="91"/>
      <c r="F81" s="187"/>
      <c r="G81" s="188"/>
      <c r="H81" s="188"/>
      <c r="I81" s="188"/>
      <c r="J81" s="188"/>
      <c r="K81" s="18">
        <f t="shared" si="52"/>
        <v>0</v>
      </c>
      <c r="L81" s="279"/>
      <c r="M81" s="280"/>
      <c r="N81" s="351"/>
      <c r="O81" s="342" t="s">
        <v>65</v>
      </c>
      <c r="P81" s="187"/>
      <c r="Q81" s="188"/>
      <c r="R81" s="188"/>
      <c r="S81" s="119"/>
      <c r="T81" s="188"/>
      <c r="U81" s="211">
        <f t="shared" si="44"/>
        <v>0</v>
      </c>
      <c r="V81" s="279"/>
      <c r="W81" s="280"/>
      <c r="X81" s="351"/>
      <c r="Y81" s="209" t="s">
        <v>85</v>
      </c>
      <c r="Z81" s="71"/>
      <c r="AA81" s="321"/>
      <c r="AB81" s="321"/>
      <c r="AC81" s="322"/>
      <c r="AD81" s="188"/>
      <c r="AE81" s="18">
        <f t="shared" si="45"/>
        <v>0</v>
      </c>
      <c r="AF81" s="71"/>
      <c r="AG81" s="322"/>
      <c r="AH81" s="360"/>
      <c r="AI81" s="97"/>
      <c r="AJ81" s="194"/>
      <c r="AK81" s="193"/>
      <c r="AL81" s="205"/>
      <c r="AM81" s="197"/>
      <c r="AN81" s="205"/>
      <c r="AO81" s="197"/>
      <c r="AP81" s="205"/>
      <c r="AQ81" s="197"/>
      <c r="AR81" s="13">
        <f t="shared" si="46"/>
        <v>8.1000000000000004E-6</v>
      </c>
      <c r="AS81" s="13">
        <f t="shared" si="47"/>
        <v>0</v>
      </c>
      <c r="AT81" s="13"/>
      <c r="AU81" s="195">
        <v>86</v>
      </c>
      <c r="AV81" s="77">
        <f t="shared" si="57"/>
        <v>3.2499999999999997E-5</v>
      </c>
      <c r="AW81" s="192">
        <f t="shared" si="48"/>
        <v>0</v>
      </c>
      <c r="AX81" s="219">
        <f t="shared" si="49"/>
        <v>8.1000000000000004E-6</v>
      </c>
      <c r="AY81" s="13">
        <f t="shared" si="53"/>
        <v>0</v>
      </c>
      <c r="AZ81" s="195">
        <v>86</v>
      </c>
      <c r="BA81" s="77">
        <f t="shared" si="58"/>
        <v>3.1099999999999997E-5</v>
      </c>
      <c r="BB81" s="192">
        <f t="shared" si="50"/>
        <v>0</v>
      </c>
      <c r="BC81" s="219">
        <f t="shared" si="54"/>
        <v>8.1000000000000004E-6</v>
      </c>
      <c r="BD81" s="13">
        <f t="shared" si="55"/>
        <v>0</v>
      </c>
      <c r="BE81" s="195">
        <v>86</v>
      </c>
      <c r="BF81" s="77">
        <f t="shared" si="59"/>
        <v>3.1099999999999997E-5</v>
      </c>
      <c r="BG81" s="192">
        <f t="shared" si="51"/>
        <v>0</v>
      </c>
      <c r="BI81" s="120"/>
      <c r="BJ81" s="120"/>
      <c r="BK81" s="160"/>
      <c r="BL81" s="160"/>
      <c r="BM81" s="161" t="str">
        <f t="shared" si="61"/>
        <v/>
      </c>
      <c r="BN81" s="161" t="str">
        <f t="shared" si="62"/>
        <v/>
      </c>
      <c r="BO81" s="161" t="str">
        <f t="shared" si="63"/>
        <v/>
      </c>
      <c r="BP81" s="161" t="str">
        <f t="shared" si="64"/>
        <v/>
      </c>
      <c r="BQ81" s="161" t="str">
        <f t="shared" si="65"/>
        <v/>
      </c>
      <c r="BR81" s="161" t="str">
        <f t="shared" si="66"/>
        <v/>
      </c>
      <c r="BS81" s="161" t="str">
        <f t="shared" si="67"/>
        <v/>
      </c>
      <c r="BT81" s="161" t="str">
        <f t="shared" si="56"/>
        <v/>
      </c>
      <c r="BU81" s="161" t="str">
        <f t="shared" si="68"/>
        <v/>
      </c>
      <c r="BV81" s="161" t="str">
        <f t="shared" si="69"/>
        <v/>
      </c>
      <c r="BW81" s="161" t="str">
        <f t="shared" si="70"/>
        <v/>
      </c>
      <c r="BX81" s="161" t="str">
        <f t="shared" si="60"/>
        <v/>
      </c>
      <c r="BY81" s="148"/>
      <c r="BZ81" s="148"/>
      <c r="CA81" s="148"/>
      <c r="CB81" s="148" t="s">
        <v>149</v>
      </c>
      <c r="CC81" s="148" t="s">
        <v>230</v>
      </c>
    </row>
    <row r="82" spans="1:81" ht="14.25" customHeight="1" thickBot="1">
      <c r="A82" s="190">
        <v>72</v>
      </c>
      <c r="B82" s="78"/>
      <c r="C82" s="181"/>
      <c r="D82" s="86"/>
      <c r="E82" s="92"/>
      <c r="F82" s="88"/>
      <c r="G82" s="93"/>
      <c r="H82" s="93"/>
      <c r="I82" s="93"/>
      <c r="J82" s="93"/>
      <c r="K82" s="81">
        <f t="shared" si="52"/>
        <v>0</v>
      </c>
      <c r="L82" s="281"/>
      <c r="M82" s="282"/>
      <c r="N82" s="352"/>
      <c r="O82" s="343" t="s">
        <v>65</v>
      </c>
      <c r="P82" s="88"/>
      <c r="Q82" s="93"/>
      <c r="R82" s="93"/>
      <c r="S82" s="89"/>
      <c r="T82" s="93"/>
      <c r="U82" s="212">
        <f t="shared" si="44"/>
        <v>0</v>
      </c>
      <c r="V82" s="281"/>
      <c r="W82" s="282"/>
      <c r="X82" s="352"/>
      <c r="Y82" s="210" t="s">
        <v>85</v>
      </c>
      <c r="Z82" s="72"/>
      <c r="AA82" s="323"/>
      <c r="AB82" s="323"/>
      <c r="AC82" s="324"/>
      <c r="AD82" s="93"/>
      <c r="AE82" s="81">
        <f t="shared" si="45"/>
        <v>0</v>
      </c>
      <c r="AF82" s="72"/>
      <c r="AG82" s="324"/>
      <c r="AH82" s="361"/>
      <c r="AI82" s="98"/>
      <c r="AJ82" s="95"/>
      <c r="AK82" s="215"/>
      <c r="AL82" s="206"/>
      <c r="AM82" s="83"/>
      <c r="AN82" s="206"/>
      <c r="AO82" s="83"/>
      <c r="AP82" s="206"/>
      <c r="AQ82" s="83"/>
      <c r="AR82" s="13">
        <f t="shared" si="46"/>
        <v>8.1999999999999994E-6</v>
      </c>
      <c r="AS82" s="13">
        <f t="shared" si="47"/>
        <v>0</v>
      </c>
      <c r="AT82" s="13"/>
      <c r="AU82" s="195">
        <v>87</v>
      </c>
      <c r="AV82" s="77">
        <f t="shared" si="57"/>
        <v>3.2400000000000001E-5</v>
      </c>
      <c r="AW82" s="192">
        <f t="shared" si="48"/>
        <v>0</v>
      </c>
      <c r="AX82" s="219">
        <f t="shared" si="49"/>
        <v>8.1999999999999994E-6</v>
      </c>
      <c r="AY82" s="13">
        <f t="shared" si="53"/>
        <v>0</v>
      </c>
      <c r="AZ82" s="195">
        <v>87</v>
      </c>
      <c r="BA82" s="77">
        <f t="shared" si="58"/>
        <v>3.1000000000000001E-5</v>
      </c>
      <c r="BB82" s="192">
        <f t="shared" si="50"/>
        <v>0</v>
      </c>
      <c r="BC82" s="219">
        <f t="shared" si="54"/>
        <v>8.1999999999999994E-6</v>
      </c>
      <c r="BD82" s="13">
        <f t="shared" si="55"/>
        <v>0</v>
      </c>
      <c r="BE82" s="195">
        <v>87</v>
      </c>
      <c r="BF82" s="77">
        <f t="shared" si="59"/>
        <v>3.1000000000000001E-5</v>
      </c>
      <c r="BG82" s="192">
        <f t="shared" si="51"/>
        <v>0</v>
      </c>
      <c r="BI82" s="120"/>
      <c r="BJ82" s="120"/>
      <c r="BK82" s="160"/>
      <c r="BL82" s="160"/>
      <c r="BM82" s="161" t="str">
        <f t="shared" si="61"/>
        <v/>
      </c>
      <c r="BN82" s="161" t="str">
        <f t="shared" si="62"/>
        <v/>
      </c>
      <c r="BO82" s="161" t="str">
        <f t="shared" si="63"/>
        <v/>
      </c>
      <c r="BP82" s="161" t="str">
        <f t="shared" si="64"/>
        <v/>
      </c>
      <c r="BQ82" s="161" t="str">
        <f t="shared" si="65"/>
        <v/>
      </c>
      <c r="BR82" s="161" t="str">
        <f t="shared" si="66"/>
        <v/>
      </c>
      <c r="BS82" s="161" t="str">
        <f t="shared" si="67"/>
        <v/>
      </c>
      <c r="BT82" s="161" t="str">
        <f t="shared" si="56"/>
        <v/>
      </c>
      <c r="BU82" s="161" t="str">
        <f t="shared" si="68"/>
        <v/>
      </c>
      <c r="BV82" s="161" t="str">
        <f t="shared" si="69"/>
        <v/>
      </c>
      <c r="BW82" s="161" t="str">
        <f t="shared" si="70"/>
        <v/>
      </c>
      <c r="BX82" s="161" t="str">
        <f t="shared" si="60"/>
        <v/>
      </c>
      <c r="BY82" s="148"/>
      <c r="BZ82" s="148"/>
      <c r="CA82" s="148"/>
      <c r="CB82" s="148" t="s">
        <v>149</v>
      </c>
      <c r="CC82" s="148" t="s">
        <v>230</v>
      </c>
    </row>
    <row r="83" spans="1:81" ht="14.25" customHeight="1" thickBot="1">
      <c r="A83" s="190">
        <v>73</v>
      </c>
      <c r="B83" s="79"/>
      <c r="C83" s="179"/>
      <c r="D83" s="137"/>
      <c r="E83" s="198"/>
      <c r="F83" s="199"/>
      <c r="G83" s="200"/>
      <c r="H83" s="200"/>
      <c r="I83" s="200"/>
      <c r="J83" s="200"/>
      <c r="K83" s="201">
        <f t="shared" si="52"/>
        <v>0</v>
      </c>
      <c r="L83" s="277"/>
      <c r="M83" s="278"/>
      <c r="N83" s="350"/>
      <c r="O83" s="341" t="s">
        <v>65</v>
      </c>
      <c r="P83" s="189"/>
      <c r="Q83" s="326"/>
      <c r="R83" s="326"/>
      <c r="S83" s="87"/>
      <c r="T83" s="207"/>
      <c r="U83" s="225">
        <f t="shared" si="44"/>
        <v>0</v>
      </c>
      <c r="V83" s="277"/>
      <c r="W83" s="278"/>
      <c r="X83" s="350"/>
      <c r="Y83" s="208" t="s">
        <v>147</v>
      </c>
      <c r="Z83" s="11"/>
      <c r="AA83" s="207"/>
      <c r="AB83" s="207"/>
      <c r="AC83" s="3"/>
      <c r="AD83" s="207"/>
      <c r="AE83" s="226">
        <f t="shared" si="45"/>
        <v>0</v>
      </c>
      <c r="AF83" s="11"/>
      <c r="AG83" s="3"/>
      <c r="AH83" s="359"/>
      <c r="AI83" s="96"/>
      <c r="AJ83" s="94"/>
      <c r="AK83" s="214"/>
      <c r="AL83" s="213"/>
      <c r="AM83" s="82"/>
      <c r="AN83" s="213"/>
      <c r="AO83" s="82"/>
      <c r="AP83" s="213"/>
      <c r="AQ83" s="82"/>
      <c r="AR83" s="13">
        <f t="shared" si="46"/>
        <v>8.3000000000000002E-6</v>
      </c>
      <c r="AS83" s="13">
        <f t="shared" si="47"/>
        <v>0</v>
      </c>
      <c r="AT83" s="13"/>
      <c r="AU83" s="195">
        <v>88</v>
      </c>
      <c r="AV83" s="77">
        <f t="shared" si="57"/>
        <v>3.2299999999999999E-5</v>
      </c>
      <c r="AW83" s="192">
        <f t="shared" si="48"/>
        <v>0</v>
      </c>
      <c r="AX83" s="219">
        <f t="shared" si="49"/>
        <v>8.3000000000000002E-6</v>
      </c>
      <c r="AY83" s="13">
        <f t="shared" si="53"/>
        <v>0</v>
      </c>
      <c r="AZ83" s="195">
        <v>88</v>
      </c>
      <c r="BA83" s="77">
        <f t="shared" si="58"/>
        <v>3.0899999999999999E-5</v>
      </c>
      <c r="BB83" s="192">
        <f t="shared" si="50"/>
        <v>0</v>
      </c>
      <c r="BC83" s="219">
        <f t="shared" si="54"/>
        <v>8.3000000000000002E-6</v>
      </c>
      <c r="BD83" s="13">
        <f t="shared" si="55"/>
        <v>0</v>
      </c>
      <c r="BE83" s="195">
        <v>88</v>
      </c>
      <c r="BF83" s="77">
        <f t="shared" si="59"/>
        <v>3.0899999999999999E-5</v>
      </c>
      <c r="BG83" s="192">
        <f t="shared" si="51"/>
        <v>0</v>
      </c>
      <c r="BI83" s="120"/>
      <c r="BJ83" s="120"/>
      <c r="BK83" s="160"/>
      <c r="BL83" s="160"/>
      <c r="BM83" s="161" t="str">
        <f t="shared" si="61"/>
        <v/>
      </c>
      <c r="BN83" s="161" t="str">
        <f t="shared" si="62"/>
        <v/>
      </c>
      <c r="BO83" s="161" t="str">
        <f t="shared" si="63"/>
        <v/>
      </c>
      <c r="BP83" s="161" t="str">
        <f t="shared" si="64"/>
        <v/>
      </c>
      <c r="BQ83" s="161" t="str">
        <f t="shared" si="65"/>
        <v/>
      </c>
      <c r="BR83" s="161" t="str">
        <f t="shared" si="66"/>
        <v/>
      </c>
      <c r="BS83" s="161" t="str">
        <f t="shared" si="67"/>
        <v/>
      </c>
      <c r="BT83" s="161" t="str">
        <f t="shared" si="56"/>
        <v/>
      </c>
      <c r="BU83" s="161" t="str">
        <f t="shared" si="68"/>
        <v/>
      </c>
      <c r="BV83" s="161" t="str">
        <f t="shared" si="69"/>
        <v/>
      </c>
      <c r="BW83" s="161" t="str">
        <f t="shared" si="70"/>
        <v/>
      </c>
      <c r="BX83" s="161" t="str">
        <f t="shared" si="60"/>
        <v/>
      </c>
      <c r="BY83" s="148"/>
      <c r="BZ83" s="148"/>
      <c r="CA83" s="148"/>
      <c r="CB83" s="148" t="s">
        <v>149</v>
      </c>
      <c r="CC83" s="148" t="s">
        <v>230</v>
      </c>
    </row>
    <row r="84" spans="1:81" ht="14.25" customHeight="1" thickBot="1">
      <c r="A84" s="190">
        <v>74</v>
      </c>
      <c r="B84" s="196"/>
      <c r="C84" s="180"/>
      <c r="D84" s="136"/>
      <c r="E84" s="91"/>
      <c r="F84" s="187"/>
      <c r="G84" s="188"/>
      <c r="H84" s="188"/>
      <c r="I84" s="188"/>
      <c r="J84" s="188"/>
      <c r="K84" s="18">
        <f t="shared" si="52"/>
        <v>0</v>
      </c>
      <c r="L84" s="279"/>
      <c r="M84" s="280"/>
      <c r="N84" s="351"/>
      <c r="O84" s="342" t="s">
        <v>65</v>
      </c>
      <c r="P84" s="187"/>
      <c r="Q84" s="188"/>
      <c r="R84" s="188"/>
      <c r="S84" s="119"/>
      <c r="T84" s="188"/>
      <c r="U84" s="211">
        <f t="shared" si="44"/>
        <v>0</v>
      </c>
      <c r="V84" s="279"/>
      <c r="W84" s="280"/>
      <c r="X84" s="351"/>
      <c r="Y84" s="209" t="s">
        <v>85</v>
      </c>
      <c r="Z84" s="71"/>
      <c r="AA84" s="321"/>
      <c r="AB84" s="321"/>
      <c r="AC84" s="322"/>
      <c r="AD84" s="188"/>
      <c r="AE84" s="18">
        <f t="shared" si="45"/>
        <v>0</v>
      </c>
      <c r="AF84" s="71"/>
      <c r="AG84" s="322"/>
      <c r="AH84" s="360"/>
      <c r="AI84" s="97"/>
      <c r="AJ84" s="194"/>
      <c r="AK84" s="193"/>
      <c r="AL84" s="205"/>
      <c r="AM84" s="197"/>
      <c r="AN84" s="205"/>
      <c r="AO84" s="197"/>
      <c r="AP84" s="205"/>
      <c r="AQ84" s="197"/>
      <c r="AR84" s="13">
        <f t="shared" si="46"/>
        <v>8.3999999999999992E-6</v>
      </c>
      <c r="AS84" s="13">
        <f t="shared" si="47"/>
        <v>0</v>
      </c>
      <c r="AT84" s="13"/>
      <c r="AU84" s="195">
        <v>89</v>
      </c>
      <c r="AV84" s="77">
        <f t="shared" si="57"/>
        <v>3.2199999999999997E-5</v>
      </c>
      <c r="AW84" s="192">
        <f t="shared" si="48"/>
        <v>0</v>
      </c>
      <c r="AX84" s="219">
        <f t="shared" si="49"/>
        <v>8.3999999999999992E-6</v>
      </c>
      <c r="AY84" s="13">
        <f t="shared" si="53"/>
        <v>0</v>
      </c>
      <c r="AZ84" s="195">
        <v>89</v>
      </c>
      <c r="BA84" s="77">
        <f t="shared" si="58"/>
        <v>3.0799999999999996E-5</v>
      </c>
      <c r="BB84" s="192">
        <f t="shared" si="50"/>
        <v>0</v>
      </c>
      <c r="BC84" s="219">
        <f t="shared" si="54"/>
        <v>8.3999999999999992E-6</v>
      </c>
      <c r="BD84" s="13">
        <f t="shared" si="55"/>
        <v>0</v>
      </c>
      <c r="BE84" s="195">
        <v>89</v>
      </c>
      <c r="BF84" s="77">
        <f t="shared" si="59"/>
        <v>3.0799999999999996E-5</v>
      </c>
      <c r="BG84" s="192">
        <f t="shared" si="51"/>
        <v>0</v>
      </c>
      <c r="BI84" s="120"/>
      <c r="BJ84" s="120"/>
      <c r="BK84" s="160"/>
      <c r="BL84" s="160"/>
      <c r="BM84" s="161" t="str">
        <f t="shared" si="61"/>
        <v/>
      </c>
      <c r="BN84" s="161" t="str">
        <f t="shared" si="62"/>
        <v/>
      </c>
      <c r="BO84" s="161" t="str">
        <f t="shared" si="63"/>
        <v/>
      </c>
      <c r="BP84" s="161" t="str">
        <f t="shared" si="64"/>
        <v/>
      </c>
      <c r="BQ84" s="161" t="str">
        <f t="shared" si="65"/>
        <v/>
      </c>
      <c r="BR84" s="161" t="str">
        <f t="shared" si="66"/>
        <v/>
      </c>
      <c r="BS84" s="161" t="str">
        <f t="shared" si="67"/>
        <v/>
      </c>
      <c r="BT84" s="161" t="str">
        <f t="shared" si="56"/>
        <v/>
      </c>
      <c r="BU84" s="161" t="str">
        <f t="shared" si="68"/>
        <v/>
      </c>
      <c r="BV84" s="161" t="str">
        <f t="shared" si="69"/>
        <v/>
      </c>
      <c r="BW84" s="161" t="str">
        <f t="shared" si="70"/>
        <v/>
      </c>
      <c r="BX84" s="161" t="str">
        <f t="shared" si="60"/>
        <v/>
      </c>
      <c r="BY84" s="148"/>
      <c r="BZ84" s="148"/>
      <c r="CA84" s="148"/>
      <c r="CB84" s="148" t="s">
        <v>149</v>
      </c>
      <c r="CC84" s="148" t="s">
        <v>230</v>
      </c>
    </row>
    <row r="85" spans="1:81" ht="14.25" customHeight="1" thickBot="1">
      <c r="A85" s="190">
        <v>75</v>
      </c>
      <c r="B85" s="78"/>
      <c r="C85" s="181"/>
      <c r="D85" s="86"/>
      <c r="E85" s="92"/>
      <c r="F85" s="88"/>
      <c r="G85" s="93"/>
      <c r="H85" s="93"/>
      <c r="I85" s="93"/>
      <c r="J85" s="93"/>
      <c r="K85" s="81">
        <f t="shared" si="52"/>
        <v>0</v>
      </c>
      <c r="L85" s="281"/>
      <c r="M85" s="282"/>
      <c r="N85" s="352"/>
      <c r="O85" s="343" t="s">
        <v>65</v>
      </c>
      <c r="P85" s="88"/>
      <c r="Q85" s="93"/>
      <c r="R85" s="93"/>
      <c r="S85" s="89"/>
      <c r="T85" s="93"/>
      <c r="U85" s="212">
        <f t="shared" si="44"/>
        <v>0</v>
      </c>
      <c r="V85" s="281"/>
      <c r="W85" s="282"/>
      <c r="X85" s="352"/>
      <c r="Y85" s="210" t="s">
        <v>85</v>
      </c>
      <c r="Z85" s="72"/>
      <c r="AA85" s="323"/>
      <c r="AB85" s="323"/>
      <c r="AC85" s="324"/>
      <c r="AD85" s="93"/>
      <c r="AE85" s="81">
        <f t="shared" si="45"/>
        <v>0</v>
      </c>
      <c r="AF85" s="72"/>
      <c r="AG85" s="324"/>
      <c r="AH85" s="361"/>
      <c r="AI85" s="98"/>
      <c r="AJ85" s="95"/>
      <c r="AK85" s="215"/>
      <c r="AL85" s="206"/>
      <c r="AM85" s="83"/>
      <c r="AN85" s="206"/>
      <c r="AO85" s="83"/>
      <c r="AP85" s="206"/>
      <c r="AQ85" s="83"/>
      <c r="AR85" s="13">
        <f t="shared" si="46"/>
        <v>8.4999999999999999E-6</v>
      </c>
      <c r="AS85" s="13">
        <f t="shared" si="47"/>
        <v>0</v>
      </c>
      <c r="AT85" s="13"/>
      <c r="AU85" s="195">
        <v>90</v>
      </c>
      <c r="AV85" s="77">
        <f t="shared" si="57"/>
        <v>3.2100000000000001E-5</v>
      </c>
      <c r="AW85" s="192">
        <f t="shared" si="48"/>
        <v>0</v>
      </c>
      <c r="AX85" s="219">
        <f t="shared" si="49"/>
        <v>8.4999999999999999E-6</v>
      </c>
      <c r="AY85" s="13">
        <f t="shared" si="53"/>
        <v>0</v>
      </c>
      <c r="AZ85" s="195">
        <v>90</v>
      </c>
      <c r="BA85" s="77">
        <f t="shared" si="58"/>
        <v>3.0700000000000001E-5</v>
      </c>
      <c r="BB85" s="192">
        <f t="shared" si="50"/>
        <v>0</v>
      </c>
      <c r="BC85" s="219">
        <f t="shared" si="54"/>
        <v>8.4999999999999999E-6</v>
      </c>
      <c r="BD85" s="13">
        <f t="shared" si="55"/>
        <v>0</v>
      </c>
      <c r="BE85" s="195">
        <v>90</v>
      </c>
      <c r="BF85" s="77">
        <f t="shared" si="59"/>
        <v>3.0700000000000001E-5</v>
      </c>
      <c r="BG85" s="192">
        <f t="shared" si="51"/>
        <v>0</v>
      </c>
      <c r="BI85" s="120"/>
      <c r="BJ85" s="120"/>
      <c r="BK85" s="160"/>
      <c r="BL85" s="160"/>
      <c r="BM85" s="161" t="str">
        <f t="shared" si="61"/>
        <v/>
      </c>
      <c r="BN85" s="161" t="str">
        <f t="shared" si="62"/>
        <v/>
      </c>
      <c r="BO85" s="161" t="str">
        <f t="shared" si="63"/>
        <v/>
      </c>
      <c r="BP85" s="161" t="str">
        <f t="shared" si="64"/>
        <v/>
      </c>
      <c r="BQ85" s="161" t="str">
        <f t="shared" si="65"/>
        <v/>
      </c>
      <c r="BR85" s="161" t="str">
        <f t="shared" si="66"/>
        <v/>
      </c>
      <c r="BS85" s="161" t="str">
        <f t="shared" si="67"/>
        <v/>
      </c>
      <c r="BT85" s="161" t="str">
        <f t="shared" si="56"/>
        <v/>
      </c>
      <c r="BU85" s="161" t="str">
        <f t="shared" si="68"/>
        <v/>
      </c>
      <c r="BV85" s="161" t="str">
        <f t="shared" si="69"/>
        <v/>
      </c>
      <c r="BW85" s="161" t="str">
        <f t="shared" si="70"/>
        <v/>
      </c>
      <c r="BX85" s="161" t="str">
        <f t="shared" si="60"/>
        <v/>
      </c>
      <c r="BY85" s="148"/>
      <c r="BZ85" s="148"/>
      <c r="CA85" s="148"/>
      <c r="CB85" s="148" t="s">
        <v>149</v>
      </c>
      <c r="CC85" s="148" t="s">
        <v>230</v>
      </c>
    </row>
    <row r="86" spans="1:81" ht="14.25" customHeight="1" thickBot="1">
      <c r="A86" s="190">
        <v>76</v>
      </c>
      <c r="B86" s="79"/>
      <c r="C86" s="179"/>
      <c r="D86" s="137"/>
      <c r="E86" s="198"/>
      <c r="F86" s="199"/>
      <c r="G86" s="200"/>
      <c r="H86" s="200"/>
      <c r="I86" s="200"/>
      <c r="J86" s="200"/>
      <c r="K86" s="201">
        <f t="shared" si="52"/>
        <v>0</v>
      </c>
      <c r="L86" s="277"/>
      <c r="M86" s="278"/>
      <c r="N86" s="350"/>
      <c r="O86" s="341" t="s">
        <v>65</v>
      </c>
      <c r="P86" s="189"/>
      <c r="Q86" s="326"/>
      <c r="R86" s="326"/>
      <c r="S86" s="87"/>
      <c r="T86" s="207"/>
      <c r="U86" s="225">
        <f t="shared" si="44"/>
        <v>0</v>
      </c>
      <c r="V86" s="277"/>
      <c r="W86" s="278"/>
      <c r="X86" s="350"/>
      <c r="Y86" s="208" t="s">
        <v>147</v>
      </c>
      <c r="Z86" s="11"/>
      <c r="AA86" s="207"/>
      <c r="AB86" s="207"/>
      <c r="AC86" s="3"/>
      <c r="AD86" s="207"/>
      <c r="AE86" s="226">
        <f t="shared" si="45"/>
        <v>0</v>
      </c>
      <c r="AF86" s="11"/>
      <c r="AG86" s="3"/>
      <c r="AH86" s="359"/>
      <c r="AI86" s="96"/>
      <c r="AJ86" s="94"/>
      <c r="AK86" s="214"/>
      <c r="AL86" s="213"/>
      <c r="AM86" s="82"/>
      <c r="AN86" s="213"/>
      <c r="AO86" s="82"/>
      <c r="AP86" s="213"/>
      <c r="AQ86" s="82"/>
      <c r="AR86" s="13">
        <f t="shared" si="46"/>
        <v>8.599999999999999E-6</v>
      </c>
      <c r="AS86" s="13">
        <f t="shared" si="47"/>
        <v>0</v>
      </c>
      <c r="AT86" s="13"/>
      <c r="AU86" s="195">
        <v>91</v>
      </c>
      <c r="AV86" s="77">
        <f t="shared" si="57"/>
        <v>3.1999999999999999E-5</v>
      </c>
      <c r="AW86" s="192">
        <f t="shared" si="48"/>
        <v>0</v>
      </c>
      <c r="AX86" s="219">
        <f t="shared" si="49"/>
        <v>8.599999999999999E-6</v>
      </c>
      <c r="AY86" s="13">
        <f t="shared" si="53"/>
        <v>0</v>
      </c>
      <c r="AZ86" s="195">
        <v>91</v>
      </c>
      <c r="BA86" s="77">
        <f t="shared" si="58"/>
        <v>3.0599999999999998E-5</v>
      </c>
      <c r="BB86" s="192">
        <f t="shared" si="50"/>
        <v>0</v>
      </c>
      <c r="BC86" s="219">
        <f t="shared" si="54"/>
        <v>8.599999999999999E-6</v>
      </c>
      <c r="BD86" s="13">
        <f t="shared" si="55"/>
        <v>0</v>
      </c>
      <c r="BE86" s="195">
        <v>91</v>
      </c>
      <c r="BF86" s="77">
        <f t="shared" si="59"/>
        <v>3.0599999999999998E-5</v>
      </c>
      <c r="BG86" s="192">
        <f t="shared" si="51"/>
        <v>0</v>
      </c>
      <c r="BI86" s="120"/>
      <c r="BJ86" s="120"/>
      <c r="BK86" s="160"/>
      <c r="BL86" s="160"/>
      <c r="BM86" s="161" t="str">
        <f t="shared" si="61"/>
        <v/>
      </c>
      <c r="BN86" s="161" t="str">
        <f t="shared" si="62"/>
        <v/>
      </c>
      <c r="BO86" s="161" t="str">
        <f t="shared" si="63"/>
        <v/>
      </c>
      <c r="BP86" s="161" t="str">
        <f t="shared" si="64"/>
        <v/>
      </c>
      <c r="BQ86" s="161" t="str">
        <f t="shared" si="65"/>
        <v/>
      </c>
      <c r="BR86" s="161" t="str">
        <f t="shared" si="66"/>
        <v/>
      </c>
      <c r="BS86" s="161" t="str">
        <f t="shared" si="67"/>
        <v/>
      </c>
      <c r="BT86" s="161" t="str">
        <f t="shared" si="56"/>
        <v/>
      </c>
      <c r="BU86" s="161" t="str">
        <f t="shared" si="68"/>
        <v/>
      </c>
      <c r="BV86" s="161" t="str">
        <f t="shared" si="69"/>
        <v/>
      </c>
      <c r="BW86" s="161" t="str">
        <f t="shared" si="70"/>
        <v/>
      </c>
      <c r="BX86" s="161" t="str">
        <f t="shared" si="60"/>
        <v/>
      </c>
      <c r="BY86" s="148"/>
      <c r="BZ86" s="148"/>
      <c r="CA86" s="148"/>
      <c r="CB86" s="148" t="s">
        <v>149</v>
      </c>
      <c r="CC86" s="148" t="s">
        <v>230</v>
      </c>
    </row>
    <row r="87" spans="1:81" ht="14.25" customHeight="1" thickBot="1">
      <c r="A87" s="190">
        <v>77</v>
      </c>
      <c r="B87" s="196"/>
      <c r="C87" s="180"/>
      <c r="D87" s="136"/>
      <c r="E87" s="91"/>
      <c r="F87" s="187"/>
      <c r="G87" s="188"/>
      <c r="H87" s="188"/>
      <c r="I87" s="188"/>
      <c r="J87" s="188"/>
      <c r="K87" s="18">
        <f t="shared" si="52"/>
        <v>0</v>
      </c>
      <c r="L87" s="279"/>
      <c r="M87" s="280"/>
      <c r="N87" s="351"/>
      <c r="O87" s="342" t="s">
        <v>65</v>
      </c>
      <c r="P87" s="187"/>
      <c r="Q87" s="188"/>
      <c r="R87" s="188"/>
      <c r="S87" s="119"/>
      <c r="T87" s="188"/>
      <c r="U87" s="211">
        <f t="shared" si="44"/>
        <v>0</v>
      </c>
      <c r="V87" s="279"/>
      <c r="W87" s="280"/>
      <c r="X87" s="351"/>
      <c r="Y87" s="209" t="s">
        <v>85</v>
      </c>
      <c r="Z87" s="71"/>
      <c r="AA87" s="321"/>
      <c r="AB87" s="321"/>
      <c r="AC87" s="322"/>
      <c r="AD87" s="188"/>
      <c r="AE87" s="18">
        <f t="shared" si="45"/>
        <v>0</v>
      </c>
      <c r="AF87" s="71"/>
      <c r="AG87" s="322"/>
      <c r="AH87" s="360"/>
      <c r="AI87" s="97"/>
      <c r="AJ87" s="194"/>
      <c r="AK87" s="193"/>
      <c r="AL87" s="205"/>
      <c r="AM87" s="197"/>
      <c r="AN87" s="205"/>
      <c r="AO87" s="197"/>
      <c r="AP87" s="205"/>
      <c r="AQ87" s="197"/>
      <c r="AR87" s="13">
        <f t="shared" si="46"/>
        <v>8.6999999999999997E-6</v>
      </c>
      <c r="AS87" s="13">
        <f t="shared" si="47"/>
        <v>0</v>
      </c>
      <c r="AT87" s="13"/>
      <c r="AU87" s="195">
        <v>92</v>
      </c>
      <c r="AV87" s="77">
        <f t="shared" si="57"/>
        <v>3.1899999999999996E-5</v>
      </c>
      <c r="AW87" s="192">
        <f t="shared" si="48"/>
        <v>0</v>
      </c>
      <c r="AX87" s="219">
        <f t="shared" si="49"/>
        <v>8.6999999999999997E-6</v>
      </c>
      <c r="AY87" s="13">
        <f t="shared" si="53"/>
        <v>0</v>
      </c>
      <c r="AZ87" s="195">
        <v>92</v>
      </c>
      <c r="BA87" s="77">
        <f t="shared" si="58"/>
        <v>3.0499999999999999E-5</v>
      </c>
      <c r="BB87" s="192">
        <f t="shared" si="50"/>
        <v>0</v>
      </c>
      <c r="BC87" s="219">
        <f t="shared" si="54"/>
        <v>8.6999999999999997E-6</v>
      </c>
      <c r="BD87" s="13">
        <f t="shared" si="55"/>
        <v>0</v>
      </c>
      <c r="BE87" s="195">
        <v>92</v>
      </c>
      <c r="BF87" s="77">
        <f t="shared" si="59"/>
        <v>3.0499999999999999E-5</v>
      </c>
      <c r="BG87" s="192">
        <f t="shared" si="51"/>
        <v>0</v>
      </c>
      <c r="BI87" s="120"/>
      <c r="BJ87" s="120"/>
      <c r="BK87" s="160"/>
      <c r="BL87" s="160"/>
      <c r="BM87" s="161" t="str">
        <f t="shared" si="61"/>
        <v/>
      </c>
      <c r="BN87" s="161" t="str">
        <f t="shared" si="62"/>
        <v/>
      </c>
      <c r="BO87" s="161" t="str">
        <f t="shared" si="63"/>
        <v/>
      </c>
      <c r="BP87" s="161" t="str">
        <f t="shared" si="64"/>
        <v/>
      </c>
      <c r="BQ87" s="161" t="str">
        <f t="shared" si="65"/>
        <v/>
      </c>
      <c r="BR87" s="161" t="str">
        <f t="shared" si="66"/>
        <v/>
      </c>
      <c r="BS87" s="161" t="str">
        <f t="shared" si="67"/>
        <v/>
      </c>
      <c r="BT87" s="161" t="str">
        <f t="shared" si="56"/>
        <v/>
      </c>
      <c r="BU87" s="161" t="str">
        <f t="shared" si="68"/>
        <v/>
      </c>
      <c r="BV87" s="161" t="str">
        <f t="shared" si="69"/>
        <v/>
      </c>
      <c r="BW87" s="161" t="str">
        <f t="shared" si="70"/>
        <v/>
      </c>
      <c r="BX87" s="161" t="str">
        <f t="shared" si="60"/>
        <v/>
      </c>
      <c r="BY87" s="148"/>
      <c r="BZ87" s="148"/>
      <c r="CA87" s="148"/>
      <c r="CB87" s="148" t="s">
        <v>149</v>
      </c>
      <c r="CC87" s="148" t="s">
        <v>230</v>
      </c>
    </row>
    <row r="88" spans="1:81" ht="14.25" customHeight="1" thickBot="1">
      <c r="A88" s="190">
        <v>78</v>
      </c>
      <c r="B88" s="78"/>
      <c r="C88" s="181"/>
      <c r="D88" s="86"/>
      <c r="E88" s="92"/>
      <c r="F88" s="88"/>
      <c r="G88" s="93"/>
      <c r="H88" s="93"/>
      <c r="I88" s="93"/>
      <c r="J88" s="93"/>
      <c r="K88" s="81">
        <f t="shared" si="52"/>
        <v>0</v>
      </c>
      <c r="L88" s="281"/>
      <c r="M88" s="282"/>
      <c r="N88" s="352"/>
      <c r="O88" s="343" t="s">
        <v>65</v>
      </c>
      <c r="P88" s="88"/>
      <c r="Q88" s="93"/>
      <c r="R88" s="93"/>
      <c r="S88" s="89"/>
      <c r="T88" s="93"/>
      <c r="U88" s="212">
        <f t="shared" si="44"/>
        <v>0</v>
      </c>
      <c r="V88" s="281"/>
      <c r="W88" s="282"/>
      <c r="X88" s="352"/>
      <c r="Y88" s="210" t="s">
        <v>85</v>
      </c>
      <c r="Z88" s="72"/>
      <c r="AA88" s="323"/>
      <c r="AB88" s="323"/>
      <c r="AC88" s="324"/>
      <c r="AD88" s="93"/>
      <c r="AE88" s="81">
        <f t="shared" si="45"/>
        <v>0</v>
      </c>
      <c r="AF88" s="72"/>
      <c r="AG88" s="324"/>
      <c r="AH88" s="361"/>
      <c r="AI88" s="98"/>
      <c r="AJ88" s="95"/>
      <c r="AK88" s="215"/>
      <c r="AL88" s="206"/>
      <c r="AM88" s="83"/>
      <c r="AN88" s="206"/>
      <c r="AO88" s="83"/>
      <c r="AP88" s="206"/>
      <c r="AQ88" s="83"/>
      <c r="AR88" s="13">
        <f t="shared" si="46"/>
        <v>8.8000000000000004E-6</v>
      </c>
      <c r="AS88" s="13">
        <f t="shared" si="47"/>
        <v>0</v>
      </c>
      <c r="AT88" s="13"/>
      <c r="AU88" s="195">
        <v>93</v>
      </c>
      <c r="AV88" s="77">
        <f t="shared" si="57"/>
        <v>3.18E-5</v>
      </c>
      <c r="AW88" s="192">
        <f t="shared" si="48"/>
        <v>0</v>
      </c>
      <c r="AX88" s="219">
        <f t="shared" si="49"/>
        <v>8.8000000000000004E-6</v>
      </c>
      <c r="AY88" s="13">
        <f t="shared" si="53"/>
        <v>0</v>
      </c>
      <c r="AZ88" s="195">
        <v>93</v>
      </c>
      <c r="BA88" s="77">
        <f t="shared" si="58"/>
        <v>3.04E-5</v>
      </c>
      <c r="BB88" s="192">
        <f t="shared" si="50"/>
        <v>0</v>
      </c>
      <c r="BC88" s="219">
        <f t="shared" si="54"/>
        <v>8.8000000000000004E-6</v>
      </c>
      <c r="BD88" s="13">
        <f t="shared" si="55"/>
        <v>0</v>
      </c>
      <c r="BE88" s="195">
        <v>93</v>
      </c>
      <c r="BF88" s="77">
        <f t="shared" si="59"/>
        <v>3.04E-5</v>
      </c>
      <c r="BG88" s="192">
        <f t="shared" si="51"/>
        <v>0</v>
      </c>
      <c r="BI88" s="120"/>
      <c r="BJ88" s="120"/>
      <c r="BK88" s="160"/>
      <c r="BL88" s="160"/>
      <c r="BM88" s="161" t="str">
        <f t="shared" si="61"/>
        <v/>
      </c>
      <c r="BN88" s="161" t="str">
        <f t="shared" si="62"/>
        <v/>
      </c>
      <c r="BO88" s="161" t="str">
        <f t="shared" si="63"/>
        <v/>
      </c>
      <c r="BP88" s="161" t="str">
        <f t="shared" si="64"/>
        <v/>
      </c>
      <c r="BQ88" s="161" t="str">
        <f t="shared" si="65"/>
        <v/>
      </c>
      <c r="BR88" s="161" t="str">
        <f t="shared" si="66"/>
        <v/>
      </c>
      <c r="BS88" s="161" t="str">
        <f t="shared" si="67"/>
        <v/>
      </c>
      <c r="BT88" s="161" t="str">
        <f t="shared" si="56"/>
        <v/>
      </c>
      <c r="BU88" s="161" t="str">
        <f t="shared" si="68"/>
        <v/>
      </c>
      <c r="BV88" s="161" t="str">
        <f t="shared" si="69"/>
        <v/>
      </c>
      <c r="BW88" s="161" t="str">
        <f t="shared" si="70"/>
        <v/>
      </c>
      <c r="BX88" s="161" t="str">
        <f t="shared" si="60"/>
        <v/>
      </c>
      <c r="BY88" s="148"/>
      <c r="BZ88" s="148"/>
      <c r="CA88" s="148"/>
      <c r="CB88" s="148" t="s">
        <v>149</v>
      </c>
      <c r="CC88" s="148" t="s">
        <v>230</v>
      </c>
    </row>
    <row r="89" spans="1:81" ht="14.25" customHeight="1" thickBot="1">
      <c r="A89" s="190">
        <v>79</v>
      </c>
      <c r="B89" s="79"/>
      <c r="C89" s="179"/>
      <c r="D89" s="137"/>
      <c r="E89" s="198"/>
      <c r="F89" s="199"/>
      <c r="G89" s="200"/>
      <c r="H89" s="200"/>
      <c r="I89" s="200"/>
      <c r="J89" s="200"/>
      <c r="K89" s="201">
        <f t="shared" si="52"/>
        <v>0</v>
      </c>
      <c r="L89" s="277"/>
      <c r="M89" s="278"/>
      <c r="N89" s="350"/>
      <c r="O89" s="341" t="s">
        <v>65</v>
      </c>
      <c r="P89" s="189"/>
      <c r="Q89" s="326"/>
      <c r="R89" s="326"/>
      <c r="S89" s="87"/>
      <c r="T89" s="207"/>
      <c r="U89" s="225">
        <f t="shared" si="44"/>
        <v>0</v>
      </c>
      <c r="V89" s="277"/>
      <c r="W89" s="278"/>
      <c r="X89" s="350"/>
      <c r="Y89" s="208" t="s">
        <v>147</v>
      </c>
      <c r="Z89" s="11"/>
      <c r="AA89" s="207"/>
      <c r="AB89" s="207"/>
      <c r="AC89" s="3"/>
      <c r="AD89" s="207"/>
      <c r="AE89" s="226">
        <f t="shared" si="45"/>
        <v>0</v>
      </c>
      <c r="AF89" s="11"/>
      <c r="AG89" s="3"/>
      <c r="AH89" s="359"/>
      <c r="AI89" s="96"/>
      <c r="AJ89" s="94"/>
      <c r="AK89" s="214"/>
      <c r="AL89" s="213"/>
      <c r="AM89" s="82"/>
      <c r="AN89" s="213"/>
      <c r="AO89" s="82"/>
      <c r="AP89" s="213"/>
      <c r="AQ89" s="82"/>
      <c r="AR89" s="13">
        <f t="shared" si="46"/>
        <v>8.8999999999999995E-6</v>
      </c>
      <c r="AS89" s="13">
        <f t="shared" si="47"/>
        <v>0</v>
      </c>
      <c r="AT89" s="13"/>
      <c r="AU89" s="195">
        <v>94</v>
      </c>
      <c r="AV89" s="77">
        <f t="shared" si="57"/>
        <v>3.1699999999999998E-5</v>
      </c>
      <c r="AW89" s="192">
        <f t="shared" si="48"/>
        <v>0</v>
      </c>
      <c r="AX89" s="219">
        <f t="shared" si="49"/>
        <v>8.8999999999999995E-6</v>
      </c>
      <c r="AY89" s="13">
        <f t="shared" si="53"/>
        <v>0</v>
      </c>
      <c r="AZ89" s="195">
        <v>94</v>
      </c>
      <c r="BA89" s="77">
        <f t="shared" si="58"/>
        <v>3.0299999999999998E-5</v>
      </c>
      <c r="BB89" s="192">
        <f t="shared" si="50"/>
        <v>0</v>
      </c>
      <c r="BC89" s="219">
        <f t="shared" si="54"/>
        <v>8.8999999999999995E-6</v>
      </c>
      <c r="BD89" s="13">
        <f t="shared" si="55"/>
        <v>0</v>
      </c>
      <c r="BE89" s="195">
        <v>94</v>
      </c>
      <c r="BF89" s="77">
        <f t="shared" si="59"/>
        <v>3.0299999999999998E-5</v>
      </c>
      <c r="BG89" s="192">
        <f t="shared" si="51"/>
        <v>0</v>
      </c>
      <c r="BI89" s="120"/>
      <c r="BJ89" s="120"/>
      <c r="BK89" s="160"/>
      <c r="BL89" s="160"/>
      <c r="BM89" s="161" t="str">
        <f t="shared" si="61"/>
        <v/>
      </c>
      <c r="BN89" s="161" t="str">
        <f t="shared" si="62"/>
        <v/>
      </c>
      <c r="BO89" s="161" t="str">
        <f t="shared" si="63"/>
        <v/>
      </c>
      <c r="BP89" s="161" t="str">
        <f t="shared" si="64"/>
        <v/>
      </c>
      <c r="BQ89" s="161" t="str">
        <f t="shared" si="65"/>
        <v/>
      </c>
      <c r="BR89" s="161" t="str">
        <f t="shared" si="66"/>
        <v/>
      </c>
      <c r="BS89" s="161" t="str">
        <f t="shared" si="67"/>
        <v/>
      </c>
      <c r="BT89" s="161" t="str">
        <f t="shared" si="56"/>
        <v/>
      </c>
      <c r="BU89" s="161" t="str">
        <f t="shared" si="68"/>
        <v/>
      </c>
      <c r="BV89" s="161" t="str">
        <f t="shared" si="69"/>
        <v/>
      </c>
      <c r="BW89" s="161" t="str">
        <f t="shared" si="70"/>
        <v/>
      </c>
      <c r="BX89" s="161" t="str">
        <f t="shared" si="60"/>
        <v/>
      </c>
      <c r="BY89" s="148"/>
      <c r="BZ89" s="148"/>
      <c r="CA89" s="148"/>
      <c r="CB89" s="148" t="s">
        <v>149</v>
      </c>
      <c r="CC89" s="148" t="s">
        <v>230</v>
      </c>
    </row>
    <row r="90" spans="1:81" ht="14.25" customHeight="1" thickBot="1">
      <c r="A90" s="190">
        <v>80</v>
      </c>
      <c r="B90" s="196"/>
      <c r="C90" s="180"/>
      <c r="D90" s="136"/>
      <c r="E90" s="91"/>
      <c r="F90" s="187"/>
      <c r="G90" s="188"/>
      <c r="H90" s="188"/>
      <c r="I90" s="188"/>
      <c r="J90" s="188"/>
      <c r="K90" s="18">
        <f t="shared" si="52"/>
        <v>0</v>
      </c>
      <c r="L90" s="279"/>
      <c r="M90" s="280"/>
      <c r="N90" s="351"/>
      <c r="O90" s="342" t="s">
        <v>65</v>
      </c>
      <c r="P90" s="187"/>
      <c r="Q90" s="188"/>
      <c r="R90" s="188"/>
      <c r="S90" s="119"/>
      <c r="T90" s="188"/>
      <c r="U90" s="211">
        <f t="shared" si="44"/>
        <v>0</v>
      </c>
      <c r="V90" s="279"/>
      <c r="W90" s="280"/>
      <c r="X90" s="351"/>
      <c r="Y90" s="209" t="s">
        <v>85</v>
      </c>
      <c r="Z90" s="71"/>
      <c r="AA90" s="321"/>
      <c r="AB90" s="321"/>
      <c r="AC90" s="322"/>
      <c r="AD90" s="188"/>
      <c r="AE90" s="18">
        <f t="shared" si="45"/>
        <v>0</v>
      </c>
      <c r="AF90" s="71"/>
      <c r="AG90" s="322"/>
      <c r="AH90" s="360"/>
      <c r="AI90" s="97"/>
      <c r="AJ90" s="194"/>
      <c r="AK90" s="193"/>
      <c r="AL90" s="205"/>
      <c r="AM90" s="197"/>
      <c r="AN90" s="205"/>
      <c r="AO90" s="197"/>
      <c r="AP90" s="205"/>
      <c r="AQ90" s="197"/>
      <c r="AR90" s="13">
        <f t="shared" si="46"/>
        <v>9.0000000000000002E-6</v>
      </c>
      <c r="AS90" s="13">
        <f t="shared" si="47"/>
        <v>0</v>
      </c>
      <c r="AT90" s="13"/>
      <c r="AU90" s="160">
        <v>95</v>
      </c>
      <c r="AV90" s="191">
        <f t="shared" si="57"/>
        <v>3.1599999999999996E-5</v>
      </c>
      <c r="AW90" s="160">
        <f t="shared" si="48"/>
        <v>0</v>
      </c>
      <c r="AX90" s="219">
        <f t="shared" si="49"/>
        <v>9.0000000000000002E-6</v>
      </c>
      <c r="AY90" s="13">
        <f t="shared" si="53"/>
        <v>0</v>
      </c>
      <c r="AZ90" s="160">
        <v>95</v>
      </c>
      <c r="BA90" s="77">
        <f t="shared" si="58"/>
        <v>3.0199999999999999E-5</v>
      </c>
      <c r="BB90" s="192">
        <f t="shared" si="50"/>
        <v>0</v>
      </c>
      <c r="BC90" s="219">
        <f t="shared" si="54"/>
        <v>9.0000000000000002E-6</v>
      </c>
      <c r="BD90" s="13">
        <f t="shared" si="55"/>
        <v>0</v>
      </c>
      <c r="BE90" s="160">
        <v>95</v>
      </c>
      <c r="BF90" s="77">
        <f t="shared" si="59"/>
        <v>3.0199999999999999E-5</v>
      </c>
      <c r="BG90" s="192">
        <f t="shared" si="51"/>
        <v>0</v>
      </c>
      <c r="BI90" s="120"/>
      <c r="BJ90" s="120"/>
      <c r="BK90" s="160"/>
      <c r="BL90" s="160"/>
      <c r="BM90" s="161" t="str">
        <f t="shared" si="61"/>
        <v/>
      </c>
      <c r="BN90" s="161" t="str">
        <f t="shared" si="62"/>
        <v/>
      </c>
      <c r="BO90" s="161" t="str">
        <f t="shared" si="63"/>
        <v/>
      </c>
      <c r="BP90" s="161" t="str">
        <f t="shared" si="64"/>
        <v/>
      </c>
      <c r="BQ90" s="161" t="str">
        <f t="shared" si="65"/>
        <v/>
      </c>
      <c r="BR90" s="161" t="str">
        <f t="shared" si="66"/>
        <v/>
      </c>
      <c r="BS90" s="161" t="str">
        <f t="shared" si="67"/>
        <v/>
      </c>
      <c r="BT90" s="161" t="str">
        <f t="shared" si="56"/>
        <v/>
      </c>
      <c r="BU90" s="161" t="str">
        <f t="shared" si="68"/>
        <v/>
      </c>
      <c r="BV90" s="161" t="str">
        <f t="shared" si="69"/>
        <v/>
      </c>
      <c r="BW90" s="161" t="str">
        <f t="shared" si="70"/>
        <v/>
      </c>
      <c r="BX90" s="161" t="str">
        <f t="shared" si="60"/>
        <v/>
      </c>
      <c r="BY90" s="148"/>
      <c r="BZ90" s="148"/>
      <c r="CA90" s="148"/>
      <c r="CB90" s="148" t="s">
        <v>149</v>
      </c>
      <c r="CC90" s="148" t="s">
        <v>230</v>
      </c>
    </row>
    <row r="91" spans="1:81" ht="14.25" customHeight="1" thickBot="1">
      <c r="A91" s="190">
        <v>81</v>
      </c>
      <c r="B91" s="78"/>
      <c r="C91" s="181"/>
      <c r="D91" s="86"/>
      <c r="E91" s="92"/>
      <c r="F91" s="88"/>
      <c r="G91" s="93"/>
      <c r="H91" s="93"/>
      <c r="I91" s="93"/>
      <c r="J91" s="93"/>
      <c r="K91" s="81">
        <f t="shared" si="52"/>
        <v>0</v>
      </c>
      <c r="L91" s="281"/>
      <c r="M91" s="282"/>
      <c r="N91" s="352"/>
      <c r="O91" s="343" t="s">
        <v>65</v>
      </c>
      <c r="P91" s="88"/>
      <c r="Q91" s="93"/>
      <c r="R91" s="93"/>
      <c r="S91" s="89"/>
      <c r="T91" s="93"/>
      <c r="U91" s="212">
        <f t="shared" si="44"/>
        <v>0</v>
      </c>
      <c r="V91" s="281"/>
      <c r="W91" s="282"/>
      <c r="X91" s="352"/>
      <c r="Y91" s="210" t="s">
        <v>85</v>
      </c>
      <c r="Z91" s="72"/>
      <c r="AA91" s="323"/>
      <c r="AB91" s="323"/>
      <c r="AC91" s="324"/>
      <c r="AD91" s="93"/>
      <c r="AE91" s="81">
        <f t="shared" si="45"/>
        <v>0</v>
      </c>
      <c r="AF91" s="72"/>
      <c r="AG91" s="324"/>
      <c r="AH91" s="361"/>
      <c r="AI91" s="98"/>
      <c r="AJ91" s="95"/>
      <c r="AK91" s="215"/>
      <c r="AL91" s="206"/>
      <c r="AM91" s="83"/>
      <c r="AN91" s="206"/>
      <c r="AO91" s="83"/>
      <c r="AP91" s="206"/>
      <c r="AQ91" s="83"/>
      <c r="AR91" s="13">
        <f t="shared" si="46"/>
        <v>9.0999999999999993E-6</v>
      </c>
      <c r="AS91" s="13">
        <f t="shared" si="47"/>
        <v>0</v>
      </c>
      <c r="AT91" s="13"/>
      <c r="AU91" s="160">
        <v>96</v>
      </c>
      <c r="AV91" s="191">
        <f t="shared" si="57"/>
        <v>3.15E-5</v>
      </c>
      <c r="AW91" s="160">
        <f t="shared" si="48"/>
        <v>0</v>
      </c>
      <c r="AX91" s="219">
        <f t="shared" si="49"/>
        <v>9.0999999999999993E-6</v>
      </c>
      <c r="AY91" s="13">
        <f t="shared" si="53"/>
        <v>0</v>
      </c>
      <c r="AZ91" s="160">
        <v>96</v>
      </c>
      <c r="BA91" s="77">
        <f t="shared" si="58"/>
        <v>3.01E-5</v>
      </c>
      <c r="BB91" s="192">
        <f t="shared" si="50"/>
        <v>0</v>
      </c>
      <c r="BC91" s="219">
        <f t="shared" si="54"/>
        <v>9.0999999999999993E-6</v>
      </c>
      <c r="BD91" s="13">
        <f t="shared" si="55"/>
        <v>0</v>
      </c>
      <c r="BE91" s="160">
        <v>96</v>
      </c>
      <c r="BF91" s="77">
        <f t="shared" si="59"/>
        <v>3.01E-5</v>
      </c>
      <c r="BG91" s="192">
        <f t="shared" si="51"/>
        <v>0</v>
      </c>
      <c r="BI91" s="120"/>
      <c r="BJ91" s="120"/>
      <c r="BK91" s="160"/>
      <c r="BL91" s="160"/>
      <c r="BM91" s="161" t="str">
        <f t="shared" si="61"/>
        <v/>
      </c>
      <c r="BN91" s="161" t="str">
        <f t="shared" si="62"/>
        <v/>
      </c>
      <c r="BO91" s="161" t="str">
        <f t="shared" si="63"/>
        <v/>
      </c>
      <c r="BP91" s="161" t="str">
        <f t="shared" si="64"/>
        <v/>
      </c>
      <c r="BQ91" s="161" t="str">
        <f t="shared" si="65"/>
        <v/>
      </c>
      <c r="BR91" s="161" t="str">
        <f t="shared" si="66"/>
        <v/>
      </c>
      <c r="BS91" s="161" t="str">
        <f t="shared" si="67"/>
        <v/>
      </c>
      <c r="BT91" s="161" t="str">
        <f t="shared" si="56"/>
        <v/>
      </c>
      <c r="BU91" s="161" t="str">
        <f t="shared" si="68"/>
        <v/>
      </c>
      <c r="BV91" s="161" t="str">
        <f t="shared" si="69"/>
        <v/>
      </c>
      <c r="BW91" s="161" t="str">
        <f t="shared" si="70"/>
        <v/>
      </c>
      <c r="BX91" s="161" t="str">
        <f t="shared" si="60"/>
        <v/>
      </c>
      <c r="BY91" s="148"/>
      <c r="BZ91" s="148"/>
      <c r="CA91" s="148"/>
      <c r="CB91" s="148" t="s">
        <v>149</v>
      </c>
      <c r="CC91" s="148" t="s">
        <v>230</v>
      </c>
    </row>
    <row r="92" spans="1:81" ht="14.25" customHeight="1" thickBot="1">
      <c r="A92" s="190">
        <v>82</v>
      </c>
      <c r="B92" s="79"/>
      <c r="C92" s="179"/>
      <c r="D92" s="137"/>
      <c r="E92" s="198"/>
      <c r="F92" s="199"/>
      <c r="G92" s="200"/>
      <c r="H92" s="200"/>
      <c r="I92" s="200"/>
      <c r="J92" s="200"/>
      <c r="K92" s="201">
        <f t="shared" si="52"/>
        <v>0</v>
      </c>
      <c r="L92" s="277"/>
      <c r="M92" s="278"/>
      <c r="N92" s="350"/>
      <c r="O92" s="341" t="s">
        <v>65</v>
      </c>
      <c r="P92" s="189"/>
      <c r="Q92" s="326"/>
      <c r="R92" s="326"/>
      <c r="S92" s="87"/>
      <c r="T92" s="207"/>
      <c r="U92" s="225">
        <f t="shared" si="44"/>
        <v>0</v>
      </c>
      <c r="V92" s="277"/>
      <c r="W92" s="278"/>
      <c r="X92" s="350"/>
      <c r="Y92" s="208" t="s">
        <v>147</v>
      </c>
      <c r="Z92" s="11"/>
      <c r="AA92" s="207"/>
      <c r="AB92" s="207"/>
      <c r="AC92" s="3"/>
      <c r="AD92" s="207"/>
      <c r="AE92" s="226">
        <f t="shared" si="45"/>
        <v>0</v>
      </c>
      <c r="AF92" s="11"/>
      <c r="AG92" s="3"/>
      <c r="AH92" s="359"/>
      <c r="AI92" s="96"/>
      <c r="AJ92" s="94"/>
      <c r="AK92" s="214"/>
      <c r="AL92" s="213"/>
      <c r="AM92" s="82"/>
      <c r="AN92" s="213"/>
      <c r="AO92" s="82"/>
      <c r="AP92" s="213"/>
      <c r="AQ92" s="82"/>
      <c r="AR92" s="13">
        <f t="shared" si="46"/>
        <v>9.2E-6</v>
      </c>
      <c r="AS92" s="13">
        <f t="shared" si="47"/>
        <v>0</v>
      </c>
      <c r="AT92" s="13"/>
      <c r="AU92" s="160">
        <v>97</v>
      </c>
      <c r="AV92" s="191">
        <f t="shared" si="57"/>
        <v>3.1399999999999998E-5</v>
      </c>
      <c r="AW92" s="160">
        <f t="shared" si="48"/>
        <v>0</v>
      </c>
      <c r="AX92" s="219">
        <f t="shared" si="49"/>
        <v>9.2E-6</v>
      </c>
      <c r="AY92" s="13">
        <f t="shared" si="53"/>
        <v>0</v>
      </c>
      <c r="AZ92" s="160">
        <v>97</v>
      </c>
      <c r="BA92" s="77">
        <f t="shared" si="58"/>
        <v>2.9999999999999997E-5</v>
      </c>
      <c r="BB92" s="192">
        <f t="shared" si="50"/>
        <v>0</v>
      </c>
      <c r="BC92" s="219">
        <f t="shared" si="54"/>
        <v>9.2E-6</v>
      </c>
      <c r="BD92" s="13">
        <f t="shared" si="55"/>
        <v>0</v>
      </c>
      <c r="BE92" s="160">
        <v>97</v>
      </c>
      <c r="BF92" s="77">
        <f t="shared" si="59"/>
        <v>2.9999999999999997E-5</v>
      </c>
      <c r="BG92" s="192">
        <f t="shared" si="51"/>
        <v>0</v>
      </c>
      <c r="BI92" s="120"/>
      <c r="BJ92" s="120"/>
      <c r="BK92" s="160"/>
      <c r="BL92" s="160"/>
      <c r="BM92" s="161" t="str">
        <f t="shared" si="61"/>
        <v/>
      </c>
      <c r="BN92" s="161" t="str">
        <f t="shared" si="62"/>
        <v/>
      </c>
      <c r="BO92" s="161" t="str">
        <f t="shared" si="63"/>
        <v/>
      </c>
      <c r="BP92" s="161" t="str">
        <f t="shared" si="64"/>
        <v/>
      </c>
      <c r="BQ92" s="161" t="str">
        <f t="shared" si="65"/>
        <v/>
      </c>
      <c r="BR92" s="161" t="str">
        <f t="shared" si="66"/>
        <v/>
      </c>
      <c r="BS92" s="161" t="str">
        <f t="shared" si="67"/>
        <v/>
      </c>
      <c r="BT92" s="161" t="str">
        <f t="shared" si="56"/>
        <v/>
      </c>
      <c r="BU92" s="161" t="str">
        <f t="shared" si="68"/>
        <v/>
      </c>
      <c r="BV92" s="161" t="str">
        <f t="shared" si="69"/>
        <v/>
      </c>
      <c r="BW92" s="161" t="str">
        <f t="shared" si="70"/>
        <v/>
      </c>
      <c r="BX92" s="161" t="str">
        <f t="shared" si="60"/>
        <v/>
      </c>
      <c r="BY92" s="148"/>
      <c r="BZ92" s="148"/>
      <c r="CA92" s="148"/>
      <c r="CB92" s="148" t="s">
        <v>149</v>
      </c>
      <c r="CC92" s="148" t="s">
        <v>230</v>
      </c>
    </row>
    <row r="93" spans="1:81" ht="14.25" customHeight="1" thickBot="1">
      <c r="A93" s="190">
        <v>83</v>
      </c>
      <c r="B93" s="196"/>
      <c r="C93" s="180"/>
      <c r="D93" s="136"/>
      <c r="E93" s="91"/>
      <c r="F93" s="187"/>
      <c r="G93" s="188"/>
      <c r="H93" s="188"/>
      <c r="I93" s="188"/>
      <c r="J93" s="188"/>
      <c r="K93" s="18">
        <f t="shared" si="52"/>
        <v>0</v>
      </c>
      <c r="L93" s="279"/>
      <c r="M93" s="280"/>
      <c r="N93" s="351"/>
      <c r="O93" s="342" t="s">
        <v>65</v>
      </c>
      <c r="P93" s="187"/>
      <c r="Q93" s="188"/>
      <c r="R93" s="188"/>
      <c r="S93" s="119"/>
      <c r="T93" s="188"/>
      <c r="U93" s="211">
        <f t="shared" si="44"/>
        <v>0</v>
      </c>
      <c r="V93" s="279"/>
      <c r="W93" s="280"/>
      <c r="X93" s="351"/>
      <c r="Y93" s="209" t="s">
        <v>85</v>
      </c>
      <c r="Z93" s="71"/>
      <c r="AA93" s="321"/>
      <c r="AB93" s="321"/>
      <c r="AC93" s="322"/>
      <c r="AD93" s="188"/>
      <c r="AE93" s="18">
        <f t="shared" si="45"/>
        <v>0</v>
      </c>
      <c r="AF93" s="71"/>
      <c r="AG93" s="322"/>
      <c r="AH93" s="360"/>
      <c r="AI93" s="97"/>
      <c r="AJ93" s="194"/>
      <c r="AK93" s="193"/>
      <c r="AL93" s="205"/>
      <c r="AM93" s="197"/>
      <c r="AN93" s="205"/>
      <c r="AO93" s="197"/>
      <c r="AP93" s="205"/>
      <c r="AQ93" s="197"/>
      <c r="AR93" s="13">
        <f t="shared" si="46"/>
        <v>9.299999999999999E-6</v>
      </c>
      <c r="AS93" s="13">
        <f t="shared" si="47"/>
        <v>0</v>
      </c>
      <c r="AT93" s="13"/>
      <c r="AU93" s="160">
        <v>98</v>
      </c>
      <c r="AV93" s="191">
        <f t="shared" si="57"/>
        <v>3.1300000000000002E-5</v>
      </c>
      <c r="AW93" s="160">
        <f t="shared" si="48"/>
        <v>0</v>
      </c>
      <c r="AX93" s="219">
        <f t="shared" si="49"/>
        <v>9.299999999999999E-6</v>
      </c>
      <c r="AY93" s="13">
        <f t="shared" si="53"/>
        <v>0</v>
      </c>
      <c r="AZ93" s="160">
        <v>98</v>
      </c>
      <c r="BA93" s="77">
        <f t="shared" si="58"/>
        <v>2.9899999999999998E-5</v>
      </c>
      <c r="BB93" s="192">
        <f t="shared" si="50"/>
        <v>0</v>
      </c>
      <c r="BC93" s="219">
        <f t="shared" si="54"/>
        <v>9.299999999999999E-6</v>
      </c>
      <c r="BD93" s="13">
        <f t="shared" si="55"/>
        <v>0</v>
      </c>
      <c r="BE93" s="160">
        <v>98</v>
      </c>
      <c r="BF93" s="77">
        <f t="shared" si="59"/>
        <v>2.9899999999999998E-5</v>
      </c>
      <c r="BG93" s="192">
        <f t="shared" si="51"/>
        <v>0</v>
      </c>
      <c r="BI93" s="120"/>
      <c r="BJ93" s="120"/>
      <c r="BK93" s="160"/>
      <c r="BL93" s="160"/>
      <c r="BM93" s="161" t="str">
        <f t="shared" si="61"/>
        <v/>
      </c>
      <c r="BN93" s="161" t="str">
        <f t="shared" si="62"/>
        <v/>
      </c>
      <c r="BO93" s="161" t="str">
        <f t="shared" si="63"/>
        <v/>
      </c>
      <c r="BP93" s="161" t="str">
        <f t="shared" si="64"/>
        <v/>
      </c>
      <c r="BQ93" s="161" t="str">
        <f t="shared" si="65"/>
        <v/>
      </c>
      <c r="BR93" s="161" t="str">
        <f t="shared" si="66"/>
        <v/>
      </c>
      <c r="BS93" s="161" t="str">
        <f t="shared" si="67"/>
        <v/>
      </c>
      <c r="BT93" s="161" t="str">
        <f t="shared" si="56"/>
        <v/>
      </c>
      <c r="BU93" s="161" t="str">
        <f t="shared" si="68"/>
        <v/>
      </c>
      <c r="BV93" s="161" t="str">
        <f t="shared" si="69"/>
        <v/>
      </c>
      <c r="BW93" s="161" t="str">
        <f t="shared" si="70"/>
        <v/>
      </c>
      <c r="BX93" s="161" t="str">
        <f t="shared" si="60"/>
        <v/>
      </c>
      <c r="BY93" s="148"/>
      <c r="BZ93" s="148"/>
      <c r="CA93" s="148"/>
      <c r="CB93" s="148" t="s">
        <v>149</v>
      </c>
      <c r="CC93" s="148" t="s">
        <v>230</v>
      </c>
    </row>
    <row r="94" spans="1:81" ht="14.25" customHeight="1" thickBot="1">
      <c r="A94" s="190">
        <v>84</v>
      </c>
      <c r="B94" s="78"/>
      <c r="C94" s="181"/>
      <c r="D94" s="86"/>
      <c r="E94" s="92"/>
      <c r="F94" s="88"/>
      <c r="G94" s="93"/>
      <c r="H94" s="93"/>
      <c r="I94" s="93"/>
      <c r="J94" s="93"/>
      <c r="K94" s="81">
        <f t="shared" si="52"/>
        <v>0</v>
      </c>
      <c r="L94" s="281"/>
      <c r="M94" s="282"/>
      <c r="N94" s="352"/>
      <c r="O94" s="343" t="s">
        <v>65</v>
      </c>
      <c r="P94" s="88"/>
      <c r="Q94" s="93"/>
      <c r="R94" s="93"/>
      <c r="S94" s="89"/>
      <c r="T94" s="93"/>
      <c r="U94" s="212">
        <f t="shared" si="44"/>
        <v>0</v>
      </c>
      <c r="V94" s="281"/>
      <c r="W94" s="282"/>
      <c r="X94" s="352"/>
      <c r="Y94" s="210" t="s">
        <v>85</v>
      </c>
      <c r="Z94" s="72"/>
      <c r="AA94" s="323"/>
      <c r="AB94" s="323"/>
      <c r="AC94" s="324"/>
      <c r="AD94" s="93"/>
      <c r="AE94" s="81">
        <f t="shared" si="45"/>
        <v>0</v>
      </c>
      <c r="AF94" s="72"/>
      <c r="AG94" s="324"/>
      <c r="AH94" s="361"/>
      <c r="AI94" s="98"/>
      <c r="AJ94" s="95"/>
      <c r="AK94" s="215"/>
      <c r="AL94" s="206"/>
      <c r="AM94" s="83"/>
      <c r="AN94" s="206"/>
      <c r="AO94" s="83"/>
      <c r="AP94" s="206"/>
      <c r="AQ94" s="83"/>
      <c r="AR94" s="13">
        <f t="shared" si="46"/>
        <v>9.3999999999999998E-6</v>
      </c>
      <c r="AS94" s="13">
        <f t="shared" si="47"/>
        <v>0</v>
      </c>
      <c r="AT94" s="13"/>
      <c r="AU94" s="160">
        <v>99</v>
      </c>
      <c r="AV94" s="191">
        <f t="shared" si="57"/>
        <v>3.1199999999999999E-5</v>
      </c>
      <c r="AW94" s="160">
        <f t="shared" si="48"/>
        <v>0</v>
      </c>
      <c r="AX94" s="219">
        <f t="shared" si="49"/>
        <v>9.3999999999999998E-6</v>
      </c>
      <c r="AY94" s="13">
        <f t="shared" si="53"/>
        <v>0</v>
      </c>
      <c r="AZ94" s="160">
        <v>99</v>
      </c>
      <c r="BA94" s="77">
        <f t="shared" si="58"/>
        <v>2.9799999999999999E-5</v>
      </c>
      <c r="BB94" s="192">
        <f t="shared" si="50"/>
        <v>0</v>
      </c>
      <c r="BC94" s="219">
        <f t="shared" si="54"/>
        <v>9.3999999999999998E-6</v>
      </c>
      <c r="BD94" s="13">
        <f t="shared" si="55"/>
        <v>0</v>
      </c>
      <c r="BE94" s="160">
        <v>99</v>
      </c>
      <c r="BF94" s="77">
        <f t="shared" si="59"/>
        <v>2.9799999999999999E-5</v>
      </c>
      <c r="BG94" s="192">
        <f t="shared" si="51"/>
        <v>0</v>
      </c>
      <c r="BI94" s="120"/>
      <c r="BJ94" s="120"/>
      <c r="BK94" s="160"/>
      <c r="BL94" s="160"/>
      <c r="BM94" s="161" t="str">
        <f t="shared" si="61"/>
        <v/>
      </c>
      <c r="BN94" s="161" t="str">
        <f t="shared" si="62"/>
        <v/>
      </c>
      <c r="BO94" s="161" t="str">
        <f t="shared" si="63"/>
        <v/>
      </c>
      <c r="BP94" s="161" t="str">
        <f t="shared" si="64"/>
        <v/>
      </c>
      <c r="BQ94" s="161" t="str">
        <f t="shared" si="65"/>
        <v/>
      </c>
      <c r="BR94" s="161" t="str">
        <f t="shared" si="66"/>
        <v/>
      </c>
      <c r="BS94" s="161" t="str">
        <f t="shared" si="67"/>
        <v/>
      </c>
      <c r="BT94" s="161" t="str">
        <f t="shared" si="56"/>
        <v/>
      </c>
      <c r="BU94" s="161" t="str">
        <f t="shared" si="68"/>
        <v/>
      </c>
      <c r="BV94" s="161" t="str">
        <f t="shared" si="69"/>
        <v/>
      </c>
      <c r="BW94" s="161" t="str">
        <f t="shared" si="70"/>
        <v/>
      </c>
      <c r="BX94" s="161" t="str">
        <f t="shared" si="60"/>
        <v/>
      </c>
      <c r="BY94" s="148"/>
      <c r="BZ94" s="148"/>
      <c r="CA94" s="148"/>
      <c r="CB94" s="148" t="s">
        <v>149</v>
      </c>
      <c r="CC94" s="148" t="s">
        <v>230</v>
      </c>
    </row>
    <row r="95" spans="1:81" ht="14.25" customHeight="1" thickBot="1">
      <c r="A95" s="190">
        <v>85</v>
      </c>
      <c r="B95" s="79"/>
      <c r="C95" s="179"/>
      <c r="D95" s="137"/>
      <c r="E95" s="198"/>
      <c r="F95" s="199"/>
      <c r="G95" s="200"/>
      <c r="H95" s="200"/>
      <c r="I95" s="200"/>
      <c r="J95" s="200"/>
      <c r="K95" s="201">
        <f t="shared" si="52"/>
        <v>0</v>
      </c>
      <c r="L95" s="277"/>
      <c r="M95" s="278"/>
      <c r="N95" s="350"/>
      <c r="O95" s="341" t="s">
        <v>65</v>
      </c>
      <c r="P95" s="189"/>
      <c r="Q95" s="326"/>
      <c r="R95" s="326"/>
      <c r="S95" s="87"/>
      <c r="T95" s="207"/>
      <c r="U95" s="225">
        <f t="shared" si="44"/>
        <v>0</v>
      </c>
      <c r="V95" s="277"/>
      <c r="W95" s="278"/>
      <c r="X95" s="350"/>
      <c r="Y95" s="208" t="s">
        <v>147</v>
      </c>
      <c r="Z95" s="11"/>
      <c r="AA95" s="207"/>
      <c r="AB95" s="207"/>
      <c r="AC95" s="3"/>
      <c r="AD95" s="207"/>
      <c r="AE95" s="226">
        <f t="shared" si="45"/>
        <v>0</v>
      </c>
      <c r="AF95" s="11"/>
      <c r="AG95" s="3"/>
      <c r="AH95" s="359"/>
      <c r="AI95" s="96"/>
      <c r="AJ95" s="94"/>
      <c r="AK95" s="214"/>
      <c r="AL95" s="213"/>
      <c r="AM95" s="82"/>
      <c r="AN95" s="213"/>
      <c r="AO95" s="82"/>
      <c r="AP95" s="213"/>
      <c r="AQ95" s="82"/>
      <c r="AR95" s="13">
        <f t="shared" si="46"/>
        <v>9.4999999999999988E-6</v>
      </c>
      <c r="AS95" s="13">
        <f t="shared" si="47"/>
        <v>0</v>
      </c>
      <c r="AT95" s="13"/>
      <c r="AU95" s="160">
        <v>100</v>
      </c>
      <c r="AV95" s="191">
        <f t="shared" si="57"/>
        <v>3.1099999999999997E-5</v>
      </c>
      <c r="AW95" s="160">
        <f t="shared" si="48"/>
        <v>0</v>
      </c>
      <c r="AX95" s="219">
        <f t="shared" si="49"/>
        <v>9.4999999999999988E-6</v>
      </c>
      <c r="AY95" s="13">
        <f t="shared" si="53"/>
        <v>0</v>
      </c>
      <c r="AZ95" s="160">
        <v>100</v>
      </c>
      <c r="BA95" s="77">
        <f t="shared" si="58"/>
        <v>2.97E-5</v>
      </c>
      <c r="BB95" s="192">
        <f t="shared" si="50"/>
        <v>0</v>
      </c>
      <c r="BC95" s="219">
        <f t="shared" si="54"/>
        <v>9.4999999999999988E-6</v>
      </c>
      <c r="BD95" s="13">
        <f t="shared" si="55"/>
        <v>0</v>
      </c>
      <c r="BE95" s="160">
        <v>100</v>
      </c>
      <c r="BF95" s="77">
        <f t="shared" si="59"/>
        <v>2.97E-5</v>
      </c>
      <c r="BG95" s="192">
        <f t="shared" si="51"/>
        <v>0</v>
      </c>
      <c r="BI95" s="120"/>
      <c r="BJ95" s="120"/>
      <c r="BK95" s="160"/>
      <c r="BL95" s="160"/>
      <c r="BM95" s="161" t="str">
        <f t="shared" si="61"/>
        <v/>
      </c>
      <c r="BN95" s="161" t="str">
        <f t="shared" si="62"/>
        <v/>
      </c>
      <c r="BO95" s="161" t="str">
        <f t="shared" si="63"/>
        <v/>
      </c>
      <c r="BP95" s="161" t="str">
        <f t="shared" si="64"/>
        <v/>
      </c>
      <c r="BQ95" s="161" t="str">
        <f t="shared" si="65"/>
        <v/>
      </c>
      <c r="BR95" s="161" t="str">
        <f t="shared" si="66"/>
        <v/>
      </c>
      <c r="BS95" s="161" t="str">
        <f t="shared" si="67"/>
        <v/>
      </c>
      <c r="BT95" s="161" t="str">
        <f t="shared" si="56"/>
        <v/>
      </c>
      <c r="BU95" s="161" t="str">
        <f t="shared" si="68"/>
        <v/>
      </c>
      <c r="BV95" s="161" t="str">
        <f t="shared" si="69"/>
        <v/>
      </c>
      <c r="BW95" s="161" t="str">
        <f t="shared" si="70"/>
        <v/>
      </c>
      <c r="BX95" s="161" t="str">
        <f t="shared" si="60"/>
        <v/>
      </c>
      <c r="BY95" s="148"/>
      <c r="BZ95" s="148"/>
      <c r="CA95" s="148"/>
      <c r="CB95" s="148" t="s">
        <v>149</v>
      </c>
      <c r="CC95" s="148" t="s">
        <v>230</v>
      </c>
    </row>
    <row r="96" spans="1:81" ht="14.25" customHeight="1" thickBot="1">
      <c r="A96" s="190">
        <v>86</v>
      </c>
      <c r="B96" s="196"/>
      <c r="C96" s="180"/>
      <c r="D96" s="136"/>
      <c r="E96" s="91"/>
      <c r="F96" s="187"/>
      <c r="G96" s="188"/>
      <c r="H96" s="188"/>
      <c r="I96" s="188"/>
      <c r="J96" s="188"/>
      <c r="K96" s="18">
        <f t="shared" si="52"/>
        <v>0</v>
      </c>
      <c r="L96" s="279"/>
      <c r="M96" s="280"/>
      <c r="N96" s="351"/>
      <c r="O96" s="342" t="s">
        <v>65</v>
      </c>
      <c r="P96" s="187"/>
      <c r="Q96" s="188"/>
      <c r="R96" s="188"/>
      <c r="S96" s="119"/>
      <c r="T96" s="188"/>
      <c r="U96" s="211">
        <f t="shared" si="44"/>
        <v>0</v>
      </c>
      <c r="V96" s="279"/>
      <c r="W96" s="280"/>
      <c r="X96" s="351"/>
      <c r="Y96" s="209" t="s">
        <v>85</v>
      </c>
      <c r="Z96" s="71"/>
      <c r="AA96" s="321"/>
      <c r="AB96" s="321"/>
      <c r="AC96" s="322"/>
      <c r="AD96" s="188"/>
      <c r="AE96" s="18">
        <f t="shared" si="45"/>
        <v>0</v>
      </c>
      <c r="AF96" s="71"/>
      <c r="AG96" s="322"/>
      <c r="AH96" s="360"/>
      <c r="AI96" s="97"/>
      <c r="AJ96" s="194"/>
      <c r="AK96" s="193"/>
      <c r="AL96" s="205"/>
      <c r="AM96" s="197"/>
      <c r="AN96" s="205"/>
      <c r="AO96" s="197"/>
      <c r="AP96" s="205"/>
      <c r="AQ96" s="197"/>
      <c r="AR96" s="13">
        <f t="shared" si="46"/>
        <v>9.5999999999999996E-6</v>
      </c>
      <c r="AS96" s="13">
        <f t="shared" si="47"/>
        <v>0</v>
      </c>
      <c r="AT96" s="13"/>
      <c r="AU96" s="160">
        <v>101</v>
      </c>
      <c r="AV96" s="191">
        <f t="shared" si="57"/>
        <v>3.1000000000000001E-5</v>
      </c>
      <c r="AW96" s="160">
        <f t="shared" si="48"/>
        <v>0</v>
      </c>
      <c r="AX96" s="219">
        <f t="shared" si="49"/>
        <v>9.5999999999999996E-6</v>
      </c>
      <c r="AY96" s="13">
        <f t="shared" si="53"/>
        <v>0</v>
      </c>
      <c r="AZ96" s="160">
        <v>101</v>
      </c>
      <c r="BA96" s="77">
        <f t="shared" si="58"/>
        <v>2.9599999999999998E-5</v>
      </c>
      <c r="BB96" s="192">
        <f t="shared" si="50"/>
        <v>0</v>
      </c>
      <c r="BC96" s="219">
        <f t="shared" si="54"/>
        <v>9.5999999999999996E-6</v>
      </c>
      <c r="BD96" s="13">
        <f t="shared" si="55"/>
        <v>0</v>
      </c>
      <c r="BE96" s="160">
        <v>101</v>
      </c>
      <c r="BF96" s="77">
        <f t="shared" si="59"/>
        <v>2.9599999999999998E-5</v>
      </c>
      <c r="BG96" s="192">
        <f t="shared" si="51"/>
        <v>0</v>
      </c>
      <c r="BI96" s="120"/>
      <c r="BJ96" s="120"/>
      <c r="BK96" s="160"/>
      <c r="BL96" s="160"/>
      <c r="BM96" s="161" t="str">
        <f t="shared" si="61"/>
        <v/>
      </c>
      <c r="BN96" s="161" t="str">
        <f t="shared" si="62"/>
        <v/>
      </c>
      <c r="BO96" s="161" t="str">
        <f t="shared" si="63"/>
        <v/>
      </c>
      <c r="BP96" s="161" t="str">
        <f t="shared" si="64"/>
        <v/>
      </c>
      <c r="BQ96" s="161" t="str">
        <f t="shared" si="65"/>
        <v/>
      </c>
      <c r="BR96" s="161" t="str">
        <f t="shared" si="66"/>
        <v/>
      </c>
      <c r="BS96" s="161" t="str">
        <f t="shared" si="67"/>
        <v/>
      </c>
      <c r="BT96" s="161" t="str">
        <f t="shared" si="56"/>
        <v/>
      </c>
      <c r="BU96" s="161" t="str">
        <f t="shared" si="68"/>
        <v/>
      </c>
      <c r="BV96" s="161" t="str">
        <f t="shared" si="69"/>
        <v/>
      </c>
      <c r="BW96" s="161" t="str">
        <f t="shared" si="70"/>
        <v/>
      </c>
      <c r="BX96" s="161" t="str">
        <f t="shared" si="60"/>
        <v/>
      </c>
      <c r="BY96" s="148"/>
      <c r="BZ96" s="148"/>
      <c r="CA96" s="148"/>
      <c r="CB96" s="148" t="s">
        <v>149</v>
      </c>
      <c r="CC96" s="148" t="s">
        <v>230</v>
      </c>
    </row>
    <row r="97" spans="1:81" ht="14.25" customHeight="1" thickBot="1">
      <c r="A97" s="190">
        <v>87</v>
      </c>
      <c r="B97" s="78"/>
      <c r="C97" s="181"/>
      <c r="D97" s="86"/>
      <c r="E97" s="92"/>
      <c r="F97" s="88"/>
      <c r="G97" s="93"/>
      <c r="H97" s="93"/>
      <c r="I97" s="93"/>
      <c r="J97" s="93"/>
      <c r="K97" s="81">
        <f t="shared" si="52"/>
        <v>0</v>
      </c>
      <c r="L97" s="281"/>
      <c r="M97" s="282"/>
      <c r="N97" s="352"/>
      <c r="O97" s="343" t="s">
        <v>65</v>
      </c>
      <c r="P97" s="88"/>
      <c r="Q97" s="93"/>
      <c r="R97" s="93"/>
      <c r="S97" s="89"/>
      <c r="T97" s="93"/>
      <c r="U97" s="212">
        <f t="shared" si="44"/>
        <v>0</v>
      </c>
      <c r="V97" s="281"/>
      <c r="W97" s="282"/>
      <c r="X97" s="352"/>
      <c r="Y97" s="210" t="s">
        <v>85</v>
      </c>
      <c r="Z97" s="72"/>
      <c r="AA97" s="323"/>
      <c r="AB97" s="323"/>
      <c r="AC97" s="324"/>
      <c r="AD97" s="93"/>
      <c r="AE97" s="81">
        <f t="shared" si="45"/>
        <v>0</v>
      </c>
      <c r="AF97" s="72"/>
      <c r="AG97" s="324"/>
      <c r="AH97" s="361"/>
      <c r="AI97" s="98"/>
      <c r="AJ97" s="95"/>
      <c r="AK97" s="215"/>
      <c r="AL97" s="206"/>
      <c r="AM97" s="83"/>
      <c r="AN97" s="206"/>
      <c r="AO97" s="83"/>
      <c r="AP97" s="206"/>
      <c r="AQ97" s="83"/>
      <c r="AR97" s="13">
        <f t="shared" si="46"/>
        <v>9.7000000000000003E-6</v>
      </c>
      <c r="AS97" s="13">
        <f t="shared" si="47"/>
        <v>0</v>
      </c>
      <c r="AT97" s="13"/>
      <c r="AU97" s="160">
        <v>102</v>
      </c>
      <c r="AV97" s="191">
        <f t="shared" si="57"/>
        <v>3.0899999999999999E-5</v>
      </c>
      <c r="AW97" s="160">
        <f t="shared" si="48"/>
        <v>0</v>
      </c>
      <c r="AX97" s="219">
        <f t="shared" si="49"/>
        <v>9.7000000000000003E-6</v>
      </c>
      <c r="AY97" s="13">
        <f t="shared" si="53"/>
        <v>0</v>
      </c>
      <c r="AZ97" s="160">
        <v>102</v>
      </c>
      <c r="BA97" s="77">
        <f t="shared" si="58"/>
        <v>2.9499999999999999E-5</v>
      </c>
      <c r="BB97" s="192">
        <f t="shared" si="50"/>
        <v>0</v>
      </c>
      <c r="BC97" s="219">
        <f t="shared" si="54"/>
        <v>9.7000000000000003E-6</v>
      </c>
      <c r="BD97" s="13">
        <f t="shared" si="55"/>
        <v>0</v>
      </c>
      <c r="BE97" s="160">
        <v>102</v>
      </c>
      <c r="BF97" s="77">
        <f t="shared" si="59"/>
        <v>2.9499999999999999E-5</v>
      </c>
      <c r="BG97" s="192">
        <f t="shared" si="51"/>
        <v>0</v>
      </c>
      <c r="BI97" s="120"/>
      <c r="BJ97" s="120"/>
      <c r="BK97" s="160"/>
      <c r="BL97" s="160"/>
      <c r="BM97" s="161" t="str">
        <f t="shared" si="61"/>
        <v/>
      </c>
      <c r="BN97" s="161" t="str">
        <f t="shared" si="62"/>
        <v/>
      </c>
      <c r="BO97" s="161" t="str">
        <f t="shared" si="63"/>
        <v/>
      </c>
      <c r="BP97" s="161" t="str">
        <f t="shared" si="64"/>
        <v/>
      </c>
      <c r="BQ97" s="161" t="str">
        <f t="shared" si="65"/>
        <v/>
      </c>
      <c r="BR97" s="161" t="str">
        <f t="shared" si="66"/>
        <v/>
      </c>
      <c r="BS97" s="161" t="str">
        <f t="shared" si="67"/>
        <v/>
      </c>
      <c r="BT97" s="161" t="str">
        <f t="shared" si="56"/>
        <v/>
      </c>
      <c r="BU97" s="161" t="str">
        <f t="shared" si="68"/>
        <v/>
      </c>
      <c r="BV97" s="161" t="str">
        <f t="shared" si="69"/>
        <v/>
      </c>
      <c r="BW97" s="161" t="str">
        <f t="shared" si="70"/>
        <v/>
      </c>
      <c r="BX97" s="161" t="str">
        <f t="shared" si="60"/>
        <v/>
      </c>
      <c r="BY97" s="148"/>
      <c r="BZ97" s="148"/>
      <c r="CA97" s="148"/>
      <c r="CB97" s="148" t="s">
        <v>149</v>
      </c>
      <c r="CC97" s="148" t="s">
        <v>230</v>
      </c>
    </row>
    <row r="98" spans="1:81" ht="14.25" customHeight="1" thickBot="1">
      <c r="A98" s="190">
        <v>88</v>
      </c>
      <c r="B98" s="79"/>
      <c r="C98" s="179"/>
      <c r="D98" s="137"/>
      <c r="E98" s="198"/>
      <c r="F98" s="199"/>
      <c r="G98" s="200"/>
      <c r="H98" s="200"/>
      <c r="I98" s="200"/>
      <c r="J98" s="200"/>
      <c r="K98" s="201">
        <f t="shared" si="52"/>
        <v>0</v>
      </c>
      <c r="L98" s="277"/>
      <c r="M98" s="278"/>
      <c r="N98" s="350"/>
      <c r="O98" s="341" t="s">
        <v>65</v>
      </c>
      <c r="P98" s="189"/>
      <c r="Q98" s="326"/>
      <c r="R98" s="326"/>
      <c r="S98" s="87"/>
      <c r="T98" s="207"/>
      <c r="U98" s="225">
        <f t="shared" si="44"/>
        <v>0</v>
      </c>
      <c r="V98" s="277"/>
      <c r="W98" s="278"/>
      <c r="X98" s="350"/>
      <c r="Y98" s="208" t="s">
        <v>147</v>
      </c>
      <c r="Z98" s="11"/>
      <c r="AA98" s="207"/>
      <c r="AB98" s="207"/>
      <c r="AC98" s="3"/>
      <c r="AD98" s="207"/>
      <c r="AE98" s="226">
        <f t="shared" si="45"/>
        <v>0</v>
      </c>
      <c r="AF98" s="11"/>
      <c r="AG98" s="3"/>
      <c r="AH98" s="359"/>
      <c r="AI98" s="96"/>
      <c r="AJ98" s="94"/>
      <c r="AK98" s="214"/>
      <c r="AL98" s="213"/>
      <c r="AM98" s="82"/>
      <c r="AN98" s="213"/>
      <c r="AO98" s="82"/>
      <c r="AP98" s="213"/>
      <c r="AQ98" s="82"/>
      <c r="AR98" s="13">
        <f t="shared" si="46"/>
        <v>9.7999999999999993E-6</v>
      </c>
      <c r="AS98" s="13">
        <f t="shared" si="47"/>
        <v>0</v>
      </c>
      <c r="AT98" s="13"/>
      <c r="AU98" s="160">
        <v>103</v>
      </c>
      <c r="AV98" s="191">
        <f t="shared" si="57"/>
        <v>3.0799999999999996E-5</v>
      </c>
      <c r="AW98" s="160">
        <f t="shared" si="48"/>
        <v>0</v>
      </c>
      <c r="AX98" s="219">
        <f t="shared" si="49"/>
        <v>9.7999999999999993E-6</v>
      </c>
      <c r="AY98" s="13">
        <f t="shared" si="53"/>
        <v>0</v>
      </c>
      <c r="AZ98" s="160">
        <v>103</v>
      </c>
      <c r="BA98" s="77">
        <f t="shared" si="58"/>
        <v>2.94E-5</v>
      </c>
      <c r="BB98" s="192">
        <f t="shared" si="50"/>
        <v>0</v>
      </c>
      <c r="BC98" s="219">
        <f t="shared" si="54"/>
        <v>9.7999999999999993E-6</v>
      </c>
      <c r="BD98" s="13">
        <f t="shared" si="55"/>
        <v>0</v>
      </c>
      <c r="BE98" s="160">
        <v>103</v>
      </c>
      <c r="BF98" s="77">
        <f t="shared" si="59"/>
        <v>2.94E-5</v>
      </c>
      <c r="BG98" s="192">
        <f t="shared" si="51"/>
        <v>0</v>
      </c>
      <c r="BI98" s="120"/>
      <c r="BJ98" s="120"/>
      <c r="BK98" s="160"/>
      <c r="BL98" s="160"/>
      <c r="BM98" s="161" t="str">
        <f t="shared" si="61"/>
        <v/>
      </c>
      <c r="BN98" s="161" t="str">
        <f t="shared" si="62"/>
        <v/>
      </c>
      <c r="BO98" s="161" t="str">
        <f t="shared" si="63"/>
        <v/>
      </c>
      <c r="BP98" s="161" t="str">
        <f t="shared" si="64"/>
        <v/>
      </c>
      <c r="BQ98" s="161" t="str">
        <f t="shared" si="65"/>
        <v/>
      </c>
      <c r="BR98" s="161" t="str">
        <f t="shared" si="66"/>
        <v/>
      </c>
      <c r="BS98" s="161" t="str">
        <f t="shared" si="67"/>
        <v/>
      </c>
      <c r="BT98" s="161" t="str">
        <f t="shared" si="56"/>
        <v/>
      </c>
      <c r="BU98" s="161" t="str">
        <f t="shared" si="68"/>
        <v/>
      </c>
      <c r="BV98" s="161" t="str">
        <f t="shared" si="69"/>
        <v/>
      </c>
      <c r="BW98" s="161" t="str">
        <f t="shared" si="70"/>
        <v/>
      </c>
      <c r="BX98" s="161" t="str">
        <f t="shared" si="60"/>
        <v/>
      </c>
      <c r="BY98" s="148"/>
      <c r="BZ98" s="148"/>
      <c r="CA98" s="148"/>
      <c r="CB98" s="148" t="s">
        <v>149</v>
      </c>
      <c r="CC98" s="148" t="s">
        <v>230</v>
      </c>
    </row>
    <row r="99" spans="1:81" ht="14.25" customHeight="1" thickBot="1">
      <c r="A99" s="190">
        <v>89</v>
      </c>
      <c r="B99" s="196"/>
      <c r="C99" s="180"/>
      <c r="D99" s="136"/>
      <c r="E99" s="91"/>
      <c r="F99" s="187"/>
      <c r="G99" s="188"/>
      <c r="H99" s="188"/>
      <c r="I99" s="188"/>
      <c r="J99" s="188"/>
      <c r="K99" s="18">
        <f t="shared" si="52"/>
        <v>0</v>
      </c>
      <c r="L99" s="279"/>
      <c r="M99" s="280"/>
      <c r="N99" s="351"/>
      <c r="O99" s="342" t="s">
        <v>65</v>
      </c>
      <c r="P99" s="187"/>
      <c r="Q99" s="188"/>
      <c r="R99" s="188"/>
      <c r="S99" s="119"/>
      <c r="T99" s="188"/>
      <c r="U99" s="211">
        <f t="shared" si="44"/>
        <v>0</v>
      </c>
      <c r="V99" s="279"/>
      <c r="W99" s="280"/>
      <c r="X99" s="351"/>
      <c r="Y99" s="209" t="s">
        <v>85</v>
      </c>
      <c r="Z99" s="71"/>
      <c r="AA99" s="321"/>
      <c r="AB99" s="321"/>
      <c r="AC99" s="322"/>
      <c r="AD99" s="188"/>
      <c r="AE99" s="18">
        <f t="shared" si="45"/>
        <v>0</v>
      </c>
      <c r="AF99" s="71"/>
      <c r="AG99" s="322"/>
      <c r="AH99" s="360"/>
      <c r="AI99" s="97"/>
      <c r="AJ99" s="194"/>
      <c r="AK99" s="193"/>
      <c r="AL99" s="205"/>
      <c r="AM99" s="197"/>
      <c r="AN99" s="205"/>
      <c r="AO99" s="197"/>
      <c r="AP99" s="205"/>
      <c r="AQ99" s="197"/>
      <c r="AR99" s="13">
        <f t="shared" si="46"/>
        <v>9.9000000000000001E-6</v>
      </c>
      <c r="AS99" s="13">
        <f t="shared" si="47"/>
        <v>0</v>
      </c>
      <c r="AT99" s="13"/>
      <c r="AU99" s="160">
        <v>104</v>
      </c>
      <c r="AV99" s="191">
        <f t="shared" si="57"/>
        <v>3.0700000000000001E-5</v>
      </c>
      <c r="AW99" s="160">
        <f t="shared" si="48"/>
        <v>0</v>
      </c>
      <c r="AX99" s="219">
        <f t="shared" si="49"/>
        <v>9.9000000000000001E-6</v>
      </c>
      <c r="AY99" s="13">
        <f t="shared" si="53"/>
        <v>0</v>
      </c>
      <c r="AZ99" s="160">
        <v>104</v>
      </c>
      <c r="BA99" s="77">
        <f t="shared" si="58"/>
        <v>2.9299999999999997E-5</v>
      </c>
      <c r="BB99" s="192">
        <f t="shared" si="50"/>
        <v>0</v>
      </c>
      <c r="BC99" s="219">
        <f t="shared" si="54"/>
        <v>9.9000000000000001E-6</v>
      </c>
      <c r="BD99" s="13">
        <f t="shared" si="55"/>
        <v>0</v>
      </c>
      <c r="BE99" s="160">
        <v>104</v>
      </c>
      <c r="BF99" s="77">
        <f t="shared" si="59"/>
        <v>2.9299999999999997E-5</v>
      </c>
      <c r="BG99" s="192">
        <f t="shared" si="51"/>
        <v>0</v>
      </c>
      <c r="BI99" s="120"/>
      <c r="BJ99" s="120"/>
      <c r="BK99" s="160"/>
      <c r="BL99" s="160"/>
      <c r="BM99" s="161" t="str">
        <f t="shared" si="61"/>
        <v/>
      </c>
      <c r="BN99" s="161" t="str">
        <f t="shared" si="62"/>
        <v/>
      </c>
      <c r="BO99" s="161" t="str">
        <f t="shared" si="63"/>
        <v/>
      </c>
      <c r="BP99" s="161" t="str">
        <f t="shared" si="64"/>
        <v/>
      </c>
      <c r="BQ99" s="161" t="str">
        <f t="shared" si="65"/>
        <v/>
      </c>
      <c r="BR99" s="161" t="str">
        <f t="shared" si="66"/>
        <v/>
      </c>
      <c r="BS99" s="161" t="str">
        <f t="shared" si="67"/>
        <v/>
      </c>
      <c r="BT99" s="161" t="str">
        <f t="shared" si="56"/>
        <v/>
      </c>
      <c r="BU99" s="161" t="str">
        <f t="shared" si="68"/>
        <v/>
      </c>
      <c r="BV99" s="161" t="str">
        <f t="shared" si="69"/>
        <v/>
      </c>
      <c r="BW99" s="161" t="str">
        <f t="shared" si="70"/>
        <v/>
      </c>
      <c r="BX99" s="161" t="str">
        <f t="shared" si="60"/>
        <v/>
      </c>
      <c r="BY99" s="148"/>
      <c r="BZ99" s="148"/>
      <c r="CA99" s="148"/>
      <c r="CB99" s="148" t="s">
        <v>149</v>
      </c>
      <c r="CC99" s="148" t="s">
        <v>230</v>
      </c>
    </row>
    <row r="100" spans="1:81" ht="14.25" customHeight="1" thickBot="1">
      <c r="A100" s="190">
        <v>90</v>
      </c>
      <c r="B100" s="78"/>
      <c r="C100" s="181"/>
      <c r="D100" s="86"/>
      <c r="E100" s="92"/>
      <c r="F100" s="88"/>
      <c r="G100" s="93"/>
      <c r="H100" s="93"/>
      <c r="I100" s="93"/>
      <c r="J100" s="93"/>
      <c r="K100" s="81">
        <f t="shared" si="52"/>
        <v>0</v>
      </c>
      <c r="L100" s="281"/>
      <c r="M100" s="282"/>
      <c r="N100" s="352"/>
      <c r="O100" s="343" t="s">
        <v>65</v>
      </c>
      <c r="P100" s="88"/>
      <c r="Q100" s="93"/>
      <c r="R100" s="93"/>
      <c r="S100" s="89"/>
      <c r="T100" s="93"/>
      <c r="U100" s="212">
        <f t="shared" si="44"/>
        <v>0</v>
      </c>
      <c r="V100" s="281"/>
      <c r="W100" s="282"/>
      <c r="X100" s="352"/>
      <c r="Y100" s="210" t="s">
        <v>85</v>
      </c>
      <c r="Z100" s="72"/>
      <c r="AA100" s="323"/>
      <c r="AB100" s="323"/>
      <c r="AC100" s="324"/>
      <c r="AD100" s="93"/>
      <c r="AE100" s="81">
        <f t="shared" si="45"/>
        <v>0</v>
      </c>
      <c r="AF100" s="72"/>
      <c r="AG100" s="324"/>
      <c r="AH100" s="361"/>
      <c r="AI100" s="98"/>
      <c r="AJ100" s="95"/>
      <c r="AK100" s="215"/>
      <c r="AL100" s="206"/>
      <c r="AM100" s="83"/>
      <c r="AN100" s="206"/>
      <c r="AO100" s="83"/>
      <c r="AP100" s="206"/>
      <c r="AQ100" s="83"/>
      <c r="AR100" s="13">
        <f t="shared" si="46"/>
        <v>9.9999999999999991E-6</v>
      </c>
      <c r="AS100" s="13">
        <f t="shared" si="47"/>
        <v>0</v>
      </c>
      <c r="AT100" s="13"/>
      <c r="AU100" s="160">
        <v>105</v>
      </c>
      <c r="AV100" s="191">
        <f t="shared" si="57"/>
        <v>3.0599999999999998E-5</v>
      </c>
      <c r="AW100" s="160">
        <f t="shared" si="48"/>
        <v>0</v>
      </c>
      <c r="AX100" s="219">
        <f t="shared" si="49"/>
        <v>9.9999999999999991E-6</v>
      </c>
      <c r="AY100" s="13">
        <f t="shared" si="53"/>
        <v>0</v>
      </c>
      <c r="AZ100" s="160">
        <v>105</v>
      </c>
      <c r="BA100" s="77">
        <f t="shared" si="58"/>
        <v>2.9199999999999998E-5</v>
      </c>
      <c r="BB100" s="192">
        <f t="shared" si="50"/>
        <v>0</v>
      </c>
      <c r="BC100" s="219">
        <f t="shared" si="54"/>
        <v>9.9999999999999991E-6</v>
      </c>
      <c r="BD100" s="13">
        <f t="shared" si="55"/>
        <v>0</v>
      </c>
      <c r="BE100" s="160">
        <v>105</v>
      </c>
      <c r="BF100" s="77">
        <f t="shared" si="59"/>
        <v>2.9199999999999998E-5</v>
      </c>
      <c r="BG100" s="192">
        <f t="shared" si="51"/>
        <v>0</v>
      </c>
      <c r="BI100" s="120"/>
      <c r="BJ100" s="120"/>
      <c r="BK100" s="160"/>
      <c r="BL100" s="160"/>
      <c r="BM100" s="161" t="str">
        <f t="shared" si="61"/>
        <v/>
      </c>
      <c r="BN100" s="161" t="str">
        <f t="shared" si="62"/>
        <v/>
      </c>
      <c r="BO100" s="161" t="str">
        <f t="shared" si="63"/>
        <v/>
      </c>
      <c r="BP100" s="161" t="str">
        <f t="shared" si="64"/>
        <v/>
      </c>
      <c r="BQ100" s="161" t="str">
        <f t="shared" si="65"/>
        <v/>
      </c>
      <c r="BR100" s="161" t="str">
        <f t="shared" si="66"/>
        <v/>
      </c>
      <c r="BS100" s="161" t="str">
        <f t="shared" si="67"/>
        <v/>
      </c>
      <c r="BT100" s="161" t="str">
        <f t="shared" si="56"/>
        <v/>
      </c>
      <c r="BU100" s="161" t="str">
        <f t="shared" si="68"/>
        <v/>
      </c>
      <c r="BV100" s="161" t="str">
        <f t="shared" si="69"/>
        <v/>
      </c>
      <c r="BW100" s="161" t="str">
        <f t="shared" si="70"/>
        <v/>
      </c>
      <c r="BX100" s="161" t="str">
        <f t="shared" si="60"/>
        <v/>
      </c>
      <c r="BY100" s="148"/>
      <c r="BZ100" s="148"/>
      <c r="CA100" s="148"/>
      <c r="CB100" s="148" t="s">
        <v>149</v>
      </c>
      <c r="CC100" s="148" t="s">
        <v>230</v>
      </c>
    </row>
    <row r="101" spans="1:81" ht="14.25" customHeight="1" thickBot="1">
      <c r="A101" s="190">
        <v>91</v>
      </c>
      <c r="B101" s="79"/>
      <c r="C101" s="179"/>
      <c r="D101" s="137"/>
      <c r="E101" s="198"/>
      <c r="F101" s="199"/>
      <c r="G101" s="200"/>
      <c r="H101" s="200"/>
      <c r="I101" s="200"/>
      <c r="J101" s="200"/>
      <c r="K101" s="201">
        <f t="shared" si="52"/>
        <v>0</v>
      </c>
      <c r="L101" s="277"/>
      <c r="M101" s="278"/>
      <c r="N101" s="350"/>
      <c r="O101" s="341" t="s">
        <v>65</v>
      </c>
      <c r="P101" s="189"/>
      <c r="Q101" s="326"/>
      <c r="R101" s="326"/>
      <c r="S101" s="87"/>
      <c r="T101" s="207"/>
      <c r="U101" s="225">
        <f t="shared" si="44"/>
        <v>0</v>
      </c>
      <c r="V101" s="277"/>
      <c r="W101" s="278"/>
      <c r="X101" s="350"/>
      <c r="Y101" s="208" t="s">
        <v>147</v>
      </c>
      <c r="Z101" s="11"/>
      <c r="AA101" s="207"/>
      <c r="AB101" s="207"/>
      <c r="AC101" s="3"/>
      <c r="AD101" s="207"/>
      <c r="AE101" s="226">
        <f t="shared" si="45"/>
        <v>0</v>
      </c>
      <c r="AF101" s="11"/>
      <c r="AG101" s="3"/>
      <c r="AH101" s="359"/>
      <c r="AI101" s="96"/>
      <c r="AJ101" s="94"/>
      <c r="AK101" s="214"/>
      <c r="AL101" s="213"/>
      <c r="AM101" s="82"/>
      <c r="AN101" s="213"/>
      <c r="AO101" s="82"/>
      <c r="AP101" s="213"/>
      <c r="AQ101" s="82"/>
      <c r="AR101" s="13">
        <f t="shared" si="46"/>
        <v>1.01E-5</v>
      </c>
      <c r="AS101" s="13">
        <f t="shared" si="47"/>
        <v>0</v>
      </c>
      <c r="AT101" s="13"/>
      <c r="AU101" s="160">
        <v>106</v>
      </c>
      <c r="AV101" s="191">
        <f t="shared" si="57"/>
        <v>3.0499999999999999E-5</v>
      </c>
      <c r="AW101" s="160">
        <f t="shared" si="48"/>
        <v>0</v>
      </c>
      <c r="AX101" s="219">
        <f t="shared" si="49"/>
        <v>1.01E-5</v>
      </c>
      <c r="AY101" s="13">
        <f t="shared" si="53"/>
        <v>0</v>
      </c>
      <c r="AZ101" s="160">
        <v>106</v>
      </c>
      <c r="BA101" s="77">
        <f t="shared" si="58"/>
        <v>2.9099999999999999E-5</v>
      </c>
      <c r="BB101" s="192">
        <f t="shared" si="50"/>
        <v>0</v>
      </c>
      <c r="BC101" s="219">
        <f t="shared" si="54"/>
        <v>1.01E-5</v>
      </c>
      <c r="BD101" s="13">
        <f t="shared" si="55"/>
        <v>0</v>
      </c>
      <c r="BE101" s="160">
        <v>106</v>
      </c>
      <c r="BF101" s="77">
        <f t="shared" si="59"/>
        <v>2.9099999999999999E-5</v>
      </c>
      <c r="BG101" s="192">
        <f t="shared" si="51"/>
        <v>0</v>
      </c>
      <c r="BI101" s="120"/>
      <c r="BJ101" s="120"/>
      <c r="BK101" s="160"/>
      <c r="BL101" s="160"/>
      <c r="BM101" s="161" t="str">
        <f t="shared" si="61"/>
        <v/>
      </c>
      <c r="BN101" s="161" t="str">
        <f t="shared" si="62"/>
        <v/>
      </c>
      <c r="BO101" s="161" t="str">
        <f t="shared" si="63"/>
        <v/>
      </c>
      <c r="BP101" s="161" t="str">
        <f t="shared" si="64"/>
        <v/>
      </c>
      <c r="BQ101" s="161" t="str">
        <f t="shared" si="65"/>
        <v/>
      </c>
      <c r="BR101" s="161" t="str">
        <f t="shared" si="66"/>
        <v/>
      </c>
      <c r="BS101" s="161" t="str">
        <f t="shared" si="67"/>
        <v/>
      </c>
      <c r="BT101" s="161" t="str">
        <f t="shared" si="56"/>
        <v/>
      </c>
      <c r="BU101" s="161" t="str">
        <f t="shared" si="68"/>
        <v/>
      </c>
      <c r="BV101" s="161" t="str">
        <f t="shared" si="69"/>
        <v/>
      </c>
      <c r="BW101" s="161" t="str">
        <f t="shared" si="70"/>
        <v/>
      </c>
      <c r="BX101" s="161" t="str">
        <f t="shared" si="60"/>
        <v/>
      </c>
      <c r="BY101" s="148"/>
      <c r="BZ101" s="148"/>
      <c r="CA101" s="148"/>
      <c r="CB101" s="148" t="s">
        <v>149</v>
      </c>
      <c r="CC101" s="148" t="s">
        <v>230</v>
      </c>
    </row>
    <row r="102" spans="1:81" ht="14.25" customHeight="1" thickBot="1">
      <c r="A102" s="190">
        <v>92</v>
      </c>
      <c r="B102" s="196"/>
      <c r="C102" s="180"/>
      <c r="D102" s="136"/>
      <c r="E102" s="91"/>
      <c r="F102" s="187"/>
      <c r="G102" s="188"/>
      <c r="H102" s="188"/>
      <c r="I102" s="188"/>
      <c r="J102" s="188"/>
      <c r="K102" s="18">
        <f t="shared" si="52"/>
        <v>0</v>
      </c>
      <c r="L102" s="279"/>
      <c r="M102" s="280"/>
      <c r="N102" s="351"/>
      <c r="O102" s="342" t="s">
        <v>65</v>
      </c>
      <c r="P102" s="187"/>
      <c r="Q102" s="188"/>
      <c r="R102" s="188"/>
      <c r="S102" s="119"/>
      <c r="T102" s="188"/>
      <c r="U102" s="211">
        <f t="shared" si="44"/>
        <v>0</v>
      </c>
      <c r="V102" s="279"/>
      <c r="W102" s="280"/>
      <c r="X102" s="351"/>
      <c r="Y102" s="209" t="s">
        <v>85</v>
      </c>
      <c r="Z102" s="71"/>
      <c r="AA102" s="321"/>
      <c r="AB102" s="321"/>
      <c r="AC102" s="322"/>
      <c r="AD102" s="188"/>
      <c r="AE102" s="18">
        <f t="shared" si="45"/>
        <v>0</v>
      </c>
      <c r="AF102" s="71"/>
      <c r="AG102" s="322"/>
      <c r="AH102" s="360"/>
      <c r="AI102" s="97"/>
      <c r="AJ102" s="194"/>
      <c r="AK102" s="193"/>
      <c r="AL102" s="205"/>
      <c r="AM102" s="197"/>
      <c r="AN102" s="205"/>
      <c r="AO102" s="197"/>
      <c r="AP102" s="205"/>
      <c r="AQ102" s="197"/>
      <c r="AR102" s="13">
        <f t="shared" si="46"/>
        <v>1.0199999999999999E-5</v>
      </c>
      <c r="AS102" s="13">
        <f t="shared" si="47"/>
        <v>0</v>
      </c>
      <c r="AT102" s="13"/>
      <c r="AU102" s="160">
        <v>107</v>
      </c>
      <c r="AV102" s="191">
        <f t="shared" si="57"/>
        <v>3.04E-5</v>
      </c>
      <c r="AW102" s="160">
        <f t="shared" si="48"/>
        <v>0</v>
      </c>
      <c r="AX102" s="219">
        <f t="shared" si="49"/>
        <v>1.0199999999999999E-5</v>
      </c>
      <c r="AY102" s="13">
        <f t="shared" si="53"/>
        <v>0</v>
      </c>
      <c r="AZ102" s="160">
        <v>107</v>
      </c>
      <c r="BA102" s="77">
        <f t="shared" si="58"/>
        <v>2.9E-5</v>
      </c>
      <c r="BB102" s="192">
        <f t="shared" si="50"/>
        <v>0</v>
      </c>
      <c r="BC102" s="219">
        <f t="shared" si="54"/>
        <v>1.0199999999999999E-5</v>
      </c>
      <c r="BD102" s="13">
        <f t="shared" si="55"/>
        <v>0</v>
      </c>
      <c r="BE102" s="160">
        <v>107</v>
      </c>
      <c r="BF102" s="77">
        <f t="shared" si="59"/>
        <v>2.9E-5</v>
      </c>
      <c r="BG102" s="192">
        <f t="shared" si="51"/>
        <v>0</v>
      </c>
      <c r="BI102" s="120"/>
      <c r="BJ102" s="120"/>
      <c r="BK102" s="160"/>
      <c r="BL102" s="160"/>
      <c r="BM102" s="161" t="str">
        <f t="shared" si="61"/>
        <v/>
      </c>
      <c r="BN102" s="161" t="str">
        <f t="shared" si="62"/>
        <v/>
      </c>
      <c r="BO102" s="161" t="str">
        <f t="shared" si="63"/>
        <v/>
      </c>
      <c r="BP102" s="161" t="str">
        <f t="shared" si="64"/>
        <v/>
      </c>
      <c r="BQ102" s="161" t="str">
        <f t="shared" si="65"/>
        <v/>
      </c>
      <c r="BR102" s="161" t="str">
        <f t="shared" si="66"/>
        <v/>
      </c>
      <c r="BS102" s="161" t="str">
        <f t="shared" si="67"/>
        <v/>
      </c>
      <c r="BT102" s="161" t="str">
        <f t="shared" si="56"/>
        <v/>
      </c>
      <c r="BU102" s="161" t="str">
        <f t="shared" si="68"/>
        <v/>
      </c>
      <c r="BV102" s="161" t="str">
        <f t="shared" si="69"/>
        <v/>
      </c>
      <c r="BW102" s="161" t="str">
        <f t="shared" si="70"/>
        <v/>
      </c>
      <c r="BX102" s="161" t="str">
        <f t="shared" si="60"/>
        <v/>
      </c>
      <c r="BY102" s="148"/>
      <c r="BZ102" s="148"/>
      <c r="CA102" s="148"/>
      <c r="CB102" s="148" t="s">
        <v>149</v>
      </c>
      <c r="CC102" s="148"/>
    </row>
    <row r="103" spans="1:81" ht="14.25" customHeight="1" thickBot="1">
      <c r="A103" s="190">
        <v>93</v>
      </c>
      <c r="B103" s="78"/>
      <c r="C103" s="181"/>
      <c r="D103" s="86"/>
      <c r="E103" s="92"/>
      <c r="F103" s="88"/>
      <c r="G103" s="93"/>
      <c r="H103" s="93"/>
      <c r="I103" s="93"/>
      <c r="J103" s="93"/>
      <c r="K103" s="81">
        <f t="shared" si="52"/>
        <v>0</v>
      </c>
      <c r="L103" s="281"/>
      <c r="M103" s="282"/>
      <c r="N103" s="352"/>
      <c r="O103" s="343" t="s">
        <v>65</v>
      </c>
      <c r="P103" s="88"/>
      <c r="Q103" s="93"/>
      <c r="R103" s="93"/>
      <c r="S103" s="89"/>
      <c r="T103" s="93"/>
      <c r="U103" s="212">
        <f t="shared" si="44"/>
        <v>0</v>
      </c>
      <c r="V103" s="281"/>
      <c r="W103" s="282"/>
      <c r="X103" s="352"/>
      <c r="Y103" s="210" t="s">
        <v>85</v>
      </c>
      <c r="Z103" s="72"/>
      <c r="AA103" s="323"/>
      <c r="AB103" s="323"/>
      <c r="AC103" s="324"/>
      <c r="AD103" s="93"/>
      <c r="AE103" s="81">
        <f t="shared" si="45"/>
        <v>0</v>
      </c>
      <c r="AF103" s="72"/>
      <c r="AG103" s="324"/>
      <c r="AH103" s="361"/>
      <c r="AI103" s="98"/>
      <c r="AJ103" s="95"/>
      <c r="AK103" s="215"/>
      <c r="AL103" s="206"/>
      <c r="AM103" s="83"/>
      <c r="AN103" s="206"/>
      <c r="AO103" s="83"/>
      <c r="AP103" s="206"/>
      <c r="AQ103" s="83"/>
      <c r="AR103" s="13">
        <f t="shared" si="46"/>
        <v>1.03E-5</v>
      </c>
      <c r="AS103" s="13">
        <f t="shared" si="47"/>
        <v>0</v>
      </c>
      <c r="AT103" s="13"/>
      <c r="AU103" s="160">
        <v>108</v>
      </c>
      <c r="AV103" s="191">
        <f t="shared" si="57"/>
        <v>3.0299999999999998E-5</v>
      </c>
      <c r="AW103" s="160">
        <f t="shared" si="48"/>
        <v>0</v>
      </c>
      <c r="AX103" s="219">
        <f t="shared" si="49"/>
        <v>1.03E-5</v>
      </c>
      <c r="AY103" s="13">
        <f t="shared" si="53"/>
        <v>0</v>
      </c>
      <c r="AZ103" s="160">
        <v>108</v>
      </c>
      <c r="BA103" s="77">
        <f t="shared" si="58"/>
        <v>2.8899999999999998E-5</v>
      </c>
      <c r="BB103" s="192">
        <f t="shared" si="50"/>
        <v>0</v>
      </c>
      <c r="BC103" s="219">
        <f t="shared" si="54"/>
        <v>1.03E-5</v>
      </c>
      <c r="BD103" s="13">
        <f t="shared" si="55"/>
        <v>0</v>
      </c>
      <c r="BE103" s="160">
        <v>108</v>
      </c>
      <c r="BF103" s="77">
        <f t="shared" si="59"/>
        <v>2.8899999999999998E-5</v>
      </c>
      <c r="BG103" s="192">
        <f t="shared" si="51"/>
        <v>0</v>
      </c>
      <c r="BI103" s="120"/>
      <c r="BJ103" s="120"/>
      <c r="BK103" s="160"/>
      <c r="BL103" s="160"/>
      <c r="BM103" s="161" t="str">
        <f t="shared" si="61"/>
        <v/>
      </c>
      <c r="BN103" s="161" t="str">
        <f t="shared" si="62"/>
        <v/>
      </c>
      <c r="BO103" s="161" t="str">
        <f t="shared" si="63"/>
        <v/>
      </c>
      <c r="BP103" s="161" t="str">
        <f t="shared" si="64"/>
        <v/>
      </c>
      <c r="BQ103" s="161" t="str">
        <f t="shared" si="65"/>
        <v/>
      </c>
      <c r="BR103" s="161" t="str">
        <f t="shared" si="66"/>
        <v/>
      </c>
      <c r="BS103" s="161" t="str">
        <f t="shared" si="67"/>
        <v/>
      </c>
      <c r="BT103" s="161" t="str">
        <f t="shared" si="56"/>
        <v/>
      </c>
      <c r="BU103" s="161" t="str">
        <f t="shared" si="68"/>
        <v/>
      </c>
      <c r="BV103" s="161" t="str">
        <f t="shared" si="69"/>
        <v/>
      </c>
      <c r="BW103" s="161" t="str">
        <f t="shared" si="70"/>
        <v/>
      </c>
      <c r="BX103" s="161" t="str">
        <f t="shared" si="60"/>
        <v/>
      </c>
      <c r="BY103" s="148"/>
      <c r="BZ103" s="148"/>
      <c r="CA103" s="148"/>
      <c r="CB103" s="148" t="s">
        <v>149</v>
      </c>
      <c r="CC103" s="148"/>
    </row>
    <row r="104" spans="1:81" ht="14.25" customHeight="1" thickBot="1">
      <c r="A104" s="190">
        <v>94</v>
      </c>
      <c r="B104" s="79"/>
      <c r="C104" s="179"/>
      <c r="D104" s="137"/>
      <c r="E104" s="198"/>
      <c r="F104" s="199"/>
      <c r="G104" s="200"/>
      <c r="H104" s="200"/>
      <c r="I104" s="200"/>
      <c r="J104" s="200"/>
      <c r="K104" s="201">
        <f t="shared" si="52"/>
        <v>0</v>
      </c>
      <c r="L104" s="277"/>
      <c r="M104" s="278"/>
      <c r="N104" s="350"/>
      <c r="O104" s="341" t="s">
        <v>65</v>
      </c>
      <c r="P104" s="189"/>
      <c r="Q104" s="326"/>
      <c r="R104" s="326"/>
      <c r="S104" s="87"/>
      <c r="T104" s="207"/>
      <c r="U104" s="225">
        <f t="shared" si="44"/>
        <v>0</v>
      </c>
      <c r="V104" s="277"/>
      <c r="W104" s="278"/>
      <c r="X104" s="350"/>
      <c r="Y104" s="208" t="s">
        <v>147</v>
      </c>
      <c r="Z104" s="11"/>
      <c r="AA104" s="207"/>
      <c r="AB104" s="207"/>
      <c r="AC104" s="3"/>
      <c r="AD104" s="207"/>
      <c r="AE104" s="226">
        <f t="shared" si="45"/>
        <v>0</v>
      </c>
      <c r="AF104" s="11"/>
      <c r="AG104" s="3"/>
      <c r="AH104" s="359"/>
      <c r="AI104" s="96"/>
      <c r="AJ104" s="94"/>
      <c r="AK104" s="214"/>
      <c r="AL104" s="213"/>
      <c r="AM104" s="82"/>
      <c r="AN104" s="213"/>
      <c r="AO104" s="82"/>
      <c r="AP104" s="213"/>
      <c r="AQ104" s="82"/>
      <c r="AR104" s="13">
        <f t="shared" si="46"/>
        <v>1.0399999999999999E-5</v>
      </c>
      <c r="AS104" s="13">
        <f t="shared" si="47"/>
        <v>0</v>
      </c>
      <c r="AT104" s="13"/>
      <c r="AU104" s="160">
        <v>109</v>
      </c>
      <c r="AV104" s="191">
        <f t="shared" si="57"/>
        <v>3.0199999999999999E-5</v>
      </c>
      <c r="AW104" s="160">
        <f t="shared" si="48"/>
        <v>0</v>
      </c>
      <c r="AX104" s="219">
        <f t="shared" si="49"/>
        <v>1.0399999999999999E-5</v>
      </c>
      <c r="AY104" s="13">
        <f t="shared" si="53"/>
        <v>0</v>
      </c>
      <c r="AZ104" s="160">
        <v>109</v>
      </c>
      <c r="BA104" s="77">
        <f t="shared" si="58"/>
        <v>2.8799999999999999E-5</v>
      </c>
      <c r="BB104" s="192">
        <f t="shared" si="50"/>
        <v>0</v>
      </c>
      <c r="BC104" s="219">
        <f t="shared" si="54"/>
        <v>1.0399999999999999E-5</v>
      </c>
      <c r="BD104" s="13">
        <f t="shared" si="55"/>
        <v>0</v>
      </c>
      <c r="BE104" s="160">
        <v>109</v>
      </c>
      <c r="BF104" s="77">
        <f t="shared" si="59"/>
        <v>2.8799999999999999E-5</v>
      </c>
      <c r="BG104" s="192">
        <f t="shared" si="51"/>
        <v>0</v>
      </c>
      <c r="BI104" s="120"/>
      <c r="BJ104" s="120"/>
      <c r="BK104" s="160"/>
      <c r="BL104" s="160"/>
      <c r="BM104" s="161" t="str">
        <f t="shared" si="61"/>
        <v/>
      </c>
      <c r="BN104" s="161" t="str">
        <f t="shared" si="62"/>
        <v/>
      </c>
      <c r="BO104" s="161" t="str">
        <f t="shared" si="63"/>
        <v/>
      </c>
      <c r="BP104" s="161" t="str">
        <f t="shared" si="64"/>
        <v/>
      </c>
      <c r="BQ104" s="161" t="str">
        <f t="shared" si="65"/>
        <v/>
      </c>
      <c r="BR104" s="161" t="str">
        <f t="shared" si="66"/>
        <v/>
      </c>
      <c r="BS104" s="161" t="str">
        <f t="shared" si="67"/>
        <v/>
      </c>
      <c r="BT104" s="161" t="str">
        <f t="shared" si="56"/>
        <v/>
      </c>
      <c r="BU104" s="161" t="str">
        <f t="shared" si="68"/>
        <v/>
      </c>
      <c r="BV104" s="161" t="str">
        <f t="shared" si="69"/>
        <v/>
      </c>
      <c r="BW104" s="161" t="str">
        <f t="shared" si="70"/>
        <v/>
      </c>
      <c r="BX104" s="161" t="str">
        <f t="shared" si="60"/>
        <v/>
      </c>
      <c r="BY104" s="148"/>
      <c r="BZ104" s="148"/>
      <c r="CA104" s="148"/>
      <c r="CB104" s="148" t="s">
        <v>149</v>
      </c>
      <c r="CC104" s="148"/>
    </row>
    <row r="105" spans="1:81" ht="14.25" customHeight="1" thickBot="1">
      <c r="A105" s="190">
        <v>95</v>
      </c>
      <c r="B105" s="196"/>
      <c r="C105" s="180"/>
      <c r="D105" s="136"/>
      <c r="E105" s="91"/>
      <c r="F105" s="187"/>
      <c r="G105" s="188"/>
      <c r="H105" s="188"/>
      <c r="I105" s="188"/>
      <c r="J105" s="188"/>
      <c r="K105" s="18">
        <f t="shared" si="52"/>
        <v>0</v>
      </c>
      <c r="L105" s="279"/>
      <c r="M105" s="280"/>
      <c r="N105" s="351"/>
      <c r="O105" s="342" t="s">
        <v>65</v>
      </c>
      <c r="P105" s="187"/>
      <c r="Q105" s="188"/>
      <c r="R105" s="188"/>
      <c r="S105" s="119"/>
      <c r="T105" s="188"/>
      <c r="U105" s="211">
        <f t="shared" si="44"/>
        <v>0</v>
      </c>
      <c r="V105" s="279"/>
      <c r="W105" s="280"/>
      <c r="X105" s="351"/>
      <c r="Y105" s="209" t="s">
        <v>85</v>
      </c>
      <c r="Z105" s="71"/>
      <c r="AA105" s="321"/>
      <c r="AB105" s="321"/>
      <c r="AC105" s="322"/>
      <c r="AD105" s="188"/>
      <c r="AE105" s="18">
        <f t="shared" si="45"/>
        <v>0</v>
      </c>
      <c r="AF105" s="71"/>
      <c r="AG105" s="322"/>
      <c r="AH105" s="360"/>
      <c r="AI105" s="97"/>
      <c r="AJ105" s="194"/>
      <c r="AK105" s="193"/>
      <c r="AL105" s="205"/>
      <c r="AM105" s="197"/>
      <c r="AN105" s="205"/>
      <c r="AO105" s="197"/>
      <c r="AP105" s="205"/>
      <c r="AQ105" s="197"/>
      <c r="AR105" s="13">
        <f t="shared" si="46"/>
        <v>1.0499999999999999E-5</v>
      </c>
      <c r="AS105" s="13">
        <f t="shared" si="47"/>
        <v>0</v>
      </c>
      <c r="AT105" s="13"/>
      <c r="AU105" s="160">
        <v>110</v>
      </c>
      <c r="AV105" s="191">
        <f t="shared" si="57"/>
        <v>3.01E-5</v>
      </c>
      <c r="AW105" s="160">
        <f t="shared" si="48"/>
        <v>0</v>
      </c>
      <c r="AX105" s="219">
        <f t="shared" si="49"/>
        <v>1.0499999999999999E-5</v>
      </c>
      <c r="AY105" s="13">
        <f t="shared" si="53"/>
        <v>0</v>
      </c>
      <c r="AZ105" s="160">
        <v>110</v>
      </c>
      <c r="BA105" s="77">
        <f t="shared" si="58"/>
        <v>2.87E-5</v>
      </c>
      <c r="BB105" s="192">
        <f t="shared" si="50"/>
        <v>0</v>
      </c>
      <c r="BC105" s="219">
        <f t="shared" si="54"/>
        <v>1.0499999999999999E-5</v>
      </c>
      <c r="BD105" s="13">
        <f t="shared" si="55"/>
        <v>0</v>
      </c>
      <c r="BE105" s="160">
        <v>110</v>
      </c>
      <c r="BF105" s="77">
        <f t="shared" si="59"/>
        <v>2.87E-5</v>
      </c>
      <c r="BG105" s="192">
        <f t="shared" si="51"/>
        <v>0</v>
      </c>
      <c r="BI105" s="120"/>
      <c r="BJ105" s="120"/>
      <c r="BK105" s="160"/>
      <c r="BL105" s="160"/>
      <c r="BM105" s="161" t="str">
        <f t="shared" si="61"/>
        <v/>
      </c>
      <c r="BN105" s="161" t="str">
        <f t="shared" si="62"/>
        <v/>
      </c>
      <c r="BO105" s="161" t="str">
        <f t="shared" si="63"/>
        <v/>
      </c>
      <c r="BP105" s="161" t="str">
        <f t="shared" si="64"/>
        <v/>
      </c>
      <c r="BQ105" s="161" t="str">
        <f t="shared" si="65"/>
        <v/>
      </c>
      <c r="BR105" s="161" t="str">
        <f t="shared" si="66"/>
        <v/>
      </c>
      <c r="BS105" s="161" t="str">
        <f t="shared" si="67"/>
        <v/>
      </c>
      <c r="BT105" s="161" t="str">
        <f t="shared" si="56"/>
        <v/>
      </c>
      <c r="BU105" s="161" t="str">
        <f t="shared" si="68"/>
        <v/>
      </c>
      <c r="BV105" s="161" t="str">
        <f t="shared" si="69"/>
        <v/>
      </c>
      <c r="BW105" s="161" t="str">
        <f t="shared" si="70"/>
        <v/>
      </c>
      <c r="BX105" s="161" t="str">
        <f t="shared" si="60"/>
        <v/>
      </c>
      <c r="BY105" s="148"/>
      <c r="BZ105" s="148"/>
      <c r="CA105" s="148"/>
      <c r="CB105" s="148" t="s">
        <v>149</v>
      </c>
      <c r="CC105" s="148"/>
    </row>
    <row r="106" spans="1:81" ht="14.25" customHeight="1" thickBot="1">
      <c r="A106" s="190">
        <v>96</v>
      </c>
      <c r="B106" s="78"/>
      <c r="C106" s="181"/>
      <c r="D106" s="86"/>
      <c r="E106" s="92"/>
      <c r="F106" s="88"/>
      <c r="G106" s="93"/>
      <c r="H106" s="93"/>
      <c r="I106" s="93"/>
      <c r="J106" s="93"/>
      <c r="K106" s="81">
        <f t="shared" si="52"/>
        <v>0</v>
      </c>
      <c r="L106" s="281"/>
      <c r="M106" s="282"/>
      <c r="N106" s="352"/>
      <c r="O106" s="343" t="s">
        <v>65</v>
      </c>
      <c r="P106" s="88"/>
      <c r="Q106" s="93"/>
      <c r="R106" s="93"/>
      <c r="S106" s="89"/>
      <c r="T106" s="93"/>
      <c r="U106" s="212">
        <f t="shared" si="44"/>
        <v>0</v>
      </c>
      <c r="V106" s="281"/>
      <c r="W106" s="282"/>
      <c r="X106" s="352"/>
      <c r="Y106" s="210" t="s">
        <v>85</v>
      </c>
      <c r="Z106" s="72"/>
      <c r="AA106" s="323"/>
      <c r="AB106" s="323"/>
      <c r="AC106" s="324"/>
      <c r="AD106" s="93"/>
      <c r="AE106" s="81">
        <f t="shared" si="45"/>
        <v>0</v>
      </c>
      <c r="AF106" s="72"/>
      <c r="AG106" s="324"/>
      <c r="AH106" s="361"/>
      <c r="AI106" s="98"/>
      <c r="AJ106" s="95"/>
      <c r="AK106" s="215"/>
      <c r="AL106" s="206"/>
      <c r="AM106" s="83"/>
      <c r="AN106" s="206"/>
      <c r="AO106" s="83"/>
      <c r="AP106" s="206"/>
      <c r="AQ106" s="83"/>
      <c r="AR106" s="13">
        <f t="shared" si="46"/>
        <v>1.06E-5</v>
      </c>
      <c r="AS106" s="13">
        <f t="shared" si="47"/>
        <v>0</v>
      </c>
      <c r="AT106" s="13"/>
      <c r="AU106" s="160">
        <v>111</v>
      </c>
      <c r="AV106" s="191">
        <f t="shared" si="57"/>
        <v>2.9999999999999997E-5</v>
      </c>
      <c r="AW106" s="160">
        <f t="shared" si="48"/>
        <v>0</v>
      </c>
      <c r="AX106" s="219">
        <f t="shared" si="49"/>
        <v>1.06E-5</v>
      </c>
      <c r="AY106" s="13">
        <f t="shared" si="53"/>
        <v>0</v>
      </c>
      <c r="AZ106" s="160">
        <v>111</v>
      </c>
      <c r="BA106" s="77">
        <f t="shared" si="58"/>
        <v>2.8599999999999997E-5</v>
      </c>
      <c r="BB106" s="192">
        <f t="shared" si="50"/>
        <v>0</v>
      </c>
      <c r="BC106" s="219">
        <f t="shared" si="54"/>
        <v>1.06E-5</v>
      </c>
      <c r="BD106" s="13">
        <f t="shared" si="55"/>
        <v>0</v>
      </c>
      <c r="BE106" s="160">
        <v>111</v>
      </c>
      <c r="BF106" s="77">
        <f t="shared" si="59"/>
        <v>2.8599999999999997E-5</v>
      </c>
      <c r="BG106" s="192">
        <f t="shared" si="51"/>
        <v>0</v>
      </c>
      <c r="BI106" s="120"/>
      <c r="BJ106" s="120"/>
      <c r="BK106" s="160"/>
      <c r="BL106" s="160"/>
      <c r="BM106" s="161" t="str">
        <f t="shared" si="61"/>
        <v/>
      </c>
      <c r="BN106" s="161" t="str">
        <f t="shared" si="62"/>
        <v/>
      </c>
      <c r="BO106" s="161" t="str">
        <f t="shared" si="63"/>
        <v/>
      </c>
      <c r="BP106" s="161" t="str">
        <f t="shared" si="64"/>
        <v/>
      </c>
      <c r="BQ106" s="161" t="str">
        <f t="shared" si="65"/>
        <v/>
      </c>
      <c r="BR106" s="161" t="str">
        <f t="shared" si="66"/>
        <v/>
      </c>
      <c r="BS106" s="161" t="str">
        <f t="shared" si="67"/>
        <v/>
      </c>
      <c r="BT106" s="161" t="str">
        <f t="shared" si="56"/>
        <v/>
      </c>
      <c r="BU106" s="161" t="str">
        <f t="shared" si="68"/>
        <v/>
      </c>
      <c r="BV106" s="161" t="str">
        <f t="shared" si="69"/>
        <v/>
      </c>
      <c r="BW106" s="161" t="str">
        <f t="shared" si="70"/>
        <v/>
      </c>
      <c r="BX106" s="161" t="str">
        <f t="shared" si="60"/>
        <v/>
      </c>
      <c r="BY106" s="148"/>
      <c r="BZ106" s="148"/>
      <c r="CA106" s="148"/>
      <c r="CB106" s="148" t="s">
        <v>149</v>
      </c>
      <c r="CC106" s="148"/>
    </row>
    <row r="107" spans="1:81" ht="14.25" customHeight="1" thickBot="1">
      <c r="A107" s="190">
        <v>97</v>
      </c>
      <c r="B107" s="79"/>
      <c r="C107" s="179"/>
      <c r="D107" s="137"/>
      <c r="E107" s="198"/>
      <c r="F107" s="199"/>
      <c r="G107" s="200"/>
      <c r="H107" s="200"/>
      <c r="I107" s="200"/>
      <c r="J107" s="200"/>
      <c r="K107" s="201">
        <f t="shared" si="52"/>
        <v>0</v>
      </c>
      <c r="L107" s="277"/>
      <c r="M107" s="278"/>
      <c r="N107" s="350"/>
      <c r="O107" s="341" t="s">
        <v>65</v>
      </c>
      <c r="P107" s="189"/>
      <c r="Q107" s="326"/>
      <c r="R107" s="326"/>
      <c r="S107" s="87"/>
      <c r="T107" s="207"/>
      <c r="U107" s="225">
        <f t="shared" si="44"/>
        <v>0</v>
      </c>
      <c r="V107" s="277"/>
      <c r="W107" s="278"/>
      <c r="X107" s="350"/>
      <c r="Y107" s="208" t="s">
        <v>147</v>
      </c>
      <c r="Z107" s="11"/>
      <c r="AA107" s="207"/>
      <c r="AB107" s="207"/>
      <c r="AC107" s="3"/>
      <c r="AD107" s="207"/>
      <c r="AE107" s="226">
        <f t="shared" si="45"/>
        <v>0</v>
      </c>
      <c r="AF107" s="11"/>
      <c r="AG107" s="3"/>
      <c r="AH107" s="359"/>
      <c r="AI107" s="96"/>
      <c r="AJ107" s="94"/>
      <c r="AK107" s="214"/>
      <c r="AL107" s="213"/>
      <c r="AM107" s="82"/>
      <c r="AN107" s="213"/>
      <c r="AO107" s="82"/>
      <c r="AP107" s="213"/>
      <c r="AQ107" s="82"/>
      <c r="AR107" s="13">
        <f t="shared" si="46"/>
        <v>1.0699999999999999E-5</v>
      </c>
      <c r="AS107" s="13">
        <f t="shared" si="47"/>
        <v>0</v>
      </c>
      <c r="AT107" s="13"/>
      <c r="AU107" s="160">
        <v>112</v>
      </c>
      <c r="AV107" s="191">
        <f t="shared" si="57"/>
        <v>2.9899999999999998E-5</v>
      </c>
      <c r="AW107" s="160">
        <f t="shared" si="48"/>
        <v>0</v>
      </c>
      <c r="AX107" s="219">
        <f t="shared" si="49"/>
        <v>1.0699999999999999E-5</v>
      </c>
      <c r="AY107" s="13">
        <f t="shared" si="53"/>
        <v>0</v>
      </c>
      <c r="AZ107" s="160">
        <v>112</v>
      </c>
      <c r="BA107" s="77">
        <f t="shared" si="58"/>
        <v>2.8499999999999998E-5</v>
      </c>
      <c r="BB107" s="192">
        <f t="shared" si="50"/>
        <v>0</v>
      </c>
      <c r="BC107" s="219">
        <f t="shared" si="54"/>
        <v>1.0699999999999999E-5</v>
      </c>
      <c r="BD107" s="13">
        <f t="shared" si="55"/>
        <v>0</v>
      </c>
      <c r="BE107" s="160">
        <v>112</v>
      </c>
      <c r="BF107" s="77">
        <f t="shared" si="59"/>
        <v>2.8499999999999998E-5</v>
      </c>
      <c r="BG107" s="192">
        <f t="shared" si="51"/>
        <v>0</v>
      </c>
      <c r="BI107" s="120"/>
      <c r="BJ107" s="120"/>
      <c r="BK107" s="160"/>
      <c r="BL107" s="160"/>
      <c r="BM107" s="161" t="str">
        <f t="shared" si="61"/>
        <v/>
      </c>
      <c r="BN107" s="161" t="str">
        <f t="shared" si="62"/>
        <v/>
      </c>
      <c r="BO107" s="161" t="str">
        <f t="shared" si="63"/>
        <v/>
      </c>
      <c r="BP107" s="161" t="str">
        <f t="shared" si="64"/>
        <v/>
      </c>
      <c r="BQ107" s="161" t="str">
        <f t="shared" si="65"/>
        <v/>
      </c>
      <c r="BR107" s="161" t="str">
        <f t="shared" si="66"/>
        <v/>
      </c>
      <c r="BS107" s="161" t="str">
        <f t="shared" si="67"/>
        <v/>
      </c>
      <c r="BT107" s="161" t="str">
        <f t="shared" si="56"/>
        <v/>
      </c>
      <c r="BU107" s="161" t="str">
        <f t="shared" si="68"/>
        <v/>
      </c>
      <c r="BV107" s="161" t="str">
        <f t="shared" si="69"/>
        <v/>
      </c>
      <c r="BW107" s="161" t="str">
        <f t="shared" si="70"/>
        <v/>
      </c>
      <c r="BX107" s="161" t="str">
        <f t="shared" si="60"/>
        <v/>
      </c>
      <c r="BY107" s="148"/>
      <c r="BZ107" s="148"/>
      <c r="CA107" s="148"/>
      <c r="CB107" s="148" t="s">
        <v>149</v>
      </c>
      <c r="CC107" s="148"/>
    </row>
    <row r="108" spans="1:81" ht="14.25" customHeight="1" thickBot="1">
      <c r="A108" s="190">
        <v>98</v>
      </c>
      <c r="B108" s="196"/>
      <c r="C108" s="180"/>
      <c r="D108" s="136"/>
      <c r="E108" s="91"/>
      <c r="F108" s="187"/>
      <c r="G108" s="188"/>
      <c r="H108" s="188"/>
      <c r="I108" s="188"/>
      <c r="J108" s="188"/>
      <c r="K108" s="18">
        <f t="shared" si="52"/>
        <v>0</v>
      </c>
      <c r="L108" s="279"/>
      <c r="M108" s="280"/>
      <c r="N108" s="351"/>
      <c r="O108" s="342" t="s">
        <v>65</v>
      </c>
      <c r="P108" s="187"/>
      <c r="Q108" s="188"/>
      <c r="R108" s="188"/>
      <c r="S108" s="119"/>
      <c r="T108" s="188"/>
      <c r="U108" s="211">
        <f t="shared" si="44"/>
        <v>0</v>
      </c>
      <c r="V108" s="279"/>
      <c r="W108" s="280"/>
      <c r="X108" s="351"/>
      <c r="Y108" s="209" t="s">
        <v>85</v>
      </c>
      <c r="Z108" s="71"/>
      <c r="AA108" s="321"/>
      <c r="AB108" s="321"/>
      <c r="AC108" s="322"/>
      <c r="AD108" s="188"/>
      <c r="AE108" s="18">
        <f t="shared" si="45"/>
        <v>0</v>
      </c>
      <c r="AF108" s="71"/>
      <c r="AG108" s="322"/>
      <c r="AH108" s="360"/>
      <c r="AI108" s="97"/>
      <c r="AJ108" s="194"/>
      <c r="AK108" s="193"/>
      <c r="AL108" s="205"/>
      <c r="AM108" s="197"/>
      <c r="AN108" s="205"/>
      <c r="AO108" s="197"/>
      <c r="AP108" s="205"/>
      <c r="AQ108" s="197"/>
      <c r="AR108" s="13">
        <f t="shared" si="46"/>
        <v>1.08E-5</v>
      </c>
      <c r="AS108" s="13">
        <f t="shared" si="47"/>
        <v>0</v>
      </c>
      <c r="AT108" s="13"/>
      <c r="AU108" s="160">
        <v>113</v>
      </c>
      <c r="AV108" s="191">
        <f t="shared" si="57"/>
        <v>2.9799999999999999E-5</v>
      </c>
      <c r="AW108" s="160">
        <f t="shared" si="48"/>
        <v>0</v>
      </c>
      <c r="AX108" s="219">
        <f t="shared" si="49"/>
        <v>1.08E-5</v>
      </c>
      <c r="AY108" s="13">
        <f t="shared" si="53"/>
        <v>0</v>
      </c>
      <c r="AZ108" s="160">
        <v>113</v>
      </c>
      <c r="BA108" s="77">
        <f t="shared" si="58"/>
        <v>2.8399999999999999E-5</v>
      </c>
      <c r="BB108" s="192">
        <f t="shared" si="50"/>
        <v>0</v>
      </c>
      <c r="BC108" s="219">
        <f t="shared" si="54"/>
        <v>1.08E-5</v>
      </c>
      <c r="BD108" s="13">
        <f t="shared" si="55"/>
        <v>0</v>
      </c>
      <c r="BE108" s="160">
        <v>113</v>
      </c>
      <c r="BF108" s="77">
        <f t="shared" si="59"/>
        <v>2.8399999999999999E-5</v>
      </c>
      <c r="BG108" s="192">
        <f t="shared" si="51"/>
        <v>0</v>
      </c>
      <c r="BI108" s="120"/>
      <c r="BJ108" s="120"/>
      <c r="BK108" s="160"/>
      <c r="BL108" s="160"/>
      <c r="BM108" s="161" t="str">
        <f t="shared" si="61"/>
        <v/>
      </c>
      <c r="BN108" s="161" t="str">
        <f t="shared" si="62"/>
        <v/>
      </c>
      <c r="BO108" s="161" t="str">
        <f t="shared" si="63"/>
        <v/>
      </c>
      <c r="BP108" s="161" t="str">
        <f t="shared" si="64"/>
        <v/>
      </c>
      <c r="BQ108" s="161" t="str">
        <f t="shared" si="65"/>
        <v/>
      </c>
      <c r="BR108" s="161" t="str">
        <f t="shared" si="66"/>
        <v/>
      </c>
      <c r="BS108" s="161" t="str">
        <f t="shared" si="67"/>
        <v/>
      </c>
      <c r="BT108" s="161" t="str">
        <f t="shared" si="56"/>
        <v/>
      </c>
      <c r="BU108" s="161" t="str">
        <f t="shared" si="68"/>
        <v/>
      </c>
      <c r="BV108" s="161" t="str">
        <f t="shared" si="69"/>
        <v/>
      </c>
      <c r="BW108" s="161" t="str">
        <f t="shared" si="70"/>
        <v/>
      </c>
      <c r="BX108" s="161" t="str">
        <f t="shared" si="60"/>
        <v/>
      </c>
      <c r="BY108" s="148"/>
      <c r="BZ108" s="148"/>
      <c r="CA108" s="148"/>
      <c r="CB108" s="148" t="s">
        <v>149</v>
      </c>
      <c r="CC108" s="148"/>
    </row>
    <row r="109" spans="1:81" ht="14.25" customHeight="1" thickBot="1">
      <c r="A109" s="190">
        <v>99</v>
      </c>
      <c r="B109" s="78"/>
      <c r="C109" s="181"/>
      <c r="D109" s="86"/>
      <c r="E109" s="92"/>
      <c r="F109" s="88"/>
      <c r="G109" s="93"/>
      <c r="H109" s="93"/>
      <c r="I109" s="93"/>
      <c r="J109" s="93"/>
      <c r="K109" s="81">
        <f t="shared" si="52"/>
        <v>0</v>
      </c>
      <c r="L109" s="281"/>
      <c r="M109" s="282"/>
      <c r="N109" s="352"/>
      <c r="O109" s="343" t="s">
        <v>65</v>
      </c>
      <c r="P109" s="88"/>
      <c r="Q109" s="93"/>
      <c r="R109" s="93"/>
      <c r="S109" s="89"/>
      <c r="T109" s="93"/>
      <c r="U109" s="212">
        <f t="shared" si="44"/>
        <v>0</v>
      </c>
      <c r="V109" s="281"/>
      <c r="W109" s="282"/>
      <c r="X109" s="352"/>
      <c r="Y109" s="210" t="s">
        <v>85</v>
      </c>
      <c r="Z109" s="72"/>
      <c r="AA109" s="323"/>
      <c r="AB109" s="323"/>
      <c r="AC109" s="324"/>
      <c r="AD109" s="93"/>
      <c r="AE109" s="81">
        <f t="shared" si="45"/>
        <v>0</v>
      </c>
      <c r="AF109" s="72"/>
      <c r="AG109" s="324"/>
      <c r="AH109" s="361"/>
      <c r="AI109" s="98"/>
      <c r="AJ109" s="95"/>
      <c r="AK109" s="215"/>
      <c r="AL109" s="206"/>
      <c r="AM109" s="83"/>
      <c r="AN109" s="206"/>
      <c r="AO109" s="83"/>
      <c r="AP109" s="206"/>
      <c r="AQ109" s="83"/>
      <c r="AR109" s="13">
        <f t="shared" si="46"/>
        <v>1.0899999999999999E-5</v>
      </c>
      <c r="AS109" s="13">
        <f t="shared" si="47"/>
        <v>0</v>
      </c>
      <c r="AT109" s="13"/>
      <c r="AU109" s="160">
        <v>114</v>
      </c>
      <c r="AV109" s="191">
        <f t="shared" si="57"/>
        <v>2.97E-5</v>
      </c>
      <c r="AW109" s="160">
        <f t="shared" si="48"/>
        <v>0</v>
      </c>
      <c r="AX109" s="219">
        <f t="shared" si="49"/>
        <v>1.0899999999999999E-5</v>
      </c>
      <c r="AY109" s="13">
        <f t="shared" si="53"/>
        <v>0</v>
      </c>
      <c r="AZ109" s="160">
        <v>114</v>
      </c>
      <c r="BA109" s="77">
        <f t="shared" si="58"/>
        <v>2.83E-5</v>
      </c>
      <c r="BB109" s="192">
        <f t="shared" si="50"/>
        <v>0</v>
      </c>
      <c r="BC109" s="219">
        <f t="shared" si="54"/>
        <v>1.0899999999999999E-5</v>
      </c>
      <c r="BD109" s="13">
        <f t="shared" si="55"/>
        <v>0</v>
      </c>
      <c r="BE109" s="160">
        <v>114</v>
      </c>
      <c r="BF109" s="77">
        <f t="shared" si="59"/>
        <v>2.83E-5</v>
      </c>
      <c r="BG109" s="192">
        <f t="shared" si="51"/>
        <v>0</v>
      </c>
      <c r="BI109" s="120"/>
      <c r="BJ109" s="120"/>
      <c r="BK109" s="160"/>
      <c r="BL109" s="160"/>
      <c r="BM109" s="161" t="str">
        <f t="shared" si="61"/>
        <v/>
      </c>
      <c r="BN109" s="161" t="str">
        <f t="shared" si="62"/>
        <v/>
      </c>
      <c r="BO109" s="161" t="str">
        <f t="shared" si="63"/>
        <v/>
      </c>
      <c r="BP109" s="161" t="str">
        <f t="shared" si="64"/>
        <v/>
      </c>
      <c r="BQ109" s="161" t="str">
        <f t="shared" si="65"/>
        <v/>
      </c>
      <c r="BR109" s="161" t="str">
        <f t="shared" si="66"/>
        <v/>
      </c>
      <c r="BS109" s="161" t="str">
        <f t="shared" si="67"/>
        <v/>
      </c>
      <c r="BT109" s="161" t="str">
        <f t="shared" si="56"/>
        <v/>
      </c>
      <c r="BU109" s="161" t="str">
        <f t="shared" si="68"/>
        <v/>
      </c>
      <c r="BV109" s="161" t="str">
        <f t="shared" si="69"/>
        <v/>
      </c>
      <c r="BW109" s="161" t="str">
        <f t="shared" si="70"/>
        <v/>
      </c>
      <c r="BX109" s="161" t="str">
        <f t="shared" si="60"/>
        <v/>
      </c>
      <c r="BY109" s="148"/>
      <c r="BZ109" s="148"/>
      <c r="CA109" s="148"/>
      <c r="CB109" s="148" t="s">
        <v>149</v>
      </c>
      <c r="CC109" s="148"/>
    </row>
    <row r="110" spans="1:81" ht="14.25" customHeight="1" thickBot="1">
      <c r="A110" s="190">
        <v>100</v>
      </c>
      <c r="B110" s="79"/>
      <c r="C110" s="179"/>
      <c r="D110" s="137"/>
      <c r="E110" s="198"/>
      <c r="F110" s="199"/>
      <c r="G110" s="200"/>
      <c r="H110" s="200"/>
      <c r="I110" s="200"/>
      <c r="J110" s="200"/>
      <c r="K110" s="201">
        <f t="shared" si="52"/>
        <v>0</v>
      </c>
      <c r="L110" s="277"/>
      <c r="M110" s="278"/>
      <c r="N110" s="350"/>
      <c r="O110" s="341" t="s">
        <v>65</v>
      </c>
      <c r="P110" s="189"/>
      <c r="Q110" s="326"/>
      <c r="R110" s="326"/>
      <c r="S110" s="87"/>
      <c r="T110" s="207"/>
      <c r="U110" s="225">
        <f t="shared" si="44"/>
        <v>0</v>
      </c>
      <c r="V110" s="277"/>
      <c r="W110" s="278"/>
      <c r="X110" s="350"/>
      <c r="Y110" s="208" t="s">
        <v>147</v>
      </c>
      <c r="Z110" s="11"/>
      <c r="AA110" s="207"/>
      <c r="AB110" s="207"/>
      <c r="AC110" s="3"/>
      <c r="AD110" s="207"/>
      <c r="AE110" s="226">
        <f t="shared" si="45"/>
        <v>0</v>
      </c>
      <c r="AF110" s="11"/>
      <c r="AG110" s="3"/>
      <c r="AH110" s="359"/>
      <c r="AI110" s="96"/>
      <c r="AJ110" s="94"/>
      <c r="AK110" s="214"/>
      <c r="AL110" s="213"/>
      <c r="AM110" s="82"/>
      <c r="AN110" s="213"/>
      <c r="AO110" s="82"/>
      <c r="AP110" s="213"/>
      <c r="AQ110" s="82"/>
      <c r="AR110" s="13">
        <f t="shared" si="46"/>
        <v>1.1E-5</v>
      </c>
      <c r="AS110" s="13">
        <f t="shared" si="47"/>
        <v>0</v>
      </c>
      <c r="AT110" s="13"/>
      <c r="AU110" s="160">
        <v>115</v>
      </c>
      <c r="AV110" s="191">
        <f t="shared" si="57"/>
        <v>2.9599999999999998E-5</v>
      </c>
      <c r="AW110" s="160">
        <f t="shared" si="48"/>
        <v>0</v>
      </c>
      <c r="AX110" s="219">
        <f t="shared" si="49"/>
        <v>1.1E-5</v>
      </c>
      <c r="AY110" s="13">
        <f t="shared" si="53"/>
        <v>0</v>
      </c>
      <c r="AZ110" s="160">
        <v>115</v>
      </c>
      <c r="BA110" s="77">
        <f t="shared" si="58"/>
        <v>2.8199999999999998E-5</v>
      </c>
      <c r="BB110" s="192">
        <f t="shared" si="50"/>
        <v>0</v>
      </c>
      <c r="BC110" s="219">
        <f t="shared" si="54"/>
        <v>1.1E-5</v>
      </c>
      <c r="BD110" s="13">
        <f t="shared" si="55"/>
        <v>0</v>
      </c>
      <c r="BE110" s="160">
        <v>115</v>
      </c>
      <c r="BF110" s="77">
        <f t="shared" si="59"/>
        <v>2.8199999999999998E-5</v>
      </c>
      <c r="BG110" s="192">
        <f t="shared" si="51"/>
        <v>0</v>
      </c>
      <c r="BI110" s="120"/>
      <c r="BJ110" s="120"/>
      <c r="BK110" s="160"/>
      <c r="BL110" s="160"/>
      <c r="BM110" s="161" t="str">
        <f t="shared" si="61"/>
        <v/>
      </c>
      <c r="BN110" s="161" t="str">
        <f t="shared" si="62"/>
        <v/>
      </c>
      <c r="BO110" s="161" t="str">
        <f t="shared" si="63"/>
        <v/>
      </c>
      <c r="BP110" s="161" t="str">
        <f t="shared" si="64"/>
        <v/>
      </c>
      <c r="BQ110" s="161" t="str">
        <f t="shared" si="65"/>
        <v/>
      </c>
      <c r="BR110" s="161" t="str">
        <f t="shared" si="66"/>
        <v/>
      </c>
      <c r="BS110" s="161" t="str">
        <f t="shared" si="67"/>
        <v/>
      </c>
      <c r="BT110" s="161" t="str">
        <f t="shared" si="56"/>
        <v/>
      </c>
      <c r="BU110" s="161" t="str">
        <f t="shared" si="68"/>
        <v/>
      </c>
      <c r="BV110" s="161" t="str">
        <f t="shared" si="69"/>
        <v/>
      </c>
      <c r="BW110" s="161" t="str">
        <f t="shared" si="70"/>
        <v/>
      </c>
      <c r="BX110" s="161" t="str">
        <f t="shared" si="60"/>
        <v/>
      </c>
      <c r="BY110" s="148"/>
      <c r="BZ110" s="148"/>
      <c r="CA110" s="148"/>
      <c r="CB110" s="148" t="s">
        <v>149</v>
      </c>
      <c r="CC110" s="148"/>
    </row>
    <row r="111" spans="1:81" ht="14.25" customHeight="1" thickBot="1">
      <c r="A111" s="190">
        <v>101</v>
      </c>
      <c r="B111" s="196"/>
      <c r="C111" s="180"/>
      <c r="D111" s="136"/>
      <c r="E111" s="91"/>
      <c r="F111" s="187"/>
      <c r="G111" s="188"/>
      <c r="H111" s="188"/>
      <c r="I111" s="188"/>
      <c r="J111" s="188"/>
      <c r="K111" s="18">
        <f t="shared" si="52"/>
        <v>0</v>
      </c>
      <c r="L111" s="279"/>
      <c r="M111" s="280"/>
      <c r="N111" s="351"/>
      <c r="O111" s="342" t="s">
        <v>65</v>
      </c>
      <c r="P111" s="187"/>
      <c r="Q111" s="188"/>
      <c r="R111" s="188"/>
      <c r="S111" s="119"/>
      <c r="T111" s="188"/>
      <c r="U111" s="211">
        <f t="shared" si="44"/>
        <v>0</v>
      </c>
      <c r="V111" s="279"/>
      <c r="W111" s="280"/>
      <c r="X111" s="351"/>
      <c r="Y111" s="209" t="s">
        <v>85</v>
      </c>
      <c r="Z111" s="71"/>
      <c r="AA111" s="321"/>
      <c r="AB111" s="321"/>
      <c r="AC111" s="322"/>
      <c r="AD111" s="188"/>
      <c r="AE111" s="18">
        <f t="shared" si="45"/>
        <v>0</v>
      </c>
      <c r="AF111" s="71"/>
      <c r="AG111" s="322"/>
      <c r="AH111" s="360"/>
      <c r="AI111" s="97"/>
      <c r="AJ111" s="194"/>
      <c r="AK111" s="193"/>
      <c r="AL111" s="205"/>
      <c r="AM111" s="197"/>
      <c r="AN111" s="205"/>
      <c r="AO111" s="197"/>
      <c r="AP111" s="205"/>
      <c r="AQ111" s="197"/>
      <c r="AR111" s="13">
        <f t="shared" si="46"/>
        <v>1.1099999999999999E-5</v>
      </c>
      <c r="AS111" s="13">
        <f t="shared" si="47"/>
        <v>0</v>
      </c>
      <c r="AT111" s="13"/>
      <c r="AU111" s="160">
        <v>116</v>
      </c>
      <c r="AV111" s="191">
        <f t="shared" si="57"/>
        <v>2.9499999999999999E-5</v>
      </c>
      <c r="AW111" s="160">
        <f t="shared" si="48"/>
        <v>0</v>
      </c>
      <c r="AX111" s="219">
        <f t="shared" si="49"/>
        <v>1.1099999999999999E-5</v>
      </c>
      <c r="AY111" s="13">
        <f t="shared" si="53"/>
        <v>0</v>
      </c>
      <c r="AZ111" s="160">
        <v>116</v>
      </c>
      <c r="BA111" s="77">
        <f t="shared" si="58"/>
        <v>2.8099999999999999E-5</v>
      </c>
      <c r="BB111" s="192">
        <f t="shared" si="50"/>
        <v>0</v>
      </c>
      <c r="BC111" s="219">
        <f t="shared" si="54"/>
        <v>1.1099999999999999E-5</v>
      </c>
      <c r="BD111" s="13">
        <f t="shared" si="55"/>
        <v>0</v>
      </c>
      <c r="BE111" s="160">
        <v>116</v>
      </c>
      <c r="BF111" s="77">
        <f t="shared" si="59"/>
        <v>2.8099999999999999E-5</v>
      </c>
      <c r="BG111" s="192">
        <f t="shared" si="51"/>
        <v>0</v>
      </c>
      <c r="BI111" s="120"/>
      <c r="BJ111" s="120"/>
      <c r="BK111" s="160"/>
      <c r="BL111" s="160"/>
      <c r="BM111" s="161" t="str">
        <f t="shared" si="61"/>
        <v/>
      </c>
      <c r="BN111" s="161" t="str">
        <f t="shared" si="62"/>
        <v/>
      </c>
      <c r="BO111" s="161" t="str">
        <f t="shared" si="63"/>
        <v/>
      </c>
      <c r="BP111" s="161" t="str">
        <f t="shared" si="64"/>
        <v/>
      </c>
      <c r="BQ111" s="161" t="str">
        <f t="shared" si="65"/>
        <v/>
      </c>
      <c r="BR111" s="161" t="str">
        <f t="shared" si="66"/>
        <v/>
      </c>
      <c r="BS111" s="161" t="str">
        <f t="shared" si="67"/>
        <v/>
      </c>
      <c r="BT111" s="161" t="str">
        <f t="shared" si="56"/>
        <v/>
      </c>
      <c r="BU111" s="161" t="str">
        <f t="shared" si="68"/>
        <v/>
      </c>
      <c r="BV111" s="161" t="str">
        <f t="shared" si="69"/>
        <v/>
      </c>
      <c r="BW111" s="161" t="str">
        <f t="shared" si="70"/>
        <v/>
      </c>
      <c r="BX111" s="161" t="str">
        <f t="shared" si="60"/>
        <v/>
      </c>
      <c r="BY111" s="148"/>
      <c r="BZ111" s="148"/>
      <c r="CA111" s="148"/>
      <c r="CB111" s="148" t="s">
        <v>149</v>
      </c>
      <c r="CC111" s="148"/>
    </row>
    <row r="112" spans="1:81" ht="14.25" customHeight="1" thickBot="1">
      <c r="A112" s="190">
        <v>102</v>
      </c>
      <c r="B112" s="78"/>
      <c r="C112" s="181"/>
      <c r="D112" s="86"/>
      <c r="E112" s="92"/>
      <c r="F112" s="88"/>
      <c r="G112" s="93"/>
      <c r="H112" s="93"/>
      <c r="I112" s="93"/>
      <c r="J112" s="93"/>
      <c r="K112" s="81">
        <f t="shared" si="52"/>
        <v>0</v>
      </c>
      <c r="L112" s="281"/>
      <c r="M112" s="282"/>
      <c r="N112" s="352"/>
      <c r="O112" s="343" t="s">
        <v>65</v>
      </c>
      <c r="P112" s="88"/>
      <c r="Q112" s="93"/>
      <c r="R112" s="93"/>
      <c r="S112" s="89"/>
      <c r="T112" s="93"/>
      <c r="U112" s="212">
        <f t="shared" si="44"/>
        <v>0</v>
      </c>
      <c r="V112" s="281"/>
      <c r="W112" s="282"/>
      <c r="X112" s="352"/>
      <c r="Y112" s="210" t="s">
        <v>85</v>
      </c>
      <c r="Z112" s="72"/>
      <c r="AA112" s="323"/>
      <c r="AB112" s="323"/>
      <c r="AC112" s="324"/>
      <c r="AD112" s="93"/>
      <c r="AE112" s="81">
        <f t="shared" si="45"/>
        <v>0</v>
      </c>
      <c r="AF112" s="72"/>
      <c r="AG112" s="324"/>
      <c r="AH112" s="361"/>
      <c r="AI112" s="98"/>
      <c r="AJ112" s="95"/>
      <c r="AK112" s="215"/>
      <c r="AL112" s="206"/>
      <c r="AM112" s="83"/>
      <c r="AN112" s="206"/>
      <c r="AO112" s="83"/>
      <c r="AP112" s="206"/>
      <c r="AQ112" s="83"/>
      <c r="AR112" s="13">
        <f t="shared" si="46"/>
        <v>1.1199999999999999E-5</v>
      </c>
      <c r="AS112" s="13">
        <f t="shared" si="47"/>
        <v>0</v>
      </c>
      <c r="AT112" s="13"/>
      <c r="AU112" s="160">
        <v>117</v>
      </c>
      <c r="AV112" s="191">
        <f t="shared" si="57"/>
        <v>2.94E-5</v>
      </c>
      <c r="AW112" s="160">
        <f t="shared" si="48"/>
        <v>0</v>
      </c>
      <c r="AX112" s="219">
        <f t="shared" si="49"/>
        <v>1.1199999999999999E-5</v>
      </c>
      <c r="AY112" s="13">
        <f t="shared" si="53"/>
        <v>0</v>
      </c>
      <c r="AZ112" s="160">
        <v>117</v>
      </c>
      <c r="BA112" s="77">
        <f t="shared" si="58"/>
        <v>2.8E-5</v>
      </c>
      <c r="BB112" s="192">
        <f t="shared" si="50"/>
        <v>0</v>
      </c>
      <c r="BC112" s="219">
        <f t="shared" si="54"/>
        <v>1.1199999999999999E-5</v>
      </c>
      <c r="BD112" s="13">
        <f t="shared" si="55"/>
        <v>0</v>
      </c>
      <c r="BE112" s="160">
        <v>117</v>
      </c>
      <c r="BF112" s="77">
        <f t="shared" si="59"/>
        <v>2.8E-5</v>
      </c>
      <c r="BG112" s="192">
        <f t="shared" si="51"/>
        <v>0</v>
      </c>
      <c r="BI112" s="120"/>
      <c r="BJ112" s="120"/>
      <c r="BK112" s="160"/>
      <c r="BL112" s="160"/>
      <c r="BM112" s="161" t="str">
        <f t="shared" si="61"/>
        <v/>
      </c>
      <c r="BN112" s="161" t="str">
        <f t="shared" si="62"/>
        <v/>
      </c>
      <c r="BO112" s="161" t="str">
        <f t="shared" si="63"/>
        <v/>
      </c>
      <c r="BP112" s="161" t="str">
        <f t="shared" si="64"/>
        <v/>
      </c>
      <c r="BQ112" s="161" t="str">
        <f t="shared" si="65"/>
        <v/>
      </c>
      <c r="BR112" s="161" t="str">
        <f t="shared" si="66"/>
        <v/>
      </c>
      <c r="BS112" s="161" t="str">
        <f t="shared" si="67"/>
        <v/>
      </c>
      <c r="BT112" s="161" t="str">
        <f t="shared" si="56"/>
        <v/>
      </c>
      <c r="BU112" s="161" t="str">
        <f t="shared" si="68"/>
        <v/>
      </c>
      <c r="BV112" s="161" t="str">
        <f t="shared" si="69"/>
        <v/>
      </c>
      <c r="BW112" s="161" t="str">
        <f t="shared" si="70"/>
        <v/>
      </c>
      <c r="BX112" s="161" t="str">
        <f t="shared" si="60"/>
        <v/>
      </c>
      <c r="BY112" s="148"/>
      <c r="BZ112" s="148"/>
      <c r="CA112" s="148"/>
      <c r="CB112" s="148" t="s">
        <v>149</v>
      </c>
      <c r="CC112" s="148"/>
    </row>
    <row r="113" spans="1:81" ht="14.25" customHeight="1" thickBot="1">
      <c r="A113" s="190">
        <v>103</v>
      </c>
      <c r="B113" s="79"/>
      <c r="C113" s="179"/>
      <c r="D113" s="137"/>
      <c r="E113" s="198"/>
      <c r="F113" s="199"/>
      <c r="G113" s="200"/>
      <c r="H113" s="200"/>
      <c r="I113" s="200"/>
      <c r="J113" s="200"/>
      <c r="K113" s="201">
        <f t="shared" si="52"/>
        <v>0</v>
      </c>
      <c r="L113" s="277"/>
      <c r="M113" s="278"/>
      <c r="N113" s="350"/>
      <c r="O113" s="341" t="s">
        <v>65</v>
      </c>
      <c r="P113" s="189"/>
      <c r="Q113" s="326"/>
      <c r="R113" s="326"/>
      <c r="S113" s="87"/>
      <c r="T113" s="207"/>
      <c r="U113" s="225">
        <f t="shared" si="44"/>
        <v>0</v>
      </c>
      <c r="V113" s="277"/>
      <c r="W113" s="278"/>
      <c r="X113" s="350"/>
      <c r="Y113" s="208" t="s">
        <v>147</v>
      </c>
      <c r="Z113" s="11"/>
      <c r="AA113" s="207"/>
      <c r="AB113" s="207"/>
      <c r="AC113" s="3"/>
      <c r="AD113" s="207"/>
      <c r="AE113" s="226">
        <f t="shared" si="45"/>
        <v>0</v>
      </c>
      <c r="AF113" s="11"/>
      <c r="AG113" s="3"/>
      <c r="AH113" s="359"/>
      <c r="AI113" s="96"/>
      <c r="AJ113" s="94"/>
      <c r="AK113" s="214"/>
      <c r="AL113" s="213"/>
      <c r="AM113" s="82"/>
      <c r="AN113" s="213"/>
      <c r="AO113" s="82"/>
      <c r="AP113" s="213"/>
      <c r="AQ113" s="82"/>
      <c r="AR113" s="13">
        <f t="shared" si="46"/>
        <v>1.13E-5</v>
      </c>
      <c r="AS113" s="13">
        <f t="shared" si="47"/>
        <v>0</v>
      </c>
      <c r="AT113" s="13"/>
      <c r="AU113" s="160">
        <v>118</v>
      </c>
      <c r="AV113" s="191">
        <f t="shared" si="57"/>
        <v>2.9299999999999997E-5</v>
      </c>
      <c r="AW113" s="160">
        <f t="shared" si="48"/>
        <v>0</v>
      </c>
      <c r="AX113" s="219">
        <f t="shared" si="49"/>
        <v>1.13E-5</v>
      </c>
      <c r="AY113" s="13">
        <f t="shared" si="53"/>
        <v>0</v>
      </c>
      <c r="AZ113" s="160">
        <v>118</v>
      </c>
      <c r="BA113" s="77">
        <f t="shared" si="58"/>
        <v>2.7899999999999997E-5</v>
      </c>
      <c r="BB113" s="192">
        <f t="shared" si="50"/>
        <v>0</v>
      </c>
      <c r="BC113" s="219">
        <f t="shared" si="54"/>
        <v>1.13E-5</v>
      </c>
      <c r="BD113" s="13">
        <f t="shared" si="55"/>
        <v>0</v>
      </c>
      <c r="BE113" s="160">
        <v>118</v>
      </c>
      <c r="BF113" s="77">
        <f t="shared" si="59"/>
        <v>2.7899999999999997E-5</v>
      </c>
      <c r="BG113" s="192">
        <f t="shared" si="51"/>
        <v>0</v>
      </c>
      <c r="BI113" s="120"/>
      <c r="BJ113" s="120"/>
      <c r="BK113" s="160"/>
      <c r="BL113" s="160"/>
      <c r="BM113" s="161" t="str">
        <f t="shared" si="61"/>
        <v/>
      </c>
      <c r="BN113" s="161" t="str">
        <f t="shared" si="62"/>
        <v/>
      </c>
      <c r="BO113" s="161" t="str">
        <f t="shared" si="63"/>
        <v/>
      </c>
      <c r="BP113" s="161" t="str">
        <f t="shared" si="64"/>
        <v/>
      </c>
      <c r="BQ113" s="161" t="str">
        <f t="shared" si="65"/>
        <v/>
      </c>
      <c r="BR113" s="161" t="str">
        <f t="shared" si="66"/>
        <v/>
      </c>
      <c r="BS113" s="161" t="str">
        <f t="shared" si="67"/>
        <v/>
      </c>
      <c r="BT113" s="161" t="str">
        <f t="shared" si="56"/>
        <v/>
      </c>
      <c r="BU113" s="161" t="str">
        <f t="shared" si="68"/>
        <v/>
      </c>
      <c r="BV113" s="161" t="str">
        <f t="shared" si="69"/>
        <v/>
      </c>
      <c r="BW113" s="161" t="str">
        <f t="shared" si="70"/>
        <v/>
      </c>
      <c r="BX113" s="161" t="str">
        <f t="shared" si="60"/>
        <v/>
      </c>
      <c r="BY113" s="148"/>
      <c r="BZ113" s="148"/>
      <c r="CA113" s="148"/>
      <c r="CB113" s="148" t="s">
        <v>149</v>
      </c>
      <c r="CC113" s="148"/>
    </row>
    <row r="114" spans="1:81" ht="14.25" customHeight="1" thickBot="1">
      <c r="A114" s="190">
        <v>104</v>
      </c>
      <c r="B114" s="196"/>
      <c r="C114" s="180"/>
      <c r="D114" s="136"/>
      <c r="E114" s="91"/>
      <c r="F114" s="187"/>
      <c r="G114" s="188"/>
      <c r="H114" s="188"/>
      <c r="I114" s="188"/>
      <c r="J114" s="188"/>
      <c r="K114" s="18">
        <f t="shared" si="52"/>
        <v>0</v>
      </c>
      <c r="L114" s="279"/>
      <c r="M114" s="280"/>
      <c r="N114" s="351"/>
      <c r="O114" s="342" t="s">
        <v>65</v>
      </c>
      <c r="P114" s="187"/>
      <c r="Q114" s="188"/>
      <c r="R114" s="188"/>
      <c r="S114" s="119"/>
      <c r="T114" s="188"/>
      <c r="U114" s="211">
        <f t="shared" si="44"/>
        <v>0</v>
      </c>
      <c r="V114" s="279"/>
      <c r="W114" s="280"/>
      <c r="X114" s="351"/>
      <c r="Y114" s="209" t="s">
        <v>85</v>
      </c>
      <c r="Z114" s="71"/>
      <c r="AA114" s="321"/>
      <c r="AB114" s="321"/>
      <c r="AC114" s="322"/>
      <c r="AD114" s="188"/>
      <c r="AE114" s="18">
        <f t="shared" si="45"/>
        <v>0</v>
      </c>
      <c r="AF114" s="71"/>
      <c r="AG114" s="322"/>
      <c r="AH114" s="360"/>
      <c r="AI114" s="97"/>
      <c r="AJ114" s="194"/>
      <c r="AK114" s="193"/>
      <c r="AL114" s="205"/>
      <c r="AM114" s="197"/>
      <c r="AN114" s="205"/>
      <c r="AO114" s="197"/>
      <c r="AP114" s="205"/>
      <c r="AQ114" s="197"/>
      <c r="AR114" s="13">
        <f t="shared" si="46"/>
        <v>1.1399999999999999E-5</v>
      </c>
      <c r="AS114" s="13">
        <f t="shared" si="47"/>
        <v>0</v>
      </c>
      <c r="AT114" s="13"/>
      <c r="AU114" s="160">
        <v>119</v>
      </c>
      <c r="AV114" s="191">
        <f t="shared" si="57"/>
        <v>2.9199999999999998E-5</v>
      </c>
      <c r="AW114" s="160">
        <f t="shared" si="48"/>
        <v>0</v>
      </c>
      <c r="AX114" s="219">
        <f t="shared" si="49"/>
        <v>1.1399999999999999E-5</v>
      </c>
      <c r="AY114" s="13">
        <f t="shared" si="53"/>
        <v>0</v>
      </c>
      <c r="AZ114" s="160">
        <v>119</v>
      </c>
      <c r="BA114" s="77">
        <f t="shared" si="58"/>
        <v>2.7799999999999998E-5</v>
      </c>
      <c r="BB114" s="192">
        <f t="shared" si="50"/>
        <v>0</v>
      </c>
      <c r="BC114" s="219">
        <f t="shared" si="54"/>
        <v>1.1399999999999999E-5</v>
      </c>
      <c r="BD114" s="13">
        <f t="shared" si="55"/>
        <v>0</v>
      </c>
      <c r="BE114" s="160">
        <v>119</v>
      </c>
      <c r="BF114" s="77">
        <f t="shared" si="59"/>
        <v>2.7799999999999998E-5</v>
      </c>
      <c r="BG114" s="192">
        <f t="shared" si="51"/>
        <v>0</v>
      </c>
      <c r="BI114" s="120"/>
      <c r="BJ114" s="120"/>
      <c r="BK114" s="160"/>
      <c r="BL114" s="160"/>
      <c r="BM114" s="161" t="str">
        <f t="shared" si="61"/>
        <v/>
      </c>
      <c r="BN114" s="161" t="str">
        <f t="shared" si="62"/>
        <v/>
      </c>
      <c r="BO114" s="161" t="str">
        <f t="shared" si="63"/>
        <v/>
      </c>
      <c r="BP114" s="161" t="str">
        <f t="shared" si="64"/>
        <v/>
      </c>
      <c r="BQ114" s="161" t="str">
        <f t="shared" si="65"/>
        <v/>
      </c>
      <c r="BR114" s="161" t="str">
        <f t="shared" si="66"/>
        <v/>
      </c>
      <c r="BS114" s="161" t="str">
        <f t="shared" si="67"/>
        <v/>
      </c>
      <c r="BT114" s="161" t="str">
        <f t="shared" si="56"/>
        <v/>
      </c>
      <c r="BU114" s="161" t="str">
        <f t="shared" si="68"/>
        <v/>
      </c>
      <c r="BV114" s="161" t="str">
        <f t="shared" si="69"/>
        <v/>
      </c>
      <c r="BW114" s="161" t="str">
        <f t="shared" si="70"/>
        <v/>
      </c>
      <c r="BX114" s="161" t="str">
        <f t="shared" si="60"/>
        <v/>
      </c>
      <c r="BY114" s="148"/>
      <c r="BZ114" s="148"/>
      <c r="CA114" s="148"/>
      <c r="CB114" s="148" t="s">
        <v>149</v>
      </c>
      <c r="CC114" s="148"/>
    </row>
    <row r="115" spans="1:81" ht="14.25" customHeight="1" thickBot="1">
      <c r="A115" s="190">
        <v>105</v>
      </c>
      <c r="B115" s="78"/>
      <c r="C115" s="181"/>
      <c r="D115" s="86"/>
      <c r="E115" s="92"/>
      <c r="F115" s="88"/>
      <c r="G115" s="93"/>
      <c r="H115" s="93"/>
      <c r="I115" s="93"/>
      <c r="J115" s="93"/>
      <c r="K115" s="81">
        <f t="shared" si="52"/>
        <v>0</v>
      </c>
      <c r="L115" s="281"/>
      <c r="M115" s="282"/>
      <c r="N115" s="352"/>
      <c r="O115" s="343" t="s">
        <v>65</v>
      </c>
      <c r="P115" s="88"/>
      <c r="Q115" s="93"/>
      <c r="R115" s="93"/>
      <c r="S115" s="89"/>
      <c r="T115" s="93"/>
      <c r="U115" s="212">
        <f t="shared" si="44"/>
        <v>0</v>
      </c>
      <c r="V115" s="281"/>
      <c r="W115" s="282"/>
      <c r="X115" s="352"/>
      <c r="Y115" s="210" t="s">
        <v>85</v>
      </c>
      <c r="Z115" s="72"/>
      <c r="AA115" s="323"/>
      <c r="AB115" s="323"/>
      <c r="AC115" s="324"/>
      <c r="AD115" s="93"/>
      <c r="AE115" s="81">
        <f t="shared" si="45"/>
        <v>0</v>
      </c>
      <c r="AF115" s="72"/>
      <c r="AG115" s="324"/>
      <c r="AH115" s="361"/>
      <c r="AI115" s="98"/>
      <c r="AJ115" s="95"/>
      <c r="AK115" s="215"/>
      <c r="AL115" s="206"/>
      <c r="AM115" s="83"/>
      <c r="AN115" s="206"/>
      <c r="AO115" s="83"/>
      <c r="AP115" s="206"/>
      <c r="AQ115" s="83"/>
      <c r="AR115" s="13">
        <f t="shared" si="46"/>
        <v>1.15E-5</v>
      </c>
      <c r="AS115" s="13">
        <f t="shared" si="47"/>
        <v>0</v>
      </c>
      <c r="AT115" s="13"/>
      <c r="AU115" s="160">
        <v>120</v>
      </c>
      <c r="AV115" s="191">
        <f t="shared" si="57"/>
        <v>2.9099999999999999E-5</v>
      </c>
      <c r="AW115" s="160">
        <f t="shared" si="48"/>
        <v>0</v>
      </c>
      <c r="AX115" s="219">
        <f t="shared" si="49"/>
        <v>1.15E-5</v>
      </c>
      <c r="AY115" s="13">
        <f t="shared" si="53"/>
        <v>0</v>
      </c>
      <c r="AZ115" s="160">
        <v>120</v>
      </c>
      <c r="BA115" s="77">
        <f t="shared" si="58"/>
        <v>2.7699999999999999E-5</v>
      </c>
      <c r="BB115" s="192">
        <f t="shared" si="50"/>
        <v>0</v>
      </c>
      <c r="BC115" s="219">
        <f t="shared" si="54"/>
        <v>1.15E-5</v>
      </c>
      <c r="BD115" s="13">
        <f t="shared" si="55"/>
        <v>0</v>
      </c>
      <c r="BE115" s="160">
        <v>120</v>
      </c>
      <c r="BF115" s="77">
        <f t="shared" si="59"/>
        <v>2.7699999999999999E-5</v>
      </c>
      <c r="BG115" s="192">
        <f t="shared" si="51"/>
        <v>0</v>
      </c>
      <c r="BI115" s="120"/>
      <c r="BJ115" s="120"/>
      <c r="BK115" s="160"/>
      <c r="BL115" s="160"/>
      <c r="BM115" s="161" t="str">
        <f t="shared" si="61"/>
        <v/>
      </c>
      <c r="BN115" s="161" t="str">
        <f t="shared" si="62"/>
        <v/>
      </c>
      <c r="BO115" s="161" t="str">
        <f t="shared" si="63"/>
        <v/>
      </c>
      <c r="BP115" s="161" t="str">
        <f t="shared" si="64"/>
        <v/>
      </c>
      <c r="BQ115" s="161" t="str">
        <f t="shared" si="65"/>
        <v/>
      </c>
      <c r="BR115" s="161" t="str">
        <f t="shared" si="66"/>
        <v/>
      </c>
      <c r="BS115" s="161" t="str">
        <f t="shared" si="67"/>
        <v/>
      </c>
      <c r="BT115" s="161" t="str">
        <f t="shared" si="56"/>
        <v/>
      </c>
      <c r="BU115" s="161" t="str">
        <f t="shared" si="68"/>
        <v/>
      </c>
      <c r="BV115" s="161" t="str">
        <f t="shared" si="69"/>
        <v/>
      </c>
      <c r="BW115" s="161" t="str">
        <f t="shared" si="70"/>
        <v/>
      </c>
      <c r="BX115" s="161" t="str">
        <f t="shared" si="60"/>
        <v/>
      </c>
      <c r="BY115" s="148"/>
      <c r="BZ115" s="148"/>
      <c r="CA115" s="148"/>
      <c r="CB115" s="148" t="s">
        <v>149</v>
      </c>
      <c r="CC115" s="148"/>
    </row>
    <row r="116" spans="1:81" ht="14.25" customHeight="1" thickBot="1">
      <c r="A116" s="190">
        <v>106</v>
      </c>
      <c r="B116" s="79"/>
      <c r="C116" s="179"/>
      <c r="D116" s="137"/>
      <c r="E116" s="198"/>
      <c r="F116" s="199"/>
      <c r="G116" s="200"/>
      <c r="H116" s="200"/>
      <c r="I116" s="200"/>
      <c r="J116" s="200"/>
      <c r="K116" s="201">
        <f t="shared" si="52"/>
        <v>0</v>
      </c>
      <c r="L116" s="277"/>
      <c r="M116" s="278"/>
      <c r="N116" s="350"/>
      <c r="O116" s="341" t="s">
        <v>65</v>
      </c>
      <c r="P116" s="189"/>
      <c r="Q116" s="326"/>
      <c r="R116" s="326"/>
      <c r="S116" s="87"/>
      <c r="T116" s="207"/>
      <c r="U116" s="225">
        <f t="shared" si="44"/>
        <v>0</v>
      </c>
      <c r="V116" s="277"/>
      <c r="W116" s="278"/>
      <c r="X116" s="350"/>
      <c r="Y116" s="208" t="s">
        <v>147</v>
      </c>
      <c r="Z116" s="11"/>
      <c r="AA116" s="207"/>
      <c r="AB116" s="207"/>
      <c r="AC116" s="3"/>
      <c r="AD116" s="207"/>
      <c r="AE116" s="226">
        <f t="shared" si="45"/>
        <v>0</v>
      </c>
      <c r="AF116" s="11"/>
      <c r="AG116" s="3"/>
      <c r="AH116" s="359"/>
      <c r="AI116" s="96"/>
      <c r="AJ116" s="94"/>
      <c r="AK116" s="214"/>
      <c r="AL116" s="213"/>
      <c r="AM116" s="82"/>
      <c r="AN116" s="213"/>
      <c r="AO116" s="82"/>
      <c r="AP116" s="213"/>
      <c r="AQ116" s="82"/>
      <c r="AR116" s="13">
        <f t="shared" si="46"/>
        <v>1.1599999999999999E-5</v>
      </c>
      <c r="AS116" s="13">
        <f t="shared" si="47"/>
        <v>0</v>
      </c>
      <c r="AT116" s="13"/>
      <c r="AU116" s="160">
        <v>121</v>
      </c>
      <c r="AV116" s="191">
        <f t="shared" si="57"/>
        <v>2.9E-5</v>
      </c>
      <c r="AW116" s="160">
        <f t="shared" si="48"/>
        <v>0</v>
      </c>
      <c r="AX116" s="219">
        <f t="shared" si="49"/>
        <v>1.1599999999999999E-5</v>
      </c>
      <c r="AY116" s="13">
        <f t="shared" si="53"/>
        <v>0</v>
      </c>
      <c r="AZ116" s="160">
        <v>121</v>
      </c>
      <c r="BA116" s="77">
        <f t="shared" si="58"/>
        <v>2.76E-5</v>
      </c>
      <c r="BB116" s="192">
        <f t="shared" si="50"/>
        <v>0</v>
      </c>
      <c r="BC116" s="219">
        <f t="shared" si="54"/>
        <v>1.1599999999999999E-5</v>
      </c>
      <c r="BD116" s="13">
        <f t="shared" si="55"/>
        <v>0</v>
      </c>
      <c r="BE116" s="160">
        <v>121</v>
      </c>
      <c r="BF116" s="77">
        <f t="shared" si="59"/>
        <v>2.76E-5</v>
      </c>
      <c r="BG116" s="192">
        <f t="shared" si="51"/>
        <v>0</v>
      </c>
      <c r="BI116" s="120"/>
      <c r="BJ116" s="120"/>
      <c r="BK116" s="160"/>
      <c r="BL116" s="160"/>
      <c r="BM116" s="161" t="str">
        <f t="shared" si="61"/>
        <v/>
      </c>
      <c r="BN116" s="161" t="str">
        <f t="shared" si="62"/>
        <v/>
      </c>
      <c r="BO116" s="161" t="str">
        <f t="shared" si="63"/>
        <v/>
      </c>
      <c r="BP116" s="161" t="str">
        <f t="shared" si="64"/>
        <v/>
      </c>
      <c r="BQ116" s="161" t="str">
        <f t="shared" si="65"/>
        <v/>
      </c>
      <c r="BR116" s="161" t="str">
        <f t="shared" si="66"/>
        <v/>
      </c>
      <c r="BS116" s="161" t="str">
        <f t="shared" si="67"/>
        <v/>
      </c>
      <c r="BT116" s="161" t="str">
        <f t="shared" si="56"/>
        <v/>
      </c>
      <c r="BU116" s="161" t="str">
        <f t="shared" si="68"/>
        <v/>
      </c>
      <c r="BV116" s="161" t="str">
        <f t="shared" si="69"/>
        <v/>
      </c>
      <c r="BW116" s="161" t="str">
        <f t="shared" si="70"/>
        <v/>
      </c>
      <c r="BX116" s="161" t="str">
        <f t="shared" si="60"/>
        <v/>
      </c>
      <c r="BY116" s="148"/>
      <c r="BZ116" s="148"/>
      <c r="CA116" s="148"/>
      <c r="CB116" s="148" t="s">
        <v>149</v>
      </c>
      <c r="CC116" s="148"/>
    </row>
    <row r="117" spans="1:81" ht="14.25" customHeight="1" thickBot="1">
      <c r="A117" s="190">
        <v>107</v>
      </c>
      <c r="B117" s="196"/>
      <c r="C117" s="180"/>
      <c r="D117" s="136"/>
      <c r="E117" s="91"/>
      <c r="F117" s="187"/>
      <c r="G117" s="188"/>
      <c r="H117" s="188"/>
      <c r="I117" s="188"/>
      <c r="J117" s="188"/>
      <c r="K117" s="18">
        <f t="shared" si="52"/>
        <v>0</v>
      </c>
      <c r="L117" s="279"/>
      <c r="M117" s="280"/>
      <c r="N117" s="351"/>
      <c r="O117" s="342" t="s">
        <v>65</v>
      </c>
      <c r="P117" s="187"/>
      <c r="Q117" s="188"/>
      <c r="R117" s="188"/>
      <c r="S117" s="119"/>
      <c r="T117" s="188"/>
      <c r="U117" s="211">
        <f t="shared" si="44"/>
        <v>0</v>
      </c>
      <c r="V117" s="279"/>
      <c r="W117" s="280"/>
      <c r="X117" s="351"/>
      <c r="Y117" s="209" t="s">
        <v>85</v>
      </c>
      <c r="Z117" s="71"/>
      <c r="AA117" s="321"/>
      <c r="AB117" s="321"/>
      <c r="AC117" s="322"/>
      <c r="AD117" s="188"/>
      <c r="AE117" s="18">
        <f t="shared" si="45"/>
        <v>0</v>
      </c>
      <c r="AF117" s="71"/>
      <c r="AG117" s="322"/>
      <c r="AH117" s="360"/>
      <c r="AI117" s="97"/>
      <c r="AJ117" s="194"/>
      <c r="AK117" s="193"/>
      <c r="AL117" s="205"/>
      <c r="AM117" s="197"/>
      <c r="AN117" s="205"/>
      <c r="AO117" s="197"/>
      <c r="AP117" s="205"/>
      <c r="AQ117" s="197"/>
      <c r="AR117" s="13">
        <f t="shared" si="46"/>
        <v>1.17E-5</v>
      </c>
      <c r="AS117" s="13">
        <f t="shared" si="47"/>
        <v>0</v>
      </c>
      <c r="AT117" s="13"/>
      <c r="AU117" s="160">
        <v>122</v>
      </c>
      <c r="AV117" s="191">
        <f t="shared" si="57"/>
        <v>2.8899999999999998E-5</v>
      </c>
      <c r="AW117" s="160">
        <f t="shared" si="48"/>
        <v>0</v>
      </c>
      <c r="AX117" s="219">
        <f t="shared" si="49"/>
        <v>1.17E-5</v>
      </c>
      <c r="AY117" s="13">
        <f t="shared" si="53"/>
        <v>0</v>
      </c>
      <c r="AZ117" s="160">
        <v>122</v>
      </c>
      <c r="BA117" s="77">
        <f t="shared" si="58"/>
        <v>2.7499999999999998E-5</v>
      </c>
      <c r="BB117" s="192">
        <f t="shared" si="50"/>
        <v>0</v>
      </c>
      <c r="BC117" s="219">
        <f t="shared" si="54"/>
        <v>1.17E-5</v>
      </c>
      <c r="BD117" s="13">
        <f t="shared" si="55"/>
        <v>0</v>
      </c>
      <c r="BE117" s="160">
        <v>122</v>
      </c>
      <c r="BF117" s="77">
        <f t="shared" si="59"/>
        <v>2.7499999999999998E-5</v>
      </c>
      <c r="BG117" s="192">
        <f t="shared" si="51"/>
        <v>0</v>
      </c>
      <c r="BI117" s="120"/>
      <c r="BJ117" s="120"/>
      <c r="BK117" s="160"/>
      <c r="BL117" s="160"/>
      <c r="BM117" s="161" t="str">
        <f t="shared" si="61"/>
        <v/>
      </c>
      <c r="BN117" s="161" t="str">
        <f t="shared" si="62"/>
        <v/>
      </c>
      <c r="BO117" s="161" t="str">
        <f t="shared" si="63"/>
        <v/>
      </c>
      <c r="BP117" s="161" t="str">
        <f t="shared" si="64"/>
        <v/>
      </c>
      <c r="BQ117" s="161" t="str">
        <f t="shared" si="65"/>
        <v/>
      </c>
      <c r="BR117" s="161" t="str">
        <f t="shared" si="66"/>
        <v/>
      </c>
      <c r="BS117" s="161" t="str">
        <f t="shared" si="67"/>
        <v/>
      </c>
      <c r="BT117" s="161" t="str">
        <f t="shared" si="56"/>
        <v/>
      </c>
      <c r="BU117" s="161" t="str">
        <f t="shared" si="68"/>
        <v/>
      </c>
      <c r="BV117" s="161" t="str">
        <f t="shared" si="69"/>
        <v/>
      </c>
      <c r="BW117" s="161" t="str">
        <f t="shared" si="70"/>
        <v/>
      </c>
      <c r="BX117" s="161" t="str">
        <f t="shared" si="60"/>
        <v/>
      </c>
      <c r="BY117" s="148"/>
      <c r="BZ117" s="148"/>
      <c r="CA117" s="148"/>
      <c r="CB117" s="148" t="s">
        <v>149</v>
      </c>
      <c r="CC117" s="148"/>
    </row>
    <row r="118" spans="1:81" ht="14.25" customHeight="1" thickBot="1">
      <c r="A118" s="190">
        <v>108</v>
      </c>
      <c r="B118" s="78"/>
      <c r="C118" s="181"/>
      <c r="D118" s="86"/>
      <c r="E118" s="92"/>
      <c r="F118" s="88"/>
      <c r="G118" s="93"/>
      <c r="H118" s="93"/>
      <c r="I118" s="93"/>
      <c r="J118" s="93"/>
      <c r="K118" s="81">
        <f t="shared" si="52"/>
        <v>0</v>
      </c>
      <c r="L118" s="281"/>
      <c r="M118" s="282"/>
      <c r="N118" s="352"/>
      <c r="O118" s="343" t="s">
        <v>65</v>
      </c>
      <c r="P118" s="88"/>
      <c r="Q118" s="93"/>
      <c r="R118" s="93"/>
      <c r="S118" s="89"/>
      <c r="T118" s="93"/>
      <c r="U118" s="212">
        <f t="shared" si="44"/>
        <v>0</v>
      </c>
      <c r="V118" s="281"/>
      <c r="W118" s="282"/>
      <c r="X118" s="352"/>
      <c r="Y118" s="210" t="s">
        <v>85</v>
      </c>
      <c r="Z118" s="72"/>
      <c r="AA118" s="323"/>
      <c r="AB118" s="323"/>
      <c r="AC118" s="324"/>
      <c r="AD118" s="93"/>
      <c r="AE118" s="81">
        <f t="shared" si="45"/>
        <v>0</v>
      </c>
      <c r="AF118" s="72"/>
      <c r="AG118" s="324"/>
      <c r="AH118" s="361"/>
      <c r="AI118" s="98"/>
      <c r="AJ118" s="95"/>
      <c r="AK118" s="215"/>
      <c r="AL118" s="206"/>
      <c r="AM118" s="83"/>
      <c r="AN118" s="206"/>
      <c r="AO118" s="83"/>
      <c r="AP118" s="206"/>
      <c r="AQ118" s="83"/>
      <c r="AR118" s="13">
        <f t="shared" si="46"/>
        <v>1.1799999999999999E-5</v>
      </c>
      <c r="AS118" s="13">
        <f t="shared" si="47"/>
        <v>0</v>
      </c>
      <c r="AT118" s="13"/>
      <c r="AU118" s="160">
        <v>123</v>
      </c>
      <c r="AV118" s="191">
        <f t="shared" si="57"/>
        <v>2.8799999999999999E-5</v>
      </c>
      <c r="AW118" s="160">
        <f t="shared" si="48"/>
        <v>0</v>
      </c>
      <c r="AX118" s="219">
        <f t="shared" si="49"/>
        <v>1.1799999999999999E-5</v>
      </c>
      <c r="AY118" s="13">
        <f t="shared" si="53"/>
        <v>0</v>
      </c>
      <c r="AZ118" s="160">
        <v>123</v>
      </c>
      <c r="BA118" s="77">
        <f t="shared" si="58"/>
        <v>2.7399999999999999E-5</v>
      </c>
      <c r="BB118" s="192">
        <f t="shared" si="50"/>
        <v>0</v>
      </c>
      <c r="BC118" s="219">
        <f t="shared" si="54"/>
        <v>1.1799999999999999E-5</v>
      </c>
      <c r="BD118" s="13">
        <f t="shared" si="55"/>
        <v>0</v>
      </c>
      <c r="BE118" s="160">
        <v>123</v>
      </c>
      <c r="BF118" s="77">
        <f t="shared" si="59"/>
        <v>2.7399999999999999E-5</v>
      </c>
      <c r="BG118" s="192">
        <f t="shared" si="51"/>
        <v>0</v>
      </c>
      <c r="BI118" s="120"/>
      <c r="BJ118" s="120"/>
      <c r="BK118" s="160"/>
      <c r="BL118" s="160"/>
      <c r="BM118" s="161" t="str">
        <f t="shared" si="61"/>
        <v/>
      </c>
      <c r="BN118" s="161" t="str">
        <f t="shared" si="62"/>
        <v/>
      </c>
      <c r="BO118" s="161" t="str">
        <f t="shared" si="63"/>
        <v/>
      </c>
      <c r="BP118" s="161" t="str">
        <f t="shared" si="64"/>
        <v/>
      </c>
      <c r="BQ118" s="161" t="str">
        <f t="shared" si="65"/>
        <v/>
      </c>
      <c r="BR118" s="161" t="str">
        <f t="shared" si="66"/>
        <v/>
      </c>
      <c r="BS118" s="161" t="str">
        <f t="shared" si="67"/>
        <v/>
      </c>
      <c r="BT118" s="161" t="str">
        <f t="shared" si="56"/>
        <v/>
      </c>
      <c r="BU118" s="161" t="str">
        <f t="shared" si="68"/>
        <v/>
      </c>
      <c r="BV118" s="161" t="str">
        <f t="shared" si="69"/>
        <v/>
      </c>
      <c r="BW118" s="161" t="str">
        <f t="shared" si="70"/>
        <v/>
      </c>
      <c r="BX118" s="161" t="str">
        <f t="shared" si="60"/>
        <v/>
      </c>
      <c r="BY118" s="148"/>
      <c r="BZ118" s="148"/>
      <c r="CA118" s="148"/>
      <c r="CB118" s="148" t="s">
        <v>149</v>
      </c>
      <c r="CC118" s="148"/>
    </row>
    <row r="119" spans="1:81" ht="14.25" customHeight="1" thickBot="1">
      <c r="A119" s="190">
        <v>109</v>
      </c>
      <c r="B119" s="79"/>
      <c r="C119" s="179"/>
      <c r="D119" s="137"/>
      <c r="E119" s="198"/>
      <c r="F119" s="199"/>
      <c r="G119" s="200"/>
      <c r="H119" s="200"/>
      <c r="I119" s="200"/>
      <c r="J119" s="200"/>
      <c r="K119" s="201">
        <f t="shared" si="52"/>
        <v>0</v>
      </c>
      <c r="L119" s="277"/>
      <c r="M119" s="278"/>
      <c r="N119" s="350"/>
      <c r="O119" s="341" t="s">
        <v>65</v>
      </c>
      <c r="P119" s="189"/>
      <c r="Q119" s="326"/>
      <c r="R119" s="326"/>
      <c r="S119" s="87"/>
      <c r="T119" s="207"/>
      <c r="U119" s="225">
        <f t="shared" si="44"/>
        <v>0</v>
      </c>
      <c r="V119" s="277"/>
      <c r="W119" s="278"/>
      <c r="X119" s="350"/>
      <c r="Y119" s="208" t="s">
        <v>147</v>
      </c>
      <c r="Z119" s="11"/>
      <c r="AA119" s="207"/>
      <c r="AB119" s="207"/>
      <c r="AC119" s="3"/>
      <c r="AD119" s="207"/>
      <c r="AE119" s="226">
        <f t="shared" si="45"/>
        <v>0</v>
      </c>
      <c r="AF119" s="11"/>
      <c r="AG119" s="3"/>
      <c r="AH119" s="359"/>
      <c r="AI119" s="96"/>
      <c r="AJ119" s="94"/>
      <c r="AK119" s="214"/>
      <c r="AL119" s="213"/>
      <c r="AM119" s="82"/>
      <c r="AN119" s="213"/>
      <c r="AO119" s="82"/>
      <c r="AP119" s="213"/>
      <c r="AQ119" s="82"/>
      <c r="AR119" s="13">
        <f t="shared" si="46"/>
        <v>1.19E-5</v>
      </c>
      <c r="AS119" s="13">
        <f t="shared" si="47"/>
        <v>0</v>
      </c>
      <c r="AT119" s="13"/>
      <c r="AU119" s="160">
        <v>124</v>
      </c>
      <c r="AV119" s="191">
        <f t="shared" si="57"/>
        <v>2.87E-5</v>
      </c>
      <c r="AW119" s="160">
        <f t="shared" si="48"/>
        <v>0</v>
      </c>
      <c r="AX119" s="219">
        <f t="shared" si="49"/>
        <v>1.19E-5</v>
      </c>
      <c r="AY119" s="13">
        <f t="shared" si="53"/>
        <v>0</v>
      </c>
      <c r="AZ119" s="160">
        <v>124</v>
      </c>
      <c r="BA119" s="77">
        <f t="shared" si="58"/>
        <v>2.73E-5</v>
      </c>
      <c r="BB119" s="192">
        <f t="shared" si="50"/>
        <v>0</v>
      </c>
      <c r="BC119" s="219">
        <f t="shared" si="54"/>
        <v>1.19E-5</v>
      </c>
      <c r="BD119" s="13">
        <f t="shared" si="55"/>
        <v>0</v>
      </c>
      <c r="BE119" s="160">
        <v>124</v>
      </c>
      <c r="BF119" s="77">
        <f t="shared" si="59"/>
        <v>2.73E-5</v>
      </c>
      <c r="BG119" s="192">
        <f t="shared" si="51"/>
        <v>0</v>
      </c>
      <c r="BI119" s="120"/>
      <c r="BJ119" s="120"/>
      <c r="BK119" s="160"/>
      <c r="BL119" s="160"/>
      <c r="BM119" s="161" t="str">
        <f t="shared" si="61"/>
        <v/>
      </c>
      <c r="BN119" s="161" t="str">
        <f t="shared" si="62"/>
        <v/>
      </c>
      <c r="BO119" s="161" t="str">
        <f t="shared" si="63"/>
        <v/>
      </c>
      <c r="BP119" s="161" t="str">
        <f t="shared" si="64"/>
        <v/>
      </c>
      <c r="BQ119" s="161" t="str">
        <f t="shared" si="65"/>
        <v/>
      </c>
      <c r="BR119" s="161" t="str">
        <f t="shared" si="66"/>
        <v/>
      </c>
      <c r="BS119" s="161" t="str">
        <f t="shared" si="67"/>
        <v/>
      </c>
      <c r="BT119" s="161" t="str">
        <f t="shared" si="56"/>
        <v/>
      </c>
      <c r="BU119" s="161" t="str">
        <f t="shared" si="68"/>
        <v/>
      </c>
      <c r="BV119" s="161" t="str">
        <f t="shared" si="69"/>
        <v/>
      </c>
      <c r="BW119" s="161" t="str">
        <f t="shared" si="70"/>
        <v/>
      </c>
      <c r="BX119" s="161" t="str">
        <f t="shared" si="60"/>
        <v/>
      </c>
      <c r="BY119" s="148"/>
      <c r="BZ119" s="148"/>
      <c r="CA119" s="148"/>
      <c r="CB119" s="148" t="s">
        <v>149</v>
      </c>
      <c r="CC119" s="148"/>
    </row>
    <row r="120" spans="1:81" ht="14.25" customHeight="1" thickBot="1">
      <c r="A120" s="190">
        <v>110</v>
      </c>
      <c r="B120" s="196"/>
      <c r="C120" s="180"/>
      <c r="D120" s="136"/>
      <c r="E120" s="91"/>
      <c r="F120" s="187"/>
      <c r="G120" s="188"/>
      <c r="H120" s="188"/>
      <c r="I120" s="188"/>
      <c r="J120" s="188"/>
      <c r="K120" s="18">
        <f t="shared" si="52"/>
        <v>0</v>
      </c>
      <c r="L120" s="279"/>
      <c r="M120" s="280"/>
      <c r="N120" s="351"/>
      <c r="O120" s="342" t="s">
        <v>65</v>
      </c>
      <c r="P120" s="187"/>
      <c r="Q120" s="188"/>
      <c r="R120" s="188"/>
      <c r="S120" s="119"/>
      <c r="T120" s="188"/>
      <c r="U120" s="211">
        <f t="shared" si="44"/>
        <v>0</v>
      </c>
      <c r="V120" s="279"/>
      <c r="W120" s="280"/>
      <c r="X120" s="351"/>
      <c r="Y120" s="209" t="s">
        <v>85</v>
      </c>
      <c r="Z120" s="71"/>
      <c r="AA120" s="321"/>
      <c r="AB120" s="321"/>
      <c r="AC120" s="322"/>
      <c r="AD120" s="188"/>
      <c r="AE120" s="18">
        <f t="shared" si="45"/>
        <v>0</v>
      </c>
      <c r="AF120" s="71"/>
      <c r="AG120" s="322"/>
      <c r="AH120" s="360"/>
      <c r="AI120" s="97"/>
      <c r="AJ120" s="194"/>
      <c r="AK120" s="193"/>
      <c r="AL120" s="205"/>
      <c r="AM120" s="197"/>
      <c r="AN120" s="205"/>
      <c r="AO120" s="197"/>
      <c r="AP120" s="205"/>
      <c r="AQ120" s="197"/>
      <c r="AR120" s="13">
        <f t="shared" si="46"/>
        <v>1.2E-5</v>
      </c>
      <c r="AS120" s="13">
        <f t="shared" si="47"/>
        <v>0</v>
      </c>
      <c r="AT120" s="13"/>
      <c r="AU120" s="160">
        <v>125</v>
      </c>
      <c r="AV120" s="191">
        <f t="shared" si="57"/>
        <v>2.8599999999999997E-5</v>
      </c>
      <c r="AW120" s="160">
        <f t="shared" si="48"/>
        <v>0</v>
      </c>
      <c r="AX120" s="219">
        <f t="shared" si="49"/>
        <v>1.2E-5</v>
      </c>
      <c r="AY120" s="13">
        <f t="shared" si="53"/>
        <v>0</v>
      </c>
      <c r="AZ120" s="160">
        <v>125</v>
      </c>
      <c r="BA120" s="77">
        <f t="shared" si="58"/>
        <v>2.7199999999999997E-5</v>
      </c>
      <c r="BB120" s="192">
        <f t="shared" si="50"/>
        <v>0</v>
      </c>
      <c r="BC120" s="219">
        <f t="shared" si="54"/>
        <v>1.2E-5</v>
      </c>
      <c r="BD120" s="13">
        <f t="shared" si="55"/>
        <v>0</v>
      </c>
      <c r="BE120" s="160">
        <v>125</v>
      </c>
      <c r="BF120" s="77">
        <f t="shared" si="59"/>
        <v>2.7199999999999997E-5</v>
      </c>
      <c r="BG120" s="192">
        <f t="shared" si="51"/>
        <v>0</v>
      </c>
      <c r="BI120" s="120"/>
      <c r="BJ120" s="120"/>
      <c r="BK120" s="160"/>
      <c r="BL120" s="160"/>
      <c r="BM120" s="161" t="str">
        <f t="shared" si="61"/>
        <v/>
      </c>
      <c r="BN120" s="161" t="str">
        <f t="shared" si="62"/>
        <v/>
      </c>
      <c r="BO120" s="161" t="str">
        <f t="shared" si="63"/>
        <v/>
      </c>
      <c r="BP120" s="161" t="str">
        <f t="shared" si="64"/>
        <v/>
      </c>
      <c r="BQ120" s="161" t="str">
        <f t="shared" si="65"/>
        <v/>
      </c>
      <c r="BR120" s="161" t="str">
        <f t="shared" si="66"/>
        <v/>
      </c>
      <c r="BS120" s="161" t="str">
        <f t="shared" si="67"/>
        <v/>
      </c>
      <c r="BT120" s="161" t="str">
        <f t="shared" si="56"/>
        <v/>
      </c>
      <c r="BU120" s="161" t="str">
        <f t="shared" si="68"/>
        <v/>
      </c>
      <c r="BV120" s="161" t="str">
        <f t="shared" si="69"/>
        <v/>
      </c>
      <c r="BW120" s="161" t="str">
        <f t="shared" si="70"/>
        <v/>
      </c>
      <c r="BX120" s="161" t="str">
        <f t="shared" si="60"/>
        <v/>
      </c>
      <c r="BY120" s="148"/>
      <c r="BZ120" s="148"/>
      <c r="CA120" s="148"/>
      <c r="CB120" s="148" t="s">
        <v>149</v>
      </c>
      <c r="CC120" s="148"/>
    </row>
    <row r="121" spans="1:81" ht="14.25" customHeight="1" thickBot="1">
      <c r="A121" s="190">
        <v>111</v>
      </c>
      <c r="B121" s="78"/>
      <c r="C121" s="181"/>
      <c r="D121" s="86"/>
      <c r="E121" s="92"/>
      <c r="F121" s="88"/>
      <c r="G121" s="93"/>
      <c r="H121" s="93"/>
      <c r="I121" s="93"/>
      <c r="J121" s="93"/>
      <c r="K121" s="81">
        <f t="shared" si="52"/>
        <v>0</v>
      </c>
      <c r="L121" s="281"/>
      <c r="M121" s="282"/>
      <c r="N121" s="352"/>
      <c r="O121" s="343" t="s">
        <v>65</v>
      </c>
      <c r="P121" s="88"/>
      <c r="Q121" s="93"/>
      <c r="R121" s="93"/>
      <c r="S121" s="89"/>
      <c r="T121" s="93"/>
      <c r="U121" s="212">
        <f t="shared" si="44"/>
        <v>0</v>
      </c>
      <c r="V121" s="281"/>
      <c r="W121" s="282"/>
      <c r="X121" s="352"/>
      <c r="Y121" s="210" t="s">
        <v>85</v>
      </c>
      <c r="Z121" s="72"/>
      <c r="AA121" s="323"/>
      <c r="AB121" s="323"/>
      <c r="AC121" s="324"/>
      <c r="AD121" s="93"/>
      <c r="AE121" s="81">
        <f t="shared" si="45"/>
        <v>0</v>
      </c>
      <c r="AF121" s="72"/>
      <c r="AG121" s="324"/>
      <c r="AH121" s="361"/>
      <c r="AI121" s="98"/>
      <c r="AJ121" s="95"/>
      <c r="AK121" s="215"/>
      <c r="AL121" s="206"/>
      <c r="AM121" s="83"/>
      <c r="AN121" s="206"/>
      <c r="AO121" s="83"/>
      <c r="AP121" s="206"/>
      <c r="AQ121" s="83"/>
      <c r="AR121" s="13">
        <f t="shared" si="46"/>
        <v>1.2099999999999999E-5</v>
      </c>
      <c r="AS121" s="13">
        <f t="shared" si="47"/>
        <v>0</v>
      </c>
      <c r="AT121" s="13"/>
      <c r="AU121" s="160">
        <v>126</v>
      </c>
      <c r="AV121" s="191">
        <f t="shared" si="57"/>
        <v>2.8499999999999998E-5</v>
      </c>
      <c r="AW121" s="160">
        <f t="shared" si="48"/>
        <v>0</v>
      </c>
      <c r="AX121" s="219">
        <f t="shared" si="49"/>
        <v>1.2099999999999999E-5</v>
      </c>
      <c r="AY121" s="13">
        <f t="shared" si="53"/>
        <v>0</v>
      </c>
      <c r="AZ121" s="160">
        <v>126</v>
      </c>
      <c r="BA121" s="77">
        <f t="shared" si="58"/>
        <v>2.7099999999999998E-5</v>
      </c>
      <c r="BB121" s="192">
        <f t="shared" si="50"/>
        <v>0</v>
      </c>
      <c r="BC121" s="219">
        <f t="shared" si="54"/>
        <v>1.2099999999999999E-5</v>
      </c>
      <c r="BD121" s="13">
        <f t="shared" si="55"/>
        <v>0</v>
      </c>
      <c r="BE121" s="160">
        <v>126</v>
      </c>
      <c r="BF121" s="77">
        <f t="shared" si="59"/>
        <v>2.7099999999999998E-5</v>
      </c>
      <c r="BG121" s="192">
        <f t="shared" si="51"/>
        <v>0</v>
      </c>
      <c r="BI121" s="120"/>
      <c r="BJ121" s="120"/>
      <c r="BK121" s="160"/>
      <c r="BL121" s="160"/>
      <c r="BM121" s="161" t="str">
        <f t="shared" si="61"/>
        <v/>
      </c>
      <c r="BN121" s="161" t="str">
        <f t="shared" si="62"/>
        <v/>
      </c>
      <c r="BO121" s="161" t="str">
        <f t="shared" si="63"/>
        <v/>
      </c>
      <c r="BP121" s="161" t="str">
        <f t="shared" si="64"/>
        <v/>
      </c>
      <c r="BQ121" s="161" t="str">
        <f t="shared" si="65"/>
        <v/>
      </c>
      <c r="BR121" s="161" t="str">
        <f t="shared" si="66"/>
        <v/>
      </c>
      <c r="BS121" s="161" t="str">
        <f t="shared" si="67"/>
        <v/>
      </c>
      <c r="BT121" s="161" t="str">
        <f t="shared" si="56"/>
        <v/>
      </c>
      <c r="BU121" s="161" t="str">
        <f t="shared" si="68"/>
        <v/>
      </c>
      <c r="BV121" s="161" t="str">
        <f t="shared" si="69"/>
        <v/>
      </c>
      <c r="BW121" s="161" t="str">
        <f t="shared" si="70"/>
        <v/>
      </c>
      <c r="BX121" s="161" t="str">
        <f t="shared" si="60"/>
        <v/>
      </c>
      <c r="BY121" s="148"/>
      <c r="BZ121" s="148"/>
      <c r="CA121" s="148"/>
      <c r="CB121" s="148" t="s">
        <v>149</v>
      </c>
      <c r="CC121" s="148"/>
    </row>
    <row r="122" spans="1:81" ht="14.25" customHeight="1" thickBot="1">
      <c r="A122" s="190">
        <v>112</v>
      </c>
      <c r="B122" s="79"/>
      <c r="C122" s="179"/>
      <c r="D122" s="137"/>
      <c r="E122" s="198"/>
      <c r="F122" s="199"/>
      <c r="G122" s="200"/>
      <c r="H122" s="200"/>
      <c r="I122" s="200"/>
      <c r="J122" s="200"/>
      <c r="K122" s="201">
        <f t="shared" si="52"/>
        <v>0</v>
      </c>
      <c r="L122" s="277"/>
      <c r="M122" s="278"/>
      <c r="N122" s="350"/>
      <c r="O122" s="341" t="s">
        <v>65</v>
      </c>
      <c r="P122" s="189"/>
      <c r="Q122" s="326"/>
      <c r="R122" s="326"/>
      <c r="S122" s="87"/>
      <c r="T122" s="207"/>
      <c r="U122" s="225">
        <f t="shared" si="44"/>
        <v>0</v>
      </c>
      <c r="V122" s="277"/>
      <c r="W122" s="278"/>
      <c r="X122" s="350"/>
      <c r="Y122" s="208" t="s">
        <v>147</v>
      </c>
      <c r="Z122" s="11"/>
      <c r="AA122" s="207"/>
      <c r="AB122" s="207"/>
      <c r="AC122" s="3"/>
      <c r="AD122" s="207"/>
      <c r="AE122" s="226">
        <f t="shared" si="45"/>
        <v>0</v>
      </c>
      <c r="AF122" s="11"/>
      <c r="AG122" s="3"/>
      <c r="AH122" s="359"/>
      <c r="AI122" s="96"/>
      <c r="AJ122" s="94"/>
      <c r="AK122" s="214"/>
      <c r="AL122" s="213"/>
      <c r="AM122" s="82"/>
      <c r="AN122" s="213"/>
      <c r="AO122" s="82"/>
      <c r="AP122" s="213"/>
      <c r="AQ122" s="82"/>
      <c r="AR122" s="13">
        <f t="shared" si="46"/>
        <v>1.22E-5</v>
      </c>
      <c r="AS122" s="13">
        <f t="shared" si="47"/>
        <v>0</v>
      </c>
      <c r="AT122" s="13"/>
      <c r="AU122" s="160">
        <v>127</v>
      </c>
      <c r="AV122" s="191">
        <f t="shared" si="57"/>
        <v>2.8399999999999999E-5</v>
      </c>
      <c r="AW122" s="160">
        <f t="shared" si="48"/>
        <v>0</v>
      </c>
      <c r="AX122" s="219">
        <f t="shared" si="49"/>
        <v>1.22E-5</v>
      </c>
      <c r="AY122" s="13">
        <f t="shared" si="53"/>
        <v>0</v>
      </c>
      <c r="AZ122" s="160">
        <v>127</v>
      </c>
      <c r="BA122" s="77">
        <f t="shared" si="58"/>
        <v>2.6999999999999999E-5</v>
      </c>
      <c r="BB122" s="192">
        <f t="shared" si="50"/>
        <v>0</v>
      </c>
      <c r="BC122" s="219">
        <f t="shared" si="54"/>
        <v>1.22E-5</v>
      </c>
      <c r="BD122" s="13">
        <f t="shared" si="55"/>
        <v>0</v>
      </c>
      <c r="BE122" s="160">
        <v>127</v>
      </c>
      <c r="BF122" s="77">
        <f t="shared" si="59"/>
        <v>2.6999999999999999E-5</v>
      </c>
      <c r="BG122" s="192">
        <f t="shared" si="51"/>
        <v>0</v>
      </c>
      <c r="BI122" s="120"/>
      <c r="BJ122" s="120"/>
      <c r="BK122" s="160"/>
      <c r="BL122" s="160"/>
      <c r="BM122" s="161" t="str">
        <f t="shared" si="61"/>
        <v/>
      </c>
      <c r="BN122" s="161" t="str">
        <f t="shared" si="62"/>
        <v/>
      </c>
      <c r="BO122" s="161" t="str">
        <f t="shared" si="63"/>
        <v/>
      </c>
      <c r="BP122" s="161" t="str">
        <f t="shared" si="64"/>
        <v/>
      </c>
      <c r="BQ122" s="161" t="str">
        <f t="shared" si="65"/>
        <v/>
      </c>
      <c r="BR122" s="161" t="str">
        <f t="shared" si="66"/>
        <v/>
      </c>
      <c r="BS122" s="161" t="str">
        <f t="shared" si="67"/>
        <v/>
      </c>
      <c r="BT122" s="161" t="str">
        <f t="shared" si="56"/>
        <v/>
      </c>
      <c r="BU122" s="161" t="str">
        <f t="shared" si="68"/>
        <v/>
      </c>
      <c r="BV122" s="161" t="str">
        <f t="shared" si="69"/>
        <v/>
      </c>
      <c r="BW122" s="161" t="str">
        <f t="shared" si="70"/>
        <v/>
      </c>
      <c r="BX122" s="161" t="str">
        <f t="shared" si="60"/>
        <v/>
      </c>
      <c r="BY122" s="148"/>
      <c r="BZ122" s="148"/>
      <c r="CA122" s="148"/>
      <c r="CB122" s="148" t="s">
        <v>149</v>
      </c>
      <c r="CC122" s="148"/>
    </row>
    <row r="123" spans="1:81" ht="14.25" customHeight="1" thickBot="1">
      <c r="A123" s="190">
        <v>113</v>
      </c>
      <c r="B123" s="196"/>
      <c r="C123" s="180"/>
      <c r="D123" s="136"/>
      <c r="E123" s="91"/>
      <c r="F123" s="187"/>
      <c r="G123" s="188"/>
      <c r="H123" s="188"/>
      <c r="I123" s="188"/>
      <c r="J123" s="188"/>
      <c r="K123" s="18">
        <f t="shared" si="52"/>
        <v>0</v>
      </c>
      <c r="L123" s="279"/>
      <c r="M123" s="280"/>
      <c r="N123" s="351"/>
      <c r="O123" s="342" t="s">
        <v>65</v>
      </c>
      <c r="P123" s="187"/>
      <c r="Q123" s="188"/>
      <c r="R123" s="188"/>
      <c r="S123" s="119"/>
      <c r="T123" s="188"/>
      <c r="U123" s="211">
        <f t="shared" si="44"/>
        <v>0</v>
      </c>
      <c r="V123" s="279"/>
      <c r="W123" s="280"/>
      <c r="X123" s="351"/>
      <c r="Y123" s="209" t="s">
        <v>85</v>
      </c>
      <c r="Z123" s="71"/>
      <c r="AA123" s="321"/>
      <c r="AB123" s="321"/>
      <c r="AC123" s="322"/>
      <c r="AD123" s="188"/>
      <c r="AE123" s="18">
        <f t="shared" si="45"/>
        <v>0</v>
      </c>
      <c r="AF123" s="71"/>
      <c r="AG123" s="322"/>
      <c r="AH123" s="360"/>
      <c r="AI123" s="97"/>
      <c r="AJ123" s="194"/>
      <c r="AK123" s="193"/>
      <c r="AL123" s="205"/>
      <c r="AM123" s="197"/>
      <c r="AN123" s="205"/>
      <c r="AO123" s="197"/>
      <c r="AP123" s="205"/>
      <c r="AQ123" s="197"/>
      <c r="AR123" s="13">
        <f t="shared" si="46"/>
        <v>1.2299999999999999E-5</v>
      </c>
      <c r="AS123" s="13">
        <f t="shared" si="47"/>
        <v>0</v>
      </c>
      <c r="AT123" s="13"/>
      <c r="AU123" s="160">
        <v>128</v>
      </c>
      <c r="AV123" s="191">
        <f t="shared" si="57"/>
        <v>2.83E-5</v>
      </c>
      <c r="AW123" s="160">
        <f t="shared" si="48"/>
        <v>0</v>
      </c>
      <c r="AX123" s="219">
        <f t="shared" si="49"/>
        <v>1.2299999999999999E-5</v>
      </c>
      <c r="AY123" s="13">
        <f t="shared" si="53"/>
        <v>0</v>
      </c>
      <c r="AZ123" s="160">
        <v>128</v>
      </c>
      <c r="BA123" s="77">
        <f t="shared" si="58"/>
        <v>2.69E-5</v>
      </c>
      <c r="BB123" s="192">
        <f t="shared" si="50"/>
        <v>0</v>
      </c>
      <c r="BC123" s="219">
        <f t="shared" si="54"/>
        <v>1.2299999999999999E-5</v>
      </c>
      <c r="BD123" s="13">
        <f t="shared" si="55"/>
        <v>0</v>
      </c>
      <c r="BE123" s="160">
        <v>128</v>
      </c>
      <c r="BF123" s="77">
        <f t="shared" si="59"/>
        <v>2.69E-5</v>
      </c>
      <c r="BG123" s="192">
        <f t="shared" si="51"/>
        <v>0</v>
      </c>
      <c r="BI123" s="120"/>
      <c r="BJ123" s="120"/>
      <c r="BK123" s="160"/>
      <c r="BL123" s="160"/>
      <c r="BM123" s="161" t="str">
        <f t="shared" si="61"/>
        <v/>
      </c>
      <c r="BN123" s="161" t="str">
        <f t="shared" si="62"/>
        <v/>
      </c>
      <c r="BO123" s="161" t="str">
        <f t="shared" si="63"/>
        <v/>
      </c>
      <c r="BP123" s="161" t="str">
        <f t="shared" si="64"/>
        <v/>
      </c>
      <c r="BQ123" s="161" t="str">
        <f t="shared" si="65"/>
        <v/>
      </c>
      <c r="BR123" s="161" t="str">
        <f t="shared" si="66"/>
        <v/>
      </c>
      <c r="BS123" s="161" t="str">
        <f t="shared" si="67"/>
        <v/>
      </c>
      <c r="BT123" s="161" t="str">
        <f t="shared" si="56"/>
        <v/>
      </c>
      <c r="BU123" s="161" t="str">
        <f t="shared" si="68"/>
        <v/>
      </c>
      <c r="BV123" s="161" t="str">
        <f t="shared" si="69"/>
        <v/>
      </c>
      <c r="BW123" s="161" t="str">
        <f t="shared" si="70"/>
        <v/>
      </c>
      <c r="BX123" s="161" t="str">
        <f t="shared" si="60"/>
        <v/>
      </c>
      <c r="BY123" s="148"/>
      <c r="BZ123" s="148"/>
      <c r="CA123" s="148"/>
      <c r="CB123" s="148" t="s">
        <v>149</v>
      </c>
      <c r="CC123" s="148"/>
    </row>
    <row r="124" spans="1:81" ht="14.25" customHeight="1" thickBot="1">
      <c r="A124" s="190">
        <v>114</v>
      </c>
      <c r="B124" s="78"/>
      <c r="C124" s="181"/>
      <c r="D124" s="86"/>
      <c r="E124" s="92"/>
      <c r="F124" s="88"/>
      <c r="G124" s="93"/>
      <c r="H124" s="93"/>
      <c r="I124" s="93"/>
      <c r="J124" s="93"/>
      <c r="K124" s="81">
        <f t="shared" ref="K124:K187" si="71">SUM(F124:J124)</f>
        <v>0</v>
      </c>
      <c r="L124" s="281"/>
      <c r="M124" s="282"/>
      <c r="N124" s="352"/>
      <c r="O124" s="343" t="s">
        <v>65</v>
      </c>
      <c r="P124" s="88"/>
      <c r="Q124" s="93"/>
      <c r="R124" s="93"/>
      <c r="S124" s="89"/>
      <c r="T124" s="93"/>
      <c r="U124" s="212">
        <f t="shared" ref="U124:U187" si="72">SUM(P124:T124)</f>
        <v>0</v>
      </c>
      <c r="V124" s="281"/>
      <c r="W124" s="282"/>
      <c r="X124" s="352"/>
      <c r="Y124" s="210" t="s">
        <v>85</v>
      </c>
      <c r="Z124" s="72"/>
      <c r="AA124" s="323"/>
      <c r="AB124" s="323"/>
      <c r="AC124" s="324"/>
      <c r="AD124" s="93"/>
      <c r="AE124" s="81">
        <f t="shared" ref="AE124:AE187" si="73">SUM(Z124:AD124)</f>
        <v>0</v>
      </c>
      <c r="AF124" s="72"/>
      <c r="AG124" s="324"/>
      <c r="AH124" s="361"/>
      <c r="AI124" s="98"/>
      <c r="AJ124" s="95"/>
      <c r="AK124" s="215"/>
      <c r="AL124" s="206"/>
      <c r="AM124" s="83"/>
      <c r="AN124" s="206"/>
      <c r="AO124" s="83"/>
      <c r="AP124" s="206"/>
      <c r="AQ124" s="83"/>
      <c r="AR124" s="13">
        <f t="shared" ref="AR124:AR187" si="74">K124+ROW()*0.0000001</f>
        <v>1.24E-5</v>
      </c>
      <c r="AS124" s="13">
        <f t="shared" ref="AS124:AS187" si="75">B124</f>
        <v>0</v>
      </c>
      <c r="AT124" s="13"/>
      <c r="AU124" s="160">
        <v>129</v>
      </c>
      <c r="AV124" s="191">
        <f t="shared" si="57"/>
        <v>2.8199999999999998E-5</v>
      </c>
      <c r="AW124" s="160">
        <f t="shared" ref="AW124:AW187" si="76">IFERROR(VLOOKUP(AV124,الترتيب1,2,0),"")</f>
        <v>0</v>
      </c>
      <c r="AX124" s="219">
        <f t="shared" ref="AX124:AX187" si="77">U124+ROW()*0.0000001</f>
        <v>1.24E-5</v>
      </c>
      <c r="AY124" s="13">
        <f t="shared" si="53"/>
        <v>0</v>
      </c>
      <c r="AZ124" s="160">
        <v>129</v>
      </c>
      <c r="BA124" s="77">
        <f t="shared" si="58"/>
        <v>2.6799999999999998E-5</v>
      </c>
      <c r="BB124" s="192">
        <f t="shared" ref="BB124:BB187" si="78">IFERROR(VLOOKUP(BA124,الترتيب2,2,0),"")</f>
        <v>0</v>
      </c>
      <c r="BC124" s="219">
        <f t="shared" si="54"/>
        <v>1.24E-5</v>
      </c>
      <c r="BD124" s="13">
        <f t="shared" si="55"/>
        <v>0</v>
      </c>
      <c r="BE124" s="160">
        <v>129</v>
      </c>
      <c r="BF124" s="77">
        <f t="shared" si="59"/>
        <v>2.6799999999999998E-5</v>
      </c>
      <c r="BG124" s="192">
        <f t="shared" ref="BG124:BG187" si="79">IFERROR(VLOOKUP(BF124,الترتيب3,2,0),"")</f>
        <v>0</v>
      </c>
      <c r="BI124" s="120"/>
      <c r="BJ124" s="120"/>
      <c r="BK124" s="160"/>
      <c r="BL124" s="160"/>
      <c r="BM124" s="161" t="str">
        <f t="shared" si="61"/>
        <v/>
      </c>
      <c r="BN124" s="161" t="str">
        <f t="shared" si="62"/>
        <v/>
      </c>
      <c r="BO124" s="161" t="str">
        <f t="shared" si="63"/>
        <v/>
      </c>
      <c r="BP124" s="161" t="str">
        <f t="shared" si="64"/>
        <v/>
      </c>
      <c r="BQ124" s="161" t="str">
        <f t="shared" si="65"/>
        <v/>
      </c>
      <c r="BR124" s="161" t="str">
        <f t="shared" si="66"/>
        <v/>
      </c>
      <c r="BS124" s="161" t="str">
        <f t="shared" si="67"/>
        <v/>
      </c>
      <c r="BT124" s="161" t="str">
        <f t="shared" si="56"/>
        <v/>
      </c>
      <c r="BU124" s="161" t="str">
        <f t="shared" si="68"/>
        <v/>
      </c>
      <c r="BV124" s="161" t="str">
        <f t="shared" si="69"/>
        <v/>
      </c>
      <c r="BW124" s="161" t="str">
        <f t="shared" si="70"/>
        <v/>
      </c>
      <c r="BX124" s="161" t="str">
        <f t="shared" si="60"/>
        <v/>
      </c>
      <c r="BY124" s="148"/>
      <c r="BZ124" s="148"/>
      <c r="CA124" s="148"/>
      <c r="CB124" s="148" t="s">
        <v>149</v>
      </c>
      <c r="CC124" s="148"/>
    </row>
    <row r="125" spans="1:81" ht="14.25" customHeight="1" thickBot="1">
      <c r="A125" s="190">
        <v>115</v>
      </c>
      <c r="B125" s="79"/>
      <c r="C125" s="179"/>
      <c r="D125" s="137"/>
      <c r="E125" s="198"/>
      <c r="F125" s="199"/>
      <c r="G125" s="200"/>
      <c r="H125" s="200"/>
      <c r="I125" s="200"/>
      <c r="J125" s="200"/>
      <c r="K125" s="201">
        <f t="shared" si="71"/>
        <v>0</v>
      </c>
      <c r="L125" s="277"/>
      <c r="M125" s="278"/>
      <c r="N125" s="350"/>
      <c r="O125" s="341" t="s">
        <v>65</v>
      </c>
      <c r="P125" s="189"/>
      <c r="Q125" s="326"/>
      <c r="R125" s="326"/>
      <c r="S125" s="87"/>
      <c r="T125" s="207"/>
      <c r="U125" s="225">
        <f t="shared" si="72"/>
        <v>0</v>
      </c>
      <c r="V125" s="277"/>
      <c r="W125" s="278"/>
      <c r="X125" s="350"/>
      <c r="Y125" s="208" t="s">
        <v>147</v>
      </c>
      <c r="Z125" s="11"/>
      <c r="AA125" s="207"/>
      <c r="AB125" s="207"/>
      <c r="AC125" s="3"/>
      <c r="AD125" s="207"/>
      <c r="AE125" s="226">
        <f t="shared" si="73"/>
        <v>0</v>
      </c>
      <c r="AF125" s="11"/>
      <c r="AG125" s="3"/>
      <c r="AH125" s="359"/>
      <c r="AI125" s="96"/>
      <c r="AJ125" s="94"/>
      <c r="AK125" s="214"/>
      <c r="AL125" s="213"/>
      <c r="AM125" s="82"/>
      <c r="AN125" s="213"/>
      <c r="AO125" s="82"/>
      <c r="AP125" s="213"/>
      <c r="AQ125" s="82"/>
      <c r="AR125" s="13">
        <f t="shared" si="74"/>
        <v>1.2499999999999999E-5</v>
      </c>
      <c r="AS125" s="13">
        <f t="shared" si="75"/>
        <v>0</v>
      </c>
      <c r="AT125" s="13"/>
      <c r="AU125" s="160">
        <v>130</v>
      </c>
      <c r="AV125" s="191">
        <f t="shared" si="57"/>
        <v>2.8099999999999999E-5</v>
      </c>
      <c r="AW125" s="160">
        <f t="shared" si="76"/>
        <v>0</v>
      </c>
      <c r="AX125" s="219">
        <f t="shared" si="77"/>
        <v>1.2499999999999999E-5</v>
      </c>
      <c r="AY125" s="13">
        <f t="shared" ref="AY125:AY188" si="80">AS125</f>
        <v>0</v>
      </c>
      <c r="AZ125" s="160">
        <v>130</v>
      </c>
      <c r="BA125" s="77">
        <f t="shared" si="58"/>
        <v>2.6699999999999998E-5</v>
      </c>
      <c r="BB125" s="192">
        <f t="shared" si="78"/>
        <v>0</v>
      </c>
      <c r="BC125" s="219">
        <f t="shared" ref="BC125:BC188" si="81">AE125+ROW()*0.0000001</f>
        <v>1.2499999999999999E-5</v>
      </c>
      <c r="BD125" s="13">
        <f t="shared" ref="BD125:BD188" si="82">AY125</f>
        <v>0</v>
      </c>
      <c r="BE125" s="160">
        <v>130</v>
      </c>
      <c r="BF125" s="77">
        <f t="shared" si="59"/>
        <v>2.6699999999999998E-5</v>
      </c>
      <c r="BG125" s="192">
        <f t="shared" si="79"/>
        <v>0</v>
      </c>
      <c r="BI125" s="120"/>
      <c r="BJ125" s="120"/>
      <c r="BK125" s="160"/>
      <c r="BL125" s="160"/>
      <c r="BM125" s="161" t="str">
        <f t="shared" si="61"/>
        <v/>
      </c>
      <c r="BN125" s="161" t="str">
        <f t="shared" si="62"/>
        <v/>
      </c>
      <c r="BO125" s="161" t="str">
        <f t="shared" si="63"/>
        <v/>
      </c>
      <c r="BP125" s="161" t="str">
        <f t="shared" si="64"/>
        <v/>
      </c>
      <c r="BQ125" s="161" t="str">
        <f t="shared" si="65"/>
        <v/>
      </c>
      <c r="BR125" s="161" t="str">
        <f t="shared" si="66"/>
        <v/>
      </c>
      <c r="BS125" s="161" t="str">
        <f t="shared" si="67"/>
        <v/>
      </c>
      <c r="BT125" s="161" t="str">
        <f t="shared" ref="BT125:BT188" si="83">MID($BK125,5,1)</f>
        <v/>
      </c>
      <c r="BU125" s="161" t="str">
        <f t="shared" si="68"/>
        <v/>
      </c>
      <c r="BV125" s="161" t="str">
        <f t="shared" si="69"/>
        <v/>
      </c>
      <c r="BW125" s="161" t="str">
        <f t="shared" si="70"/>
        <v/>
      </c>
      <c r="BX125" s="161" t="str">
        <f t="shared" si="60"/>
        <v/>
      </c>
      <c r="BY125" s="148"/>
      <c r="BZ125" s="148"/>
      <c r="CA125" s="148"/>
      <c r="CB125" s="148" t="s">
        <v>149</v>
      </c>
      <c r="CC125" s="148"/>
    </row>
    <row r="126" spans="1:81" ht="14.25" customHeight="1" thickBot="1">
      <c r="A126" s="190">
        <v>116</v>
      </c>
      <c r="B126" s="196"/>
      <c r="C126" s="180"/>
      <c r="D126" s="136"/>
      <c r="E126" s="91"/>
      <c r="F126" s="187"/>
      <c r="G126" s="188"/>
      <c r="H126" s="188"/>
      <c r="I126" s="188"/>
      <c r="J126" s="188"/>
      <c r="K126" s="18">
        <f t="shared" si="71"/>
        <v>0</v>
      </c>
      <c r="L126" s="279"/>
      <c r="M126" s="280"/>
      <c r="N126" s="351"/>
      <c r="O126" s="342" t="s">
        <v>65</v>
      </c>
      <c r="P126" s="187"/>
      <c r="Q126" s="188"/>
      <c r="R126" s="188"/>
      <c r="S126" s="119"/>
      <c r="T126" s="188"/>
      <c r="U126" s="211">
        <f t="shared" si="72"/>
        <v>0</v>
      </c>
      <c r="V126" s="279"/>
      <c r="W126" s="280"/>
      <c r="X126" s="351"/>
      <c r="Y126" s="209" t="s">
        <v>85</v>
      </c>
      <c r="Z126" s="71"/>
      <c r="AA126" s="321"/>
      <c r="AB126" s="321"/>
      <c r="AC126" s="322"/>
      <c r="AD126" s="188"/>
      <c r="AE126" s="18">
        <f t="shared" si="73"/>
        <v>0</v>
      </c>
      <c r="AF126" s="71"/>
      <c r="AG126" s="322"/>
      <c r="AH126" s="360"/>
      <c r="AI126" s="97"/>
      <c r="AJ126" s="194"/>
      <c r="AK126" s="193"/>
      <c r="AL126" s="205"/>
      <c r="AM126" s="197"/>
      <c r="AN126" s="205"/>
      <c r="AO126" s="197"/>
      <c r="AP126" s="205"/>
      <c r="AQ126" s="197"/>
      <c r="AR126" s="13">
        <f t="shared" si="74"/>
        <v>1.26E-5</v>
      </c>
      <c r="AS126" s="13">
        <f t="shared" si="75"/>
        <v>0</v>
      </c>
      <c r="AT126" s="13"/>
      <c r="AU126" s="160">
        <v>131</v>
      </c>
      <c r="AV126" s="191">
        <f t="shared" si="57"/>
        <v>2.8E-5</v>
      </c>
      <c r="AW126" s="160">
        <f t="shared" si="76"/>
        <v>0</v>
      </c>
      <c r="AX126" s="219">
        <f t="shared" si="77"/>
        <v>1.26E-5</v>
      </c>
      <c r="AY126" s="13">
        <f t="shared" si="80"/>
        <v>0</v>
      </c>
      <c r="AZ126" s="160">
        <v>131</v>
      </c>
      <c r="BA126" s="77">
        <f t="shared" si="58"/>
        <v>2.6599999999999999E-5</v>
      </c>
      <c r="BB126" s="192">
        <f t="shared" si="78"/>
        <v>0</v>
      </c>
      <c r="BC126" s="219">
        <f t="shared" si="81"/>
        <v>1.26E-5</v>
      </c>
      <c r="BD126" s="13">
        <f t="shared" si="82"/>
        <v>0</v>
      </c>
      <c r="BE126" s="160">
        <v>131</v>
      </c>
      <c r="BF126" s="77">
        <f t="shared" si="59"/>
        <v>2.6599999999999999E-5</v>
      </c>
      <c r="BG126" s="192">
        <f t="shared" si="79"/>
        <v>0</v>
      </c>
      <c r="BI126" s="120"/>
      <c r="BJ126" s="120"/>
      <c r="BK126" s="160"/>
      <c r="BL126" s="160"/>
      <c r="BM126" s="161" t="str">
        <f t="shared" si="61"/>
        <v/>
      </c>
      <c r="BN126" s="161" t="str">
        <f t="shared" si="62"/>
        <v/>
      </c>
      <c r="BO126" s="161" t="str">
        <f t="shared" si="63"/>
        <v/>
      </c>
      <c r="BP126" s="161" t="str">
        <f t="shared" si="64"/>
        <v/>
      </c>
      <c r="BQ126" s="161" t="str">
        <f t="shared" si="65"/>
        <v/>
      </c>
      <c r="BR126" s="161" t="str">
        <f t="shared" si="66"/>
        <v/>
      </c>
      <c r="BS126" s="161" t="str">
        <f t="shared" si="67"/>
        <v/>
      </c>
      <c r="BT126" s="161" t="str">
        <f t="shared" si="83"/>
        <v/>
      </c>
      <c r="BU126" s="161" t="str">
        <f t="shared" si="68"/>
        <v/>
      </c>
      <c r="BV126" s="161" t="str">
        <f t="shared" si="69"/>
        <v/>
      </c>
      <c r="BW126" s="161" t="str">
        <f t="shared" si="70"/>
        <v/>
      </c>
      <c r="BX126" s="161" t="str">
        <f t="shared" si="60"/>
        <v/>
      </c>
      <c r="BY126" s="148"/>
      <c r="BZ126" s="148"/>
      <c r="CA126" s="148"/>
      <c r="CB126" s="148" t="s">
        <v>149</v>
      </c>
      <c r="CC126" s="148"/>
    </row>
    <row r="127" spans="1:81" ht="14.25" customHeight="1" thickBot="1">
      <c r="A127" s="190">
        <v>117</v>
      </c>
      <c r="B127" s="78"/>
      <c r="C127" s="181"/>
      <c r="D127" s="86"/>
      <c r="E127" s="92"/>
      <c r="F127" s="88"/>
      <c r="G127" s="93"/>
      <c r="H127" s="93"/>
      <c r="I127" s="93"/>
      <c r="J127" s="93"/>
      <c r="K127" s="81">
        <f t="shared" si="71"/>
        <v>0</v>
      </c>
      <c r="L127" s="281"/>
      <c r="M127" s="282"/>
      <c r="N127" s="352"/>
      <c r="O127" s="343" t="s">
        <v>65</v>
      </c>
      <c r="P127" s="88"/>
      <c r="Q127" s="93"/>
      <c r="R127" s="93"/>
      <c r="S127" s="89"/>
      <c r="T127" s="93"/>
      <c r="U127" s="212">
        <f t="shared" si="72"/>
        <v>0</v>
      </c>
      <c r="V127" s="281"/>
      <c r="W127" s="282"/>
      <c r="X127" s="352"/>
      <c r="Y127" s="210" t="s">
        <v>85</v>
      </c>
      <c r="Z127" s="72"/>
      <c r="AA127" s="323"/>
      <c r="AB127" s="323"/>
      <c r="AC127" s="324"/>
      <c r="AD127" s="93"/>
      <c r="AE127" s="81">
        <f t="shared" si="73"/>
        <v>0</v>
      </c>
      <c r="AF127" s="72"/>
      <c r="AG127" s="324"/>
      <c r="AH127" s="361"/>
      <c r="AI127" s="98"/>
      <c r="AJ127" s="95"/>
      <c r="AK127" s="215"/>
      <c r="AL127" s="206"/>
      <c r="AM127" s="83"/>
      <c r="AN127" s="206"/>
      <c r="AO127" s="83"/>
      <c r="AP127" s="206"/>
      <c r="AQ127" s="83"/>
      <c r="AR127" s="13">
        <f t="shared" si="74"/>
        <v>1.2699999999999999E-5</v>
      </c>
      <c r="AS127" s="13">
        <f t="shared" si="75"/>
        <v>0</v>
      </c>
      <c r="AT127" s="13"/>
      <c r="AU127" s="160">
        <v>132</v>
      </c>
      <c r="AV127" s="191">
        <f t="shared" si="57"/>
        <v>2.7899999999999997E-5</v>
      </c>
      <c r="AW127" s="160">
        <f t="shared" si="76"/>
        <v>0</v>
      </c>
      <c r="AX127" s="219">
        <f t="shared" si="77"/>
        <v>1.2699999999999999E-5</v>
      </c>
      <c r="AY127" s="13">
        <f t="shared" si="80"/>
        <v>0</v>
      </c>
      <c r="AZ127" s="160">
        <v>132</v>
      </c>
      <c r="BA127" s="77">
        <f t="shared" si="58"/>
        <v>2.65E-5</v>
      </c>
      <c r="BB127" s="192">
        <f t="shared" si="78"/>
        <v>0</v>
      </c>
      <c r="BC127" s="219">
        <f t="shared" si="81"/>
        <v>1.2699999999999999E-5</v>
      </c>
      <c r="BD127" s="13">
        <f t="shared" si="82"/>
        <v>0</v>
      </c>
      <c r="BE127" s="160">
        <v>132</v>
      </c>
      <c r="BF127" s="77">
        <f t="shared" si="59"/>
        <v>2.65E-5</v>
      </c>
      <c r="BG127" s="192">
        <f t="shared" si="79"/>
        <v>0</v>
      </c>
      <c r="BI127" s="120"/>
      <c r="BJ127" s="120"/>
      <c r="BK127" s="160"/>
      <c r="BL127" s="160"/>
      <c r="BM127" s="161" t="str">
        <f t="shared" si="61"/>
        <v/>
      </c>
      <c r="BN127" s="161" t="str">
        <f t="shared" si="62"/>
        <v/>
      </c>
      <c r="BO127" s="161" t="str">
        <f t="shared" si="63"/>
        <v/>
      </c>
      <c r="BP127" s="161" t="str">
        <f t="shared" si="64"/>
        <v/>
      </c>
      <c r="BQ127" s="161" t="str">
        <f t="shared" si="65"/>
        <v/>
      </c>
      <c r="BR127" s="161" t="str">
        <f t="shared" si="66"/>
        <v/>
      </c>
      <c r="BS127" s="161" t="str">
        <f t="shared" si="67"/>
        <v/>
      </c>
      <c r="BT127" s="161" t="str">
        <f t="shared" si="83"/>
        <v/>
      </c>
      <c r="BU127" s="161" t="str">
        <f t="shared" si="68"/>
        <v/>
      </c>
      <c r="BV127" s="161" t="str">
        <f t="shared" si="69"/>
        <v/>
      </c>
      <c r="BW127" s="161" t="str">
        <f t="shared" si="70"/>
        <v/>
      </c>
      <c r="BX127" s="161" t="str">
        <f t="shared" si="60"/>
        <v/>
      </c>
      <c r="BY127" s="148"/>
      <c r="BZ127" s="148"/>
      <c r="CA127" s="148"/>
      <c r="CB127" s="148" t="s">
        <v>149</v>
      </c>
      <c r="CC127" s="148"/>
    </row>
    <row r="128" spans="1:81" ht="14.25" customHeight="1" thickBot="1">
      <c r="A128" s="190">
        <v>118</v>
      </c>
      <c r="B128" s="79"/>
      <c r="C128" s="179"/>
      <c r="D128" s="137"/>
      <c r="E128" s="198"/>
      <c r="F128" s="199"/>
      <c r="G128" s="200"/>
      <c r="H128" s="200"/>
      <c r="I128" s="200"/>
      <c r="J128" s="200"/>
      <c r="K128" s="201">
        <f t="shared" si="71"/>
        <v>0</v>
      </c>
      <c r="L128" s="277"/>
      <c r="M128" s="278"/>
      <c r="N128" s="350"/>
      <c r="O128" s="341" t="s">
        <v>65</v>
      </c>
      <c r="P128" s="189"/>
      <c r="Q128" s="326"/>
      <c r="R128" s="326"/>
      <c r="S128" s="87"/>
      <c r="T128" s="207"/>
      <c r="U128" s="225">
        <f t="shared" si="72"/>
        <v>0</v>
      </c>
      <c r="V128" s="277"/>
      <c r="W128" s="278"/>
      <c r="X128" s="350"/>
      <c r="Y128" s="208" t="s">
        <v>147</v>
      </c>
      <c r="Z128" s="11"/>
      <c r="AA128" s="207"/>
      <c r="AB128" s="207"/>
      <c r="AC128" s="3"/>
      <c r="AD128" s="207"/>
      <c r="AE128" s="226">
        <f t="shared" si="73"/>
        <v>0</v>
      </c>
      <c r="AF128" s="11"/>
      <c r="AG128" s="3"/>
      <c r="AH128" s="359"/>
      <c r="AI128" s="96"/>
      <c r="AJ128" s="94"/>
      <c r="AK128" s="214"/>
      <c r="AL128" s="213"/>
      <c r="AM128" s="82"/>
      <c r="AN128" s="213"/>
      <c r="AO128" s="82"/>
      <c r="AP128" s="213"/>
      <c r="AQ128" s="82"/>
      <c r="AR128" s="13">
        <f t="shared" si="74"/>
        <v>1.2799999999999999E-5</v>
      </c>
      <c r="AS128" s="13">
        <f t="shared" si="75"/>
        <v>0</v>
      </c>
      <c r="AT128" s="13"/>
      <c r="AU128" s="160">
        <v>133</v>
      </c>
      <c r="AV128" s="191">
        <f t="shared" si="57"/>
        <v>2.7799999999999998E-5</v>
      </c>
      <c r="AW128" s="160">
        <f t="shared" si="76"/>
        <v>0</v>
      </c>
      <c r="AX128" s="219">
        <f t="shared" si="77"/>
        <v>1.2799999999999999E-5</v>
      </c>
      <c r="AY128" s="13">
        <f t="shared" si="80"/>
        <v>0</v>
      </c>
      <c r="AZ128" s="160">
        <v>133</v>
      </c>
      <c r="BA128" s="77">
        <f t="shared" si="58"/>
        <v>2.6399999999999998E-5</v>
      </c>
      <c r="BB128" s="192">
        <f t="shared" si="78"/>
        <v>0</v>
      </c>
      <c r="BC128" s="219">
        <f t="shared" si="81"/>
        <v>1.2799999999999999E-5</v>
      </c>
      <c r="BD128" s="13">
        <f t="shared" si="82"/>
        <v>0</v>
      </c>
      <c r="BE128" s="160">
        <v>133</v>
      </c>
      <c r="BF128" s="77">
        <f t="shared" si="59"/>
        <v>2.6399999999999998E-5</v>
      </c>
      <c r="BG128" s="192">
        <f t="shared" si="79"/>
        <v>0</v>
      </c>
      <c r="BI128" s="120"/>
      <c r="BJ128" s="120"/>
      <c r="BK128" s="160"/>
      <c r="BL128" s="160"/>
      <c r="BM128" s="161" t="str">
        <f t="shared" si="61"/>
        <v/>
      </c>
      <c r="BN128" s="161" t="str">
        <f t="shared" si="62"/>
        <v/>
      </c>
      <c r="BO128" s="161" t="str">
        <f t="shared" si="63"/>
        <v/>
      </c>
      <c r="BP128" s="161" t="str">
        <f t="shared" si="64"/>
        <v/>
      </c>
      <c r="BQ128" s="161" t="str">
        <f t="shared" si="65"/>
        <v/>
      </c>
      <c r="BR128" s="161" t="str">
        <f t="shared" si="66"/>
        <v/>
      </c>
      <c r="BS128" s="161" t="str">
        <f t="shared" si="67"/>
        <v/>
      </c>
      <c r="BT128" s="161" t="str">
        <f t="shared" si="83"/>
        <v/>
      </c>
      <c r="BU128" s="161" t="str">
        <f t="shared" si="68"/>
        <v/>
      </c>
      <c r="BV128" s="161" t="str">
        <f t="shared" si="69"/>
        <v/>
      </c>
      <c r="BW128" s="161" t="str">
        <f t="shared" si="70"/>
        <v/>
      </c>
      <c r="BX128" s="161" t="str">
        <f t="shared" si="60"/>
        <v/>
      </c>
      <c r="BY128" s="148"/>
      <c r="BZ128" s="148"/>
      <c r="CA128" s="148"/>
      <c r="CB128" s="148" t="s">
        <v>149</v>
      </c>
      <c r="CC128" s="148"/>
    </row>
    <row r="129" spans="1:81" ht="14.25" customHeight="1" thickBot="1">
      <c r="A129" s="190">
        <v>119</v>
      </c>
      <c r="B129" s="196"/>
      <c r="C129" s="180"/>
      <c r="D129" s="136"/>
      <c r="E129" s="91"/>
      <c r="F129" s="187"/>
      <c r="G129" s="188"/>
      <c r="H129" s="188"/>
      <c r="I129" s="188"/>
      <c r="J129" s="188"/>
      <c r="K129" s="18">
        <f t="shared" si="71"/>
        <v>0</v>
      </c>
      <c r="L129" s="279"/>
      <c r="M129" s="280"/>
      <c r="N129" s="351"/>
      <c r="O129" s="342" t="s">
        <v>65</v>
      </c>
      <c r="P129" s="187"/>
      <c r="Q129" s="188"/>
      <c r="R129" s="188"/>
      <c r="S129" s="119"/>
      <c r="T129" s="188"/>
      <c r="U129" s="211">
        <f t="shared" si="72"/>
        <v>0</v>
      </c>
      <c r="V129" s="279"/>
      <c r="W129" s="280"/>
      <c r="X129" s="351"/>
      <c r="Y129" s="209" t="s">
        <v>85</v>
      </c>
      <c r="Z129" s="71"/>
      <c r="AA129" s="321"/>
      <c r="AB129" s="321"/>
      <c r="AC129" s="322"/>
      <c r="AD129" s="188"/>
      <c r="AE129" s="18">
        <f t="shared" si="73"/>
        <v>0</v>
      </c>
      <c r="AF129" s="71"/>
      <c r="AG129" s="322"/>
      <c r="AH129" s="360"/>
      <c r="AI129" s="97"/>
      <c r="AJ129" s="194"/>
      <c r="AK129" s="193"/>
      <c r="AL129" s="205"/>
      <c r="AM129" s="197"/>
      <c r="AN129" s="205"/>
      <c r="AO129" s="197"/>
      <c r="AP129" s="205"/>
      <c r="AQ129" s="197"/>
      <c r="AR129" s="13">
        <f t="shared" si="74"/>
        <v>1.29E-5</v>
      </c>
      <c r="AS129" s="13">
        <f t="shared" si="75"/>
        <v>0</v>
      </c>
      <c r="AT129" s="13"/>
      <c r="AU129" s="160">
        <v>134</v>
      </c>
      <c r="AV129" s="191">
        <f t="shared" si="57"/>
        <v>2.7699999999999999E-5</v>
      </c>
      <c r="AW129" s="160">
        <f t="shared" si="76"/>
        <v>0</v>
      </c>
      <c r="AX129" s="219">
        <f t="shared" si="77"/>
        <v>1.29E-5</v>
      </c>
      <c r="AY129" s="13">
        <f t="shared" si="80"/>
        <v>0</v>
      </c>
      <c r="AZ129" s="160">
        <v>134</v>
      </c>
      <c r="BA129" s="77">
        <f t="shared" si="58"/>
        <v>2.6299999999999999E-5</v>
      </c>
      <c r="BB129" s="192">
        <f t="shared" si="78"/>
        <v>0</v>
      </c>
      <c r="BC129" s="219">
        <f t="shared" si="81"/>
        <v>1.29E-5</v>
      </c>
      <c r="BD129" s="13">
        <f t="shared" si="82"/>
        <v>0</v>
      </c>
      <c r="BE129" s="160">
        <v>134</v>
      </c>
      <c r="BF129" s="77">
        <f t="shared" si="59"/>
        <v>2.6299999999999999E-5</v>
      </c>
      <c r="BG129" s="192">
        <f t="shared" si="79"/>
        <v>0</v>
      </c>
      <c r="BI129" s="120"/>
      <c r="BJ129" s="120"/>
      <c r="BK129" s="160"/>
      <c r="BL129" s="160"/>
      <c r="BM129" s="161" t="str">
        <f t="shared" si="61"/>
        <v/>
      </c>
      <c r="BN129" s="161" t="str">
        <f t="shared" si="62"/>
        <v/>
      </c>
      <c r="BO129" s="161" t="str">
        <f t="shared" si="63"/>
        <v/>
      </c>
      <c r="BP129" s="161" t="str">
        <f t="shared" si="64"/>
        <v/>
      </c>
      <c r="BQ129" s="161" t="str">
        <f t="shared" si="65"/>
        <v/>
      </c>
      <c r="BR129" s="161" t="str">
        <f t="shared" si="66"/>
        <v/>
      </c>
      <c r="BS129" s="161" t="str">
        <f t="shared" si="67"/>
        <v/>
      </c>
      <c r="BT129" s="161" t="str">
        <f t="shared" si="83"/>
        <v/>
      </c>
      <c r="BU129" s="161" t="str">
        <f t="shared" si="68"/>
        <v/>
      </c>
      <c r="BV129" s="161" t="str">
        <f t="shared" si="69"/>
        <v/>
      </c>
      <c r="BW129" s="161" t="str">
        <f t="shared" si="70"/>
        <v/>
      </c>
      <c r="BX129" s="161" t="str">
        <f t="shared" si="60"/>
        <v/>
      </c>
      <c r="BY129" s="148"/>
      <c r="BZ129" s="148"/>
      <c r="CA129" s="148"/>
      <c r="CB129" s="148" t="s">
        <v>149</v>
      </c>
      <c r="CC129" s="148"/>
    </row>
    <row r="130" spans="1:81" ht="14.25" customHeight="1" thickBot="1">
      <c r="A130" s="190">
        <v>120</v>
      </c>
      <c r="B130" s="78"/>
      <c r="C130" s="181"/>
      <c r="D130" s="86"/>
      <c r="E130" s="92"/>
      <c r="F130" s="88"/>
      <c r="G130" s="93"/>
      <c r="H130" s="93"/>
      <c r="I130" s="93"/>
      <c r="J130" s="93"/>
      <c r="K130" s="81">
        <f t="shared" si="71"/>
        <v>0</v>
      </c>
      <c r="L130" s="281"/>
      <c r="M130" s="282"/>
      <c r="N130" s="352"/>
      <c r="O130" s="343" t="s">
        <v>65</v>
      </c>
      <c r="P130" s="88"/>
      <c r="Q130" s="93"/>
      <c r="R130" s="93"/>
      <c r="S130" s="89"/>
      <c r="T130" s="93"/>
      <c r="U130" s="212">
        <f t="shared" si="72"/>
        <v>0</v>
      </c>
      <c r="V130" s="281"/>
      <c r="W130" s="282"/>
      <c r="X130" s="352"/>
      <c r="Y130" s="210" t="s">
        <v>85</v>
      </c>
      <c r="Z130" s="72"/>
      <c r="AA130" s="323"/>
      <c r="AB130" s="323"/>
      <c r="AC130" s="324"/>
      <c r="AD130" s="93"/>
      <c r="AE130" s="81">
        <f t="shared" si="73"/>
        <v>0</v>
      </c>
      <c r="AF130" s="72"/>
      <c r="AG130" s="324"/>
      <c r="AH130" s="361"/>
      <c r="AI130" s="98"/>
      <c r="AJ130" s="95"/>
      <c r="AK130" s="215"/>
      <c r="AL130" s="206"/>
      <c r="AM130" s="83"/>
      <c r="AN130" s="206"/>
      <c r="AO130" s="83"/>
      <c r="AP130" s="206"/>
      <c r="AQ130" s="83"/>
      <c r="AR130" s="13">
        <f t="shared" si="74"/>
        <v>1.2999999999999999E-5</v>
      </c>
      <c r="AS130" s="13">
        <f t="shared" si="75"/>
        <v>0</v>
      </c>
      <c r="AT130" s="13"/>
      <c r="AU130" s="160">
        <v>135</v>
      </c>
      <c r="AV130" s="191">
        <f t="shared" si="57"/>
        <v>2.76E-5</v>
      </c>
      <c r="AW130" s="160">
        <f t="shared" si="76"/>
        <v>0</v>
      </c>
      <c r="AX130" s="219">
        <f t="shared" si="77"/>
        <v>1.2999999999999999E-5</v>
      </c>
      <c r="AY130" s="13">
        <f t="shared" si="80"/>
        <v>0</v>
      </c>
      <c r="AZ130" s="160">
        <v>135</v>
      </c>
      <c r="BA130" s="77">
        <f t="shared" si="58"/>
        <v>2.62E-5</v>
      </c>
      <c r="BB130" s="192">
        <f t="shared" si="78"/>
        <v>0</v>
      </c>
      <c r="BC130" s="219">
        <f t="shared" si="81"/>
        <v>1.2999999999999999E-5</v>
      </c>
      <c r="BD130" s="13">
        <f t="shared" si="82"/>
        <v>0</v>
      </c>
      <c r="BE130" s="160">
        <v>135</v>
      </c>
      <c r="BF130" s="77">
        <f t="shared" si="59"/>
        <v>2.62E-5</v>
      </c>
      <c r="BG130" s="192">
        <f t="shared" si="79"/>
        <v>0</v>
      </c>
      <c r="BI130" s="120"/>
      <c r="BJ130" s="120"/>
      <c r="BK130" s="160"/>
      <c r="BL130" s="160"/>
      <c r="BM130" s="161" t="str">
        <f t="shared" si="61"/>
        <v/>
      </c>
      <c r="BN130" s="161" t="str">
        <f t="shared" si="62"/>
        <v/>
      </c>
      <c r="BO130" s="161" t="str">
        <f t="shared" si="63"/>
        <v/>
      </c>
      <c r="BP130" s="161" t="str">
        <f t="shared" si="64"/>
        <v/>
      </c>
      <c r="BQ130" s="161" t="str">
        <f t="shared" si="65"/>
        <v/>
      </c>
      <c r="BR130" s="161" t="str">
        <f t="shared" si="66"/>
        <v/>
      </c>
      <c r="BS130" s="161" t="str">
        <f t="shared" si="67"/>
        <v/>
      </c>
      <c r="BT130" s="161" t="str">
        <f t="shared" si="83"/>
        <v/>
      </c>
      <c r="BU130" s="161" t="str">
        <f t="shared" si="68"/>
        <v/>
      </c>
      <c r="BV130" s="161" t="str">
        <f t="shared" si="69"/>
        <v/>
      </c>
      <c r="BW130" s="161" t="str">
        <f t="shared" si="70"/>
        <v/>
      </c>
      <c r="BX130" s="161" t="str">
        <f t="shared" si="60"/>
        <v/>
      </c>
      <c r="BY130" s="148"/>
      <c r="BZ130" s="148"/>
      <c r="CA130" s="148"/>
      <c r="CB130" s="148" t="s">
        <v>149</v>
      </c>
      <c r="CC130" s="148"/>
    </row>
    <row r="131" spans="1:81" ht="14.25" customHeight="1" thickBot="1">
      <c r="A131" s="190">
        <v>121</v>
      </c>
      <c r="B131" s="79"/>
      <c r="C131" s="179"/>
      <c r="D131" s="137"/>
      <c r="E131" s="198"/>
      <c r="F131" s="199"/>
      <c r="G131" s="200"/>
      <c r="H131" s="200"/>
      <c r="I131" s="200"/>
      <c r="J131" s="200"/>
      <c r="K131" s="201">
        <f t="shared" si="71"/>
        <v>0</v>
      </c>
      <c r="L131" s="277"/>
      <c r="M131" s="278"/>
      <c r="N131" s="350"/>
      <c r="O131" s="341" t="s">
        <v>65</v>
      </c>
      <c r="P131" s="189"/>
      <c r="Q131" s="326"/>
      <c r="R131" s="326"/>
      <c r="S131" s="87"/>
      <c r="T131" s="207"/>
      <c r="U131" s="225">
        <f t="shared" si="72"/>
        <v>0</v>
      </c>
      <c r="V131" s="277"/>
      <c r="W131" s="278"/>
      <c r="X131" s="350"/>
      <c r="Y131" s="208" t="s">
        <v>147</v>
      </c>
      <c r="Z131" s="11"/>
      <c r="AA131" s="207"/>
      <c r="AB131" s="207"/>
      <c r="AC131" s="3"/>
      <c r="AD131" s="207"/>
      <c r="AE131" s="226">
        <f t="shared" si="73"/>
        <v>0</v>
      </c>
      <c r="AF131" s="11"/>
      <c r="AG131" s="3"/>
      <c r="AH131" s="359"/>
      <c r="AI131" s="96"/>
      <c r="AJ131" s="94"/>
      <c r="AK131" s="214"/>
      <c r="AL131" s="213"/>
      <c r="AM131" s="82"/>
      <c r="AN131" s="213"/>
      <c r="AO131" s="82"/>
      <c r="AP131" s="213"/>
      <c r="AQ131" s="82"/>
      <c r="AR131" s="13">
        <f t="shared" si="74"/>
        <v>1.31E-5</v>
      </c>
      <c r="AS131" s="13">
        <f t="shared" si="75"/>
        <v>0</v>
      </c>
      <c r="AT131" s="13"/>
      <c r="AU131" s="160">
        <v>136</v>
      </c>
      <c r="AV131" s="191">
        <f t="shared" si="57"/>
        <v>2.7499999999999998E-5</v>
      </c>
      <c r="AW131" s="160">
        <f t="shared" si="76"/>
        <v>0</v>
      </c>
      <c r="AX131" s="219">
        <f t="shared" si="77"/>
        <v>1.31E-5</v>
      </c>
      <c r="AY131" s="13">
        <f t="shared" si="80"/>
        <v>0</v>
      </c>
      <c r="AZ131" s="160">
        <v>136</v>
      </c>
      <c r="BA131" s="77">
        <f t="shared" si="58"/>
        <v>2.6099999999999997E-5</v>
      </c>
      <c r="BB131" s="192">
        <f t="shared" si="78"/>
        <v>0</v>
      </c>
      <c r="BC131" s="219">
        <f t="shared" si="81"/>
        <v>1.31E-5</v>
      </c>
      <c r="BD131" s="13">
        <f t="shared" si="82"/>
        <v>0</v>
      </c>
      <c r="BE131" s="160">
        <v>136</v>
      </c>
      <c r="BF131" s="77">
        <f t="shared" si="59"/>
        <v>2.6099999999999997E-5</v>
      </c>
      <c r="BG131" s="192">
        <f t="shared" si="79"/>
        <v>0</v>
      </c>
      <c r="BI131" s="120"/>
      <c r="BJ131" s="120"/>
      <c r="BK131" s="160"/>
      <c r="BL131" s="160"/>
      <c r="BM131" s="161" t="str">
        <f t="shared" si="61"/>
        <v/>
      </c>
      <c r="BN131" s="161" t="str">
        <f t="shared" si="62"/>
        <v/>
      </c>
      <c r="BO131" s="161" t="str">
        <f t="shared" si="63"/>
        <v/>
      </c>
      <c r="BP131" s="161" t="str">
        <f t="shared" si="64"/>
        <v/>
      </c>
      <c r="BQ131" s="161" t="str">
        <f t="shared" si="65"/>
        <v/>
      </c>
      <c r="BR131" s="161" t="str">
        <f t="shared" si="66"/>
        <v/>
      </c>
      <c r="BS131" s="161" t="str">
        <f t="shared" si="67"/>
        <v/>
      </c>
      <c r="BT131" s="161" t="str">
        <f t="shared" si="83"/>
        <v/>
      </c>
      <c r="BU131" s="161" t="str">
        <f t="shared" si="68"/>
        <v/>
      </c>
      <c r="BV131" s="161" t="str">
        <f t="shared" si="69"/>
        <v/>
      </c>
      <c r="BW131" s="161" t="str">
        <f t="shared" si="70"/>
        <v/>
      </c>
      <c r="BX131" s="161" t="str">
        <f t="shared" si="60"/>
        <v/>
      </c>
      <c r="BY131" s="148"/>
      <c r="BZ131" s="148"/>
      <c r="CA131" s="148"/>
      <c r="CB131" s="148" t="s">
        <v>149</v>
      </c>
      <c r="CC131" s="148"/>
    </row>
    <row r="132" spans="1:81" ht="14.25" customHeight="1" thickBot="1">
      <c r="A132" s="190">
        <v>122</v>
      </c>
      <c r="B132" s="196"/>
      <c r="C132" s="180"/>
      <c r="D132" s="136"/>
      <c r="E132" s="91"/>
      <c r="F132" s="187"/>
      <c r="G132" s="188"/>
      <c r="H132" s="188"/>
      <c r="I132" s="188"/>
      <c r="J132" s="188"/>
      <c r="K132" s="18">
        <f t="shared" si="71"/>
        <v>0</v>
      </c>
      <c r="L132" s="279"/>
      <c r="M132" s="280"/>
      <c r="N132" s="351"/>
      <c r="O132" s="342" t="s">
        <v>65</v>
      </c>
      <c r="P132" s="187"/>
      <c r="Q132" s="188"/>
      <c r="R132" s="188"/>
      <c r="S132" s="119"/>
      <c r="T132" s="188"/>
      <c r="U132" s="211">
        <f t="shared" si="72"/>
        <v>0</v>
      </c>
      <c r="V132" s="279"/>
      <c r="W132" s="280"/>
      <c r="X132" s="351"/>
      <c r="Y132" s="209" t="s">
        <v>85</v>
      </c>
      <c r="Z132" s="71"/>
      <c r="AA132" s="321"/>
      <c r="AB132" s="321"/>
      <c r="AC132" s="322"/>
      <c r="AD132" s="188"/>
      <c r="AE132" s="18">
        <f t="shared" si="73"/>
        <v>0</v>
      </c>
      <c r="AF132" s="71"/>
      <c r="AG132" s="322"/>
      <c r="AH132" s="360"/>
      <c r="AI132" s="97"/>
      <c r="AJ132" s="194"/>
      <c r="AK132" s="193"/>
      <c r="AL132" s="205"/>
      <c r="AM132" s="197"/>
      <c r="AN132" s="205"/>
      <c r="AO132" s="197"/>
      <c r="AP132" s="205"/>
      <c r="AQ132" s="197"/>
      <c r="AR132" s="13">
        <f t="shared" si="74"/>
        <v>1.3199999999999999E-5</v>
      </c>
      <c r="AS132" s="13">
        <f t="shared" si="75"/>
        <v>0</v>
      </c>
      <c r="AT132" s="13"/>
      <c r="AU132" s="160">
        <v>137</v>
      </c>
      <c r="AV132" s="191">
        <f t="shared" si="57"/>
        <v>2.7399999999999999E-5</v>
      </c>
      <c r="AW132" s="160">
        <f t="shared" si="76"/>
        <v>0</v>
      </c>
      <c r="AX132" s="219">
        <f t="shared" si="77"/>
        <v>1.3199999999999999E-5</v>
      </c>
      <c r="AY132" s="13">
        <f t="shared" si="80"/>
        <v>0</v>
      </c>
      <c r="AZ132" s="160">
        <v>137</v>
      </c>
      <c r="BA132" s="77">
        <f t="shared" si="58"/>
        <v>2.5999999999999998E-5</v>
      </c>
      <c r="BB132" s="192">
        <f t="shared" si="78"/>
        <v>0</v>
      </c>
      <c r="BC132" s="219">
        <f t="shared" si="81"/>
        <v>1.3199999999999999E-5</v>
      </c>
      <c r="BD132" s="13">
        <f t="shared" si="82"/>
        <v>0</v>
      </c>
      <c r="BE132" s="160">
        <v>137</v>
      </c>
      <c r="BF132" s="77">
        <f t="shared" si="59"/>
        <v>2.5999999999999998E-5</v>
      </c>
      <c r="BG132" s="192">
        <f t="shared" si="79"/>
        <v>0</v>
      </c>
      <c r="BI132" s="120"/>
      <c r="BJ132" s="120"/>
      <c r="BK132" s="160"/>
      <c r="BL132" s="160"/>
      <c r="BM132" s="161" t="str">
        <f t="shared" si="61"/>
        <v/>
      </c>
      <c r="BN132" s="161" t="str">
        <f t="shared" si="62"/>
        <v/>
      </c>
      <c r="BO132" s="161" t="str">
        <f t="shared" si="63"/>
        <v/>
      </c>
      <c r="BP132" s="161" t="str">
        <f t="shared" si="64"/>
        <v/>
      </c>
      <c r="BQ132" s="161" t="str">
        <f t="shared" si="65"/>
        <v/>
      </c>
      <c r="BR132" s="161" t="str">
        <f t="shared" si="66"/>
        <v/>
      </c>
      <c r="BS132" s="161" t="str">
        <f t="shared" si="67"/>
        <v/>
      </c>
      <c r="BT132" s="161" t="str">
        <f t="shared" si="83"/>
        <v/>
      </c>
      <c r="BU132" s="161" t="str">
        <f t="shared" si="68"/>
        <v/>
      </c>
      <c r="BV132" s="161" t="str">
        <f t="shared" si="69"/>
        <v/>
      </c>
      <c r="BW132" s="161" t="str">
        <f t="shared" si="70"/>
        <v/>
      </c>
      <c r="BX132" s="161" t="str">
        <f t="shared" si="60"/>
        <v/>
      </c>
      <c r="BY132" s="148"/>
      <c r="BZ132" s="148"/>
      <c r="CA132" s="148"/>
      <c r="CB132" s="148" t="s">
        <v>149</v>
      </c>
      <c r="CC132" s="148"/>
    </row>
    <row r="133" spans="1:81" ht="14.25" customHeight="1" thickBot="1">
      <c r="A133" s="190">
        <v>123</v>
      </c>
      <c r="B133" s="78"/>
      <c r="C133" s="181"/>
      <c r="D133" s="86"/>
      <c r="E133" s="92"/>
      <c r="F133" s="88"/>
      <c r="G133" s="93"/>
      <c r="H133" s="93"/>
      <c r="I133" s="93"/>
      <c r="J133" s="93"/>
      <c r="K133" s="81">
        <f t="shared" si="71"/>
        <v>0</v>
      </c>
      <c r="L133" s="281"/>
      <c r="M133" s="282"/>
      <c r="N133" s="352"/>
      <c r="O133" s="343" t="s">
        <v>65</v>
      </c>
      <c r="P133" s="88"/>
      <c r="Q133" s="93"/>
      <c r="R133" s="93"/>
      <c r="S133" s="89"/>
      <c r="T133" s="93"/>
      <c r="U133" s="212">
        <f t="shared" si="72"/>
        <v>0</v>
      </c>
      <c r="V133" s="281"/>
      <c r="W133" s="282"/>
      <c r="X133" s="352"/>
      <c r="Y133" s="210" t="s">
        <v>85</v>
      </c>
      <c r="Z133" s="72"/>
      <c r="AA133" s="323"/>
      <c r="AB133" s="323"/>
      <c r="AC133" s="324"/>
      <c r="AD133" s="93"/>
      <c r="AE133" s="81">
        <f t="shared" si="73"/>
        <v>0</v>
      </c>
      <c r="AF133" s="72"/>
      <c r="AG133" s="324"/>
      <c r="AH133" s="361"/>
      <c r="AI133" s="98"/>
      <c r="AJ133" s="95"/>
      <c r="AK133" s="215"/>
      <c r="AL133" s="206"/>
      <c r="AM133" s="83"/>
      <c r="AN133" s="206"/>
      <c r="AO133" s="83"/>
      <c r="AP133" s="206"/>
      <c r="AQ133" s="83"/>
      <c r="AR133" s="13">
        <f t="shared" si="74"/>
        <v>1.33E-5</v>
      </c>
      <c r="AS133" s="13">
        <f t="shared" si="75"/>
        <v>0</v>
      </c>
      <c r="AT133" s="13"/>
      <c r="AU133" s="160">
        <v>138</v>
      </c>
      <c r="AV133" s="191">
        <f t="shared" si="57"/>
        <v>2.73E-5</v>
      </c>
      <c r="AW133" s="160">
        <f t="shared" si="76"/>
        <v>0</v>
      </c>
      <c r="AX133" s="219">
        <f t="shared" si="77"/>
        <v>1.33E-5</v>
      </c>
      <c r="AY133" s="13">
        <f t="shared" si="80"/>
        <v>0</v>
      </c>
      <c r="AZ133" s="160">
        <v>138</v>
      </c>
      <c r="BA133" s="77">
        <f t="shared" si="58"/>
        <v>2.5899999999999999E-5</v>
      </c>
      <c r="BB133" s="192">
        <f t="shared" si="78"/>
        <v>0</v>
      </c>
      <c r="BC133" s="219">
        <f t="shared" si="81"/>
        <v>1.33E-5</v>
      </c>
      <c r="BD133" s="13">
        <f t="shared" si="82"/>
        <v>0</v>
      </c>
      <c r="BE133" s="160">
        <v>138</v>
      </c>
      <c r="BF133" s="77">
        <f t="shared" si="59"/>
        <v>2.5899999999999999E-5</v>
      </c>
      <c r="BG133" s="192">
        <f t="shared" si="79"/>
        <v>0</v>
      </c>
      <c r="BI133" s="120"/>
      <c r="BJ133" s="120"/>
      <c r="BK133" s="160"/>
      <c r="BL133" s="160"/>
      <c r="BM133" s="161" t="str">
        <f t="shared" si="61"/>
        <v/>
      </c>
      <c r="BN133" s="161" t="str">
        <f t="shared" si="62"/>
        <v/>
      </c>
      <c r="BO133" s="161" t="str">
        <f t="shared" si="63"/>
        <v/>
      </c>
      <c r="BP133" s="161" t="str">
        <f t="shared" si="64"/>
        <v/>
      </c>
      <c r="BQ133" s="161" t="str">
        <f t="shared" si="65"/>
        <v/>
      </c>
      <c r="BR133" s="161" t="str">
        <f t="shared" si="66"/>
        <v/>
      </c>
      <c r="BS133" s="161" t="str">
        <f t="shared" si="67"/>
        <v/>
      </c>
      <c r="BT133" s="161" t="str">
        <f t="shared" si="83"/>
        <v/>
      </c>
      <c r="BU133" s="161" t="str">
        <f t="shared" si="68"/>
        <v/>
      </c>
      <c r="BV133" s="161" t="str">
        <f t="shared" si="69"/>
        <v/>
      </c>
      <c r="BW133" s="161" t="str">
        <f t="shared" si="70"/>
        <v/>
      </c>
      <c r="BX133" s="161" t="str">
        <f t="shared" si="60"/>
        <v/>
      </c>
      <c r="BY133" s="148"/>
      <c r="BZ133" s="148"/>
      <c r="CA133" s="148"/>
      <c r="CB133" s="148" t="s">
        <v>149</v>
      </c>
      <c r="CC133" s="148"/>
    </row>
    <row r="134" spans="1:81" ht="14.25" customHeight="1" thickBot="1">
      <c r="A134" s="190">
        <v>124</v>
      </c>
      <c r="B134" s="79"/>
      <c r="C134" s="179"/>
      <c r="D134" s="137"/>
      <c r="E134" s="198"/>
      <c r="F134" s="199"/>
      <c r="G134" s="200"/>
      <c r="H134" s="200"/>
      <c r="I134" s="200"/>
      <c r="J134" s="200"/>
      <c r="K134" s="201">
        <f t="shared" si="71"/>
        <v>0</v>
      </c>
      <c r="L134" s="277"/>
      <c r="M134" s="278"/>
      <c r="N134" s="350"/>
      <c r="O134" s="341" t="s">
        <v>65</v>
      </c>
      <c r="P134" s="189"/>
      <c r="Q134" s="326"/>
      <c r="R134" s="326"/>
      <c r="S134" s="87"/>
      <c r="T134" s="207"/>
      <c r="U134" s="225">
        <f t="shared" si="72"/>
        <v>0</v>
      </c>
      <c r="V134" s="277"/>
      <c r="W134" s="278"/>
      <c r="X134" s="350"/>
      <c r="Y134" s="208" t="s">
        <v>147</v>
      </c>
      <c r="Z134" s="11"/>
      <c r="AA134" s="207"/>
      <c r="AB134" s="207"/>
      <c r="AC134" s="3"/>
      <c r="AD134" s="207"/>
      <c r="AE134" s="226">
        <f t="shared" si="73"/>
        <v>0</v>
      </c>
      <c r="AF134" s="11"/>
      <c r="AG134" s="3"/>
      <c r="AH134" s="359"/>
      <c r="AI134" s="96"/>
      <c r="AJ134" s="94"/>
      <c r="AK134" s="214"/>
      <c r="AL134" s="213"/>
      <c r="AM134" s="82"/>
      <c r="AN134" s="213"/>
      <c r="AO134" s="82"/>
      <c r="AP134" s="213"/>
      <c r="AQ134" s="82"/>
      <c r="AR134" s="13">
        <f t="shared" si="74"/>
        <v>1.3399999999999999E-5</v>
      </c>
      <c r="AS134" s="13">
        <f t="shared" si="75"/>
        <v>0</v>
      </c>
      <c r="AT134" s="13"/>
      <c r="AU134" s="160">
        <v>139</v>
      </c>
      <c r="AV134" s="191">
        <f t="shared" si="57"/>
        <v>2.7199999999999997E-5</v>
      </c>
      <c r="AW134" s="160">
        <f t="shared" si="76"/>
        <v>0</v>
      </c>
      <c r="AX134" s="219">
        <f t="shared" si="77"/>
        <v>1.3399999999999999E-5</v>
      </c>
      <c r="AY134" s="13">
        <f t="shared" si="80"/>
        <v>0</v>
      </c>
      <c r="AZ134" s="160">
        <v>139</v>
      </c>
      <c r="BA134" s="77">
        <f t="shared" si="58"/>
        <v>2.58E-5</v>
      </c>
      <c r="BB134" s="192">
        <f t="shared" si="78"/>
        <v>0</v>
      </c>
      <c r="BC134" s="219">
        <f t="shared" si="81"/>
        <v>1.3399999999999999E-5</v>
      </c>
      <c r="BD134" s="13">
        <f t="shared" si="82"/>
        <v>0</v>
      </c>
      <c r="BE134" s="160">
        <v>139</v>
      </c>
      <c r="BF134" s="77">
        <f t="shared" si="59"/>
        <v>2.58E-5</v>
      </c>
      <c r="BG134" s="192">
        <f t="shared" si="79"/>
        <v>0</v>
      </c>
      <c r="BI134" s="120"/>
      <c r="BJ134" s="120"/>
      <c r="BK134" s="160"/>
      <c r="BL134" s="160"/>
      <c r="BM134" s="161" t="str">
        <f t="shared" si="61"/>
        <v/>
      </c>
      <c r="BN134" s="161" t="str">
        <f t="shared" si="62"/>
        <v/>
      </c>
      <c r="BO134" s="161" t="str">
        <f t="shared" si="63"/>
        <v/>
      </c>
      <c r="BP134" s="161" t="str">
        <f t="shared" si="64"/>
        <v/>
      </c>
      <c r="BQ134" s="161" t="str">
        <f t="shared" si="65"/>
        <v/>
      </c>
      <c r="BR134" s="161" t="str">
        <f t="shared" si="66"/>
        <v/>
      </c>
      <c r="BS134" s="161" t="str">
        <f t="shared" si="67"/>
        <v/>
      </c>
      <c r="BT134" s="161" t="str">
        <f t="shared" si="83"/>
        <v/>
      </c>
      <c r="BU134" s="161" t="str">
        <f t="shared" si="68"/>
        <v/>
      </c>
      <c r="BV134" s="161" t="str">
        <f t="shared" si="69"/>
        <v/>
      </c>
      <c r="BW134" s="161" t="str">
        <f t="shared" si="70"/>
        <v/>
      </c>
      <c r="BX134" s="161" t="str">
        <f t="shared" si="60"/>
        <v/>
      </c>
      <c r="BY134" s="148"/>
      <c r="BZ134" s="148"/>
      <c r="CA134" s="148"/>
      <c r="CB134" s="148" t="s">
        <v>149</v>
      </c>
      <c r="CC134" s="148"/>
    </row>
    <row r="135" spans="1:81" ht="14.25" customHeight="1" thickBot="1">
      <c r="A135" s="190">
        <v>125</v>
      </c>
      <c r="B135" s="196"/>
      <c r="C135" s="180"/>
      <c r="D135" s="136"/>
      <c r="E135" s="91"/>
      <c r="F135" s="187"/>
      <c r="G135" s="188"/>
      <c r="H135" s="188"/>
      <c r="I135" s="188"/>
      <c r="J135" s="188"/>
      <c r="K135" s="18">
        <f t="shared" si="71"/>
        <v>0</v>
      </c>
      <c r="L135" s="279"/>
      <c r="M135" s="280"/>
      <c r="N135" s="351"/>
      <c r="O135" s="342" t="s">
        <v>65</v>
      </c>
      <c r="P135" s="187"/>
      <c r="Q135" s="188"/>
      <c r="R135" s="188"/>
      <c r="S135" s="119"/>
      <c r="T135" s="188"/>
      <c r="U135" s="211">
        <f t="shared" si="72"/>
        <v>0</v>
      </c>
      <c r="V135" s="279"/>
      <c r="W135" s="280"/>
      <c r="X135" s="351"/>
      <c r="Y135" s="209" t="s">
        <v>85</v>
      </c>
      <c r="Z135" s="71"/>
      <c r="AA135" s="321"/>
      <c r="AB135" s="321"/>
      <c r="AC135" s="322"/>
      <c r="AD135" s="188"/>
      <c r="AE135" s="18">
        <f t="shared" si="73"/>
        <v>0</v>
      </c>
      <c r="AF135" s="71"/>
      <c r="AG135" s="322"/>
      <c r="AH135" s="360"/>
      <c r="AI135" s="97"/>
      <c r="AJ135" s="194"/>
      <c r="AK135" s="193"/>
      <c r="AL135" s="205"/>
      <c r="AM135" s="197"/>
      <c r="AN135" s="205"/>
      <c r="AO135" s="197"/>
      <c r="AP135" s="205"/>
      <c r="AQ135" s="197"/>
      <c r="AR135" s="13">
        <f t="shared" si="74"/>
        <v>1.3499999999999999E-5</v>
      </c>
      <c r="AS135" s="13">
        <f t="shared" si="75"/>
        <v>0</v>
      </c>
      <c r="AT135" s="13"/>
      <c r="AU135" s="160">
        <v>140</v>
      </c>
      <c r="AV135" s="191">
        <f t="shared" si="57"/>
        <v>2.7099999999999998E-5</v>
      </c>
      <c r="AW135" s="160">
        <f t="shared" si="76"/>
        <v>0</v>
      </c>
      <c r="AX135" s="219">
        <f t="shared" si="77"/>
        <v>1.3499999999999999E-5</v>
      </c>
      <c r="AY135" s="13">
        <f t="shared" si="80"/>
        <v>0</v>
      </c>
      <c r="AZ135" s="160">
        <v>140</v>
      </c>
      <c r="BA135" s="77">
        <f t="shared" si="58"/>
        <v>2.5699999999999998E-5</v>
      </c>
      <c r="BB135" s="192">
        <f t="shared" si="78"/>
        <v>0</v>
      </c>
      <c r="BC135" s="219">
        <f t="shared" si="81"/>
        <v>1.3499999999999999E-5</v>
      </c>
      <c r="BD135" s="13">
        <f t="shared" si="82"/>
        <v>0</v>
      </c>
      <c r="BE135" s="160">
        <v>140</v>
      </c>
      <c r="BF135" s="77">
        <f t="shared" si="59"/>
        <v>2.5699999999999998E-5</v>
      </c>
      <c r="BG135" s="192">
        <f t="shared" si="79"/>
        <v>0</v>
      </c>
      <c r="BI135" s="120"/>
      <c r="BJ135" s="120"/>
      <c r="BK135" s="160"/>
      <c r="BL135" s="160"/>
      <c r="BM135" s="161" t="str">
        <f t="shared" si="61"/>
        <v/>
      </c>
      <c r="BN135" s="161" t="str">
        <f t="shared" si="62"/>
        <v/>
      </c>
      <c r="BO135" s="161" t="str">
        <f t="shared" si="63"/>
        <v/>
      </c>
      <c r="BP135" s="161" t="str">
        <f t="shared" si="64"/>
        <v/>
      </c>
      <c r="BQ135" s="161" t="str">
        <f t="shared" si="65"/>
        <v/>
      </c>
      <c r="BR135" s="161" t="str">
        <f t="shared" si="66"/>
        <v/>
      </c>
      <c r="BS135" s="161" t="str">
        <f t="shared" si="67"/>
        <v/>
      </c>
      <c r="BT135" s="161" t="str">
        <f t="shared" si="83"/>
        <v/>
      </c>
      <c r="BU135" s="161" t="str">
        <f t="shared" si="68"/>
        <v/>
      </c>
      <c r="BV135" s="161" t="str">
        <f t="shared" si="69"/>
        <v/>
      </c>
      <c r="BW135" s="161" t="str">
        <f t="shared" si="70"/>
        <v/>
      </c>
      <c r="BX135" s="161" t="str">
        <f t="shared" si="60"/>
        <v/>
      </c>
      <c r="BY135" s="148"/>
      <c r="BZ135" s="148"/>
      <c r="CA135" s="148"/>
      <c r="CB135" s="148" t="s">
        <v>149</v>
      </c>
      <c r="CC135" s="148"/>
    </row>
    <row r="136" spans="1:81" ht="14.25" customHeight="1" thickBot="1">
      <c r="A136" s="190">
        <v>126</v>
      </c>
      <c r="B136" s="78"/>
      <c r="C136" s="181"/>
      <c r="D136" s="86"/>
      <c r="E136" s="92"/>
      <c r="F136" s="88"/>
      <c r="G136" s="93"/>
      <c r="H136" s="93"/>
      <c r="I136" s="93"/>
      <c r="J136" s="93"/>
      <c r="K136" s="81">
        <f t="shared" si="71"/>
        <v>0</v>
      </c>
      <c r="L136" s="281"/>
      <c r="M136" s="282"/>
      <c r="N136" s="352"/>
      <c r="O136" s="343" t="s">
        <v>65</v>
      </c>
      <c r="P136" s="88"/>
      <c r="Q136" s="93"/>
      <c r="R136" s="93"/>
      <c r="S136" s="89"/>
      <c r="T136" s="93"/>
      <c r="U136" s="212">
        <f t="shared" si="72"/>
        <v>0</v>
      </c>
      <c r="V136" s="281"/>
      <c r="W136" s="282"/>
      <c r="X136" s="352"/>
      <c r="Y136" s="210" t="s">
        <v>85</v>
      </c>
      <c r="Z136" s="72"/>
      <c r="AA136" s="323"/>
      <c r="AB136" s="323"/>
      <c r="AC136" s="324"/>
      <c r="AD136" s="93"/>
      <c r="AE136" s="81">
        <f t="shared" si="73"/>
        <v>0</v>
      </c>
      <c r="AF136" s="72"/>
      <c r="AG136" s="324"/>
      <c r="AH136" s="361"/>
      <c r="AI136" s="98"/>
      <c r="AJ136" s="95"/>
      <c r="AK136" s="215"/>
      <c r="AL136" s="206"/>
      <c r="AM136" s="83"/>
      <c r="AN136" s="206"/>
      <c r="AO136" s="83"/>
      <c r="AP136" s="206"/>
      <c r="AQ136" s="83"/>
      <c r="AR136" s="13">
        <f t="shared" si="74"/>
        <v>1.3599999999999999E-5</v>
      </c>
      <c r="AS136" s="13">
        <f t="shared" si="75"/>
        <v>0</v>
      </c>
      <c r="AT136" s="13"/>
      <c r="AU136" s="160">
        <v>141</v>
      </c>
      <c r="AV136" s="191">
        <f t="shared" si="57"/>
        <v>2.6999999999999999E-5</v>
      </c>
      <c r="AW136" s="160">
        <f t="shared" si="76"/>
        <v>0</v>
      </c>
      <c r="AX136" s="219">
        <f t="shared" si="77"/>
        <v>1.3599999999999999E-5</v>
      </c>
      <c r="AY136" s="13">
        <f t="shared" si="80"/>
        <v>0</v>
      </c>
      <c r="AZ136" s="160">
        <v>141</v>
      </c>
      <c r="BA136" s="77">
        <f t="shared" si="58"/>
        <v>2.5599999999999999E-5</v>
      </c>
      <c r="BB136" s="192">
        <f t="shared" si="78"/>
        <v>0</v>
      </c>
      <c r="BC136" s="219">
        <f t="shared" si="81"/>
        <v>1.3599999999999999E-5</v>
      </c>
      <c r="BD136" s="13">
        <f t="shared" si="82"/>
        <v>0</v>
      </c>
      <c r="BE136" s="160">
        <v>141</v>
      </c>
      <c r="BF136" s="77">
        <f t="shared" si="59"/>
        <v>2.5599999999999999E-5</v>
      </c>
      <c r="BG136" s="192">
        <f t="shared" si="79"/>
        <v>0</v>
      </c>
      <c r="BI136" s="120"/>
      <c r="BJ136" s="120"/>
      <c r="BK136" s="160"/>
      <c r="BL136" s="160"/>
      <c r="BM136" s="161" t="str">
        <f t="shared" si="61"/>
        <v/>
      </c>
      <c r="BN136" s="161" t="str">
        <f t="shared" si="62"/>
        <v/>
      </c>
      <c r="BO136" s="161" t="str">
        <f t="shared" si="63"/>
        <v/>
      </c>
      <c r="BP136" s="161" t="str">
        <f t="shared" si="64"/>
        <v/>
      </c>
      <c r="BQ136" s="161" t="str">
        <f t="shared" si="65"/>
        <v/>
      </c>
      <c r="BR136" s="161" t="str">
        <f t="shared" si="66"/>
        <v/>
      </c>
      <c r="BS136" s="161" t="str">
        <f t="shared" si="67"/>
        <v/>
      </c>
      <c r="BT136" s="161" t="str">
        <f t="shared" si="83"/>
        <v/>
      </c>
      <c r="BU136" s="161" t="str">
        <f t="shared" si="68"/>
        <v/>
      </c>
      <c r="BV136" s="161" t="str">
        <f t="shared" si="69"/>
        <v/>
      </c>
      <c r="BW136" s="161" t="str">
        <f t="shared" si="70"/>
        <v/>
      </c>
      <c r="BX136" s="161" t="str">
        <f t="shared" si="60"/>
        <v/>
      </c>
      <c r="BY136" s="148"/>
      <c r="BZ136" s="148"/>
      <c r="CA136" s="148"/>
      <c r="CB136" s="148" t="s">
        <v>149</v>
      </c>
      <c r="CC136" s="148"/>
    </row>
    <row r="137" spans="1:81" ht="14.25" customHeight="1" thickBot="1">
      <c r="A137" s="190">
        <v>127</v>
      </c>
      <c r="B137" s="79"/>
      <c r="C137" s="179"/>
      <c r="D137" s="137"/>
      <c r="E137" s="198"/>
      <c r="F137" s="199"/>
      <c r="G137" s="200"/>
      <c r="H137" s="200"/>
      <c r="I137" s="200"/>
      <c r="J137" s="200"/>
      <c r="K137" s="201">
        <f t="shared" si="71"/>
        <v>0</v>
      </c>
      <c r="L137" s="277"/>
      <c r="M137" s="278"/>
      <c r="N137" s="350"/>
      <c r="O137" s="341" t="s">
        <v>65</v>
      </c>
      <c r="P137" s="189"/>
      <c r="Q137" s="326"/>
      <c r="R137" s="326"/>
      <c r="S137" s="87"/>
      <c r="T137" s="207"/>
      <c r="U137" s="225">
        <f t="shared" si="72"/>
        <v>0</v>
      </c>
      <c r="V137" s="277"/>
      <c r="W137" s="278"/>
      <c r="X137" s="350"/>
      <c r="Y137" s="208" t="s">
        <v>147</v>
      </c>
      <c r="Z137" s="11"/>
      <c r="AA137" s="207"/>
      <c r="AB137" s="207"/>
      <c r="AC137" s="3"/>
      <c r="AD137" s="207"/>
      <c r="AE137" s="226">
        <f t="shared" si="73"/>
        <v>0</v>
      </c>
      <c r="AF137" s="11"/>
      <c r="AG137" s="3"/>
      <c r="AH137" s="359"/>
      <c r="AI137" s="96"/>
      <c r="AJ137" s="94"/>
      <c r="AK137" s="214"/>
      <c r="AL137" s="213"/>
      <c r="AM137" s="82"/>
      <c r="AN137" s="213"/>
      <c r="AO137" s="82"/>
      <c r="AP137" s="213"/>
      <c r="AQ137" s="82"/>
      <c r="AR137" s="13">
        <f t="shared" si="74"/>
        <v>1.3699999999999999E-5</v>
      </c>
      <c r="AS137" s="13">
        <f t="shared" si="75"/>
        <v>0</v>
      </c>
      <c r="AT137" s="13"/>
      <c r="AU137" s="160">
        <v>142</v>
      </c>
      <c r="AV137" s="191">
        <f t="shared" si="57"/>
        <v>2.69E-5</v>
      </c>
      <c r="AW137" s="160">
        <f t="shared" si="76"/>
        <v>0</v>
      </c>
      <c r="AX137" s="219">
        <f t="shared" si="77"/>
        <v>1.3699999999999999E-5</v>
      </c>
      <c r="AY137" s="13">
        <f t="shared" si="80"/>
        <v>0</v>
      </c>
      <c r="AZ137" s="160">
        <v>142</v>
      </c>
      <c r="BA137" s="77">
        <f t="shared" si="58"/>
        <v>2.55E-5</v>
      </c>
      <c r="BB137" s="192">
        <f t="shared" si="78"/>
        <v>0</v>
      </c>
      <c r="BC137" s="219">
        <f t="shared" si="81"/>
        <v>1.3699999999999999E-5</v>
      </c>
      <c r="BD137" s="13">
        <f t="shared" si="82"/>
        <v>0</v>
      </c>
      <c r="BE137" s="160">
        <v>142</v>
      </c>
      <c r="BF137" s="77">
        <f t="shared" si="59"/>
        <v>2.55E-5</v>
      </c>
      <c r="BG137" s="192">
        <f t="shared" si="79"/>
        <v>0</v>
      </c>
      <c r="BI137" s="120"/>
      <c r="BJ137" s="120"/>
      <c r="BK137" s="160"/>
      <c r="BL137" s="160"/>
      <c r="BM137" s="161" t="str">
        <f t="shared" si="61"/>
        <v/>
      </c>
      <c r="BN137" s="161" t="str">
        <f t="shared" si="62"/>
        <v/>
      </c>
      <c r="BO137" s="161" t="str">
        <f t="shared" si="63"/>
        <v/>
      </c>
      <c r="BP137" s="161" t="str">
        <f t="shared" si="64"/>
        <v/>
      </c>
      <c r="BQ137" s="161" t="str">
        <f t="shared" si="65"/>
        <v/>
      </c>
      <c r="BR137" s="161" t="str">
        <f t="shared" si="66"/>
        <v/>
      </c>
      <c r="BS137" s="161" t="str">
        <f t="shared" si="67"/>
        <v/>
      </c>
      <c r="BT137" s="161" t="str">
        <f t="shared" si="83"/>
        <v/>
      </c>
      <c r="BU137" s="161" t="str">
        <f t="shared" si="68"/>
        <v/>
      </c>
      <c r="BV137" s="161" t="str">
        <f t="shared" si="69"/>
        <v/>
      </c>
      <c r="BW137" s="161" t="str">
        <f t="shared" si="70"/>
        <v/>
      </c>
      <c r="BX137" s="161" t="str">
        <f t="shared" si="60"/>
        <v/>
      </c>
      <c r="BY137" s="148"/>
      <c r="BZ137" s="148"/>
      <c r="CA137" s="148"/>
      <c r="CB137" s="148" t="s">
        <v>149</v>
      </c>
      <c r="CC137" s="148"/>
    </row>
    <row r="138" spans="1:81" ht="14.25" customHeight="1" thickBot="1">
      <c r="A138" s="190">
        <v>128</v>
      </c>
      <c r="B138" s="196"/>
      <c r="C138" s="180"/>
      <c r="D138" s="136"/>
      <c r="E138" s="91"/>
      <c r="F138" s="187"/>
      <c r="G138" s="188"/>
      <c r="H138" s="188"/>
      <c r="I138" s="188"/>
      <c r="J138" s="188"/>
      <c r="K138" s="18">
        <f t="shared" si="71"/>
        <v>0</v>
      </c>
      <c r="L138" s="279"/>
      <c r="M138" s="280"/>
      <c r="N138" s="351"/>
      <c r="O138" s="342" t="s">
        <v>65</v>
      </c>
      <c r="P138" s="187"/>
      <c r="Q138" s="188"/>
      <c r="R138" s="188"/>
      <c r="S138" s="119"/>
      <c r="T138" s="188"/>
      <c r="U138" s="211">
        <f t="shared" si="72"/>
        <v>0</v>
      </c>
      <c r="V138" s="279"/>
      <c r="W138" s="280"/>
      <c r="X138" s="351"/>
      <c r="Y138" s="209" t="s">
        <v>85</v>
      </c>
      <c r="Z138" s="71"/>
      <c r="AA138" s="321"/>
      <c r="AB138" s="321"/>
      <c r="AC138" s="322"/>
      <c r="AD138" s="188"/>
      <c r="AE138" s="18">
        <f t="shared" si="73"/>
        <v>0</v>
      </c>
      <c r="AF138" s="71"/>
      <c r="AG138" s="322"/>
      <c r="AH138" s="360"/>
      <c r="AI138" s="97"/>
      <c r="AJ138" s="194"/>
      <c r="AK138" s="193"/>
      <c r="AL138" s="205"/>
      <c r="AM138" s="197"/>
      <c r="AN138" s="205"/>
      <c r="AO138" s="197"/>
      <c r="AP138" s="205"/>
      <c r="AQ138" s="197"/>
      <c r="AR138" s="13">
        <f t="shared" si="74"/>
        <v>1.38E-5</v>
      </c>
      <c r="AS138" s="13">
        <f t="shared" si="75"/>
        <v>0</v>
      </c>
      <c r="AT138" s="13"/>
      <c r="AU138" s="160">
        <v>143</v>
      </c>
      <c r="AV138" s="191">
        <f t="shared" si="57"/>
        <v>2.6799999999999998E-5</v>
      </c>
      <c r="AW138" s="160">
        <f t="shared" si="76"/>
        <v>0</v>
      </c>
      <c r="AX138" s="219">
        <f t="shared" si="77"/>
        <v>1.38E-5</v>
      </c>
      <c r="AY138" s="13">
        <f t="shared" si="80"/>
        <v>0</v>
      </c>
      <c r="AZ138" s="160">
        <v>143</v>
      </c>
      <c r="BA138" s="77">
        <f t="shared" si="58"/>
        <v>2.5399999999999997E-5</v>
      </c>
      <c r="BB138" s="192">
        <f t="shared" si="78"/>
        <v>0</v>
      </c>
      <c r="BC138" s="219">
        <f t="shared" si="81"/>
        <v>1.38E-5</v>
      </c>
      <c r="BD138" s="13">
        <f t="shared" si="82"/>
        <v>0</v>
      </c>
      <c r="BE138" s="160">
        <v>143</v>
      </c>
      <c r="BF138" s="77">
        <f t="shared" si="59"/>
        <v>2.5399999999999997E-5</v>
      </c>
      <c r="BG138" s="192">
        <f t="shared" si="79"/>
        <v>0</v>
      </c>
      <c r="BI138" s="120"/>
      <c r="BJ138" s="120"/>
      <c r="BK138" s="160"/>
      <c r="BL138" s="160"/>
      <c r="BM138" s="161" t="str">
        <f t="shared" si="61"/>
        <v/>
      </c>
      <c r="BN138" s="161" t="str">
        <f t="shared" si="62"/>
        <v/>
      </c>
      <c r="BO138" s="161" t="str">
        <f t="shared" si="63"/>
        <v/>
      </c>
      <c r="BP138" s="161" t="str">
        <f t="shared" si="64"/>
        <v/>
      </c>
      <c r="BQ138" s="161" t="str">
        <f t="shared" si="65"/>
        <v/>
      </c>
      <c r="BR138" s="161" t="str">
        <f t="shared" si="66"/>
        <v/>
      </c>
      <c r="BS138" s="161" t="str">
        <f t="shared" si="67"/>
        <v/>
      </c>
      <c r="BT138" s="161" t="str">
        <f t="shared" si="83"/>
        <v/>
      </c>
      <c r="BU138" s="161" t="str">
        <f t="shared" si="68"/>
        <v/>
      </c>
      <c r="BV138" s="161" t="str">
        <f t="shared" si="69"/>
        <v/>
      </c>
      <c r="BW138" s="161" t="str">
        <f t="shared" si="70"/>
        <v/>
      </c>
      <c r="BX138" s="161" t="str">
        <f t="shared" si="60"/>
        <v/>
      </c>
      <c r="BY138" s="148"/>
      <c r="BZ138" s="148"/>
      <c r="CA138" s="148"/>
      <c r="CB138" s="148" t="s">
        <v>149</v>
      </c>
      <c r="CC138" s="148"/>
    </row>
    <row r="139" spans="1:81" ht="14.25" customHeight="1" thickBot="1">
      <c r="A139" s="190">
        <v>129</v>
      </c>
      <c r="B139" s="78"/>
      <c r="C139" s="181"/>
      <c r="D139" s="86"/>
      <c r="E139" s="92"/>
      <c r="F139" s="88"/>
      <c r="G139" s="93"/>
      <c r="H139" s="93"/>
      <c r="I139" s="93"/>
      <c r="J139" s="93"/>
      <c r="K139" s="81">
        <f t="shared" si="71"/>
        <v>0</v>
      </c>
      <c r="L139" s="281"/>
      <c r="M139" s="282"/>
      <c r="N139" s="352"/>
      <c r="O139" s="343" t="s">
        <v>65</v>
      </c>
      <c r="P139" s="88"/>
      <c r="Q139" s="93"/>
      <c r="R139" s="93"/>
      <c r="S139" s="89"/>
      <c r="T139" s="93"/>
      <c r="U139" s="212">
        <f t="shared" si="72"/>
        <v>0</v>
      </c>
      <c r="V139" s="281"/>
      <c r="W139" s="282"/>
      <c r="X139" s="352"/>
      <c r="Y139" s="210" t="s">
        <v>85</v>
      </c>
      <c r="Z139" s="72"/>
      <c r="AA139" s="323"/>
      <c r="AB139" s="323"/>
      <c r="AC139" s="324"/>
      <c r="AD139" s="93"/>
      <c r="AE139" s="81">
        <f t="shared" si="73"/>
        <v>0</v>
      </c>
      <c r="AF139" s="72"/>
      <c r="AG139" s="324"/>
      <c r="AH139" s="361"/>
      <c r="AI139" s="98"/>
      <c r="AJ139" s="95"/>
      <c r="AK139" s="215"/>
      <c r="AL139" s="206"/>
      <c r="AM139" s="83"/>
      <c r="AN139" s="206"/>
      <c r="AO139" s="83"/>
      <c r="AP139" s="206"/>
      <c r="AQ139" s="83"/>
      <c r="AR139" s="13">
        <f t="shared" si="74"/>
        <v>1.3899999999999999E-5</v>
      </c>
      <c r="AS139" s="13">
        <f t="shared" si="75"/>
        <v>0</v>
      </c>
      <c r="AT139" s="13"/>
      <c r="AU139" s="160">
        <v>144</v>
      </c>
      <c r="AV139" s="191">
        <f t="shared" ref="AV139:AV202" si="84">IFERROR(LARGE($AR$11:$AR$396,AU139),"")</f>
        <v>2.6699999999999998E-5</v>
      </c>
      <c r="AW139" s="160">
        <f t="shared" si="76"/>
        <v>0</v>
      </c>
      <c r="AX139" s="219">
        <f t="shared" si="77"/>
        <v>1.3899999999999999E-5</v>
      </c>
      <c r="AY139" s="13">
        <f t="shared" si="80"/>
        <v>0</v>
      </c>
      <c r="AZ139" s="160">
        <v>144</v>
      </c>
      <c r="BA139" s="77">
        <f t="shared" ref="BA139:BA202" si="85">IFERROR(LARGE($AX$11:$AX$396,AZ139),"")</f>
        <v>2.5299999999999998E-5</v>
      </c>
      <c r="BB139" s="192">
        <f t="shared" si="78"/>
        <v>0</v>
      </c>
      <c r="BC139" s="219">
        <f t="shared" si="81"/>
        <v>1.3899999999999999E-5</v>
      </c>
      <c r="BD139" s="13">
        <f t="shared" si="82"/>
        <v>0</v>
      </c>
      <c r="BE139" s="160">
        <v>144</v>
      </c>
      <c r="BF139" s="77">
        <f t="shared" ref="BF139:BF202" si="86">IFERROR(LARGE($BC$11:$BC$396,BE139),"")</f>
        <v>2.5299999999999998E-5</v>
      </c>
      <c r="BG139" s="192">
        <f t="shared" si="79"/>
        <v>0</v>
      </c>
      <c r="BI139" s="120"/>
      <c r="BJ139" s="120"/>
      <c r="BK139" s="160"/>
      <c r="BL139" s="160"/>
      <c r="BM139" s="161" t="str">
        <f t="shared" si="61"/>
        <v/>
      </c>
      <c r="BN139" s="161" t="str">
        <f t="shared" si="62"/>
        <v/>
      </c>
      <c r="BO139" s="161" t="str">
        <f t="shared" si="63"/>
        <v/>
      </c>
      <c r="BP139" s="161" t="str">
        <f t="shared" si="64"/>
        <v/>
      </c>
      <c r="BQ139" s="161" t="str">
        <f t="shared" si="65"/>
        <v/>
      </c>
      <c r="BR139" s="161" t="str">
        <f t="shared" si="66"/>
        <v/>
      </c>
      <c r="BS139" s="161" t="str">
        <f t="shared" si="67"/>
        <v/>
      </c>
      <c r="BT139" s="161" t="str">
        <f t="shared" si="83"/>
        <v/>
      </c>
      <c r="BU139" s="161" t="str">
        <f t="shared" si="68"/>
        <v/>
      </c>
      <c r="BV139" s="161" t="str">
        <f t="shared" si="69"/>
        <v/>
      </c>
      <c r="BW139" s="161" t="str">
        <f t="shared" si="70"/>
        <v/>
      </c>
      <c r="BX139" s="161" t="str">
        <f t="shared" ref="BX139:BX202" si="87">MID($BK139,1,1)</f>
        <v/>
      </c>
      <c r="BY139" s="148"/>
      <c r="BZ139" s="148"/>
      <c r="CA139" s="148"/>
      <c r="CB139" s="148" t="s">
        <v>149</v>
      </c>
      <c r="CC139" s="148"/>
    </row>
    <row r="140" spans="1:81" ht="14.25" customHeight="1" thickBot="1">
      <c r="A140" s="190">
        <v>130</v>
      </c>
      <c r="B140" s="79"/>
      <c r="C140" s="179"/>
      <c r="D140" s="137"/>
      <c r="E140" s="198"/>
      <c r="F140" s="199"/>
      <c r="G140" s="200"/>
      <c r="H140" s="200"/>
      <c r="I140" s="200"/>
      <c r="J140" s="200"/>
      <c r="K140" s="201">
        <f t="shared" si="71"/>
        <v>0</v>
      </c>
      <c r="L140" s="277"/>
      <c r="M140" s="278"/>
      <c r="N140" s="350"/>
      <c r="O140" s="341" t="s">
        <v>65</v>
      </c>
      <c r="P140" s="189"/>
      <c r="Q140" s="326"/>
      <c r="R140" s="326"/>
      <c r="S140" s="87"/>
      <c r="T140" s="207"/>
      <c r="U140" s="225">
        <f t="shared" si="72"/>
        <v>0</v>
      </c>
      <c r="V140" s="277"/>
      <c r="W140" s="278"/>
      <c r="X140" s="350"/>
      <c r="Y140" s="208" t="s">
        <v>147</v>
      </c>
      <c r="Z140" s="11"/>
      <c r="AA140" s="207"/>
      <c r="AB140" s="207"/>
      <c r="AC140" s="3"/>
      <c r="AD140" s="207"/>
      <c r="AE140" s="226">
        <f t="shared" si="73"/>
        <v>0</v>
      </c>
      <c r="AF140" s="11"/>
      <c r="AG140" s="3"/>
      <c r="AH140" s="359"/>
      <c r="AI140" s="96"/>
      <c r="AJ140" s="94"/>
      <c r="AK140" s="214"/>
      <c r="AL140" s="213"/>
      <c r="AM140" s="82"/>
      <c r="AN140" s="213"/>
      <c r="AO140" s="82"/>
      <c r="AP140" s="213"/>
      <c r="AQ140" s="82"/>
      <c r="AR140" s="13">
        <f t="shared" si="74"/>
        <v>1.4E-5</v>
      </c>
      <c r="AS140" s="13">
        <f t="shared" si="75"/>
        <v>0</v>
      </c>
      <c r="AT140" s="13"/>
      <c r="AU140" s="160">
        <v>145</v>
      </c>
      <c r="AV140" s="191">
        <f t="shared" si="84"/>
        <v>2.6599999999999999E-5</v>
      </c>
      <c r="AW140" s="160">
        <f t="shared" si="76"/>
        <v>0</v>
      </c>
      <c r="AX140" s="219">
        <f t="shared" si="77"/>
        <v>1.4E-5</v>
      </c>
      <c r="AY140" s="13">
        <f t="shared" si="80"/>
        <v>0</v>
      </c>
      <c r="AZ140" s="160">
        <v>145</v>
      </c>
      <c r="BA140" s="77">
        <f t="shared" si="85"/>
        <v>2.5199999999999999E-5</v>
      </c>
      <c r="BB140" s="192">
        <f t="shared" si="78"/>
        <v>0</v>
      </c>
      <c r="BC140" s="219">
        <f t="shared" si="81"/>
        <v>1.4E-5</v>
      </c>
      <c r="BD140" s="13">
        <f t="shared" si="82"/>
        <v>0</v>
      </c>
      <c r="BE140" s="160">
        <v>145</v>
      </c>
      <c r="BF140" s="77">
        <f t="shared" si="86"/>
        <v>2.5199999999999999E-5</v>
      </c>
      <c r="BG140" s="192">
        <f t="shared" si="79"/>
        <v>0</v>
      </c>
      <c r="BI140" s="120"/>
      <c r="BJ140" s="120"/>
      <c r="BK140" s="160"/>
      <c r="BL140" s="160"/>
      <c r="BM140" s="161" t="str">
        <f t="shared" ref="BM140:BM203" si="88">MID($BK140,12,1)</f>
        <v/>
      </c>
      <c r="BN140" s="161" t="str">
        <f t="shared" ref="BN140:BN200" si="89">MID($BK140,11,1)</f>
        <v/>
      </c>
      <c r="BO140" s="161" t="str">
        <f t="shared" ref="BO140:BO203" si="90">MID($BK140,10,1)</f>
        <v/>
      </c>
      <c r="BP140" s="161" t="str">
        <f t="shared" ref="BP140:BP177" si="91">MID($BK140,9,1)</f>
        <v/>
      </c>
      <c r="BQ140" s="161" t="str">
        <f t="shared" ref="BQ140:BQ203" si="92">MID($BK140,8,1)</f>
        <v/>
      </c>
      <c r="BR140" s="161" t="str">
        <f t="shared" ref="BR140:BR203" si="93">MID($BK140,7,1)</f>
        <v/>
      </c>
      <c r="BS140" s="161" t="str">
        <f t="shared" ref="BS140:BS159" si="94">MID($BK140,6,1)</f>
        <v/>
      </c>
      <c r="BT140" s="161" t="str">
        <f t="shared" si="83"/>
        <v/>
      </c>
      <c r="BU140" s="161" t="str">
        <f t="shared" ref="BU140:BU203" si="95">MID($BK140,4,1)</f>
        <v/>
      </c>
      <c r="BV140" s="161" t="str">
        <f t="shared" ref="BV140:BV197" si="96">MID($BK140,3,1)</f>
        <v/>
      </c>
      <c r="BW140" s="161" t="str">
        <f t="shared" ref="BW140:BW203" si="97">MID($BK140,2,1)</f>
        <v/>
      </c>
      <c r="BX140" s="161" t="str">
        <f t="shared" si="87"/>
        <v/>
      </c>
      <c r="BY140" s="148"/>
      <c r="BZ140" s="148"/>
      <c r="CA140" s="148"/>
      <c r="CB140" s="148" t="s">
        <v>149</v>
      </c>
      <c r="CC140" s="148"/>
    </row>
    <row r="141" spans="1:81" ht="14.25" customHeight="1" thickBot="1">
      <c r="A141" s="190">
        <v>131</v>
      </c>
      <c r="B141" s="196"/>
      <c r="C141" s="180"/>
      <c r="D141" s="136"/>
      <c r="E141" s="91"/>
      <c r="F141" s="187"/>
      <c r="G141" s="188"/>
      <c r="H141" s="188"/>
      <c r="I141" s="188"/>
      <c r="J141" s="188"/>
      <c r="K141" s="18">
        <f t="shared" si="71"/>
        <v>0</v>
      </c>
      <c r="L141" s="279"/>
      <c r="M141" s="280"/>
      <c r="N141" s="351"/>
      <c r="O141" s="342" t="s">
        <v>65</v>
      </c>
      <c r="P141" s="187"/>
      <c r="Q141" s="188"/>
      <c r="R141" s="188"/>
      <c r="S141" s="119"/>
      <c r="T141" s="188"/>
      <c r="U141" s="211">
        <f t="shared" si="72"/>
        <v>0</v>
      </c>
      <c r="V141" s="279"/>
      <c r="W141" s="280"/>
      <c r="X141" s="351"/>
      <c r="Y141" s="209" t="s">
        <v>85</v>
      </c>
      <c r="Z141" s="71"/>
      <c r="AA141" s="321"/>
      <c r="AB141" s="321"/>
      <c r="AC141" s="322"/>
      <c r="AD141" s="188"/>
      <c r="AE141" s="18">
        <f t="shared" si="73"/>
        <v>0</v>
      </c>
      <c r="AF141" s="71"/>
      <c r="AG141" s="322"/>
      <c r="AH141" s="360"/>
      <c r="AI141" s="97"/>
      <c r="AJ141" s="194"/>
      <c r="AK141" s="193"/>
      <c r="AL141" s="205"/>
      <c r="AM141" s="197"/>
      <c r="AN141" s="205"/>
      <c r="AO141" s="197"/>
      <c r="AP141" s="205"/>
      <c r="AQ141" s="197"/>
      <c r="AR141" s="13">
        <f t="shared" si="74"/>
        <v>1.4099999999999999E-5</v>
      </c>
      <c r="AS141" s="13">
        <f t="shared" si="75"/>
        <v>0</v>
      </c>
      <c r="AT141" s="13"/>
      <c r="AU141" s="160">
        <v>146</v>
      </c>
      <c r="AV141" s="191">
        <f t="shared" si="84"/>
        <v>2.65E-5</v>
      </c>
      <c r="AW141" s="160">
        <f t="shared" si="76"/>
        <v>0</v>
      </c>
      <c r="AX141" s="219">
        <f t="shared" si="77"/>
        <v>1.4099999999999999E-5</v>
      </c>
      <c r="AY141" s="13">
        <f t="shared" si="80"/>
        <v>0</v>
      </c>
      <c r="AZ141" s="160">
        <v>146</v>
      </c>
      <c r="BA141" s="77">
        <f t="shared" si="85"/>
        <v>2.51E-5</v>
      </c>
      <c r="BB141" s="192">
        <f t="shared" si="78"/>
        <v>0</v>
      </c>
      <c r="BC141" s="219">
        <f t="shared" si="81"/>
        <v>1.4099999999999999E-5</v>
      </c>
      <c r="BD141" s="13">
        <f t="shared" si="82"/>
        <v>0</v>
      </c>
      <c r="BE141" s="160">
        <v>146</v>
      </c>
      <c r="BF141" s="77">
        <f t="shared" si="86"/>
        <v>2.51E-5</v>
      </c>
      <c r="BG141" s="192">
        <f t="shared" si="79"/>
        <v>0</v>
      </c>
      <c r="BI141" s="120"/>
      <c r="BJ141" s="120"/>
      <c r="BK141" s="160"/>
      <c r="BL141" s="160"/>
      <c r="BM141" s="161" t="str">
        <f t="shared" si="88"/>
        <v/>
      </c>
      <c r="BN141" s="161" t="str">
        <f t="shared" si="89"/>
        <v/>
      </c>
      <c r="BO141" s="161" t="str">
        <f t="shared" si="90"/>
        <v/>
      </c>
      <c r="BP141" s="161" t="str">
        <f t="shared" si="91"/>
        <v/>
      </c>
      <c r="BQ141" s="161" t="str">
        <f t="shared" si="92"/>
        <v/>
      </c>
      <c r="BR141" s="161" t="str">
        <f t="shared" si="93"/>
        <v/>
      </c>
      <c r="BS141" s="161" t="str">
        <f t="shared" si="94"/>
        <v/>
      </c>
      <c r="BT141" s="161" t="str">
        <f t="shared" si="83"/>
        <v/>
      </c>
      <c r="BU141" s="161" t="str">
        <f t="shared" si="95"/>
        <v/>
      </c>
      <c r="BV141" s="161" t="str">
        <f t="shared" si="96"/>
        <v/>
      </c>
      <c r="BW141" s="161" t="str">
        <f t="shared" si="97"/>
        <v/>
      </c>
      <c r="BX141" s="161" t="str">
        <f t="shared" si="87"/>
        <v/>
      </c>
      <c r="BY141" s="148"/>
      <c r="BZ141" s="148"/>
      <c r="CA141" s="148"/>
      <c r="CB141" s="148" t="s">
        <v>149</v>
      </c>
      <c r="CC141" s="148"/>
    </row>
    <row r="142" spans="1:81" ht="14.25" customHeight="1" thickBot="1">
      <c r="A142" s="190">
        <v>132</v>
      </c>
      <c r="B142" s="78"/>
      <c r="C142" s="181"/>
      <c r="D142" s="86"/>
      <c r="E142" s="92"/>
      <c r="F142" s="88"/>
      <c r="G142" s="93"/>
      <c r="H142" s="93"/>
      <c r="I142" s="93"/>
      <c r="J142" s="93"/>
      <c r="K142" s="81">
        <f t="shared" si="71"/>
        <v>0</v>
      </c>
      <c r="L142" s="281"/>
      <c r="M142" s="282"/>
      <c r="N142" s="352"/>
      <c r="O142" s="343" t="s">
        <v>65</v>
      </c>
      <c r="P142" s="88"/>
      <c r="Q142" s="93"/>
      <c r="R142" s="93"/>
      <c r="S142" s="89"/>
      <c r="T142" s="93"/>
      <c r="U142" s="212">
        <f t="shared" si="72"/>
        <v>0</v>
      </c>
      <c r="V142" s="281"/>
      <c r="W142" s="282"/>
      <c r="X142" s="352"/>
      <c r="Y142" s="210" t="s">
        <v>85</v>
      </c>
      <c r="Z142" s="72"/>
      <c r="AA142" s="323"/>
      <c r="AB142" s="323"/>
      <c r="AC142" s="324"/>
      <c r="AD142" s="93"/>
      <c r="AE142" s="81">
        <f t="shared" si="73"/>
        <v>0</v>
      </c>
      <c r="AF142" s="72"/>
      <c r="AG142" s="324"/>
      <c r="AH142" s="361"/>
      <c r="AI142" s="98"/>
      <c r="AJ142" s="95"/>
      <c r="AK142" s="215"/>
      <c r="AL142" s="206"/>
      <c r="AM142" s="83"/>
      <c r="AN142" s="206"/>
      <c r="AO142" s="83"/>
      <c r="AP142" s="206"/>
      <c r="AQ142" s="83"/>
      <c r="AR142" s="13">
        <f t="shared" si="74"/>
        <v>1.42E-5</v>
      </c>
      <c r="AS142" s="13">
        <f t="shared" si="75"/>
        <v>0</v>
      </c>
      <c r="AT142" s="13"/>
      <c r="AU142" s="160">
        <v>147</v>
      </c>
      <c r="AV142" s="191">
        <f t="shared" si="84"/>
        <v>2.6399999999999998E-5</v>
      </c>
      <c r="AW142" s="160">
        <f t="shared" si="76"/>
        <v>0</v>
      </c>
      <c r="AX142" s="219">
        <f t="shared" si="77"/>
        <v>1.42E-5</v>
      </c>
      <c r="AY142" s="13">
        <f t="shared" si="80"/>
        <v>0</v>
      </c>
      <c r="AZ142" s="160">
        <v>147</v>
      </c>
      <c r="BA142" s="77">
        <f t="shared" si="85"/>
        <v>2.4999999999999998E-5</v>
      </c>
      <c r="BB142" s="192">
        <f t="shared" si="78"/>
        <v>0</v>
      </c>
      <c r="BC142" s="219">
        <f t="shared" si="81"/>
        <v>1.42E-5</v>
      </c>
      <c r="BD142" s="13">
        <f t="shared" si="82"/>
        <v>0</v>
      </c>
      <c r="BE142" s="160">
        <v>147</v>
      </c>
      <c r="BF142" s="77">
        <f t="shared" si="86"/>
        <v>2.4999999999999998E-5</v>
      </c>
      <c r="BG142" s="192">
        <f t="shared" si="79"/>
        <v>0</v>
      </c>
      <c r="BI142" s="120"/>
      <c r="BJ142" s="120"/>
      <c r="BK142" s="160"/>
      <c r="BL142" s="160"/>
      <c r="BM142" s="161" t="str">
        <f t="shared" si="88"/>
        <v/>
      </c>
      <c r="BN142" s="161" t="str">
        <f t="shared" si="89"/>
        <v/>
      </c>
      <c r="BO142" s="161" t="str">
        <f t="shared" si="90"/>
        <v/>
      </c>
      <c r="BP142" s="161" t="str">
        <f t="shared" si="91"/>
        <v/>
      </c>
      <c r="BQ142" s="161" t="str">
        <f t="shared" si="92"/>
        <v/>
      </c>
      <c r="BR142" s="161" t="str">
        <f t="shared" si="93"/>
        <v/>
      </c>
      <c r="BS142" s="161" t="str">
        <f t="shared" si="94"/>
        <v/>
      </c>
      <c r="BT142" s="161" t="str">
        <f t="shared" si="83"/>
        <v/>
      </c>
      <c r="BU142" s="161" t="str">
        <f t="shared" si="95"/>
        <v/>
      </c>
      <c r="BV142" s="161" t="str">
        <f t="shared" si="96"/>
        <v/>
      </c>
      <c r="BW142" s="161" t="str">
        <f t="shared" si="97"/>
        <v/>
      </c>
      <c r="BX142" s="161" t="str">
        <f t="shared" si="87"/>
        <v/>
      </c>
      <c r="BY142" s="148"/>
      <c r="BZ142" s="148"/>
      <c r="CA142" s="148"/>
      <c r="CB142" s="148" t="s">
        <v>149</v>
      </c>
      <c r="CC142" s="148"/>
    </row>
    <row r="143" spans="1:81" ht="14.25" customHeight="1" thickBot="1">
      <c r="A143" s="190">
        <v>133</v>
      </c>
      <c r="B143" s="79"/>
      <c r="C143" s="179"/>
      <c r="D143" s="137"/>
      <c r="E143" s="198"/>
      <c r="F143" s="199"/>
      <c r="G143" s="200"/>
      <c r="H143" s="200"/>
      <c r="I143" s="200"/>
      <c r="J143" s="200"/>
      <c r="K143" s="201">
        <f t="shared" si="71"/>
        <v>0</v>
      </c>
      <c r="L143" s="277"/>
      <c r="M143" s="278"/>
      <c r="N143" s="350"/>
      <c r="O143" s="341" t="s">
        <v>65</v>
      </c>
      <c r="P143" s="189"/>
      <c r="Q143" s="326"/>
      <c r="R143" s="326"/>
      <c r="S143" s="87"/>
      <c r="T143" s="207"/>
      <c r="U143" s="225">
        <f t="shared" si="72"/>
        <v>0</v>
      </c>
      <c r="V143" s="277"/>
      <c r="W143" s="278"/>
      <c r="X143" s="350"/>
      <c r="Y143" s="208" t="s">
        <v>147</v>
      </c>
      <c r="Z143" s="11"/>
      <c r="AA143" s="207"/>
      <c r="AB143" s="207"/>
      <c r="AC143" s="3"/>
      <c r="AD143" s="207"/>
      <c r="AE143" s="226">
        <f t="shared" si="73"/>
        <v>0</v>
      </c>
      <c r="AF143" s="11"/>
      <c r="AG143" s="3"/>
      <c r="AH143" s="359"/>
      <c r="AI143" s="96"/>
      <c r="AJ143" s="94"/>
      <c r="AK143" s="214"/>
      <c r="AL143" s="213"/>
      <c r="AM143" s="82"/>
      <c r="AN143" s="213"/>
      <c r="AO143" s="82"/>
      <c r="AP143" s="213"/>
      <c r="AQ143" s="82"/>
      <c r="AR143" s="13">
        <f t="shared" si="74"/>
        <v>1.4299999999999999E-5</v>
      </c>
      <c r="AS143" s="13">
        <f t="shared" si="75"/>
        <v>0</v>
      </c>
      <c r="AT143" s="13"/>
      <c r="AU143" s="160">
        <v>148</v>
      </c>
      <c r="AV143" s="191">
        <f t="shared" si="84"/>
        <v>2.6299999999999999E-5</v>
      </c>
      <c r="AW143" s="160">
        <f t="shared" si="76"/>
        <v>0</v>
      </c>
      <c r="AX143" s="219">
        <f t="shared" si="77"/>
        <v>1.4299999999999999E-5</v>
      </c>
      <c r="AY143" s="13">
        <f t="shared" si="80"/>
        <v>0</v>
      </c>
      <c r="AZ143" s="160">
        <v>148</v>
      </c>
      <c r="BA143" s="77">
        <f t="shared" si="85"/>
        <v>2.4899999999999999E-5</v>
      </c>
      <c r="BB143" s="192">
        <f t="shared" si="78"/>
        <v>0</v>
      </c>
      <c r="BC143" s="219">
        <f t="shared" si="81"/>
        <v>1.4299999999999999E-5</v>
      </c>
      <c r="BD143" s="13">
        <f t="shared" si="82"/>
        <v>0</v>
      </c>
      <c r="BE143" s="160">
        <v>148</v>
      </c>
      <c r="BF143" s="77">
        <f t="shared" si="86"/>
        <v>2.4899999999999999E-5</v>
      </c>
      <c r="BG143" s="192">
        <f t="shared" si="79"/>
        <v>0</v>
      </c>
      <c r="BI143" s="120"/>
      <c r="BJ143" s="120"/>
      <c r="BK143" s="160"/>
      <c r="BL143" s="160"/>
      <c r="BM143" s="161" t="str">
        <f t="shared" si="88"/>
        <v/>
      </c>
      <c r="BN143" s="161" t="str">
        <f t="shared" si="89"/>
        <v/>
      </c>
      <c r="BO143" s="161" t="str">
        <f t="shared" si="90"/>
        <v/>
      </c>
      <c r="BP143" s="161" t="str">
        <f t="shared" si="91"/>
        <v/>
      </c>
      <c r="BQ143" s="161" t="str">
        <f t="shared" si="92"/>
        <v/>
      </c>
      <c r="BR143" s="161" t="str">
        <f t="shared" si="93"/>
        <v/>
      </c>
      <c r="BS143" s="161" t="str">
        <f t="shared" si="94"/>
        <v/>
      </c>
      <c r="BT143" s="161" t="str">
        <f t="shared" si="83"/>
        <v/>
      </c>
      <c r="BU143" s="161" t="str">
        <f t="shared" si="95"/>
        <v/>
      </c>
      <c r="BV143" s="161" t="str">
        <f t="shared" si="96"/>
        <v/>
      </c>
      <c r="BW143" s="161" t="str">
        <f t="shared" si="97"/>
        <v/>
      </c>
      <c r="BX143" s="161" t="str">
        <f t="shared" si="87"/>
        <v/>
      </c>
      <c r="BY143" s="148"/>
      <c r="BZ143" s="148"/>
      <c r="CA143" s="148"/>
      <c r="CB143" s="148" t="s">
        <v>149</v>
      </c>
      <c r="CC143" s="148"/>
    </row>
    <row r="144" spans="1:81" ht="14.25" customHeight="1" thickBot="1">
      <c r="A144" s="190">
        <v>134</v>
      </c>
      <c r="B144" s="196"/>
      <c r="C144" s="180"/>
      <c r="D144" s="136"/>
      <c r="E144" s="91"/>
      <c r="F144" s="187"/>
      <c r="G144" s="188"/>
      <c r="H144" s="188"/>
      <c r="I144" s="188"/>
      <c r="J144" s="188"/>
      <c r="K144" s="18">
        <f t="shared" si="71"/>
        <v>0</v>
      </c>
      <c r="L144" s="279"/>
      <c r="M144" s="280"/>
      <c r="N144" s="351"/>
      <c r="O144" s="342" t="s">
        <v>65</v>
      </c>
      <c r="P144" s="187"/>
      <c r="Q144" s="188"/>
      <c r="R144" s="188"/>
      <c r="S144" s="119"/>
      <c r="T144" s="188"/>
      <c r="U144" s="211">
        <f t="shared" si="72"/>
        <v>0</v>
      </c>
      <c r="V144" s="279"/>
      <c r="W144" s="280"/>
      <c r="X144" s="351"/>
      <c r="Y144" s="209" t="s">
        <v>85</v>
      </c>
      <c r="Z144" s="71"/>
      <c r="AA144" s="321"/>
      <c r="AB144" s="321"/>
      <c r="AC144" s="322"/>
      <c r="AD144" s="188"/>
      <c r="AE144" s="18">
        <f t="shared" si="73"/>
        <v>0</v>
      </c>
      <c r="AF144" s="71"/>
      <c r="AG144" s="322"/>
      <c r="AH144" s="360"/>
      <c r="AI144" s="97"/>
      <c r="AJ144" s="194"/>
      <c r="AK144" s="193"/>
      <c r="AL144" s="205"/>
      <c r="AM144" s="197"/>
      <c r="AN144" s="205"/>
      <c r="AO144" s="197"/>
      <c r="AP144" s="205"/>
      <c r="AQ144" s="197"/>
      <c r="AR144" s="13">
        <f t="shared" si="74"/>
        <v>1.4399999999999999E-5</v>
      </c>
      <c r="AS144" s="13">
        <f t="shared" si="75"/>
        <v>0</v>
      </c>
      <c r="AT144" s="13"/>
      <c r="AU144" s="160">
        <v>149</v>
      </c>
      <c r="AV144" s="191">
        <f t="shared" si="84"/>
        <v>2.62E-5</v>
      </c>
      <c r="AW144" s="160">
        <f t="shared" si="76"/>
        <v>0</v>
      </c>
      <c r="AX144" s="219">
        <f t="shared" si="77"/>
        <v>1.4399999999999999E-5</v>
      </c>
      <c r="AY144" s="13">
        <f t="shared" si="80"/>
        <v>0</v>
      </c>
      <c r="AZ144" s="160">
        <v>149</v>
      </c>
      <c r="BA144" s="77">
        <f t="shared" si="85"/>
        <v>2.48E-5</v>
      </c>
      <c r="BB144" s="192">
        <f t="shared" si="78"/>
        <v>0</v>
      </c>
      <c r="BC144" s="219">
        <f t="shared" si="81"/>
        <v>1.4399999999999999E-5</v>
      </c>
      <c r="BD144" s="13">
        <f t="shared" si="82"/>
        <v>0</v>
      </c>
      <c r="BE144" s="160">
        <v>149</v>
      </c>
      <c r="BF144" s="77">
        <f t="shared" si="86"/>
        <v>2.48E-5</v>
      </c>
      <c r="BG144" s="192">
        <f t="shared" si="79"/>
        <v>0</v>
      </c>
      <c r="BI144" s="120"/>
      <c r="BJ144" s="120"/>
      <c r="BK144" s="160"/>
      <c r="BL144" s="160"/>
      <c r="BM144" s="161" t="str">
        <f t="shared" si="88"/>
        <v/>
      </c>
      <c r="BN144" s="161" t="str">
        <f t="shared" si="89"/>
        <v/>
      </c>
      <c r="BO144" s="161" t="str">
        <f t="shared" si="90"/>
        <v/>
      </c>
      <c r="BP144" s="161" t="str">
        <f t="shared" si="91"/>
        <v/>
      </c>
      <c r="BQ144" s="161" t="str">
        <f t="shared" si="92"/>
        <v/>
      </c>
      <c r="BR144" s="161" t="str">
        <f t="shared" si="93"/>
        <v/>
      </c>
      <c r="BS144" s="161" t="str">
        <f t="shared" si="94"/>
        <v/>
      </c>
      <c r="BT144" s="161" t="str">
        <f t="shared" si="83"/>
        <v/>
      </c>
      <c r="BU144" s="161" t="str">
        <f t="shared" si="95"/>
        <v/>
      </c>
      <c r="BV144" s="161" t="str">
        <f t="shared" si="96"/>
        <v/>
      </c>
      <c r="BW144" s="161" t="str">
        <f t="shared" si="97"/>
        <v/>
      </c>
      <c r="BX144" s="161" t="str">
        <f t="shared" si="87"/>
        <v/>
      </c>
      <c r="BY144" s="148"/>
      <c r="BZ144" s="148"/>
      <c r="CA144" s="148"/>
      <c r="CB144" s="148" t="s">
        <v>149</v>
      </c>
      <c r="CC144" s="148"/>
    </row>
    <row r="145" spans="1:81" ht="14.25" customHeight="1" thickBot="1">
      <c r="A145" s="190">
        <v>135</v>
      </c>
      <c r="B145" s="78"/>
      <c r="C145" s="181"/>
      <c r="D145" s="86"/>
      <c r="E145" s="92"/>
      <c r="F145" s="88"/>
      <c r="G145" s="93"/>
      <c r="H145" s="93"/>
      <c r="I145" s="93"/>
      <c r="J145" s="93"/>
      <c r="K145" s="81">
        <f t="shared" si="71"/>
        <v>0</v>
      </c>
      <c r="L145" s="281"/>
      <c r="M145" s="282"/>
      <c r="N145" s="352"/>
      <c r="O145" s="343" t="s">
        <v>65</v>
      </c>
      <c r="P145" s="88"/>
      <c r="Q145" s="93"/>
      <c r="R145" s="93"/>
      <c r="S145" s="89"/>
      <c r="T145" s="93"/>
      <c r="U145" s="212">
        <f t="shared" si="72"/>
        <v>0</v>
      </c>
      <c r="V145" s="281"/>
      <c r="W145" s="282"/>
      <c r="X145" s="352"/>
      <c r="Y145" s="210" t="s">
        <v>85</v>
      </c>
      <c r="Z145" s="72"/>
      <c r="AA145" s="323"/>
      <c r="AB145" s="323"/>
      <c r="AC145" s="324"/>
      <c r="AD145" s="93"/>
      <c r="AE145" s="81">
        <f t="shared" si="73"/>
        <v>0</v>
      </c>
      <c r="AF145" s="72"/>
      <c r="AG145" s="324"/>
      <c r="AH145" s="361"/>
      <c r="AI145" s="98"/>
      <c r="AJ145" s="95"/>
      <c r="AK145" s="215"/>
      <c r="AL145" s="206"/>
      <c r="AM145" s="83"/>
      <c r="AN145" s="206"/>
      <c r="AO145" s="83"/>
      <c r="AP145" s="206"/>
      <c r="AQ145" s="83"/>
      <c r="AR145" s="13">
        <f t="shared" si="74"/>
        <v>1.45E-5</v>
      </c>
      <c r="AS145" s="13">
        <f t="shared" si="75"/>
        <v>0</v>
      </c>
      <c r="AT145" s="13"/>
      <c r="AU145" s="160">
        <v>150</v>
      </c>
      <c r="AV145" s="191">
        <f t="shared" si="84"/>
        <v>2.6099999999999997E-5</v>
      </c>
      <c r="AW145" s="160">
        <f t="shared" si="76"/>
        <v>0</v>
      </c>
      <c r="AX145" s="219">
        <f t="shared" si="77"/>
        <v>1.45E-5</v>
      </c>
      <c r="AY145" s="13">
        <f t="shared" si="80"/>
        <v>0</v>
      </c>
      <c r="AZ145" s="160">
        <v>150</v>
      </c>
      <c r="BA145" s="77">
        <f t="shared" si="85"/>
        <v>2.4699999999999997E-5</v>
      </c>
      <c r="BB145" s="192">
        <f t="shared" si="78"/>
        <v>0</v>
      </c>
      <c r="BC145" s="219">
        <f t="shared" si="81"/>
        <v>1.45E-5</v>
      </c>
      <c r="BD145" s="13">
        <f t="shared" si="82"/>
        <v>0</v>
      </c>
      <c r="BE145" s="160">
        <v>150</v>
      </c>
      <c r="BF145" s="77">
        <f t="shared" si="86"/>
        <v>2.4699999999999997E-5</v>
      </c>
      <c r="BG145" s="192">
        <f t="shared" si="79"/>
        <v>0</v>
      </c>
      <c r="BI145" s="120"/>
      <c r="BJ145" s="120"/>
      <c r="BK145" s="160"/>
      <c r="BL145" s="160"/>
      <c r="BM145" s="161" t="str">
        <f t="shared" si="88"/>
        <v/>
      </c>
      <c r="BN145" s="161" t="str">
        <f t="shared" si="89"/>
        <v/>
      </c>
      <c r="BO145" s="161" t="str">
        <f t="shared" si="90"/>
        <v/>
      </c>
      <c r="BP145" s="161" t="str">
        <f t="shared" si="91"/>
        <v/>
      </c>
      <c r="BQ145" s="161" t="str">
        <f t="shared" si="92"/>
        <v/>
      </c>
      <c r="BR145" s="161" t="str">
        <f t="shared" si="93"/>
        <v/>
      </c>
      <c r="BS145" s="161" t="str">
        <f t="shared" si="94"/>
        <v/>
      </c>
      <c r="BT145" s="161" t="str">
        <f t="shared" si="83"/>
        <v/>
      </c>
      <c r="BU145" s="161" t="str">
        <f t="shared" si="95"/>
        <v/>
      </c>
      <c r="BV145" s="161" t="str">
        <f t="shared" si="96"/>
        <v/>
      </c>
      <c r="BW145" s="161" t="str">
        <f t="shared" si="97"/>
        <v/>
      </c>
      <c r="BX145" s="161" t="str">
        <f t="shared" si="87"/>
        <v/>
      </c>
      <c r="BY145" s="148"/>
      <c r="BZ145" s="148"/>
      <c r="CA145" s="148"/>
      <c r="CB145" s="148" t="s">
        <v>149</v>
      </c>
      <c r="CC145" s="148"/>
    </row>
    <row r="146" spans="1:81" ht="14.25" customHeight="1" thickBot="1">
      <c r="A146" s="190">
        <v>136</v>
      </c>
      <c r="B146" s="79"/>
      <c r="C146" s="179"/>
      <c r="D146" s="137"/>
      <c r="E146" s="198"/>
      <c r="F146" s="199"/>
      <c r="G146" s="200"/>
      <c r="H146" s="200"/>
      <c r="I146" s="200"/>
      <c r="J146" s="200"/>
      <c r="K146" s="201">
        <f t="shared" si="71"/>
        <v>0</v>
      </c>
      <c r="L146" s="277"/>
      <c r="M146" s="278"/>
      <c r="N146" s="350"/>
      <c r="O146" s="341" t="s">
        <v>65</v>
      </c>
      <c r="P146" s="189"/>
      <c r="Q146" s="326"/>
      <c r="R146" s="326"/>
      <c r="S146" s="87"/>
      <c r="T146" s="207"/>
      <c r="U146" s="225">
        <f t="shared" si="72"/>
        <v>0</v>
      </c>
      <c r="V146" s="277"/>
      <c r="W146" s="278"/>
      <c r="X146" s="350"/>
      <c r="Y146" s="208" t="s">
        <v>147</v>
      </c>
      <c r="Z146" s="11"/>
      <c r="AA146" s="207"/>
      <c r="AB146" s="207"/>
      <c r="AC146" s="3"/>
      <c r="AD146" s="207"/>
      <c r="AE146" s="226">
        <f t="shared" si="73"/>
        <v>0</v>
      </c>
      <c r="AF146" s="11"/>
      <c r="AG146" s="3"/>
      <c r="AH146" s="359"/>
      <c r="AI146" s="96"/>
      <c r="AJ146" s="94"/>
      <c r="AK146" s="214"/>
      <c r="AL146" s="213"/>
      <c r="AM146" s="82"/>
      <c r="AN146" s="213"/>
      <c r="AO146" s="82"/>
      <c r="AP146" s="213"/>
      <c r="AQ146" s="82"/>
      <c r="AR146" s="13">
        <f t="shared" si="74"/>
        <v>1.4599999999999999E-5</v>
      </c>
      <c r="AS146" s="13">
        <f t="shared" si="75"/>
        <v>0</v>
      </c>
      <c r="AT146" s="13"/>
      <c r="AU146" s="160">
        <v>151</v>
      </c>
      <c r="AV146" s="191">
        <f t="shared" si="84"/>
        <v>2.5999999999999998E-5</v>
      </c>
      <c r="AW146" s="160">
        <f t="shared" si="76"/>
        <v>0</v>
      </c>
      <c r="AX146" s="219">
        <f t="shared" si="77"/>
        <v>1.4599999999999999E-5</v>
      </c>
      <c r="AY146" s="13">
        <f t="shared" si="80"/>
        <v>0</v>
      </c>
      <c r="AZ146" s="160">
        <v>151</v>
      </c>
      <c r="BA146" s="77">
        <f t="shared" si="85"/>
        <v>2.4599999999999998E-5</v>
      </c>
      <c r="BB146" s="192">
        <f t="shared" si="78"/>
        <v>0</v>
      </c>
      <c r="BC146" s="219">
        <f t="shared" si="81"/>
        <v>1.4599999999999999E-5</v>
      </c>
      <c r="BD146" s="13">
        <f t="shared" si="82"/>
        <v>0</v>
      </c>
      <c r="BE146" s="160">
        <v>151</v>
      </c>
      <c r="BF146" s="77">
        <f t="shared" si="86"/>
        <v>2.4599999999999998E-5</v>
      </c>
      <c r="BG146" s="192">
        <f t="shared" si="79"/>
        <v>0</v>
      </c>
      <c r="BI146" s="120"/>
      <c r="BJ146" s="120"/>
      <c r="BK146" s="160"/>
      <c r="BL146" s="160"/>
      <c r="BM146" s="161" t="str">
        <f t="shared" si="88"/>
        <v/>
      </c>
      <c r="BN146" s="161" t="str">
        <f t="shared" si="89"/>
        <v/>
      </c>
      <c r="BO146" s="161" t="str">
        <f t="shared" si="90"/>
        <v/>
      </c>
      <c r="BP146" s="161" t="str">
        <f t="shared" si="91"/>
        <v/>
      </c>
      <c r="BQ146" s="161" t="str">
        <f t="shared" si="92"/>
        <v/>
      </c>
      <c r="BR146" s="161" t="str">
        <f t="shared" si="93"/>
        <v/>
      </c>
      <c r="BS146" s="161" t="str">
        <f t="shared" si="94"/>
        <v/>
      </c>
      <c r="BT146" s="161" t="str">
        <f t="shared" si="83"/>
        <v/>
      </c>
      <c r="BU146" s="161" t="str">
        <f t="shared" si="95"/>
        <v/>
      </c>
      <c r="BV146" s="161" t="str">
        <f t="shared" si="96"/>
        <v/>
      </c>
      <c r="BW146" s="161" t="str">
        <f t="shared" si="97"/>
        <v/>
      </c>
      <c r="BX146" s="161" t="str">
        <f t="shared" si="87"/>
        <v/>
      </c>
      <c r="BY146" s="148"/>
      <c r="BZ146" s="148"/>
      <c r="CA146" s="148"/>
      <c r="CB146" s="148" t="s">
        <v>149</v>
      </c>
      <c r="CC146" s="148"/>
    </row>
    <row r="147" spans="1:81" ht="14.25" customHeight="1" thickBot="1">
      <c r="A147" s="190">
        <v>137</v>
      </c>
      <c r="B147" s="196"/>
      <c r="C147" s="180"/>
      <c r="D147" s="136"/>
      <c r="E147" s="91"/>
      <c r="F147" s="187"/>
      <c r="G147" s="188"/>
      <c r="H147" s="188"/>
      <c r="I147" s="188"/>
      <c r="J147" s="188"/>
      <c r="K147" s="18">
        <f t="shared" si="71"/>
        <v>0</v>
      </c>
      <c r="L147" s="279"/>
      <c r="M147" s="280"/>
      <c r="N147" s="351"/>
      <c r="O147" s="342" t="s">
        <v>65</v>
      </c>
      <c r="P147" s="187"/>
      <c r="Q147" s="188"/>
      <c r="R147" s="188"/>
      <c r="S147" s="119"/>
      <c r="T147" s="188"/>
      <c r="U147" s="211">
        <f t="shared" si="72"/>
        <v>0</v>
      </c>
      <c r="V147" s="279"/>
      <c r="W147" s="280"/>
      <c r="X147" s="351"/>
      <c r="Y147" s="209" t="s">
        <v>85</v>
      </c>
      <c r="Z147" s="71"/>
      <c r="AA147" s="321"/>
      <c r="AB147" s="321"/>
      <c r="AC147" s="322"/>
      <c r="AD147" s="188"/>
      <c r="AE147" s="18">
        <f t="shared" si="73"/>
        <v>0</v>
      </c>
      <c r="AF147" s="71"/>
      <c r="AG147" s="322"/>
      <c r="AH147" s="360"/>
      <c r="AI147" s="97"/>
      <c r="AJ147" s="194"/>
      <c r="AK147" s="193"/>
      <c r="AL147" s="205"/>
      <c r="AM147" s="197"/>
      <c r="AN147" s="205"/>
      <c r="AO147" s="197"/>
      <c r="AP147" s="205"/>
      <c r="AQ147" s="197"/>
      <c r="AR147" s="13">
        <f t="shared" si="74"/>
        <v>1.47E-5</v>
      </c>
      <c r="AS147" s="13">
        <f t="shared" si="75"/>
        <v>0</v>
      </c>
      <c r="AT147" s="13"/>
      <c r="AU147" s="160">
        <v>152</v>
      </c>
      <c r="AV147" s="191">
        <f t="shared" si="84"/>
        <v>2.5899999999999999E-5</v>
      </c>
      <c r="AW147" s="160">
        <f t="shared" si="76"/>
        <v>0</v>
      </c>
      <c r="AX147" s="219">
        <f t="shared" si="77"/>
        <v>1.47E-5</v>
      </c>
      <c r="AY147" s="13">
        <f t="shared" si="80"/>
        <v>0</v>
      </c>
      <c r="AZ147" s="160">
        <v>152</v>
      </c>
      <c r="BA147" s="77">
        <f t="shared" si="85"/>
        <v>2.4499999999999999E-5</v>
      </c>
      <c r="BB147" s="192">
        <f t="shared" si="78"/>
        <v>0</v>
      </c>
      <c r="BC147" s="219">
        <f t="shared" si="81"/>
        <v>1.47E-5</v>
      </c>
      <c r="BD147" s="13">
        <f t="shared" si="82"/>
        <v>0</v>
      </c>
      <c r="BE147" s="160">
        <v>152</v>
      </c>
      <c r="BF147" s="77">
        <f t="shared" si="86"/>
        <v>2.4499999999999999E-5</v>
      </c>
      <c r="BG147" s="192">
        <f t="shared" si="79"/>
        <v>0</v>
      </c>
      <c r="BI147" s="120"/>
      <c r="BJ147" s="120"/>
      <c r="BK147" s="160"/>
      <c r="BL147" s="160"/>
      <c r="BM147" s="161" t="str">
        <f t="shared" si="88"/>
        <v/>
      </c>
      <c r="BN147" s="161" t="str">
        <f t="shared" si="89"/>
        <v/>
      </c>
      <c r="BO147" s="161" t="str">
        <f t="shared" si="90"/>
        <v/>
      </c>
      <c r="BP147" s="161" t="str">
        <f t="shared" si="91"/>
        <v/>
      </c>
      <c r="BQ147" s="161" t="str">
        <f t="shared" si="92"/>
        <v/>
      </c>
      <c r="BR147" s="161" t="str">
        <f t="shared" si="93"/>
        <v/>
      </c>
      <c r="BS147" s="161" t="str">
        <f t="shared" si="94"/>
        <v/>
      </c>
      <c r="BT147" s="161" t="str">
        <f t="shared" si="83"/>
        <v/>
      </c>
      <c r="BU147" s="161" t="str">
        <f t="shared" si="95"/>
        <v/>
      </c>
      <c r="BV147" s="161" t="str">
        <f t="shared" si="96"/>
        <v/>
      </c>
      <c r="BW147" s="161" t="str">
        <f t="shared" si="97"/>
        <v/>
      </c>
      <c r="BX147" s="161" t="str">
        <f t="shared" si="87"/>
        <v/>
      </c>
      <c r="BY147" s="148"/>
      <c r="BZ147" s="148"/>
      <c r="CA147" s="148"/>
      <c r="CB147" s="148" t="s">
        <v>149</v>
      </c>
      <c r="CC147" s="148"/>
    </row>
    <row r="148" spans="1:81" ht="14.25" customHeight="1" thickBot="1">
      <c r="A148" s="190">
        <v>138</v>
      </c>
      <c r="B148" s="78"/>
      <c r="C148" s="181"/>
      <c r="D148" s="86"/>
      <c r="E148" s="92"/>
      <c r="F148" s="88"/>
      <c r="G148" s="93"/>
      <c r="H148" s="93"/>
      <c r="I148" s="93"/>
      <c r="J148" s="93"/>
      <c r="K148" s="81">
        <f t="shared" si="71"/>
        <v>0</v>
      </c>
      <c r="L148" s="281"/>
      <c r="M148" s="282"/>
      <c r="N148" s="352"/>
      <c r="O148" s="343" t="s">
        <v>65</v>
      </c>
      <c r="P148" s="88"/>
      <c r="Q148" s="93"/>
      <c r="R148" s="93"/>
      <c r="S148" s="89"/>
      <c r="T148" s="93"/>
      <c r="U148" s="212">
        <f t="shared" si="72"/>
        <v>0</v>
      </c>
      <c r="V148" s="281"/>
      <c r="W148" s="282"/>
      <c r="X148" s="352"/>
      <c r="Y148" s="210" t="s">
        <v>85</v>
      </c>
      <c r="Z148" s="72"/>
      <c r="AA148" s="323"/>
      <c r="AB148" s="323"/>
      <c r="AC148" s="324"/>
      <c r="AD148" s="93"/>
      <c r="AE148" s="81">
        <f t="shared" si="73"/>
        <v>0</v>
      </c>
      <c r="AF148" s="72"/>
      <c r="AG148" s="324"/>
      <c r="AH148" s="361"/>
      <c r="AI148" s="98"/>
      <c r="AJ148" s="95"/>
      <c r="AK148" s="215"/>
      <c r="AL148" s="206"/>
      <c r="AM148" s="83"/>
      <c r="AN148" s="206"/>
      <c r="AO148" s="83"/>
      <c r="AP148" s="206"/>
      <c r="AQ148" s="83"/>
      <c r="AR148" s="13">
        <f t="shared" si="74"/>
        <v>1.4799999999999999E-5</v>
      </c>
      <c r="AS148" s="13">
        <f t="shared" si="75"/>
        <v>0</v>
      </c>
      <c r="AT148" s="13"/>
      <c r="AU148" s="160">
        <v>153</v>
      </c>
      <c r="AV148" s="191">
        <f t="shared" si="84"/>
        <v>2.58E-5</v>
      </c>
      <c r="AW148" s="160">
        <f t="shared" si="76"/>
        <v>0</v>
      </c>
      <c r="AX148" s="219">
        <f t="shared" si="77"/>
        <v>1.4799999999999999E-5</v>
      </c>
      <c r="AY148" s="13">
        <f t="shared" si="80"/>
        <v>0</v>
      </c>
      <c r="AZ148" s="160">
        <v>153</v>
      </c>
      <c r="BA148" s="77">
        <f t="shared" si="85"/>
        <v>2.44E-5</v>
      </c>
      <c r="BB148" s="192">
        <f t="shared" si="78"/>
        <v>0</v>
      </c>
      <c r="BC148" s="219">
        <f t="shared" si="81"/>
        <v>1.4799999999999999E-5</v>
      </c>
      <c r="BD148" s="13">
        <f t="shared" si="82"/>
        <v>0</v>
      </c>
      <c r="BE148" s="160">
        <v>153</v>
      </c>
      <c r="BF148" s="77">
        <f t="shared" si="86"/>
        <v>2.44E-5</v>
      </c>
      <c r="BG148" s="192">
        <f t="shared" si="79"/>
        <v>0</v>
      </c>
      <c r="BI148" s="120"/>
      <c r="BJ148" s="120"/>
      <c r="BK148" s="160"/>
      <c r="BL148" s="160"/>
      <c r="BM148" s="161" t="str">
        <f t="shared" si="88"/>
        <v/>
      </c>
      <c r="BN148" s="161" t="str">
        <f t="shared" si="89"/>
        <v/>
      </c>
      <c r="BO148" s="161" t="str">
        <f t="shared" si="90"/>
        <v/>
      </c>
      <c r="BP148" s="161" t="str">
        <f t="shared" si="91"/>
        <v/>
      </c>
      <c r="BQ148" s="161" t="str">
        <f t="shared" si="92"/>
        <v/>
      </c>
      <c r="BR148" s="161" t="str">
        <f t="shared" si="93"/>
        <v/>
      </c>
      <c r="BS148" s="161" t="str">
        <f t="shared" si="94"/>
        <v/>
      </c>
      <c r="BT148" s="161" t="str">
        <f t="shared" si="83"/>
        <v/>
      </c>
      <c r="BU148" s="161" t="str">
        <f t="shared" si="95"/>
        <v/>
      </c>
      <c r="BV148" s="161" t="str">
        <f t="shared" si="96"/>
        <v/>
      </c>
      <c r="BW148" s="161" t="str">
        <f t="shared" si="97"/>
        <v/>
      </c>
      <c r="BX148" s="161" t="str">
        <f t="shared" si="87"/>
        <v/>
      </c>
      <c r="BY148" s="148"/>
      <c r="BZ148" s="148"/>
      <c r="CA148" s="148"/>
      <c r="CB148" s="148" t="s">
        <v>149</v>
      </c>
      <c r="CC148" s="148"/>
    </row>
    <row r="149" spans="1:81" ht="14.25" customHeight="1" thickBot="1">
      <c r="A149" s="190">
        <v>139</v>
      </c>
      <c r="B149" s="79"/>
      <c r="C149" s="179"/>
      <c r="D149" s="137"/>
      <c r="E149" s="198"/>
      <c r="F149" s="199"/>
      <c r="G149" s="200"/>
      <c r="H149" s="200"/>
      <c r="I149" s="200"/>
      <c r="J149" s="200"/>
      <c r="K149" s="201">
        <f t="shared" si="71"/>
        <v>0</v>
      </c>
      <c r="L149" s="277"/>
      <c r="M149" s="278"/>
      <c r="N149" s="350"/>
      <c r="O149" s="341" t="s">
        <v>65</v>
      </c>
      <c r="P149" s="189"/>
      <c r="Q149" s="326"/>
      <c r="R149" s="326"/>
      <c r="S149" s="87"/>
      <c r="T149" s="207"/>
      <c r="U149" s="225">
        <f t="shared" si="72"/>
        <v>0</v>
      </c>
      <c r="V149" s="277"/>
      <c r="W149" s="278"/>
      <c r="X149" s="350"/>
      <c r="Y149" s="208" t="s">
        <v>147</v>
      </c>
      <c r="Z149" s="11"/>
      <c r="AA149" s="207"/>
      <c r="AB149" s="207"/>
      <c r="AC149" s="3"/>
      <c r="AD149" s="207"/>
      <c r="AE149" s="226">
        <f t="shared" si="73"/>
        <v>0</v>
      </c>
      <c r="AF149" s="11"/>
      <c r="AG149" s="3"/>
      <c r="AH149" s="359"/>
      <c r="AI149" s="96"/>
      <c r="AJ149" s="94"/>
      <c r="AK149" s="214"/>
      <c r="AL149" s="213"/>
      <c r="AM149" s="82"/>
      <c r="AN149" s="213"/>
      <c r="AO149" s="82"/>
      <c r="AP149" s="213"/>
      <c r="AQ149" s="82"/>
      <c r="AR149" s="13">
        <f t="shared" si="74"/>
        <v>1.49E-5</v>
      </c>
      <c r="AS149" s="13">
        <f t="shared" si="75"/>
        <v>0</v>
      </c>
      <c r="AT149" s="13"/>
      <c r="AU149" s="160">
        <v>154</v>
      </c>
      <c r="AV149" s="191">
        <f t="shared" si="84"/>
        <v>2.5699999999999998E-5</v>
      </c>
      <c r="AW149" s="160">
        <f t="shared" si="76"/>
        <v>0</v>
      </c>
      <c r="AX149" s="219">
        <f t="shared" si="77"/>
        <v>1.49E-5</v>
      </c>
      <c r="AY149" s="13">
        <f t="shared" si="80"/>
        <v>0</v>
      </c>
      <c r="AZ149" s="160">
        <v>154</v>
      </c>
      <c r="BA149" s="77">
        <f t="shared" si="85"/>
        <v>2.4299999999999998E-5</v>
      </c>
      <c r="BB149" s="192">
        <f t="shared" si="78"/>
        <v>0</v>
      </c>
      <c r="BC149" s="219">
        <f t="shared" si="81"/>
        <v>1.49E-5</v>
      </c>
      <c r="BD149" s="13">
        <f t="shared" si="82"/>
        <v>0</v>
      </c>
      <c r="BE149" s="160">
        <v>154</v>
      </c>
      <c r="BF149" s="77">
        <f t="shared" si="86"/>
        <v>2.4299999999999998E-5</v>
      </c>
      <c r="BG149" s="192">
        <f t="shared" si="79"/>
        <v>0</v>
      </c>
      <c r="BI149" s="120"/>
      <c r="BJ149" s="120"/>
      <c r="BK149" s="160"/>
      <c r="BL149" s="160"/>
      <c r="BM149" s="161" t="str">
        <f t="shared" si="88"/>
        <v/>
      </c>
      <c r="BN149" s="161" t="str">
        <f t="shared" si="89"/>
        <v/>
      </c>
      <c r="BO149" s="161" t="str">
        <f t="shared" si="90"/>
        <v/>
      </c>
      <c r="BP149" s="161" t="str">
        <f t="shared" si="91"/>
        <v/>
      </c>
      <c r="BQ149" s="161" t="str">
        <f t="shared" si="92"/>
        <v/>
      </c>
      <c r="BR149" s="161" t="str">
        <f t="shared" si="93"/>
        <v/>
      </c>
      <c r="BS149" s="161" t="str">
        <f t="shared" si="94"/>
        <v/>
      </c>
      <c r="BT149" s="161" t="str">
        <f t="shared" si="83"/>
        <v/>
      </c>
      <c r="BU149" s="161" t="str">
        <f t="shared" si="95"/>
        <v/>
      </c>
      <c r="BV149" s="161" t="str">
        <f t="shared" si="96"/>
        <v/>
      </c>
      <c r="BW149" s="161" t="str">
        <f t="shared" si="97"/>
        <v/>
      </c>
      <c r="BX149" s="161" t="str">
        <f t="shared" si="87"/>
        <v/>
      </c>
      <c r="BY149" s="148"/>
      <c r="BZ149" s="148"/>
      <c r="CA149" s="148"/>
      <c r="CB149" s="148" t="s">
        <v>149</v>
      </c>
      <c r="CC149" s="148"/>
    </row>
    <row r="150" spans="1:81" ht="14.25" customHeight="1" thickBot="1">
      <c r="A150" s="190">
        <v>140</v>
      </c>
      <c r="B150" s="196"/>
      <c r="C150" s="180"/>
      <c r="D150" s="136"/>
      <c r="E150" s="91"/>
      <c r="F150" s="187"/>
      <c r="G150" s="188"/>
      <c r="H150" s="188"/>
      <c r="I150" s="188"/>
      <c r="J150" s="188"/>
      <c r="K150" s="18">
        <f t="shared" si="71"/>
        <v>0</v>
      </c>
      <c r="L150" s="279"/>
      <c r="M150" s="280"/>
      <c r="N150" s="351"/>
      <c r="O150" s="342" t="s">
        <v>65</v>
      </c>
      <c r="P150" s="187"/>
      <c r="Q150" s="188"/>
      <c r="R150" s="188"/>
      <c r="S150" s="119"/>
      <c r="T150" s="188"/>
      <c r="U150" s="211">
        <f t="shared" si="72"/>
        <v>0</v>
      </c>
      <c r="V150" s="279"/>
      <c r="W150" s="280"/>
      <c r="X150" s="351"/>
      <c r="Y150" s="209" t="s">
        <v>85</v>
      </c>
      <c r="Z150" s="71"/>
      <c r="AA150" s="321"/>
      <c r="AB150" s="321"/>
      <c r="AC150" s="322"/>
      <c r="AD150" s="188"/>
      <c r="AE150" s="18">
        <f t="shared" si="73"/>
        <v>0</v>
      </c>
      <c r="AF150" s="71"/>
      <c r="AG150" s="322"/>
      <c r="AH150" s="360"/>
      <c r="AI150" s="97"/>
      <c r="AJ150" s="194"/>
      <c r="AK150" s="193"/>
      <c r="AL150" s="205"/>
      <c r="AM150" s="197"/>
      <c r="AN150" s="205"/>
      <c r="AO150" s="197"/>
      <c r="AP150" s="205"/>
      <c r="AQ150" s="197"/>
      <c r="AR150" s="13">
        <f t="shared" si="74"/>
        <v>1.4999999999999999E-5</v>
      </c>
      <c r="AS150" s="13">
        <f t="shared" si="75"/>
        <v>0</v>
      </c>
      <c r="AT150" s="13"/>
      <c r="AU150" s="160">
        <v>155</v>
      </c>
      <c r="AV150" s="191">
        <f t="shared" si="84"/>
        <v>2.5599999999999999E-5</v>
      </c>
      <c r="AW150" s="160">
        <f t="shared" si="76"/>
        <v>0</v>
      </c>
      <c r="AX150" s="219">
        <f t="shared" si="77"/>
        <v>1.4999999999999999E-5</v>
      </c>
      <c r="AY150" s="13">
        <f t="shared" si="80"/>
        <v>0</v>
      </c>
      <c r="AZ150" s="160">
        <v>155</v>
      </c>
      <c r="BA150" s="77">
        <f t="shared" si="85"/>
        <v>2.4199999999999999E-5</v>
      </c>
      <c r="BB150" s="192">
        <f t="shared" si="78"/>
        <v>0</v>
      </c>
      <c r="BC150" s="219">
        <f t="shared" si="81"/>
        <v>1.4999999999999999E-5</v>
      </c>
      <c r="BD150" s="13">
        <f t="shared" si="82"/>
        <v>0</v>
      </c>
      <c r="BE150" s="160">
        <v>155</v>
      </c>
      <c r="BF150" s="77">
        <f t="shared" si="86"/>
        <v>2.4199999999999999E-5</v>
      </c>
      <c r="BG150" s="192">
        <f t="shared" si="79"/>
        <v>0</v>
      </c>
      <c r="BI150" s="120"/>
      <c r="BJ150" s="120"/>
      <c r="BK150" s="160"/>
      <c r="BL150" s="160"/>
      <c r="BM150" s="161" t="str">
        <f t="shared" si="88"/>
        <v/>
      </c>
      <c r="BN150" s="161" t="str">
        <f t="shared" si="89"/>
        <v/>
      </c>
      <c r="BO150" s="161" t="str">
        <f t="shared" si="90"/>
        <v/>
      </c>
      <c r="BP150" s="161" t="str">
        <f t="shared" si="91"/>
        <v/>
      </c>
      <c r="BQ150" s="161" t="str">
        <f t="shared" si="92"/>
        <v/>
      </c>
      <c r="BR150" s="161" t="str">
        <f t="shared" si="93"/>
        <v/>
      </c>
      <c r="BS150" s="161" t="str">
        <f t="shared" si="94"/>
        <v/>
      </c>
      <c r="BT150" s="161" t="str">
        <f t="shared" si="83"/>
        <v/>
      </c>
      <c r="BU150" s="161" t="str">
        <f t="shared" si="95"/>
        <v/>
      </c>
      <c r="BV150" s="161" t="str">
        <f t="shared" si="96"/>
        <v/>
      </c>
      <c r="BW150" s="161" t="str">
        <f t="shared" si="97"/>
        <v/>
      </c>
      <c r="BX150" s="161" t="str">
        <f t="shared" si="87"/>
        <v/>
      </c>
      <c r="BY150" s="148"/>
      <c r="BZ150" s="148"/>
      <c r="CA150" s="148"/>
      <c r="CB150" s="148" t="s">
        <v>149</v>
      </c>
      <c r="CC150" s="148"/>
    </row>
    <row r="151" spans="1:81" ht="14.25" customHeight="1" thickBot="1">
      <c r="A151" s="190">
        <v>141</v>
      </c>
      <c r="B151" s="78"/>
      <c r="C151" s="181"/>
      <c r="D151" s="86"/>
      <c r="E151" s="92"/>
      <c r="F151" s="88"/>
      <c r="G151" s="93"/>
      <c r="H151" s="93"/>
      <c r="I151" s="93"/>
      <c r="J151" s="93"/>
      <c r="K151" s="81">
        <f t="shared" si="71"/>
        <v>0</v>
      </c>
      <c r="L151" s="281"/>
      <c r="M151" s="282"/>
      <c r="N151" s="352"/>
      <c r="O151" s="343" t="s">
        <v>65</v>
      </c>
      <c r="P151" s="88"/>
      <c r="Q151" s="93"/>
      <c r="R151" s="93"/>
      <c r="S151" s="89"/>
      <c r="T151" s="93"/>
      <c r="U151" s="212">
        <f t="shared" si="72"/>
        <v>0</v>
      </c>
      <c r="V151" s="281"/>
      <c r="W151" s="282"/>
      <c r="X151" s="352"/>
      <c r="Y151" s="210" t="s">
        <v>85</v>
      </c>
      <c r="Z151" s="72"/>
      <c r="AA151" s="323"/>
      <c r="AB151" s="323"/>
      <c r="AC151" s="324"/>
      <c r="AD151" s="93"/>
      <c r="AE151" s="81">
        <f t="shared" si="73"/>
        <v>0</v>
      </c>
      <c r="AF151" s="72"/>
      <c r="AG151" s="324"/>
      <c r="AH151" s="361"/>
      <c r="AI151" s="98"/>
      <c r="AJ151" s="95"/>
      <c r="AK151" s="215"/>
      <c r="AL151" s="206"/>
      <c r="AM151" s="83"/>
      <c r="AN151" s="206"/>
      <c r="AO151" s="83"/>
      <c r="AP151" s="206"/>
      <c r="AQ151" s="83"/>
      <c r="AR151" s="13">
        <f t="shared" si="74"/>
        <v>1.5099999999999999E-5</v>
      </c>
      <c r="AS151" s="13">
        <f t="shared" si="75"/>
        <v>0</v>
      </c>
      <c r="AT151" s="13"/>
      <c r="AU151" s="160">
        <v>156</v>
      </c>
      <c r="AV151" s="191">
        <f t="shared" si="84"/>
        <v>2.55E-5</v>
      </c>
      <c r="AW151" s="160">
        <f t="shared" si="76"/>
        <v>0</v>
      </c>
      <c r="AX151" s="219">
        <f t="shared" si="77"/>
        <v>1.5099999999999999E-5</v>
      </c>
      <c r="AY151" s="13">
        <f t="shared" si="80"/>
        <v>0</v>
      </c>
      <c r="AZ151" s="160">
        <v>156</v>
      </c>
      <c r="BA151" s="77">
        <f t="shared" si="85"/>
        <v>2.41E-5</v>
      </c>
      <c r="BB151" s="192">
        <f t="shared" si="78"/>
        <v>0</v>
      </c>
      <c r="BC151" s="219">
        <f t="shared" si="81"/>
        <v>1.5099999999999999E-5</v>
      </c>
      <c r="BD151" s="13">
        <f t="shared" si="82"/>
        <v>0</v>
      </c>
      <c r="BE151" s="160">
        <v>156</v>
      </c>
      <c r="BF151" s="77">
        <f t="shared" si="86"/>
        <v>2.41E-5</v>
      </c>
      <c r="BG151" s="192">
        <f t="shared" si="79"/>
        <v>0</v>
      </c>
      <c r="BI151" s="120"/>
      <c r="BJ151" s="120"/>
      <c r="BK151" s="160"/>
      <c r="BL151" s="160"/>
      <c r="BM151" s="161" t="str">
        <f t="shared" si="88"/>
        <v/>
      </c>
      <c r="BN151" s="161" t="str">
        <f t="shared" si="89"/>
        <v/>
      </c>
      <c r="BO151" s="161" t="str">
        <f t="shared" si="90"/>
        <v/>
      </c>
      <c r="BP151" s="161" t="str">
        <f t="shared" si="91"/>
        <v/>
      </c>
      <c r="BQ151" s="161" t="str">
        <f t="shared" si="92"/>
        <v/>
      </c>
      <c r="BR151" s="161" t="str">
        <f t="shared" si="93"/>
        <v/>
      </c>
      <c r="BS151" s="161" t="str">
        <f t="shared" si="94"/>
        <v/>
      </c>
      <c r="BT151" s="161" t="str">
        <f t="shared" si="83"/>
        <v/>
      </c>
      <c r="BU151" s="161" t="str">
        <f t="shared" si="95"/>
        <v/>
      </c>
      <c r="BV151" s="161" t="str">
        <f t="shared" si="96"/>
        <v/>
      </c>
      <c r="BW151" s="161" t="str">
        <f t="shared" si="97"/>
        <v/>
      </c>
      <c r="BX151" s="161" t="str">
        <f t="shared" si="87"/>
        <v/>
      </c>
      <c r="BY151" s="148"/>
      <c r="BZ151" s="148"/>
      <c r="CA151" s="148"/>
      <c r="CB151" s="148" t="s">
        <v>149</v>
      </c>
      <c r="CC151" s="148"/>
    </row>
    <row r="152" spans="1:81" ht="14.25" customHeight="1" thickBot="1">
      <c r="A152" s="190">
        <v>142</v>
      </c>
      <c r="B152" s="79"/>
      <c r="C152" s="179"/>
      <c r="D152" s="137"/>
      <c r="E152" s="198"/>
      <c r="F152" s="199"/>
      <c r="G152" s="200"/>
      <c r="H152" s="200"/>
      <c r="I152" s="200"/>
      <c r="J152" s="200"/>
      <c r="K152" s="201">
        <f t="shared" si="71"/>
        <v>0</v>
      </c>
      <c r="L152" s="277"/>
      <c r="M152" s="278"/>
      <c r="N152" s="350"/>
      <c r="O152" s="341" t="s">
        <v>65</v>
      </c>
      <c r="P152" s="189"/>
      <c r="Q152" s="326"/>
      <c r="R152" s="326"/>
      <c r="S152" s="87"/>
      <c r="T152" s="207"/>
      <c r="U152" s="225">
        <f t="shared" si="72"/>
        <v>0</v>
      </c>
      <c r="V152" s="277"/>
      <c r="W152" s="278"/>
      <c r="X152" s="350"/>
      <c r="Y152" s="208" t="s">
        <v>147</v>
      </c>
      <c r="Z152" s="11"/>
      <c r="AA152" s="207"/>
      <c r="AB152" s="207"/>
      <c r="AC152" s="3"/>
      <c r="AD152" s="207"/>
      <c r="AE152" s="226">
        <f t="shared" si="73"/>
        <v>0</v>
      </c>
      <c r="AF152" s="11"/>
      <c r="AG152" s="3"/>
      <c r="AH152" s="359"/>
      <c r="AI152" s="96"/>
      <c r="AJ152" s="94"/>
      <c r="AK152" s="214"/>
      <c r="AL152" s="213"/>
      <c r="AM152" s="82"/>
      <c r="AN152" s="213"/>
      <c r="AO152" s="82"/>
      <c r="AP152" s="213"/>
      <c r="AQ152" s="82"/>
      <c r="AR152" s="13">
        <f t="shared" si="74"/>
        <v>1.52E-5</v>
      </c>
      <c r="AS152" s="13">
        <f t="shared" si="75"/>
        <v>0</v>
      </c>
      <c r="AT152" s="13"/>
      <c r="AU152" s="160">
        <v>157</v>
      </c>
      <c r="AV152" s="191">
        <f t="shared" si="84"/>
        <v>2.5399999999999997E-5</v>
      </c>
      <c r="AW152" s="160">
        <f t="shared" si="76"/>
        <v>0</v>
      </c>
      <c r="AX152" s="219">
        <f t="shared" si="77"/>
        <v>1.52E-5</v>
      </c>
      <c r="AY152" s="13">
        <f t="shared" si="80"/>
        <v>0</v>
      </c>
      <c r="AZ152" s="160">
        <v>157</v>
      </c>
      <c r="BA152" s="77">
        <f t="shared" si="85"/>
        <v>2.4000000000000001E-5</v>
      </c>
      <c r="BB152" s="192">
        <f t="shared" si="78"/>
        <v>0</v>
      </c>
      <c r="BC152" s="219">
        <f t="shared" si="81"/>
        <v>1.52E-5</v>
      </c>
      <c r="BD152" s="13">
        <f t="shared" si="82"/>
        <v>0</v>
      </c>
      <c r="BE152" s="160">
        <v>157</v>
      </c>
      <c r="BF152" s="77">
        <f t="shared" si="86"/>
        <v>2.4000000000000001E-5</v>
      </c>
      <c r="BG152" s="192">
        <f t="shared" si="79"/>
        <v>0</v>
      </c>
      <c r="BI152" s="120"/>
      <c r="BJ152" s="120"/>
      <c r="BK152" s="160"/>
      <c r="BL152" s="160"/>
      <c r="BM152" s="161" t="str">
        <f t="shared" si="88"/>
        <v/>
      </c>
      <c r="BN152" s="161" t="str">
        <f t="shared" si="89"/>
        <v/>
      </c>
      <c r="BO152" s="161" t="str">
        <f t="shared" si="90"/>
        <v/>
      </c>
      <c r="BP152" s="161" t="str">
        <f t="shared" si="91"/>
        <v/>
      </c>
      <c r="BQ152" s="161" t="str">
        <f t="shared" si="92"/>
        <v/>
      </c>
      <c r="BR152" s="161" t="str">
        <f t="shared" si="93"/>
        <v/>
      </c>
      <c r="BS152" s="161" t="str">
        <f t="shared" si="94"/>
        <v/>
      </c>
      <c r="BT152" s="161" t="str">
        <f t="shared" si="83"/>
        <v/>
      </c>
      <c r="BU152" s="161" t="str">
        <f t="shared" si="95"/>
        <v/>
      </c>
      <c r="BV152" s="161" t="str">
        <f t="shared" si="96"/>
        <v/>
      </c>
      <c r="BW152" s="161" t="str">
        <f t="shared" si="97"/>
        <v/>
      </c>
      <c r="BX152" s="161" t="str">
        <f t="shared" si="87"/>
        <v/>
      </c>
      <c r="BY152" s="148"/>
      <c r="BZ152" s="148"/>
      <c r="CA152" s="148"/>
      <c r="CB152" s="148" t="s">
        <v>149</v>
      </c>
      <c r="CC152" s="148"/>
    </row>
    <row r="153" spans="1:81" ht="14.25" customHeight="1" thickBot="1">
      <c r="A153" s="190">
        <v>143</v>
      </c>
      <c r="B153" s="196"/>
      <c r="C153" s="180"/>
      <c r="D153" s="136"/>
      <c r="E153" s="91"/>
      <c r="F153" s="187"/>
      <c r="G153" s="188"/>
      <c r="H153" s="188"/>
      <c r="I153" s="188"/>
      <c r="J153" s="188"/>
      <c r="K153" s="18">
        <f t="shared" si="71"/>
        <v>0</v>
      </c>
      <c r="L153" s="279"/>
      <c r="M153" s="280"/>
      <c r="N153" s="351"/>
      <c r="O153" s="342" t="s">
        <v>65</v>
      </c>
      <c r="P153" s="187"/>
      <c r="Q153" s="188"/>
      <c r="R153" s="188"/>
      <c r="S153" s="119"/>
      <c r="T153" s="188"/>
      <c r="U153" s="211">
        <f t="shared" si="72"/>
        <v>0</v>
      </c>
      <c r="V153" s="279"/>
      <c r="W153" s="280"/>
      <c r="X153" s="351"/>
      <c r="Y153" s="209" t="s">
        <v>85</v>
      </c>
      <c r="Z153" s="71"/>
      <c r="AA153" s="321"/>
      <c r="AB153" s="321"/>
      <c r="AC153" s="322"/>
      <c r="AD153" s="188"/>
      <c r="AE153" s="18">
        <f t="shared" si="73"/>
        <v>0</v>
      </c>
      <c r="AF153" s="71"/>
      <c r="AG153" s="322"/>
      <c r="AH153" s="360"/>
      <c r="AI153" s="97"/>
      <c r="AJ153" s="194"/>
      <c r="AK153" s="193"/>
      <c r="AL153" s="205"/>
      <c r="AM153" s="197"/>
      <c r="AN153" s="205"/>
      <c r="AO153" s="197"/>
      <c r="AP153" s="205"/>
      <c r="AQ153" s="197"/>
      <c r="AR153" s="13">
        <f t="shared" si="74"/>
        <v>1.5299999999999999E-5</v>
      </c>
      <c r="AS153" s="13">
        <f t="shared" si="75"/>
        <v>0</v>
      </c>
      <c r="AT153" s="13"/>
      <c r="AU153" s="160">
        <v>158</v>
      </c>
      <c r="AV153" s="191">
        <f t="shared" si="84"/>
        <v>2.5299999999999998E-5</v>
      </c>
      <c r="AW153" s="160">
        <f t="shared" si="76"/>
        <v>0</v>
      </c>
      <c r="AX153" s="219">
        <f t="shared" si="77"/>
        <v>1.5299999999999999E-5</v>
      </c>
      <c r="AY153" s="13">
        <f t="shared" si="80"/>
        <v>0</v>
      </c>
      <c r="AZ153" s="160">
        <v>158</v>
      </c>
      <c r="BA153" s="77">
        <f t="shared" si="85"/>
        <v>2.3899999999999998E-5</v>
      </c>
      <c r="BB153" s="192">
        <f t="shared" si="78"/>
        <v>0</v>
      </c>
      <c r="BC153" s="219">
        <f t="shared" si="81"/>
        <v>1.5299999999999999E-5</v>
      </c>
      <c r="BD153" s="13">
        <f t="shared" si="82"/>
        <v>0</v>
      </c>
      <c r="BE153" s="160">
        <v>158</v>
      </c>
      <c r="BF153" s="77">
        <f t="shared" si="86"/>
        <v>2.3899999999999998E-5</v>
      </c>
      <c r="BG153" s="192">
        <f t="shared" si="79"/>
        <v>0</v>
      </c>
      <c r="BI153" s="120"/>
      <c r="BJ153" s="120"/>
      <c r="BK153" s="160"/>
      <c r="BL153" s="160"/>
      <c r="BM153" s="161" t="str">
        <f t="shared" si="88"/>
        <v/>
      </c>
      <c r="BN153" s="161" t="str">
        <f t="shared" si="89"/>
        <v/>
      </c>
      <c r="BO153" s="161" t="str">
        <f t="shared" si="90"/>
        <v/>
      </c>
      <c r="BP153" s="161" t="str">
        <f t="shared" si="91"/>
        <v/>
      </c>
      <c r="BQ153" s="161" t="str">
        <f t="shared" si="92"/>
        <v/>
      </c>
      <c r="BR153" s="161" t="str">
        <f t="shared" si="93"/>
        <v/>
      </c>
      <c r="BS153" s="161" t="str">
        <f t="shared" si="94"/>
        <v/>
      </c>
      <c r="BT153" s="161" t="str">
        <f t="shared" si="83"/>
        <v/>
      </c>
      <c r="BU153" s="161" t="str">
        <f t="shared" si="95"/>
        <v/>
      </c>
      <c r="BV153" s="161" t="str">
        <f t="shared" si="96"/>
        <v/>
      </c>
      <c r="BW153" s="161" t="str">
        <f t="shared" si="97"/>
        <v/>
      </c>
      <c r="BX153" s="161" t="str">
        <f t="shared" si="87"/>
        <v/>
      </c>
      <c r="BY153" s="148"/>
      <c r="BZ153" s="148"/>
      <c r="CA153" s="148"/>
      <c r="CB153" s="148" t="s">
        <v>149</v>
      </c>
      <c r="CC153" s="148"/>
    </row>
    <row r="154" spans="1:81" ht="14.25" customHeight="1" thickBot="1">
      <c r="A154" s="190">
        <v>144</v>
      </c>
      <c r="B154" s="78"/>
      <c r="C154" s="181"/>
      <c r="D154" s="86"/>
      <c r="E154" s="92"/>
      <c r="F154" s="88"/>
      <c r="G154" s="93"/>
      <c r="H154" s="93"/>
      <c r="I154" s="93"/>
      <c r="J154" s="93"/>
      <c r="K154" s="81">
        <f t="shared" si="71"/>
        <v>0</v>
      </c>
      <c r="L154" s="281"/>
      <c r="M154" s="282"/>
      <c r="N154" s="352"/>
      <c r="O154" s="343" t="s">
        <v>65</v>
      </c>
      <c r="P154" s="88"/>
      <c r="Q154" s="93"/>
      <c r="R154" s="93"/>
      <c r="S154" s="89"/>
      <c r="T154" s="93"/>
      <c r="U154" s="212">
        <f t="shared" si="72"/>
        <v>0</v>
      </c>
      <c r="V154" s="281"/>
      <c r="W154" s="282"/>
      <c r="X154" s="352"/>
      <c r="Y154" s="210" t="s">
        <v>85</v>
      </c>
      <c r="Z154" s="72"/>
      <c r="AA154" s="323"/>
      <c r="AB154" s="323"/>
      <c r="AC154" s="324"/>
      <c r="AD154" s="93"/>
      <c r="AE154" s="81">
        <f t="shared" si="73"/>
        <v>0</v>
      </c>
      <c r="AF154" s="72"/>
      <c r="AG154" s="324"/>
      <c r="AH154" s="361"/>
      <c r="AI154" s="98"/>
      <c r="AJ154" s="95"/>
      <c r="AK154" s="215"/>
      <c r="AL154" s="206"/>
      <c r="AM154" s="83"/>
      <c r="AN154" s="206"/>
      <c r="AO154" s="83"/>
      <c r="AP154" s="206"/>
      <c r="AQ154" s="83"/>
      <c r="AR154" s="13">
        <f t="shared" si="74"/>
        <v>1.5399999999999998E-5</v>
      </c>
      <c r="AS154" s="13">
        <f t="shared" si="75"/>
        <v>0</v>
      </c>
      <c r="AT154" s="13"/>
      <c r="AU154" s="160">
        <v>159</v>
      </c>
      <c r="AV154" s="191">
        <f t="shared" si="84"/>
        <v>2.5199999999999999E-5</v>
      </c>
      <c r="AW154" s="160">
        <f t="shared" si="76"/>
        <v>0</v>
      </c>
      <c r="AX154" s="219">
        <f t="shared" si="77"/>
        <v>1.5399999999999998E-5</v>
      </c>
      <c r="AY154" s="13">
        <f t="shared" si="80"/>
        <v>0</v>
      </c>
      <c r="AZ154" s="160">
        <v>159</v>
      </c>
      <c r="BA154" s="77">
        <f t="shared" si="85"/>
        <v>2.3799999999999999E-5</v>
      </c>
      <c r="BB154" s="192">
        <f t="shared" si="78"/>
        <v>0</v>
      </c>
      <c r="BC154" s="219">
        <f t="shared" si="81"/>
        <v>1.5399999999999998E-5</v>
      </c>
      <c r="BD154" s="13">
        <f t="shared" si="82"/>
        <v>0</v>
      </c>
      <c r="BE154" s="160">
        <v>159</v>
      </c>
      <c r="BF154" s="77">
        <f t="shared" si="86"/>
        <v>2.3799999999999999E-5</v>
      </c>
      <c r="BG154" s="192">
        <f t="shared" si="79"/>
        <v>0</v>
      </c>
      <c r="BI154" s="120"/>
      <c r="BJ154" s="120"/>
      <c r="BK154" s="160"/>
      <c r="BL154" s="160"/>
      <c r="BM154" s="161" t="str">
        <f t="shared" si="88"/>
        <v/>
      </c>
      <c r="BN154" s="161" t="str">
        <f t="shared" si="89"/>
        <v/>
      </c>
      <c r="BO154" s="161" t="str">
        <f t="shared" si="90"/>
        <v/>
      </c>
      <c r="BP154" s="161" t="str">
        <f t="shared" si="91"/>
        <v/>
      </c>
      <c r="BQ154" s="161" t="str">
        <f t="shared" si="92"/>
        <v/>
      </c>
      <c r="BR154" s="161" t="str">
        <f t="shared" si="93"/>
        <v/>
      </c>
      <c r="BS154" s="161" t="str">
        <f t="shared" si="94"/>
        <v/>
      </c>
      <c r="BT154" s="161" t="str">
        <f t="shared" si="83"/>
        <v/>
      </c>
      <c r="BU154" s="161" t="str">
        <f t="shared" si="95"/>
        <v/>
      </c>
      <c r="BV154" s="161" t="str">
        <f t="shared" si="96"/>
        <v/>
      </c>
      <c r="BW154" s="161" t="str">
        <f t="shared" si="97"/>
        <v/>
      </c>
      <c r="BX154" s="161" t="str">
        <f t="shared" si="87"/>
        <v/>
      </c>
      <c r="BY154" s="148"/>
      <c r="BZ154" s="148"/>
      <c r="CA154" s="148"/>
      <c r="CB154" s="148" t="s">
        <v>149</v>
      </c>
      <c r="CC154" s="148"/>
    </row>
    <row r="155" spans="1:81" ht="14.25" customHeight="1" thickBot="1">
      <c r="A155" s="190">
        <v>145</v>
      </c>
      <c r="B155" s="79"/>
      <c r="C155" s="179"/>
      <c r="D155" s="137"/>
      <c r="E155" s="198"/>
      <c r="F155" s="199"/>
      <c r="G155" s="200"/>
      <c r="H155" s="200"/>
      <c r="I155" s="200"/>
      <c r="J155" s="200"/>
      <c r="K155" s="201">
        <f t="shared" si="71"/>
        <v>0</v>
      </c>
      <c r="L155" s="277"/>
      <c r="M155" s="278"/>
      <c r="N155" s="350"/>
      <c r="O155" s="341" t="s">
        <v>65</v>
      </c>
      <c r="P155" s="189"/>
      <c r="Q155" s="326"/>
      <c r="R155" s="326"/>
      <c r="S155" s="87"/>
      <c r="T155" s="207"/>
      <c r="U155" s="225">
        <f t="shared" si="72"/>
        <v>0</v>
      </c>
      <c r="V155" s="277"/>
      <c r="W155" s="278"/>
      <c r="X155" s="350"/>
      <c r="Y155" s="208" t="s">
        <v>147</v>
      </c>
      <c r="Z155" s="11"/>
      <c r="AA155" s="207"/>
      <c r="AB155" s="207"/>
      <c r="AC155" s="3"/>
      <c r="AD155" s="207"/>
      <c r="AE155" s="226">
        <f t="shared" si="73"/>
        <v>0</v>
      </c>
      <c r="AF155" s="11"/>
      <c r="AG155" s="3"/>
      <c r="AH155" s="359"/>
      <c r="AI155" s="96"/>
      <c r="AJ155" s="94"/>
      <c r="AK155" s="214"/>
      <c r="AL155" s="213"/>
      <c r="AM155" s="82"/>
      <c r="AN155" s="213"/>
      <c r="AO155" s="82"/>
      <c r="AP155" s="213"/>
      <c r="AQ155" s="82"/>
      <c r="AR155" s="13">
        <f t="shared" si="74"/>
        <v>1.5500000000000001E-5</v>
      </c>
      <c r="AS155" s="13">
        <f t="shared" si="75"/>
        <v>0</v>
      </c>
      <c r="AT155" s="13"/>
      <c r="AU155" s="160">
        <v>160</v>
      </c>
      <c r="AV155" s="191">
        <f t="shared" si="84"/>
        <v>2.51E-5</v>
      </c>
      <c r="AW155" s="160">
        <f t="shared" si="76"/>
        <v>0</v>
      </c>
      <c r="AX155" s="219">
        <f t="shared" si="77"/>
        <v>1.5500000000000001E-5</v>
      </c>
      <c r="AY155" s="13">
        <f t="shared" si="80"/>
        <v>0</v>
      </c>
      <c r="AZ155" s="160">
        <v>160</v>
      </c>
      <c r="BA155" s="77">
        <f t="shared" si="85"/>
        <v>2.37E-5</v>
      </c>
      <c r="BB155" s="192">
        <f t="shared" si="78"/>
        <v>0</v>
      </c>
      <c r="BC155" s="219">
        <f t="shared" si="81"/>
        <v>1.5500000000000001E-5</v>
      </c>
      <c r="BD155" s="13">
        <f t="shared" si="82"/>
        <v>0</v>
      </c>
      <c r="BE155" s="160">
        <v>160</v>
      </c>
      <c r="BF155" s="77">
        <f t="shared" si="86"/>
        <v>2.37E-5</v>
      </c>
      <c r="BG155" s="192">
        <f t="shared" si="79"/>
        <v>0</v>
      </c>
      <c r="BI155" s="120"/>
      <c r="BJ155" s="120"/>
      <c r="BK155" s="160"/>
      <c r="BL155" s="160"/>
      <c r="BM155" s="161" t="str">
        <f t="shared" si="88"/>
        <v/>
      </c>
      <c r="BN155" s="161" t="str">
        <f t="shared" si="89"/>
        <v/>
      </c>
      <c r="BO155" s="161" t="str">
        <f t="shared" si="90"/>
        <v/>
      </c>
      <c r="BP155" s="161" t="str">
        <f t="shared" si="91"/>
        <v/>
      </c>
      <c r="BQ155" s="161" t="str">
        <f t="shared" si="92"/>
        <v/>
      </c>
      <c r="BR155" s="161" t="str">
        <f t="shared" si="93"/>
        <v/>
      </c>
      <c r="BS155" s="161" t="str">
        <f t="shared" si="94"/>
        <v/>
      </c>
      <c r="BT155" s="161" t="str">
        <f t="shared" si="83"/>
        <v/>
      </c>
      <c r="BU155" s="161" t="str">
        <f t="shared" si="95"/>
        <v/>
      </c>
      <c r="BV155" s="161" t="str">
        <f t="shared" si="96"/>
        <v/>
      </c>
      <c r="BW155" s="161" t="str">
        <f t="shared" si="97"/>
        <v/>
      </c>
      <c r="BX155" s="161" t="str">
        <f t="shared" si="87"/>
        <v/>
      </c>
      <c r="BY155" s="148"/>
      <c r="BZ155" s="148"/>
      <c r="CA155" s="148"/>
      <c r="CB155" s="148" t="s">
        <v>149</v>
      </c>
      <c r="CC155" s="148"/>
    </row>
    <row r="156" spans="1:81" ht="14.25" customHeight="1" thickBot="1">
      <c r="A156" s="190">
        <v>146</v>
      </c>
      <c r="B156" s="196"/>
      <c r="C156" s="180"/>
      <c r="D156" s="136"/>
      <c r="E156" s="91"/>
      <c r="F156" s="187"/>
      <c r="G156" s="188"/>
      <c r="H156" s="188"/>
      <c r="I156" s="188"/>
      <c r="J156" s="188"/>
      <c r="K156" s="18">
        <f t="shared" si="71"/>
        <v>0</v>
      </c>
      <c r="L156" s="279"/>
      <c r="M156" s="280"/>
      <c r="N156" s="351"/>
      <c r="O156" s="342" t="s">
        <v>65</v>
      </c>
      <c r="P156" s="187"/>
      <c r="Q156" s="188"/>
      <c r="R156" s="188"/>
      <c r="S156" s="119"/>
      <c r="T156" s="188"/>
      <c r="U156" s="211">
        <f t="shared" si="72"/>
        <v>0</v>
      </c>
      <c r="V156" s="279"/>
      <c r="W156" s="280"/>
      <c r="X156" s="351"/>
      <c r="Y156" s="209" t="s">
        <v>85</v>
      </c>
      <c r="Z156" s="71"/>
      <c r="AA156" s="321"/>
      <c r="AB156" s="321"/>
      <c r="AC156" s="322"/>
      <c r="AD156" s="188"/>
      <c r="AE156" s="18">
        <f t="shared" si="73"/>
        <v>0</v>
      </c>
      <c r="AF156" s="71"/>
      <c r="AG156" s="322"/>
      <c r="AH156" s="360"/>
      <c r="AI156" s="97"/>
      <c r="AJ156" s="194"/>
      <c r="AK156" s="193"/>
      <c r="AL156" s="205"/>
      <c r="AM156" s="197"/>
      <c r="AN156" s="205"/>
      <c r="AO156" s="197"/>
      <c r="AP156" s="205"/>
      <c r="AQ156" s="197"/>
      <c r="AR156" s="13">
        <f t="shared" si="74"/>
        <v>1.56E-5</v>
      </c>
      <c r="AS156" s="13">
        <f t="shared" si="75"/>
        <v>0</v>
      </c>
      <c r="AT156" s="13"/>
      <c r="AU156" s="160">
        <v>161</v>
      </c>
      <c r="AV156" s="191">
        <f t="shared" si="84"/>
        <v>2.4999999999999998E-5</v>
      </c>
      <c r="AW156" s="160">
        <f t="shared" si="76"/>
        <v>0</v>
      </c>
      <c r="AX156" s="219">
        <f t="shared" si="77"/>
        <v>1.56E-5</v>
      </c>
      <c r="AY156" s="13">
        <f t="shared" si="80"/>
        <v>0</v>
      </c>
      <c r="AZ156" s="160">
        <v>161</v>
      </c>
      <c r="BA156" s="77">
        <f t="shared" si="85"/>
        <v>2.3599999999999998E-5</v>
      </c>
      <c r="BB156" s="192">
        <f t="shared" si="78"/>
        <v>0</v>
      </c>
      <c r="BC156" s="219">
        <f t="shared" si="81"/>
        <v>1.56E-5</v>
      </c>
      <c r="BD156" s="13">
        <f t="shared" si="82"/>
        <v>0</v>
      </c>
      <c r="BE156" s="160">
        <v>161</v>
      </c>
      <c r="BF156" s="77">
        <f t="shared" si="86"/>
        <v>2.3599999999999998E-5</v>
      </c>
      <c r="BG156" s="192">
        <f t="shared" si="79"/>
        <v>0</v>
      </c>
      <c r="BI156" s="120"/>
      <c r="BJ156" s="120"/>
      <c r="BK156" s="160"/>
      <c r="BL156" s="160"/>
      <c r="BM156" s="161" t="str">
        <f t="shared" si="88"/>
        <v/>
      </c>
      <c r="BN156" s="161" t="str">
        <f t="shared" si="89"/>
        <v/>
      </c>
      <c r="BO156" s="161" t="str">
        <f t="shared" si="90"/>
        <v/>
      </c>
      <c r="BP156" s="161" t="str">
        <f t="shared" si="91"/>
        <v/>
      </c>
      <c r="BQ156" s="161" t="str">
        <f t="shared" si="92"/>
        <v/>
      </c>
      <c r="BR156" s="161" t="str">
        <f t="shared" si="93"/>
        <v/>
      </c>
      <c r="BS156" s="161" t="str">
        <f t="shared" si="94"/>
        <v/>
      </c>
      <c r="BT156" s="161" t="str">
        <f t="shared" si="83"/>
        <v/>
      </c>
      <c r="BU156" s="161" t="str">
        <f t="shared" si="95"/>
        <v/>
      </c>
      <c r="BV156" s="161" t="str">
        <f t="shared" si="96"/>
        <v/>
      </c>
      <c r="BW156" s="161" t="str">
        <f t="shared" si="97"/>
        <v/>
      </c>
      <c r="BX156" s="161" t="str">
        <f t="shared" si="87"/>
        <v/>
      </c>
      <c r="BY156" s="148"/>
      <c r="BZ156" s="148"/>
      <c r="CA156" s="148"/>
      <c r="CB156" s="148" t="s">
        <v>149</v>
      </c>
      <c r="CC156" s="148"/>
    </row>
    <row r="157" spans="1:81" ht="14.25" customHeight="1" thickBot="1">
      <c r="A157" s="190">
        <v>147</v>
      </c>
      <c r="B157" s="78"/>
      <c r="C157" s="181"/>
      <c r="D157" s="86"/>
      <c r="E157" s="92"/>
      <c r="F157" s="88"/>
      <c r="G157" s="93"/>
      <c r="H157" s="93"/>
      <c r="I157" s="93"/>
      <c r="J157" s="93"/>
      <c r="K157" s="81">
        <f t="shared" si="71"/>
        <v>0</v>
      </c>
      <c r="L157" s="281"/>
      <c r="M157" s="282"/>
      <c r="N157" s="352"/>
      <c r="O157" s="343" t="s">
        <v>65</v>
      </c>
      <c r="P157" s="88"/>
      <c r="Q157" s="93"/>
      <c r="R157" s="93"/>
      <c r="S157" s="89"/>
      <c r="T157" s="93"/>
      <c r="U157" s="212">
        <f t="shared" si="72"/>
        <v>0</v>
      </c>
      <c r="V157" s="281"/>
      <c r="W157" s="282"/>
      <c r="X157" s="352"/>
      <c r="Y157" s="210" t="s">
        <v>85</v>
      </c>
      <c r="Z157" s="72"/>
      <c r="AA157" s="323"/>
      <c r="AB157" s="323"/>
      <c r="AC157" s="324"/>
      <c r="AD157" s="93"/>
      <c r="AE157" s="81">
        <f t="shared" si="73"/>
        <v>0</v>
      </c>
      <c r="AF157" s="72"/>
      <c r="AG157" s="324"/>
      <c r="AH157" s="361"/>
      <c r="AI157" s="98"/>
      <c r="AJ157" s="95"/>
      <c r="AK157" s="215"/>
      <c r="AL157" s="206"/>
      <c r="AM157" s="83"/>
      <c r="AN157" s="206"/>
      <c r="AO157" s="83"/>
      <c r="AP157" s="206"/>
      <c r="AQ157" s="83"/>
      <c r="AR157" s="13">
        <f t="shared" si="74"/>
        <v>1.5699999999999999E-5</v>
      </c>
      <c r="AS157" s="13">
        <f t="shared" si="75"/>
        <v>0</v>
      </c>
      <c r="AT157" s="13"/>
      <c r="AU157" s="160">
        <v>162</v>
      </c>
      <c r="AV157" s="191">
        <f t="shared" si="84"/>
        <v>2.4899999999999999E-5</v>
      </c>
      <c r="AW157" s="160">
        <f t="shared" si="76"/>
        <v>0</v>
      </c>
      <c r="AX157" s="219">
        <f t="shared" si="77"/>
        <v>1.5699999999999999E-5</v>
      </c>
      <c r="AY157" s="13">
        <f t="shared" si="80"/>
        <v>0</v>
      </c>
      <c r="AZ157" s="160">
        <v>162</v>
      </c>
      <c r="BA157" s="77">
        <f t="shared" si="85"/>
        <v>2.3499999999999999E-5</v>
      </c>
      <c r="BB157" s="192">
        <f t="shared" si="78"/>
        <v>0</v>
      </c>
      <c r="BC157" s="219">
        <f t="shared" si="81"/>
        <v>1.5699999999999999E-5</v>
      </c>
      <c r="BD157" s="13">
        <f t="shared" si="82"/>
        <v>0</v>
      </c>
      <c r="BE157" s="160">
        <v>162</v>
      </c>
      <c r="BF157" s="77">
        <f t="shared" si="86"/>
        <v>2.3499999999999999E-5</v>
      </c>
      <c r="BG157" s="192">
        <f t="shared" si="79"/>
        <v>0</v>
      </c>
      <c r="BI157" s="120"/>
      <c r="BJ157" s="120"/>
      <c r="BK157" s="160"/>
      <c r="BL157" s="160"/>
      <c r="BM157" s="161" t="str">
        <f t="shared" si="88"/>
        <v/>
      </c>
      <c r="BN157" s="161" t="str">
        <f t="shared" si="89"/>
        <v/>
      </c>
      <c r="BO157" s="161" t="str">
        <f t="shared" si="90"/>
        <v/>
      </c>
      <c r="BP157" s="161" t="str">
        <f t="shared" si="91"/>
        <v/>
      </c>
      <c r="BQ157" s="161" t="str">
        <f t="shared" si="92"/>
        <v/>
      </c>
      <c r="BR157" s="161" t="str">
        <f t="shared" si="93"/>
        <v/>
      </c>
      <c r="BS157" s="161" t="str">
        <f t="shared" si="94"/>
        <v/>
      </c>
      <c r="BT157" s="161" t="str">
        <f t="shared" si="83"/>
        <v/>
      </c>
      <c r="BU157" s="161" t="str">
        <f t="shared" si="95"/>
        <v/>
      </c>
      <c r="BV157" s="161" t="str">
        <f t="shared" si="96"/>
        <v/>
      </c>
      <c r="BW157" s="161" t="str">
        <f t="shared" si="97"/>
        <v/>
      </c>
      <c r="BX157" s="161" t="str">
        <f t="shared" si="87"/>
        <v/>
      </c>
      <c r="BY157" s="148"/>
      <c r="BZ157" s="148"/>
      <c r="CA157" s="148"/>
      <c r="CB157" s="148" t="s">
        <v>149</v>
      </c>
      <c r="CC157" s="148"/>
    </row>
    <row r="158" spans="1:81" ht="14.25" customHeight="1" thickBot="1">
      <c r="A158" s="190">
        <v>148</v>
      </c>
      <c r="B158" s="79"/>
      <c r="C158" s="179"/>
      <c r="D158" s="137"/>
      <c r="E158" s="198"/>
      <c r="F158" s="199"/>
      <c r="G158" s="200"/>
      <c r="H158" s="200"/>
      <c r="I158" s="200"/>
      <c r="J158" s="200"/>
      <c r="K158" s="201">
        <f t="shared" si="71"/>
        <v>0</v>
      </c>
      <c r="L158" s="277"/>
      <c r="M158" s="278"/>
      <c r="N158" s="350"/>
      <c r="O158" s="341" t="s">
        <v>65</v>
      </c>
      <c r="P158" s="189"/>
      <c r="Q158" s="326"/>
      <c r="R158" s="326"/>
      <c r="S158" s="87"/>
      <c r="T158" s="207"/>
      <c r="U158" s="225">
        <f t="shared" si="72"/>
        <v>0</v>
      </c>
      <c r="V158" s="277"/>
      <c r="W158" s="278"/>
      <c r="X158" s="350"/>
      <c r="Y158" s="208" t="s">
        <v>147</v>
      </c>
      <c r="Z158" s="11"/>
      <c r="AA158" s="207"/>
      <c r="AB158" s="207"/>
      <c r="AC158" s="3"/>
      <c r="AD158" s="207"/>
      <c r="AE158" s="226">
        <f t="shared" si="73"/>
        <v>0</v>
      </c>
      <c r="AF158" s="11"/>
      <c r="AG158" s="3"/>
      <c r="AH158" s="359"/>
      <c r="AI158" s="96"/>
      <c r="AJ158" s="94"/>
      <c r="AK158" s="214"/>
      <c r="AL158" s="213"/>
      <c r="AM158" s="82"/>
      <c r="AN158" s="213"/>
      <c r="AO158" s="82"/>
      <c r="AP158" s="213"/>
      <c r="AQ158" s="82"/>
      <c r="AR158" s="13">
        <f t="shared" si="74"/>
        <v>1.5799999999999998E-5</v>
      </c>
      <c r="AS158" s="13">
        <f t="shared" si="75"/>
        <v>0</v>
      </c>
      <c r="AT158" s="13"/>
      <c r="AU158" s="160">
        <v>163</v>
      </c>
      <c r="AV158" s="191">
        <f t="shared" si="84"/>
        <v>2.48E-5</v>
      </c>
      <c r="AW158" s="160">
        <f t="shared" si="76"/>
        <v>0</v>
      </c>
      <c r="AX158" s="219">
        <f t="shared" si="77"/>
        <v>1.5799999999999998E-5</v>
      </c>
      <c r="AY158" s="13">
        <f t="shared" si="80"/>
        <v>0</v>
      </c>
      <c r="AZ158" s="160">
        <v>163</v>
      </c>
      <c r="BA158" s="77">
        <f t="shared" si="85"/>
        <v>2.34E-5</v>
      </c>
      <c r="BB158" s="192">
        <f t="shared" si="78"/>
        <v>0</v>
      </c>
      <c r="BC158" s="219">
        <f t="shared" si="81"/>
        <v>1.5799999999999998E-5</v>
      </c>
      <c r="BD158" s="13">
        <f t="shared" si="82"/>
        <v>0</v>
      </c>
      <c r="BE158" s="160">
        <v>163</v>
      </c>
      <c r="BF158" s="77">
        <f t="shared" si="86"/>
        <v>2.34E-5</v>
      </c>
      <c r="BG158" s="192">
        <f t="shared" si="79"/>
        <v>0</v>
      </c>
      <c r="BI158" s="120"/>
      <c r="BJ158" s="120"/>
      <c r="BK158" s="160"/>
      <c r="BL158" s="160"/>
      <c r="BM158" s="161" t="str">
        <f t="shared" si="88"/>
        <v/>
      </c>
      <c r="BN158" s="161" t="str">
        <f t="shared" si="89"/>
        <v/>
      </c>
      <c r="BO158" s="161" t="str">
        <f t="shared" si="90"/>
        <v/>
      </c>
      <c r="BP158" s="161" t="str">
        <f t="shared" si="91"/>
        <v/>
      </c>
      <c r="BQ158" s="161" t="str">
        <f t="shared" si="92"/>
        <v/>
      </c>
      <c r="BR158" s="161" t="str">
        <f t="shared" si="93"/>
        <v/>
      </c>
      <c r="BS158" s="161" t="str">
        <f t="shared" si="94"/>
        <v/>
      </c>
      <c r="BT158" s="161" t="str">
        <f t="shared" si="83"/>
        <v/>
      </c>
      <c r="BU158" s="161" t="str">
        <f t="shared" si="95"/>
        <v/>
      </c>
      <c r="BV158" s="161" t="str">
        <f t="shared" si="96"/>
        <v/>
      </c>
      <c r="BW158" s="161" t="str">
        <f t="shared" si="97"/>
        <v/>
      </c>
      <c r="BX158" s="161" t="str">
        <f t="shared" si="87"/>
        <v/>
      </c>
      <c r="BY158" s="148"/>
      <c r="BZ158" s="148"/>
      <c r="CA158" s="148"/>
      <c r="CB158" s="148" t="s">
        <v>149</v>
      </c>
      <c r="CC158" s="148"/>
    </row>
    <row r="159" spans="1:81" ht="14.25" customHeight="1" thickBot="1">
      <c r="A159" s="190">
        <v>149</v>
      </c>
      <c r="B159" s="196"/>
      <c r="C159" s="180"/>
      <c r="D159" s="136"/>
      <c r="E159" s="91"/>
      <c r="F159" s="187"/>
      <c r="G159" s="188"/>
      <c r="H159" s="188"/>
      <c r="I159" s="188"/>
      <c r="J159" s="188"/>
      <c r="K159" s="18">
        <f t="shared" si="71"/>
        <v>0</v>
      </c>
      <c r="L159" s="279"/>
      <c r="M159" s="280"/>
      <c r="N159" s="351"/>
      <c r="O159" s="342" t="s">
        <v>65</v>
      </c>
      <c r="P159" s="187"/>
      <c r="Q159" s="188"/>
      <c r="R159" s="188"/>
      <c r="S159" s="119"/>
      <c r="T159" s="188"/>
      <c r="U159" s="211">
        <f t="shared" si="72"/>
        <v>0</v>
      </c>
      <c r="V159" s="279"/>
      <c r="W159" s="280"/>
      <c r="X159" s="351"/>
      <c r="Y159" s="209" t="s">
        <v>85</v>
      </c>
      <c r="Z159" s="71"/>
      <c r="AA159" s="321"/>
      <c r="AB159" s="321"/>
      <c r="AC159" s="322"/>
      <c r="AD159" s="188"/>
      <c r="AE159" s="18">
        <f t="shared" si="73"/>
        <v>0</v>
      </c>
      <c r="AF159" s="71"/>
      <c r="AG159" s="322"/>
      <c r="AH159" s="360"/>
      <c r="AI159" s="97"/>
      <c r="AJ159" s="194"/>
      <c r="AK159" s="193"/>
      <c r="AL159" s="205"/>
      <c r="AM159" s="197"/>
      <c r="AN159" s="205"/>
      <c r="AO159" s="197"/>
      <c r="AP159" s="205"/>
      <c r="AQ159" s="197"/>
      <c r="AR159" s="13">
        <f t="shared" si="74"/>
        <v>1.59E-5</v>
      </c>
      <c r="AS159" s="13">
        <f t="shared" si="75"/>
        <v>0</v>
      </c>
      <c r="AT159" s="13"/>
      <c r="AU159" s="160">
        <v>164</v>
      </c>
      <c r="AV159" s="191">
        <f t="shared" si="84"/>
        <v>2.4699999999999997E-5</v>
      </c>
      <c r="AW159" s="160">
        <f t="shared" si="76"/>
        <v>0</v>
      </c>
      <c r="AX159" s="219">
        <f t="shared" si="77"/>
        <v>1.59E-5</v>
      </c>
      <c r="AY159" s="13">
        <f t="shared" si="80"/>
        <v>0</v>
      </c>
      <c r="AZ159" s="160">
        <v>164</v>
      </c>
      <c r="BA159" s="77">
        <f t="shared" si="85"/>
        <v>2.3300000000000001E-5</v>
      </c>
      <c r="BB159" s="192">
        <f t="shared" si="78"/>
        <v>0</v>
      </c>
      <c r="BC159" s="219">
        <f t="shared" si="81"/>
        <v>1.59E-5</v>
      </c>
      <c r="BD159" s="13">
        <f t="shared" si="82"/>
        <v>0</v>
      </c>
      <c r="BE159" s="160">
        <v>164</v>
      </c>
      <c r="BF159" s="77">
        <f t="shared" si="86"/>
        <v>2.3300000000000001E-5</v>
      </c>
      <c r="BG159" s="192">
        <f t="shared" si="79"/>
        <v>0</v>
      </c>
      <c r="BI159" s="120"/>
      <c r="BJ159" s="120"/>
      <c r="BK159" s="160"/>
      <c r="BL159" s="160"/>
      <c r="BM159" s="161" t="str">
        <f t="shared" si="88"/>
        <v/>
      </c>
      <c r="BN159" s="161" t="str">
        <f t="shared" si="89"/>
        <v/>
      </c>
      <c r="BO159" s="161" t="str">
        <f t="shared" si="90"/>
        <v/>
      </c>
      <c r="BP159" s="161" t="str">
        <f t="shared" si="91"/>
        <v/>
      </c>
      <c r="BQ159" s="161" t="str">
        <f t="shared" si="92"/>
        <v/>
      </c>
      <c r="BR159" s="161" t="str">
        <f t="shared" si="93"/>
        <v/>
      </c>
      <c r="BS159" s="161" t="str">
        <f t="shared" si="94"/>
        <v/>
      </c>
      <c r="BT159" s="161" t="str">
        <f t="shared" si="83"/>
        <v/>
      </c>
      <c r="BU159" s="161" t="str">
        <f t="shared" si="95"/>
        <v/>
      </c>
      <c r="BV159" s="161" t="str">
        <f t="shared" si="96"/>
        <v/>
      </c>
      <c r="BW159" s="161" t="str">
        <f t="shared" si="97"/>
        <v/>
      </c>
      <c r="BX159" s="161" t="str">
        <f t="shared" si="87"/>
        <v/>
      </c>
      <c r="BY159" s="148"/>
      <c r="BZ159" s="148"/>
      <c r="CA159" s="148"/>
      <c r="CB159" s="148" t="s">
        <v>149</v>
      </c>
      <c r="CC159" s="148"/>
    </row>
    <row r="160" spans="1:81" ht="14.25" customHeight="1" thickBot="1">
      <c r="A160" s="190">
        <v>150</v>
      </c>
      <c r="B160" s="78"/>
      <c r="C160" s="181"/>
      <c r="D160" s="86"/>
      <c r="E160" s="92"/>
      <c r="F160" s="88"/>
      <c r="G160" s="93"/>
      <c r="H160" s="93"/>
      <c r="I160" s="93"/>
      <c r="J160" s="93"/>
      <c r="K160" s="81">
        <f t="shared" si="71"/>
        <v>0</v>
      </c>
      <c r="L160" s="281"/>
      <c r="M160" s="282"/>
      <c r="N160" s="352"/>
      <c r="O160" s="343" t="s">
        <v>65</v>
      </c>
      <c r="P160" s="88"/>
      <c r="Q160" s="93"/>
      <c r="R160" s="93"/>
      <c r="S160" s="89"/>
      <c r="T160" s="93"/>
      <c r="U160" s="212">
        <f t="shared" si="72"/>
        <v>0</v>
      </c>
      <c r="V160" s="281"/>
      <c r="W160" s="282"/>
      <c r="X160" s="352"/>
      <c r="Y160" s="210" t="s">
        <v>85</v>
      </c>
      <c r="Z160" s="72"/>
      <c r="AA160" s="323"/>
      <c r="AB160" s="323"/>
      <c r="AC160" s="324"/>
      <c r="AD160" s="93"/>
      <c r="AE160" s="81">
        <f t="shared" si="73"/>
        <v>0</v>
      </c>
      <c r="AF160" s="72"/>
      <c r="AG160" s="324"/>
      <c r="AH160" s="361"/>
      <c r="AI160" s="98"/>
      <c r="AJ160" s="95"/>
      <c r="AK160" s="215"/>
      <c r="AL160" s="206"/>
      <c r="AM160" s="83"/>
      <c r="AN160" s="206"/>
      <c r="AO160" s="83"/>
      <c r="AP160" s="206"/>
      <c r="AQ160" s="83"/>
      <c r="AR160" s="13">
        <f t="shared" si="74"/>
        <v>1.5999999999999999E-5</v>
      </c>
      <c r="AS160" s="13">
        <f t="shared" si="75"/>
        <v>0</v>
      </c>
      <c r="AT160" s="13"/>
      <c r="AU160" s="160">
        <v>165</v>
      </c>
      <c r="AV160" s="191">
        <f t="shared" si="84"/>
        <v>2.4599999999999998E-5</v>
      </c>
      <c r="AW160" s="160">
        <f t="shared" si="76"/>
        <v>0</v>
      </c>
      <c r="AX160" s="219">
        <f t="shared" si="77"/>
        <v>1.5999999999999999E-5</v>
      </c>
      <c r="AY160" s="13">
        <f t="shared" si="80"/>
        <v>0</v>
      </c>
      <c r="AZ160" s="160">
        <v>165</v>
      </c>
      <c r="BA160" s="77">
        <f t="shared" si="85"/>
        <v>2.3199999999999998E-5</v>
      </c>
      <c r="BB160" s="192">
        <f t="shared" si="78"/>
        <v>0</v>
      </c>
      <c r="BC160" s="219">
        <f t="shared" si="81"/>
        <v>1.5999999999999999E-5</v>
      </c>
      <c r="BD160" s="13">
        <f t="shared" si="82"/>
        <v>0</v>
      </c>
      <c r="BE160" s="160">
        <v>165</v>
      </c>
      <c r="BF160" s="77">
        <f t="shared" si="86"/>
        <v>2.3199999999999998E-5</v>
      </c>
      <c r="BG160" s="192">
        <f t="shared" si="79"/>
        <v>0</v>
      </c>
      <c r="BI160" s="120"/>
      <c r="BJ160" s="120"/>
      <c r="BK160" s="160"/>
      <c r="BL160" s="160"/>
      <c r="BM160" s="161" t="str">
        <f t="shared" si="88"/>
        <v/>
      </c>
      <c r="BN160" s="161" t="str">
        <f t="shared" si="89"/>
        <v/>
      </c>
      <c r="BO160" s="161" t="str">
        <f t="shared" si="90"/>
        <v/>
      </c>
      <c r="BP160" s="161" t="str">
        <f t="shared" si="91"/>
        <v/>
      </c>
      <c r="BQ160" s="161" t="str">
        <f t="shared" si="92"/>
        <v/>
      </c>
      <c r="BR160" s="161" t="str">
        <f t="shared" si="93"/>
        <v/>
      </c>
      <c r="BS160" s="161" t="str">
        <f t="shared" ref="BS160:BS188" si="98">MID($BK160,6,1)</f>
        <v/>
      </c>
      <c r="BT160" s="161" t="str">
        <f t="shared" si="83"/>
        <v/>
      </c>
      <c r="BU160" s="161" t="str">
        <f t="shared" si="95"/>
        <v/>
      </c>
      <c r="BV160" s="161" t="str">
        <f t="shared" si="96"/>
        <v/>
      </c>
      <c r="BW160" s="161" t="str">
        <f t="shared" si="97"/>
        <v/>
      </c>
      <c r="BX160" s="161" t="str">
        <f t="shared" si="87"/>
        <v/>
      </c>
      <c r="BY160" s="148"/>
      <c r="BZ160" s="148"/>
      <c r="CA160" s="148"/>
      <c r="CB160" s="148" t="s">
        <v>149</v>
      </c>
      <c r="CC160" s="148"/>
    </row>
    <row r="161" spans="1:81" ht="14.25" customHeight="1" thickBot="1">
      <c r="A161" s="190">
        <v>151</v>
      </c>
      <c r="B161" s="79"/>
      <c r="C161" s="179"/>
      <c r="D161" s="137"/>
      <c r="E161" s="198"/>
      <c r="F161" s="199"/>
      <c r="G161" s="200"/>
      <c r="H161" s="200"/>
      <c r="I161" s="200"/>
      <c r="J161" s="200"/>
      <c r="K161" s="201">
        <f t="shared" si="71"/>
        <v>0</v>
      </c>
      <c r="L161" s="277"/>
      <c r="M161" s="278"/>
      <c r="N161" s="350"/>
      <c r="O161" s="341" t="s">
        <v>65</v>
      </c>
      <c r="P161" s="189"/>
      <c r="Q161" s="326"/>
      <c r="R161" s="326"/>
      <c r="S161" s="87"/>
      <c r="T161" s="207"/>
      <c r="U161" s="225">
        <f t="shared" si="72"/>
        <v>0</v>
      </c>
      <c r="V161" s="277"/>
      <c r="W161" s="278"/>
      <c r="X161" s="350"/>
      <c r="Y161" s="208" t="s">
        <v>147</v>
      </c>
      <c r="Z161" s="11"/>
      <c r="AA161" s="207"/>
      <c r="AB161" s="207"/>
      <c r="AC161" s="3"/>
      <c r="AD161" s="207"/>
      <c r="AE161" s="226">
        <f t="shared" si="73"/>
        <v>0</v>
      </c>
      <c r="AF161" s="11"/>
      <c r="AG161" s="3"/>
      <c r="AH161" s="359"/>
      <c r="AI161" s="96"/>
      <c r="AJ161" s="94"/>
      <c r="AK161" s="214"/>
      <c r="AL161" s="213"/>
      <c r="AM161" s="82"/>
      <c r="AN161" s="213"/>
      <c r="AO161" s="82"/>
      <c r="AP161" s="213"/>
      <c r="AQ161" s="82"/>
      <c r="AR161" s="13">
        <f t="shared" si="74"/>
        <v>1.6099999999999998E-5</v>
      </c>
      <c r="AS161" s="13">
        <f t="shared" si="75"/>
        <v>0</v>
      </c>
      <c r="AT161" s="13"/>
      <c r="AU161" s="160">
        <v>166</v>
      </c>
      <c r="AV161" s="191">
        <f t="shared" si="84"/>
        <v>2.4499999999999999E-5</v>
      </c>
      <c r="AW161" s="160">
        <f t="shared" si="76"/>
        <v>0</v>
      </c>
      <c r="AX161" s="219">
        <f t="shared" si="77"/>
        <v>1.6099999999999998E-5</v>
      </c>
      <c r="AY161" s="13">
        <f t="shared" si="80"/>
        <v>0</v>
      </c>
      <c r="AZ161" s="160">
        <v>166</v>
      </c>
      <c r="BA161" s="77">
        <f t="shared" si="85"/>
        <v>2.3099999999999999E-5</v>
      </c>
      <c r="BB161" s="192">
        <f t="shared" si="78"/>
        <v>0</v>
      </c>
      <c r="BC161" s="219">
        <f t="shared" si="81"/>
        <v>1.6099999999999998E-5</v>
      </c>
      <c r="BD161" s="13">
        <f t="shared" si="82"/>
        <v>0</v>
      </c>
      <c r="BE161" s="160">
        <v>166</v>
      </c>
      <c r="BF161" s="77">
        <f t="shared" si="86"/>
        <v>2.3099999999999999E-5</v>
      </c>
      <c r="BG161" s="192">
        <f t="shared" si="79"/>
        <v>0</v>
      </c>
      <c r="BI161" s="120"/>
      <c r="BJ161" s="120"/>
      <c r="BK161" s="160"/>
      <c r="BL161" s="160"/>
      <c r="BM161" s="161" t="str">
        <f t="shared" si="88"/>
        <v/>
      </c>
      <c r="BN161" s="161" t="str">
        <f t="shared" si="89"/>
        <v/>
      </c>
      <c r="BO161" s="161" t="str">
        <f t="shared" si="90"/>
        <v/>
      </c>
      <c r="BP161" s="161" t="str">
        <f t="shared" si="91"/>
        <v/>
      </c>
      <c r="BQ161" s="161" t="str">
        <f t="shared" si="92"/>
        <v/>
      </c>
      <c r="BR161" s="161" t="str">
        <f t="shared" si="93"/>
        <v/>
      </c>
      <c r="BS161" s="161" t="str">
        <f t="shared" si="98"/>
        <v/>
      </c>
      <c r="BT161" s="161" t="str">
        <f t="shared" si="83"/>
        <v/>
      </c>
      <c r="BU161" s="161" t="str">
        <f t="shared" si="95"/>
        <v/>
      </c>
      <c r="BV161" s="161" t="str">
        <f t="shared" si="96"/>
        <v/>
      </c>
      <c r="BW161" s="161" t="str">
        <f t="shared" si="97"/>
        <v/>
      </c>
      <c r="BX161" s="161" t="str">
        <f t="shared" si="87"/>
        <v/>
      </c>
      <c r="BY161" s="148"/>
      <c r="BZ161" s="148"/>
      <c r="CA161" s="148"/>
      <c r="CB161" s="148" t="s">
        <v>149</v>
      </c>
      <c r="CC161" s="148"/>
    </row>
    <row r="162" spans="1:81" ht="14.25" customHeight="1" thickBot="1">
      <c r="A162" s="190">
        <v>152</v>
      </c>
      <c r="B162" s="196"/>
      <c r="C162" s="180"/>
      <c r="D162" s="136"/>
      <c r="E162" s="91"/>
      <c r="F162" s="187"/>
      <c r="G162" s="188"/>
      <c r="H162" s="188"/>
      <c r="I162" s="188"/>
      <c r="J162" s="188"/>
      <c r="K162" s="18">
        <f t="shared" si="71"/>
        <v>0</v>
      </c>
      <c r="L162" s="279"/>
      <c r="M162" s="280"/>
      <c r="N162" s="351"/>
      <c r="O162" s="342" t="s">
        <v>65</v>
      </c>
      <c r="P162" s="187"/>
      <c r="Q162" s="188"/>
      <c r="R162" s="188"/>
      <c r="S162" s="119"/>
      <c r="T162" s="188"/>
      <c r="U162" s="211">
        <f t="shared" si="72"/>
        <v>0</v>
      </c>
      <c r="V162" s="279"/>
      <c r="W162" s="280"/>
      <c r="X162" s="351"/>
      <c r="Y162" s="209" t="s">
        <v>85</v>
      </c>
      <c r="Z162" s="71"/>
      <c r="AA162" s="321"/>
      <c r="AB162" s="321"/>
      <c r="AC162" s="322"/>
      <c r="AD162" s="188"/>
      <c r="AE162" s="18">
        <f t="shared" si="73"/>
        <v>0</v>
      </c>
      <c r="AF162" s="71"/>
      <c r="AG162" s="322"/>
      <c r="AH162" s="360"/>
      <c r="AI162" s="97"/>
      <c r="AJ162" s="194"/>
      <c r="AK162" s="193"/>
      <c r="AL162" s="205"/>
      <c r="AM162" s="197"/>
      <c r="AN162" s="205"/>
      <c r="AO162" s="197"/>
      <c r="AP162" s="205"/>
      <c r="AQ162" s="197"/>
      <c r="AR162" s="13">
        <f t="shared" si="74"/>
        <v>1.6200000000000001E-5</v>
      </c>
      <c r="AS162" s="13">
        <f t="shared" si="75"/>
        <v>0</v>
      </c>
      <c r="AT162" s="13"/>
      <c r="AU162" s="160">
        <v>167</v>
      </c>
      <c r="AV162" s="191">
        <f t="shared" si="84"/>
        <v>2.44E-5</v>
      </c>
      <c r="AW162" s="160">
        <f t="shared" si="76"/>
        <v>0</v>
      </c>
      <c r="AX162" s="219">
        <f t="shared" si="77"/>
        <v>1.6200000000000001E-5</v>
      </c>
      <c r="AY162" s="13">
        <f t="shared" si="80"/>
        <v>0</v>
      </c>
      <c r="AZ162" s="160">
        <v>167</v>
      </c>
      <c r="BA162" s="77">
        <f t="shared" si="85"/>
        <v>2.3E-5</v>
      </c>
      <c r="BB162" s="192">
        <f t="shared" si="78"/>
        <v>0</v>
      </c>
      <c r="BC162" s="219">
        <f t="shared" si="81"/>
        <v>1.6200000000000001E-5</v>
      </c>
      <c r="BD162" s="13">
        <f t="shared" si="82"/>
        <v>0</v>
      </c>
      <c r="BE162" s="160">
        <v>167</v>
      </c>
      <c r="BF162" s="77">
        <f t="shared" si="86"/>
        <v>2.3E-5</v>
      </c>
      <c r="BG162" s="192">
        <f t="shared" si="79"/>
        <v>0</v>
      </c>
      <c r="BI162" s="120"/>
      <c r="BJ162" s="120"/>
      <c r="BK162" s="160"/>
      <c r="BL162" s="160"/>
      <c r="BM162" s="161" t="str">
        <f t="shared" si="88"/>
        <v/>
      </c>
      <c r="BN162" s="161" t="str">
        <f t="shared" si="89"/>
        <v/>
      </c>
      <c r="BO162" s="161" t="str">
        <f t="shared" si="90"/>
        <v/>
      </c>
      <c r="BP162" s="161" t="str">
        <f t="shared" si="91"/>
        <v/>
      </c>
      <c r="BQ162" s="161" t="str">
        <f t="shared" si="92"/>
        <v/>
      </c>
      <c r="BR162" s="161" t="str">
        <f t="shared" si="93"/>
        <v/>
      </c>
      <c r="BS162" s="161" t="str">
        <f t="shared" si="98"/>
        <v/>
      </c>
      <c r="BT162" s="161" t="str">
        <f t="shared" si="83"/>
        <v/>
      </c>
      <c r="BU162" s="161" t="str">
        <f t="shared" si="95"/>
        <v/>
      </c>
      <c r="BV162" s="161" t="str">
        <f t="shared" si="96"/>
        <v/>
      </c>
      <c r="BW162" s="161" t="str">
        <f t="shared" si="97"/>
        <v/>
      </c>
      <c r="BX162" s="161" t="str">
        <f t="shared" si="87"/>
        <v/>
      </c>
      <c r="BY162" s="148"/>
      <c r="BZ162" s="148"/>
      <c r="CA162" s="148"/>
      <c r="CB162" s="148" t="s">
        <v>149</v>
      </c>
      <c r="CC162" s="148"/>
    </row>
    <row r="163" spans="1:81" ht="14.25" customHeight="1" thickBot="1">
      <c r="A163" s="190">
        <v>153</v>
      </c>
      <c r="B163" s="78"/>
      <c r="C163" s="181"/>
      <c r="D163" s="86"/>
      <c r="E163" s="92"/>
      <c r="F163" s="88"/>
      <c r="G163" s="93"/>
      <c r="H163" s="93"/>
      <c r="I163" s="93"/>
      <c r="J163" s="93"/>
      <c r="K163" s="81">
        <f t="shared" si="71"/>
        <v>0</v>
      </c>
      <c r="L163" s="281"/>
      <c r="M163" s="282"/>
      <c r="N163" s="352"/>
      <c r="O163" s="343" t="s">
        <v>65</v>
      </c>
      <c r="P163" s="88"/>
      <c r="Q163" s="93"/>
      <c r="R163" s="93"/>
      <c r="S163" s="89"/>
      <c r="T163" s="93"/>
      <c r="U163" s="212">
        <f t="shared" si="72"/>
        <v>0</v>
      </c>
      <c r="V163" s="281"/>
      <c r="W163" s="282"/>
      <c r="X163" s="352"/>
      <c r="Y163" s="210" t="s">
        <v>85</v>
      </c>
      <c r="Z163" s="72"/>
      <c r="AA163" s="323"/>
      <c r="AB163" s="323"/>
      <c r="AC163" s="324"/>
      <c r="AD163" s="93"/>
      <c r="AE163" s="81">
        <f t="shared" si="73"/>
        <v>0</v>
      </c>
      <c r="AF163" s="72"/>
      <c r="AG163" s="324"/>
      <c r="AH163" s="361"/>
      <c r="AI163" s="98"/>
      <c r="AJ163" s="95"/>
      <c r="AK163" s="215"/>
      <c r="AL163" s="206"/>
      <c r="AM163" s="83"/>
      <c r="AN163" s="206"/>
      <c r="AO163" s="83"/>
      <c r="AP163" s="206"/>
      <c r="AQ163" s="83"/>
      <c r="AR163" s="13">
        <f t="shared" si="74"/>
        <v>1.63E-5</v>
      </c>
      <c r="AS163" s="13">
        <f t="shared" si="75"/>
        <v>0</v>
      </c>
      <c r="AT163" s="13"/>
      <c r="AU163" s="160">
        <v>168</v>
      </c>
      <c r="AV163" s="191">
        <f t="shared" si="84"/>
        <v>2.4299999999999998E-5</v>
      </c>
      <c r="AW163" s="160">
        <f t="shared" si="76"/>
        <v>0</v>
      </c>
      <c r="AX163" s="219">
        <f t="shared" si="77"/>
        <v>1.63E-5</v>
      </c>
      <c r="AY163" s="13">
        <f t="shared" si="80"/>
        <v>0</v>
      </c>
      <c r="AZ163" s="160">
        <v>168</v>
      </c>
      <c r="BA163" s="77">
        <f t="shared" si="85"/>
        <v>2.2899999999999998E-5</v>
      </c>
      <c r="BB163" s="192">
        <f t="shared" si="78"/>
        <v>0</v>
      </c>
      <c r="BC163" s="219">
        <f t="shared" si="81"/>
        <v>1.63E-5</v>
      </c>
      <c r="BD163" s="13">
        <f t="shared" si="82"/>
        <v>0</v>
      </c>
      <c r="BE163" s="160">
        <v>168</v>
      </c>
      <c r="BF163" s="77">
        <f t="shared" si="86"/>
        <v>2.2899999999999998E-5</v>
      </c>
      <c r="BG163" s="192">
        <f t="shared" si="79"/>
        <v>0</v>
      </c>
      <c r="BI163" s="120"/>
      <c r="BJ163" s="120"/>
      <c r="BK163" s="160"/>
      <c r="BL163" s="160"/>
      <c r="BM163" s="161" t="str">
        <f t="shared" si="88"/>
        <v/>
      </c>
      <c r="BN163" s="161" t="str">
        <f t="shared" si="89"/>
        <v/>
      </c>
      <c r="BO163" s="161" t="str">
        <f t="shared" si="90"/>
        <v/>
      </c>
      <c r="BP163" s="161" t="str">
        <f t="shared" si="91"/>
        <v/>
      </c>
      <c r="BQ163" s="161" t="str">
        <f t="shared" si="92"/>
        <v/>
      </c>
      <c r="BR163" s="161" t="str">
        <f t="shared" si="93"/>
        <v/>
      </c>
      <c r="BS163" s="161" t="str">
        <f t="shared" si="98"/>
        <v/>
      </c>
      <c r="BT163" s="161" t="str">
        <f t="shared" si="83"/>
        <v/>
      </c>
      <c r="BU163" s="161" t="str">
        <f t="shared" si="95"/>
        <v/>
      </c>
      <c r="BV163" s="161" t="str">
        <f t="shared" si="96"/>
        <v/>
      </c>
      <c r="BW163" s="161" t="str">
        <f t="shared" si="97"/>
        <v/>
      </c>
      <c r="BX163" s="161" t="str">
        <f t="shared" si="87"/>
        <v/>
      </c>
      <c r="BY163" s="148"/>
      <c r="BZ163" s="148"/>
      <c r="CA163" s="148"/>
      <c r="CB163" s="148" t="s">
        <v>149</v>
      </c>
      <c r="CC163" s="148"/>
    </row>
    <row r="164" spans="1:81" ht="14.25" customHeight="1" thickBot="1">
      <c r="A164" s="190">
        <v>154</v>
      </c>
      <c r="B164" s="79"/>
      <c r="C164" s="179"/>
      <c r="D164" s="137"/>
      <c r="E164" s="198"/>
      <c r="F164" s="199"/>
      <c r="G164" s="200"/>
      <c r="H164" s="200"/>
      <c r="I164" s="200"/>
      <c r="J164" s="200"/>
      <c r="K164" s="201">
        <f t="shared" si="71"/>
        <v>0</v>
      </c>
      <c r="L164" s="277"/>
      <c r="M164" s="278"/>
      <c r="N164" s="350"/>
      <c r="O164" s="341" t="s">
        <v>65</v>
      </c>
      <c r="P164" s="189"/>
      <c r="Q164" s="326"/>
      <c r="R164" s="326"/>
      <c r="S164" s="87"/>
      <c r="T164" s="207"/>
      <c r="U164" s="225">
        <f t="shared" si="72"/>
        <v>0</v>
      </c>
      <c r="V164" s="277"/>
      <c r="W164" s="278"/>
      <c r="X164" s="350"/>
      <c r="Y164" s="208" t="s">
        <v>147</v>
      </c>
      <c r="Z164" s="11"/>
      <c r="AA164" s="207"/>
      <c r="AB164" s="207"/>
      <c r="AC164" s="3"/>
      <c r="AD164" s="207"/>
      <c r="AE164" s="226">
        <f t="shared" si="73"/>
        <v>0</v>
      </c>
      <c r="AF164" s="11"/>
      <c r="AG164" s="3"/>
      <c r="AH164" s="359"/>
      <c r="AI164" s="96"/>
      <c r="AJ164" s="94"/>
      <c r="AK164" s="214"/>
      <c r="AL164" s="213"/>
      <c r="AM164" s="82"/>
      <c r="AN164" s="213"/>
      <c r="AO164" s="82"/>
      <c r="AP164" s="213"/>
      <c r="AQ164" s="82"/>
      <c r="AR164" s="13">
        <f t="shared" si="74"/>
        <v>1.6399999999999999E-5</v>
      </c>
      <c r="AS164" s="13">
        <f t="shared" si="75"/>
        <v>0</v>
      </c>
      <c r="AT164" s="13"/>
      <c r="AU164" s="160">
        <v>169</v>
      </c>
      <c r="AV164" s="191">
        <f t="shared" si="84"/>
        <v>2.4199999999999999E-5</v>
      </c>
      <c r="AW164" s="160">
        <f t="shared" si="76"/>
        <v>0</v>
      </c>
      <c r="AX164" s="219">
        <f t="shared" si="77"/>
        <v>1.6399999999999999E-5</v>
      </c>
      <c r="AY164" s="13">
        <f t="shared" si="80"/>
        <v>0</v>
      </c>
      <c r="AZ164" s="160">
        <v>169</v>
      </c>
      <c r="BA164" s="77">
        <f t="shared" si="85"/>
        <v>2.2799999999999999E-5</v>
      </c>
      <c r="BB164" s="192">
        <f t="shared" si="78"/>
        <v>0</v>
      </c>
      <c r="BC164" s="219">
        <f t="shared" si="81"/>
        <v>1.6399999999999999E-5</v>
      </c>
      <c r="BD164" s="13">
        <f t="shared" si="82"/>
        <v>0</v>
      </c>
      <c r="BE164" s="160">
        <v>169</v>
      </c>
      <c r="BF164" s="77">
        <f t="shared" si="86"/>
        <v>2.2799999999999999E-5</v>
      </c>
      <c r="BG164" s="192">
        <f t="shared" si="79"/>
        <v>0</v>
      </c>
      <c r="BI164" s="120"/>
      <c r="BJ164" s="120"/>
      <c r="BK164" s="160"/>
      <c r="BL164" s="160"/>
      <c r="BM164" s="161" t="str">
        <f t="shared" si="88"/>
        <v/>
      </c>
      <c r="BN164" s="161" t="str">
        <f t="shared" si="89"/>
        <v/>
      </c>
      <c r="BO164" s="161" t="str">
        <f t="shared" si="90"/>
        <v/>
      </c>
      <c r="BP164" s="161" t="str">
        <f t="shared" si="91"/>
        <v/>
      </c>
      <c r="BQ164" s="161" t="str">
        <f t="shared" si="92"/>
        <v/>
      </c>
      <c r="BR164" s="161" t="str">
        <f t="shared" si="93"/>
        <v/>
      </c>
      <c r="BS164" s="161" t="str">
        <f t="shared" si="98"/>
        <v/>
      </c>
      <c r="BT164" s="161" t="str">
        <f t="shared" si="83"/>
        <v/>
      </c>
      <c r="BU164" s="161" t="str">
        <f t="shared" si="95"/>
        <v/>
      </c>
      <c r="BV164" s="161" t="str">
        <f t="shared" si="96"/>
        <v/>
      </c>
      <c r="BW164" s="161" t="str">
        <f t="shared" si="97"/>
        <v/>
      </c>
      <c r="BX164" s="161" t="str">
        <f t="shared" si="87"/>
        <v/>
      </c>
      <c r="BY164" s="148"/>
      <c r="BZ164" s="148"/>
      <c r="CA164" s="148"/>
      <c r="CB164" s="148" t="s">
        <v>149</v>
      </c>
      <c r="CC164" s="148"/>
    </row>
    <row r="165" spans="1:81" ht="14.25" customHeight="1" thickBot="1">
      <c r="A165" s="190">
        <v>155</v>
      </c>
      <c r="B165" s="196"/>
      <c r="C165" s="180"/>
      <c r="D165" s="136"/>
      <c r="E165" s="91"/>
      <c r="F165" s="187"/>
      <c r="G165" s="188"/>
      <c r="H165" s="188"/>
      <c r="I165" s="188"/>
      <c r="J165" s="188"/>
      <c r="K165" s="18">
        <f t="shared" si="71"/>
        <v>0</v>
      </c>
      <c r="L165" s="279"/>
      <c r="M165" s="280"/>
      <c r="N165" s="351"/>
      <c r="O165" s="342" t="s">
        <v>65</v>
      </c>
      <c r="P165" s="187"/>
      <c r="Q165" s="188"/>
      <c r="R165" s="188"/>
      <c r="S165" s="119"/>
      <c r="T165" s="188"/>
      <c r="U165" s="211">
        <f t="shared" si="72"/>
        <v>0</v>
      </c>
      <c r="V165" s="279"/>
      <c r="W165" s="280"/>
      <c r="X165" s="351"/>
      <c r="Y165" s="209" t="s">
        <v>85</v>
      </c>
      <c r="Z165" s="71"/>
      <c r="AA165" s="321"/>
      <c r="AB165" s="321"/>
      <c r="AC165" s="322"/>
      <c r="AD165" s="188"/>
      <c r="AE165" s="18">
        <f t="shared" si="73"/>
        <v>0</v>
      </c>
      <c r="AF165" s="71"/>
      <c r="AG165" s="322"/>
      <c r="AH165" s="360"/>
      <c r="AI165" s="97"/>
      <c r="AJ165" s="194"/>
      <c r="AK165" s="193"/>
      <c r="AL165" s="205"/>
      <c r="AM165" s="197"/>
      <c r="AN165" s="205"/>
      <c r="AO165" s="197"/>
      <c r="AP165" s="205"/>
      <c r="AQ165" s="197"/>
      <c r="AR165" s="13">
        <f t="shared" si="74"/>
        <v>1.6499999999999998E-5</v>
      </c>
      <c r="AS165" s="13">
        <f t="shared" si="75"/>
        <v>0</v>
      </c>
      <c r="AT165" s="13"/>
      <c r="AU165" s="160">
        <v>170</v>
      </c>
      <c r="AV165" s="191">
        <f t="shared" si="84"/>
        <v>2.41E-5</v>
      </c>
      <c r="AW165" s="160">
        <f t="shared" si="76"/>
        <v>0</v>
      </c>
      <c r="AX165" s="219">
        <f t="shared" si="77"/>
        <v>1.6499999999999998E-5</v>
      </c>
      <c r="AY165" s="13">
        <f t="shared" si="80"/>
        <v>0</v>
      </c>
      <c r="AZ165" s="160">
        <v>170</v>
      </c>
      <c r="BA165" s="77">
        <f t="shared" si="85"/>
        <v>2.27E-5</v>
      </c>
      <c r="BB165" s="192">
        <f t="shared" si="78"/>
        <v>0</v>
      </c>
      <c r="BC165" s="219">
        <f t="shared" si="81"/>
        <v>1.6499999999999998E-5</v>
      </c>
      <c r="BD165" s="13">
        <f t="shared" si="82"/>
        <v>0</v>
      </c>
      <c r="BE165" s="160">
        <v>170</v>
      </c>
      <c r="BF165" s="77">
        <f t="shared" si="86"/>
        <v>2.27E-5</v>
      </c>
      <c r="BG165" s="192">
        <f t="shared" si="79"/>
        <v>0</v>
      </c>
      <c r="BI165" s="120"/>
      <c r="BJ165" s="120"/>
      <c r="BK165" s="160"/>
      <c r="BL165" s="160"/>
      <c r="BM165" s="161" t="str">
        <f t="shared" si="88"/>
        <v/>
      </c>
      <c r="BN165" s="161" t="str">
        <f t="shared" si="89"/>
        <v/>
      </c>
      <c r="BO165" s="161" t="str">
        <f t="shared" si="90"/>
        <v/>
      </c>
      <c r="BP165" s="161" t="str">
        <f t="shared" si="91"/>
        <v/>
      </c>
      <c r="BQ165" s="161" t="str">
        <f t="shared" si="92"/>
        <v/>
      </c>
      <c r="BR165" s="161" t="str">
        <f t="shared" si="93"/>
        <v/>
      </c>
      <c r="BS165" s="161" t="str">
        <f t="shared" si="98"/>
        <v/>
      </c>
      <c r="BT165" s="161" t="str">
        <f t="shared" si="83"/>
        <v/>
      </c>
      <c r="BU165" s="161" t="str">
        <f t="shared" si="95"/>
        <v/>
      </c>
      <c r="BV165" s="161" t="str">
        <f t="shared" si="96"/>
        <v/>
      </c>
      <c r="BW165" s="161" t="str">
        <f t="shared" si="97"/>
        <v/>
      </c>
      <c r="BX165" s="161" t="str">
        <f t="shared" si="87"/>
        <v/>
      </c>
      <c r="BY165" s="148"/>
      <c r="BZ165" s="148"/>
      <c r="CA165" s="148"/>
      <c r="CB165" s="148" t="s">
        <v>149</v>
      </c>
      <c r="CC165" s="148"/>
    </row>
    <row r="166" spans="1:81" ht="14.25" customHeight="1" thickBot="1">
      <c r="A166" s="190">
        <v>156</v>
      </c>
      <c r="B166" s="78"/>
      <c r="C166" s="181"/>
      <c r="D166" s="86"/>
      <c r="E166" s="92"/>
      <c r="F166" s="88"/>
      <c r="G166" s="93"/>
      <c r="H166" s="93"/>
      <c r="I166" s="93"/>
      <c r="J166" s="93"/>
      <c r="K166" s="81">
        <f t="shared" si="71"/>
        <v>0</v>
      </c>
      <c r="L166" s="281"/>
      <c r="M166" s="282"/>
      <c r="N166" s="352"/>
      <c r="O166" s="343" t="s">
        <v>65</v>
      </c>
      <c r="P166" s="88"/>
      <c r="Q166" s="93"/>
      <c r="R166" s="93"/>
      <c r="S166" s="89"/>
      <c r="T166" s="93"/>
      <c r="U166" s="212">
        <f t="shared" si="72"/>
        <v>0</v>
      </c>
      <c r="V166" s="281"/>
      <c r="W166" s="282"/>
      <c r="X166" s="352"/>
      <c r="Y166" s="210" t="s">
        <v>85</v>
      </c>
      <c r="Z166" s="72"/>
      <c r="AA166" s="323"/>
      <c r="AB166" s="323"/>
      <c r="AC166" s="324"/>
      <c r="AD166" s="93"/>
      <c r="AE166" s="81">
        <f t="shared" si="73"/>
        <v>0</v>
      </c>
      <c r="AF166" s="72"/>
      <c r="AG166" s="324"/>
      <c r="AH166" s="361"/>
      <c r="AI166" s="98"/>
      <c r="AJ166" s="95"/>
      <c r="AK166" s="215"/>
      <c r="AL166" s="206"/>
      <c r="AM166" s="83"/>
      <c r="AN166" s="206"/>
      <c r="AO166" s="83"/>
      <c r="AP166" s="206"/>
      <c r="AQ166" s="83"/>
      <c r="AR166" s="13">
        <f t="shared" si="74"/>
        <v>1.66E-5</v>
      </c>
      <c r="AS166" s="13">
        <f t="shared" si="75"/>
        <v>0</v>
      </c>
      <c r="AT166" s="13"/>
      <c r="AU166" s="160">
        <v>171</v>
      </c>
      <c r="AV166" s="191">
        <f t="shared" si="84"/>
        <v>2.4000000000000001E-5</v>
      </c>
      <c r="AW166" s="160">
        <f t="shared" si="76"/>
        <v>0</v>
      </c>
      <c r="AX166" s="219">
        <f t="shared" si="77"/>
        <v>1.66E-5</v>
      </c>
      <c r="AY166" s="13">
        <f t="shared" si="80"/>
        <v>0</v>
      </c>
      <c r="AZ166" s="160">
        <v>171</v>
      </c>
      <c r="BA166" s="77">
        <f t="shared" si="85"/>
        <v>2.26E-5</v>
      </c>
      <c r="BB166" s="192">
        <f t="shared" si="78"/>
        <v>0</v>
      </c>
      <c r="BC166" s="219">
        <f t="shared" si="81"/>
        <v>1.66E-5</v>
      </c>
      <c r="BD166" s="13">
        <f t="shared" si="82"/>
        <v>0</v>
      </c>
      <c r="BE166" s="160">
        <v>171</v>
      </c>
      <c r="BF166" s="77">
        <f t="shared" si="86"/>
        <v>2.26E-5</v>
      </c>
      <c r="BG166" s="192">
        <f t="shared" si="79"/>
        <v>0</v>
      </c>
      <c r="BI166" s="120"/>
      <c r="BJ166" s="120"/>
      <c r="BK166" s="160"/>
      <c r="BL166" s="160"/>
      <c r="BM166" s="161" t="str">
        <f t="shared" si="88"/>
        <v/>
      </c>
      <c r="BN166" s="161" t="str">
        <f t="shared" si="89"/>
        <v/>
      </c>
      <c r="BO166" s="161" t="str">
        <f t="shared" si="90"/>
        <v/>
      </c>
      <c r="BP166" s="161" t="str">
        <f t="shared" si="91"/>
        <v/>
      </c>
      <c r="BQ166" s="161" t="str">
        <f t="shared" si="92"/>
        <v/>
      </c>
      <c r="BR166" s="161" t="str">
        <f t="shared" si="93"/>
        <v/>
      </c>
      <c r="BS166" s="161" t="str">
        <f t="shared" si="98"/>
        <v/>
      </c>
      <c r="BT166" s="161" t="str">
        <f t="shared" si="83"/>
        <v/>
      </c>
      <c r="BU166" s="161" t="str">
        <f t="shared" si="95"/>
        <v/>
      </c>
      <c r="BV166" s="161" t="str">
        <f t="shared" si="96"/>
        <v/>
      </c>
      <c r="BW166" s="161" t="str">
        <f t="shared" si="97"/>
        <v/>
      </c>
      <c r="BX166" s="161" t="str">
        <f t="shared" si="87"/>
        <v/>
      </c>
      <c r="BY166" s="148"/>
      <c r="BZ166" s="148"/>
      <c r="CA166" s="148"/>
      <c r="CB166" s="148" t="s">
        <v>149</v>
      </c>
      <c r="CC166" s="148"/>
    </row>
    <row r="167" spans="1:81" ht="14.25" customHeight="1" thickBot="1">
      <c r="A167" s="190">
        <v>157</v>
      </c>
      <c r="B167" s="79"/>
      <c r="C167" s="179"/>
      <c r="D167" s="137"/>
      <c r="E167" s="198"/>
      <c r="F167" s="199"/>
      <c r="G167" s="200"/>
      <c r="H167" s="200"/>
      <c r="I167" s="200"/>
      <c r="J167" s="200"/>
      <c r="K167" s="201">
        <f t="shared" si="71"/>
        <v>0</v>
      </c>
      <c r="L167" s="277"/>
      <c r="M167" s="278"/>
      <c r="N167" s="350"/>
      <c r="O167" s="341" t="s">
        <v>65</v>
      </c>
      <c r="P167" s="189"/>
      <c r="Q167" s="326"/>
      <c r="R167" s="326"/>
      <c r="S167" s="87"/>
      <c r="T167" s="207"/>
      <c r="U167" s="225">
        <f t="shared" si="72"/>
        <v>0</v>
      </c>
      <c r="V167" s="277"/>
      <c r="W167" s="278"/>
      <c r="X167" s="350"/>
      <c r="Y167" s="208" t="s">
        <v>147</v>
      </c>
      <c r="Z167" s="11"/>
      <c r="AA167" s="207"/>
      <c r="AB167" s="207"/>
      <c r="AC167" s="3"/>
      <c r="AD167" s="207"/>
      <c r="AE167" s="226">
        <f t="shared" si="73"/>
        <v>0</v>
      </c>
      <c r="AF167" s="11"/>
      <c r="AG167" s="3"/>
      <c r="AH167" s="359"/>
      <c r="AI167" s="96"/>
      <c r="AJ167" s="94"/>
      <c r="AK167" s="214"/>
      <c r="AL167" s="213"/>
      <c r="AM167" s="82"/>
      <c r="AN167" s="213"/>
      <c r="AO167" s="82"/>
      <c r="AP167" s="213"/>
      <c r="AQ167" s="82"/>
      <c r="AR167" s="13">
        <f t="shared" si="74"/>
        <v>1.6699999999999999E-5</v>
      </c>
      <c r="AS167" s="13">
        <f t="shared" si="75"/>
        <v>0</v>
      </c>
      <c r="AT167" s="13"/>
      <c r="AU167" s="160">
        <v>172</v>
      </c>
      <c r="AV167" s="191">
        <f t="shared" si="84"/>
        <v>2.3899999999999998E-5</v>
      </c>
      <c r="AW167" s="160">
        <f t="shared" si="76"/>
        <v>0</v>
      </c>
      <c r="AX167" s="219">
        <f t="shared" si="77"/>
        <v>1.6699999999999999E-5</v>
      </c>
      <c r="AY167" s="13">
        <f t="shared" si="80"/>
        <v>0</v>
      </c>
      <c r="AZ167" s="160">
        <v>172</v>
      </c>
      <c r="BA167" s="77">
        <f t="shared" si="85"/>
        <v>2.2499999999999998E-5</v>
      </c>
      <c r="BB167" s="192">
        <f t="shared" si="78"/>
        <v>0</v>
      </c>
      <c r="BC167" s="219">
        <f t="shared" si="81"/>
        <v>1.6699999999999999E-5</v>
      </c>
      <c r="BD167" s="13">
        <f t="shared" si="82"/>
        <v>0</v>
      </c>
      <c r="BE167" s="160">
        <v>172</v>
      </c>
      <c r="BF167" s="77">
        <f t="shared" si="86"/>
        <v>2.2499999999999998E-5</v>
      </c>
      <c r="BG167" s="192">
        <f t="shared" si="79"/>
        <v>0</v>
      </c>
      <c r="BI167" s="120"/>
      <c r="BJ167" s="120"/>
      <c r="BK167" s="160"/>
      <c r="BL167" s="160"/>
      <c r="BM167" s="161" t="str">
        <f t="shared" si="88"/>
        <v/>
      </c>
      <c r="BN167" s="161" t="str">
        <f t="shared" si="89"/>
        <v/>
      </c>
      <c r="BO167" s="161" t="str">
        <f t="shared" si="90"/>
        <v/>
      </c>
      <c r="BP167" s="161" t="str">
        <f t="shared" si="91"/>
        <v/>
      </c>
      <c r="BQ167" s="161" t="str">
        <f t="shared" si="92"/>
        <v/>
      </c>
      <c r="BR167" s="161" t="str">
        <f t="shared" si="93"/>
        <v/>
      </c>
      <c r="BS167" s="161" t="str">
        <f t="shared" si="98"/>
        <v/>
      </c>
      <c r="BT167" s="161" t="str">
        <f t="shared" si="83"/>
        <v/>
      </c>
      <c r="BU167" s="161" t="str">
        <f t="shared" si="95"/>
        <v/>
      </c>
      <c r="BV167" s="161" t="str">
        <f t="shared" si="96"/>
        <v/>
      </c>
      <c r="BW167" s="161" t="str">
        <f t="shared" si="97"/>
        <v/>
      </c>
      <c r="BX167" s="161" t="str">
        <f t="shared" si="87"/>
        <v/>
      </c>
      <c r="BY167" s="148"/>
      <c r="BZ167" s="148"/>
      <c r="CA167" s="148"/>
      <c r="CB167" s="148" t="s">
        <v>149</v>
      </c>
      <c r="CC167" s="148"/>
    </row>
    <row r="168" spans="1:81" ht="14.25" customHeight="1" thickBot="1">
      <c r="A168" s="190">
        <v>158</v>
      </c>
      <c r="B168" s="196"/>
      <c r="C168" s="180"/>
      <c r="D168" s="136"/>
      <c r="E168" s="91"/>
      <c r="F168" s="187"/>
      <c r="G168" s="188"/>
      <c r="H168" s="188"/>
      <c r="I168" s="188"/>
      <c r="J168" s="188"/>
      <c r="K168" s="18">
        <f t="shared" si="71"/>
        <v>0</v>
      </c>
      <c r="L168" s="279"/>
      <c r="M168" s="280"/>
      <c r="N168" s="351"/>
      <c r="O168" s="342" t="s">
        <v>65</v>
      </c>
      <c r="P168" s="187"/>
      <c r="Q168" s="188"/>
      <c r="R168" s="188"/>
      <c r="S168" s="119"/>
      <c r="T168" s="188"/>
      <c r="U168" s="211">
        <f t="shared" si="72"/>
        <v>0</v>
      </c>
      <c r="V168" s="279"/>
      <c r="W168" s="280"/>
      <c r="X168" s="351"/>
      <c r="Y168" s="209" t="s">
        <v>85</v>
      </c>
      <c r="Z168" s="71"/>
      <c r="AA168" s="321"/>
      <c r="AB168" s="321"/>
      <c r="AC168" s="322"/>
      <c r="AD168" s="188"/>
      <c r="AE168" s="18">
        <f t="shared" si="73"/>
        <v>0</v>
      </c>
      <c r="AF168" s="71"/>
      <c r="AG168" s="322"/>
      <c r="AH168" s="360"/>
      <c r="AI168" s="97"/>
      <c r="AJ168" s="194"/>
      <c r="AK168" s="193"/>
      <c r="AL168" s="205"/>
      <c r="AM168" s="197"/>
      <c r="AN168" s="205"/>
      <c r="AO168" s="197"/>
      <c r="AP168" s="205"/>
      <c r="AQ168" s="197"/>
      <c r="AR168" s="13">
        <f t="shared" si="74"/>
        <v>1.6799999999999998E-5</v>
      </c>
      <c r="AS168" s="13">
        <f t="shared" si="75"/>
        <v>0</v>
      </c>
      <c r="AT168" s="13"/>
      <c r="AU168" s="160">
        <v>173</v>
      </c>
      <c r="AV168" s="191">
        <f t="shared" si="84"/>
        <v>2.3799999999999999E-5</v>
      </c>
      <c r="AW168" s="160">
        <f t="shared" si="76"/>
        <v>0</v>
      </c>
      <c r="AX168" s="219">
        <f t="shared" si="77"/>
        <v>1.6799999999999998E-5</v>
      </c>
      <c r="AY168" s="13">
        <f t="shared" si="80"/>
        <v>0</v>
      </c>
      <c r="AZ168" s="160">
        <v>173</v>
      </c>
      <c r="BA168" s="77">
        <f t="shared" si="85"/>
        <v>2.2399999999999999E-5</v>
      </c>
      <c r="BB168" s="192">
        <f t="shared" si="78"/>
        <v>0</v>
      </c>
      <c r="BC168" s="219">
        <f t="shared" si="81"/>
        <v>1.6799999999999998E-5</v>
      </c>
      <c r="BD168" s="13">
        <f t="shared" si="82"/>
        <v>0</v>
      </c>
      <c r="BE168" s="160">
        <v>173</v>
      </c>
      <c r="BF168" s="77">
        <f t="shared" si="86"/>
        <v>2.2399999999999999E-5</v>
      </c>
      <c r="BG168" s="192">
        <f t="shared" si="79"/>
        <v>0</v>
      </c>
      <c r="BI168" s="120"/>
      <c r="BJ168" s="120"/>
      <c r="BK168" s="160"/>
      <c r="BL168" s="160"/>
      <c r="BM168" s="161" t="str">
        <f t="shared" si="88"/>
        <v/>
      </c>
      <c r="BN168" s="161" t="str">
        <f t="shared" si="89"/>
        <v/>
      </c>
      <c r="BO168" s="161" t="str">
        <f t="shared" si="90"/>
        <v/>
      </c>
      <c r="BP168" s="161" t="str">
        <f t="shared" si="91"/>
        <v/>
      </c>
      <c r="BQ168" s="161" t="str">
        <f t="shared" si="92"/>
        <v/>
      </c>
      <c r="BR168" s="161" t="str">
        <f t="shared" si="93"/>
        <v/>
      </c>
      <c r="BS168" s="161" t="str">
        <f t="shared" si="98"/>
        <v/>
      </c>
      <c r="BT168" s="161" t="str">
        <f t="shared" si="83"/>
        <v/>
      </c>
      <c r="BU168" s="161" t="str">
        <f t="shared" si="95"/>
        <v/>
      </c>
      <c r="BV168" s="161" t="str">
        <f t="shared" si="96"/>
        <v/>
      </c>
      <c r="BW168" s="161" t="str">
        <f t="shared" si="97"/>
        <v/>
      </c>
      <c r="BX168" s="161" t="str">
        <f t="shared" si="87"/>
        <v/>
      </c>
      <c r="BY168" s="148"/>
      <c r="BZ168" s="148"/>
      <c r="CA168" s="148"/>
      <c r="CB168" s="148" t="s">
        <v>149</v>
      </c>
      <c r="CC168" s="148"/>
    </row>
    <row r="169" spans="1:81" ht="14.25" customHeight="1" thickBot="1">
      <c r="A169" s="190">
        <v>159</v>
      </c>
      <c r="B169" s="78"/>
      <c r="C169" s="181"/>
      <c r="D169" s="86"/>
      <c r="E169" s="92"/>
      <c r="F169" s="88"/>
      <c r="G169" s="93"/>
      <c r="H169" s="93"/>
      <c r="I169" s="93"/>
      <c r="J169" s="93"/>
      <c r="K169" s="81">
        <f t="shared" si="71"/>
        <v>0</v>
      </c>
      <c r="L169" s="281"/>
      <c r="M169" s="282"/>
      <c r="N169" s="352"/>
      <c r="O169" s="343" t="s">
        <v>65</v>
      </c>
      <c r="P169" s="88"/>
      <c r="Q169" s="93"/>
      <c r="R169" s="93"/>
      <c r="S169" s="89"/>
      <c r="T169" s="93"/>
      <c r="U169" s="212">
        <f t="shared" si="72"/>
        <v>0</v>
      </c>
      <c r="V169" s="281"/>
      <c r="W169" s="282"/>
      <c r="X169" s="352"/>
      <c r="Y169" s="210" t="s">
        <v>85</v>
      </c>
      <c r="Z169" s="72"/>
      <c r="AA169" s="323"/>
      <c r="AB169" s="323"/>
      <c r="AC169" s="324"/>
      <c r="AD169" s="93"/>
      <c r="AE169" s="81">
        <f t="shared" si="73"/>
        <v>0</v>
      </c>
      <c r="AF169" s="72"/>
      <c r="AG169" s="324"/>
      <c r="AH169" s="361"/>
      <c r="AI169" s="98"/>
      <c r="AJ169" s="95"/>
      <c r="AK169" s="215"/>
      <c r="AL169" s="206"/>
      <c r="AM169" s="83"/>
      <c r="AN169" s="206"/>
      <c r="AO169" s="83"/>
      <c r="AP169" s="206"/>
      <c r="AQ169" s="83"/>
      <c r="AR169" s="13">
        <f t="shared" si="74"/>
        <v>1.6900000000000001E-5</v>
      </c>
      <c r="AS169" s="13">
        <f t="shared" si="75"/>
        <v>0</v>
      </c>
      <c r="AT169" s="13"/>
      <c r="AU169" s="160">
        <v>174</v>
      </c>
      <c r="AV169" s="191">
        <f t="shared" si="84"/>
        <v>2.37E-5</v>
      </c>
      <c r="AW169" s="160">
        <f t="shared" si="76"/>
        <v>0</v>
      </c>
      <c r="AX169" s="219">
        <f t="shared" si="77"/>
        <v>1.6900000000000001E-5</v>
      </c>
      <c r="AY169" s="13">
        <f t="shared" si="80"/>
        <v>0</v>
      </c>
      <c r="AZ169" s="160">
        <v>174</v>
      </c>
      <c r="BA169" s="77">
        <f t="shared" si="85"/>
        <v>2.23E-5</v>
      </c>
      <c r="BB169" s="192">
        <f t="shared" si="78"/>
        <v>0</v>
      </c>
      <c r="BC169" s="219">
        <f t="shared" si="81"/>
        <v>1.6900000000000001E-5</v>
      </c>
      <c r="BD169" s="13">
        <f t="shared" si="82"/>
        <v>0</v>
      </c>
      <c r="BE169" s="160">
        <v>174</v>
      </c>
      <c r="BF169" s="77">
        <f t="shared" si="86"/>
        <v>2.23E-5</v>
      </c>
      <c r="BG169" s="192">
        <f t="shared" si="79"/>
        <v>0</v>
      </c>
      <c r="BI169" s="120"/>
      <c r="BJ169" s="120"/>
      <c r="BK169" s="160"/>
      <c r="BL169" s="160"/>
      <c r="BM169" s="161" t="str">
        <f t="shared" si="88"/>
        <v/>
      </c>
      <c r="BN169" s="161" t="str">
        <f t="shared" si="89"/>
        <v/>
      </c>
      <c r="BO169" s="161" t="str">
        <f t="shared" si="90"/>
        <v/>
      </c>
      <c r="BP169" s="161" t="str">
        <f t="shared" si="91"/>
        <v/>
      </c>
      <c r="BQ169" s="161" t="str">
        <f t="shared" si="92"/>
        <v/>
      </c>
      <c r="BR169" s="161" t="str">
        <f t="shared" si="93"/>
        <v/>
      </c>
      <c r="BS169" s="161" t="str">
        <f t="shared" si="98"/>
        <v/>
      </c>
      <c r="BT169" s="161" t="str">
        <f t="shared" si="83"/>
        <v/>
      </c>
      <c r="BU169" s="161" t="str">
        <f t="shared" si="95"/>
        <v/>
      </c>
      <c r="BV169" s="161" t="str">
        <f t="shared" si="96"/>
        <v/>
      </c>
      <c r="BW169" s="161" t="str">
        <f t="shared" si="97"/>
        <v/>
      </c>
      <c r="BX169" s="161" t="str">
        <f t="shared" si="87"/>
        <v/>
      </c>
      <c r="BY169" s="148"/>
      <c r="BZ169" s="148"/>
      <c r="CA169" s="148"/>
      <c r="CB169" s="148" t="s">
        <v>149</v>
      </c>
      <c r="CC169" s="148"/>
    </row>
    <row r="170" spans="1:81" ht="14.25" customHeight="1" thickBot="1">
      <c r="A170" s="190">
        <v>160</v>
      </c>
      <c r="B170" s="79"/>
      <c r="C170" s="179"/>
      <c r="D170" s="137"/>
      <c r="E170" s="198"/>
      <c r="F170" s="199"/>
      <c r="G170" s="200"/>
      <c r="H170" s="200"/>
      <c r="I170" s="200"/>
      <c r="J170" s="200"/>
      <c r="K170" s="201">
        <f t="shared" si="71"/>
        <v>0</v>
      </c>
      <c r="L170" s="277"/>
      <c r="M170" s="278"/>
      <c r="N170" s="350"/>
      <c r="O170" s="341" t="s">
        <v>65</v>
      </c>
      <c r="P170" s="189"/>
      <c r="Q170" s="326"/>
      <c r="R170" s="326"/>
      <c r="S170" s="87"/>
      <c r="T170" s="207"/>
      <c r="U170" s="225">
        <f t="shared" si="72"/>
        <v>0</v>
      </c>
      <c r="V170" s="277"/>
      <c r="W170" s="278"/>
      <c r="X170" s="350"/>
      <c r="Y170" s="208" t="s">
        <v>147</v>
      </c>
      <c r="Z170" s="11"/>
      <c r="AA170" s="207"/>
      <c r="AB170" s="207"/>
      <c r="AC170" s="3"/>
      <c r="AD170" s="207"/>
      <c r="AE170" s="226">
        <f t="shared" si="73"/>
        <v>0</v>
      </c>
      <c r="AF170" s="11"/>
      <c r="AG170" s="3"/>
      <c r="AH170" s="359"/>
      <c r="AI170" s="96"/>
      <c r="AJ170" s="94"/>
      <c r="AK170" s="214"/>
      <c r="AL170" s="213"/>
      <c r="AM170" s="82"/>
      <c r="AN170" s="213"/>
      <c r="AO170" s="82"/>
      <c r="AP170" s="213"/>
      <c r="AQ170" s="82"/>
      <c r="AR170" s="13">
        <f t="shared" si="74"/>
        <v>1.7E-5</v>
      </c>
      <c r="AS170" s="13">
        <f t="shared" si="75"/>
        <v>0</v>
      </c>
      <c r="AT170" s="13"/>
      <c r="AU170" s="160">
        <v>175</v>
      </c>
      <c r="AV170" s="191">
        <f t="shared" si="84"/>
        <v>2.3599999999999998E-5</v>
      </c>
      <c r="AW170" s="160">
        <f t="shared" si="76"/>
        <v>0</v>
      </c>
      <c r="AX170" s="219">
        <f t="shared" si="77"/>
        <v>1.7E-5</v>
      </c>
      <c r="AY170" s="13">
        <f t="shared" si="80"/>
        <v>0</v>
      </c>
      <c r="AZ170" s="160">
        <v>175</v>
      </c>
      <c r="BA170" s="77">
        <f t="shared" si="85"/>
        <v>2.2199999999999998E-5</v>
      </c>
      <c r="BB170" s="192">
        <f t="shared" si="78"/>
        <v>0</v>
      </c>
      <c r="BC170" s="219">
        <f t="shared" si="81"/>
        <v>1.7E-5</v>
      </c>
      <c r="BD170" s="13">
        <f t="shared" si="82"/>
        <v>0</v>
      </c>
      <c r="BE170" s="160">
        <v>175</v>
      </c>
      <c r="BF170" s="77">
        <f t="shared" si="86"/>
        <v>2.2199999999999998E-5</v>
      </c>
      <c r="BG170" s="192">
        <f t="shared" si="79"/>
        <v>0</v>
      </c>
      <c r="BI170" s="120"/>
      <c r="BJ170" s="120"/>
      <c r="BK170" s="160"/>
      <c r="BL170" s="160"/>
      <c r="BM170" s="161" t="str">
        <f t="shared" si="88"/>
        <v/>
      </c>
      <c r="BN170" s="161" t="str">
        <f t="shared" si="89"/>
        <v/>
      </c>
      <c r="BO170" s="161" t="str">
        <f t="shared" si="90"/>
        <v/>
      </c>
      <c r="BP170" s="161" t="str">
        <f t="shared" si="91"/>
        <v/>
      </c>
      <c r="BQ170" s="161" t="str">
        <f t="shared" si="92"/>
        <v/>
      </c>
      <c r="BR170" s="161" t="str">
        <f t="shared" si="93"/>
        <v/>
      </c>
      <c r="BS170" s="161" t="str">
        <f t="shared" si="98"/>
        <v/>
      </c>
      <c r="BT170" s="161" t="str">
        <f t="shared" si="83"/>
        <v/>
      </c>
      <c r="BU170" s="161" t="str">
        <f t="shared" si="95"/>
        <v/>
      </c>
      <c r="BV170" s="161" t="str">
        <f t="shared" si="96"/>
        <v/>
      </c>
      <c r="BW170" s="161" t="str">
        <f t="shared" si="97"/>
        <v/>
      </c>
      <c r="BX170" s="161" t="str">
        <f t="shared" si="87"/>
        <v/>
      </c>
      <c r="BY170" s="148"/>
      <c r="BZ170" s="148"/>
      <c r="CA170" s="148"/>
      <c r="CB170" s="148" t="s">
        <v>149</v>
      </c>
      <c r="CC170" s="148"/>
    </row>
    <row r="171" spans="1:81" ht="14.25" customHeight="1" thickBot="1">
      <c r="A171" s="190">
        <v>161</v>
      </c>
      <c r="B171" s="196"/>
      <c r="C171" s="180"/>
      <c r="D171" s="136"/>
      <c r="E171" s="91"/>
      <c r="F171" s="187"/>
      <c r="G171" s="188"/>
      <c r="H171" s="188"/>
      <c r="I171" s="188"/>
      <c r="J171" s="188"/>
      <c r="K171" s="18">
        <f t="shared" si="71"/>
        <v>0</v>
      </c>
      <c r="L171" s="279"/>
      <c r="M171" s="280"/>
      <c r="N171" s="351"/>
      <c r="O171" s="342" t="s">
        <v>65</v>
      </c>
      <c r="P171" s="187"/>
      <c r="Q171" s="188"/>
      <c r="R171" s="188"/>
      <c r="S171" s="119"/>
      <c r="T171" s="188"/>
      <c r="U171" s="211">
        <f t="shared" si="72"/>
        <v>0</v>
      </c>
      <c r="V171" s="279"/>
      <c r="W171" s="280"/>
      <c r="X171" s="351"/>
      <c r="Y171" s="209" t="s">
        <v>85</v>
      </c>
      <c r="Z171" s="71"/>
      <c r="AA171" s="321"/>
      <c r="AB171" s="321"/>
      <c r="AC171" s="322"/>
      <c r="AD171" s="188"/>
      <c r="AE171" s="18">
        <f t="shared" si="73"/>
        <v>0</v>
      </c>
      <c r="AF171" s="71"/>
      <c r="AG171" s="322"/>
      <c r="AH171" s="360"/>
      <c r="AI171" s="97"/>
      <c r="AJ171" s="194"/>
      <c r="AK171" s="193"/>
      <c r="AL171" s="205"/>
      <c r="AM171" s="197"/>
      <c r="AN171" s="205"/>
      <c r="AO171" s="197"/>
      <c r="AP171" s="205"/>
      <c r="AQ171" s="197"/>
      <c r="AR171" s="13">
        <f t="shared" si="74"/>
        <v>1.7099999999999999E-5</v>
      </c>
      <c r="AS171" s="13">
        <f t="shared" si="75"/>
        <v>0</v>
      </c>
      <c r="AT171" s="13"/>
      <c r="AU171" s="160">
        <v>176</v>
      </c>
      <c r="AV171" s="191">
        <f t="shared" si="84"/>
        <v>2.3499999999999999E-5</v>
      </c>
      <c r="AW171" s="160">
        <f t="shared" si="76"/>
        <v>0</v>
      </c>
      <c r="AX171" s="219">
        <f t="shared" si="77"/>
        <v>1.7099999999999999E-5</v>
      </c>
      <c r="AY171" s="13">
        <f t="shared" si="80"/>
        <v>0</v>
      </c>
      <c r="AZ171" s="160">
        <v>176</v>
      </c>
      <c r="BA171" s="77">
        <f t="shared" si="85"/>
        <v>2.2099999999999998E-5</v>
      </c>
      <c r="BB171" s="192">
        <f t="shared" si="78"/>
        <v>0</v>
      </c>
      <c r="BC171" s="219">
        <f t="shared" si="81"/>
        <v>1.7099999999999999E-5</v>
      </c>
      <c r="BD171" s="13">
        <f t="shared" si="82"/>
        <v>0</v>
      </c>
      <c r="BE171" s="160">
        <v>176</v>
      </c>
      <c r="BF171" s="77">
        <f t="shared" si="86"/>
        <v>2.2099999999999998E-5</v>
      </c>
      <c r="BG171" s="192">
        <f t="shared" si="79"/>
        <v>0</v>
      </c>
      <c r="BI171" s="120"/>
      <c r="BJ171" s="120"/>
      <c r="BK171" s="160"/>
      <c r="BL171" s="160"/>
      <c r="BM171" s="161" t="str">
        <f t="shared" si="88"/>
        <v/>
      </c>
      <c r="BN171" s="161" t="str">
        <f t="shared" si="89"/>
        <v/>
      </c>
      <c r="BO171" s="161" t="str">
        <f t="shared" si="90"/>
        <v/>
      </c>
      <c r="BP171" s="161" t="str">
        <f t="shared" si="91"/>
        <v/>
      </c>
      <c r="BQ171" s="161" t="str">
        <f t="shared" si="92"/>
        <v/>
      </c>
      <c r="BR171" s="161" t="str">
        <f t="shared" si="93"/>
        <v/>
      </c>
      <c r="BS171" s="161" t="str">
        <f t="shared" si="98"/>
        <v/>
      </c>
      <c r="BT171" s="161" t="str">
        <f t="shared" si="83"/>
        <v/>
      </c>
      <c r="BU171" s="161" t="str">
        <f t="shared" si="95"/>
        <v/>
      </c>
      <c r="BV171" s="161" t="str">
        <f t="shared" si="96"/>
        <v/>
      </c>
      <c r="BW171" s="161" t="str">
        <f t="shared" si="97"/>
        <v/>
      </c>
      <c r="BX171" s="161" t="str">
        <f t="shared" si="87"/>
        <v/>
      </c>
      <c r="BY171" s="148"/>
      <c r="BZ171" s="148"/>
      <c r="CA171" s="148"/>
      <c r="CB171" s="148" t="s">
        <v>149</v>
      </c>
      <c r="CC171" s="148"/>
    </row>
    <row r="172" spans="1:81" ht="14.25" customHeight="1" thickBot="1">
      <c r="A172" s="190">
        <v>162</v>
      </c>
      <c r="B172" s="78"/>
      <c r="C172" s="181"/>
      <c r="D172" s="86"/>
      <c r="E172" s="92"/>
      <c r="F172" s="88"/>
      <c r="G172" s="93"/>
      <c r="H172" s="93"/>
      <c r="I172" s="93"/>
      <c r="J172" s="93"/>
      <c r="K172" s="81">
        <f t="shared" si="71"/>
        <v>0</v>
      </c>
      <c r="L172" s="281"/>
      <c r="M172" s="282"/>
      <c r="N172" s="352"/>
      <c r="O172" s="343" t="s">
        <v>65</v>
      </c>
      <c r="P172" s="88"/>
      <c r="Q172" s="93"/>
      <c r="R172" s="93"/>
      <c r="S172" s="89"/>
      <c r="T172" s="93"/>
      <c r="U172" s="212">
        <f t="shared" si="72"/>
        <v>0</v>
      </c>
      <c r="V172" s="281"/>
      <c r="W172" s="282"/>
      <c r="X172" s="352"/>
      <c r="Y172" s="210" t="s">
        <v>85</v>
      </c>
      <c r="Z172" s="72"/>
      <c r="AA172" s="323"/>
      <c r="AB172" s="323"/>
      <c r="AC172" s="324"/>
      <c r="AD172" s="93"/>
      <c r="AE172" s="81">
        <f t="shared" si="73"/>
        <v>0</v>
      </c>
      <c r="AF172" s="72"/>
      <c r="AG172" s="324"/>
      <c r="AH172" s="361"/>
      <c r="AI172" s="98"/>
      <c r="AJ172" s="95"/>
      <c r="AK172" s="215"/>
      <c r="AL172" s="206"/>
      <c r="AM172" s="83"/>
      <c r="AN172" s="206"/>
      <c r="AO172" s="83"/>
      <c r="AP172" s="206"/>
      <c r="AQ172" s="83"/>
      <c r="AR172" s="13">
        <f t="shared" si="74"/>
        <v>1.7199999999999998E-5</v>
      </c>
      <c r="AS172" s="13">
        <f t="shared" si="75"/>
        <v>0</v>
      </c>
      <c r="AT172" s="13"/>
      <c r="AU172" s="160">
        <v>177</v>
      </c>
      <c r="AV172" s="191">
        <f t="shared" si="84"/>
        <v>2.34E-5</v>
      </c>
      <c r="AW172" s="160">
        <f t="shared" si="76"/>
        <v>0</v>
      </c>
      <c r="AX172" s="219">
        <f t="shared" si="77"/>
        <v>1.7199999999999998E-5</v>
      </c>
      <c r="AY172" s="13">
        <f t="shared" si="80"/>
        <v>0</v>
      </c>
      <c r="AZ172" s="160">
        <v>177</v>
      </c>
      <c r="BA172" s="77">
        <f t="shared" si="85"/>
        <v>2.1999999999999999E-5</v>
      </c>
      <c r="BB172" s="192">
        <f t="shared" si="78"/>
        <v>0</v>
      </c>
      <c r="BC172" s="219">
        <f t="shared" si="81"/>
        <v>1.7199999999999998E-5</v>
      </c>
      <c r="BD172" s="13">
        <f t="shared" si="82"/>
        <v>0</v>
      </c>
      <c r="BE172" s="160">
        <v>177</v>
      </c>
      <c r="BF172" s="77">
        <f t="shared" si="86"/>
        <v>2.1999999999999999E-5</v>
      </c>
      <c r="BG172" s="192">
        <f t="shared" si="79"/>
        <v>0</v>
      </c>
      <c r="BI172" s="120"/>
      <c r="BJ172" s="120"/>
      <c r="BK172" s="160"/>
      <c r="BL172" s="160"/>
      <c r="BM172" s="161" t="str">
        <f t="shared" si="88"/>
        <v/>
      </c>
      <c r="BN172" s="161" t="str">
        <f t="shared" si="89"/>
        <v/>
      </c>
      <c r="BO172" s="161" t="str">
        <f t="shared" si="90"/>
        <v/>
      </c>
      <c r="BP172" s="161" t="str">
        <f t="shared" si="91"/>
        <v/>
      </c>
      <c r="BQ172" s="161" t="str">
        <f t="shared" si="92"/>
        <v/>
      </c>
      <c r="BR172" s="161" t="str">
        <f t="shared" si="93"/>
        <v/>
      </c>
      <c r="BS172" s="161" t="str">
        <f t="shared" si="98"/>
        <v/>
      </c>
      <c r="BT172" s="161" t="str">
        <f t="shared" si="83"/>
        <v/>
      </c>
      <c r="BU172" s="161" t="str">
        <f t="shared" si="95"/>
        <v/>
      </c>
      <c r="BV172" s="161" t="str">
        <f t="shared" si="96"/>
        <v/>
      </c>
      <c r="BW172" s="161" t="str">
        <f t="shared" si="97"/>
        <v/>
      </c>
      <c r="BX172" s="161" t="str">
        <f t="shared" si="87"/>
        <v/>
      </c>
      <c r="BY172" s="148"/>
      <c r="BZ172" s="148"/>
      <c r="CA172" s="148"/>
      <c r="CB172" s="148" t="s">
        <v>149</v>
      </c>
      <c r="CC172" s="148"/>
    </row>
    <row r="173" spans="1:81" ht="14.25" customHeight="1" thickBot="1">
      <c r="A173" s="190">
        <v>163</v>
      </c>
      <c r="B173" s="79"/>
      <c r="C173" s="179"/>
      <c r="D173" s="137"/>
      <c r="E173" s="198"/>
      <c r="F173" s="199"/>
      <c r="G173" s="200"/>
      <c r="H173" s="200"/>
      <c r="I173" s="200"/>
      <c r="J173" s="200"/>
      <c r="K173" s="201">
        <f t="shared" si="71"/>
        <v>0</v>
      </c>
      <c r="L173" s="277"/>
      <c r="M173" s="278"/>
      <c r="N173" s="350"/>
      <c r="O173" s="341" t="s">
        <v>65</v>
      </c>
      <c r="P173" s="189"/>
      <c r="Q173" s="326"/>
      <c r="R173" s="326"/>
      <c r="S173" s="87"/>
      <c r="T173" s="207"/>
      <c r="U173" s="225">
        <f t="shared" si="72"/>
        <v>0</v>
      </c>
      <c r="V173" s="277"/>
      <c r="W173" s="278"/>
      <c r="X173" s="350"/>
      <c r="Y173" s="208" t="s">
        <v>147</v>
      </c>
      <c r="Z173" s="11"/>
      <c r="AA173" s="207"/>
      <c r="AB173" s="207"/>
      <c r="AC173" s="3"/>
      <c r="AD173" s="207"/>
      <c r="AE173" s="226">
        <f t="shared" si="73"/>
        <v>0</v>
      </c>
      <c r="AF173" s="11"/>
      <c r="AG173" s="3"/>
      <c r="AH173" s="359"/>
      <c r="AI173" s="96"/>
      <c r="AJ173" s="94"/>
      <c r="AK173" s="214"/>
      <c r="AL173" s="213"/>
      <c r="AM173" s="82"/>
      <c r="AN173" s="213"/>
      <c r="AO173" s="82"/>
      <c r="AP173" s="213"/>
      <c r="AQ173" s="82"/>
      <c r="AR173" s="13">
        <f t="shared" si="74"/>
        <v>1.73E-5</v>
      </c>
      <c r="AS173" s="13">
        <f t="shared" si="75"/>
        <v>0</v>
      </c>
      <c r="AT173" s="13"/>
      <c r="AU173" s="160">
        <v>178</v>
      </c>
      <c r="AV173" s="191">
        <f t="shared" si="84"/>
        <v>2.3300000000000001E-5</v>
      </c>
      <c r="AW173" s="160">
        <f t="shared" si="76"/>
        <v>0</v>
      </c>
      <c r="AX173" s="219">
        <f t="shared" si="77"/>
        <v>1.73E-5</v>
      </c>
      <c r="AY173" s="13">
        <f t="shared" si="80"/>
        <v>0</v>
      </c>
      <c r="AZ173" s="160">
        <v>178</v>
      </c>
      <c r="BA173" s="77">
        <f t="shared" si="85"/>
        <v>2.19E-5</v>
      </c>
      <c r="BB173" s="192">
        <f t="shared" si="78"/>
        <v>0</v>
      </c>
      <c r="BC173" s="219">
        <f t="shared" si="81"/>
        <v>1.73E-5</v>
      </c>
      <c r="BD173" s="13">
        <f t="shared" si="82"/>
        <v>0</v>
      </c>
      <c r="BE173" s="160">
        <v>178</v>
      </c>
      <c r="BF173" s="77">
        <f t="shared" si="86"/>
        <v>2.19E-5</v>
      </c>
      <c r="BG173" s="192">
        <f t="shared" si="79"/>
        <v>0</v>
      </c>
      <c r="BI173" s="120"/>
      <c r="BJ173" s="120"/>
      <c r="BK173" s="160"/>
      <c r="BL173" s="160"/>
      <c r="BM173" s="161" t="str">
        <f t="shared" si="88"/>
        <v/>
      </c>
      <c r="BN173" s="161" t="str">
        <f t="shared" si="89"/>
        <v/>
      </c>
      <c r="BO173" s="161" t="str">
        <f t="shared" si="90"/>
        <v/>
      </c>
      <c r="BP173" s="161" t="str">
        <f t="shared" si="91"/>
        <v/>
      </c>
      <c r="BQ173" s="161" t="str">
        <f t="shared" si="92"/>
        <v/>
      </c>
      <c r="BR173" s="161" t="str">
        <f t="shared" si="93"/>
        <v/>
      </c>
      <c r="BS173" s="161" t="str">
        <f t="shared" si="98"/>
        <v/>
      </c>
      <c r="BT173" s="161" t="str">
        <f t="shared" si="83"/>
        <v/>
      </c>
      <c r="BU173" s="161" t="str">
        <f t="shared" si="95"/>
        <v/>
      </c>
      <c r="BV173" s="161" t="str">
        <f t="shared" si="96"/>
        <v/>
      </c>
      <c r="BW173" s="161" t="str">
        <f t="shared" si="97"/>
        <v/>
      </c>
      <c r="BX173" s="161" t="str">
        <f t="shared" si="87"/>
        <v/>
      </c>
      <c r="BY173" s="148"/>
      <c r="BZ173" s="148"/>
      <c r="CA173" s="148"/>
      <c r="CB173" s="148" t="s">
        <v>149</v>
      </c>
      <c r="CC173" s="148"/>
    </row>
    <row r="174" spans="1:81" ht="14.25" customHeight="1" thickBot="1">
      <c r="A174" s="190">
        <v>164</v>
      </c>
      <c r="B174" s="196"/>
      <c r="C174" s="180"/>
      <c r="D174" s="136"/>
      <c r="E174" s="91"/>
      <c r="F174" s="187"/>
      <c r="G174" s="188"/>
      <c r="H174" s="188"/>
      <c r="I174" s="188"/>
      <c r="J174" s="188"/>
      <c r="K174" s="18">
        <f t="shared" si="71"/>
        <v>0</v>
      </c>
      <c r="L174" s="279"/>
      <c r="M174" s="280"/>
      <c r="N174" s="351"/>
      <c r="O174" s="342" t="s">
        <v>65</v>
      </c>
      <c r="P174" s="187"/>
      <c r="Q174" s="188"/>
      <c r="R174" s="188"/>
      <c r="S174" s="119"/>
      <c r="T174" s="188"/>
      <c r="U174" s="211">
        <f t="shared" si="72"/>
        <v>0</v>
      </c>
      <c r="V174" s="279"/>
      <c r="W174" s="280"/>
      <c r="X174" s="351"/>
      <c r="Y174" s="209" t="s">
        <v>85</v>
      </c>
      <c r="Z174" s="71"/>
      <c r="AA174" s="321"/>
      <c r="AB174" s="321"/>
      <c r="AC174" s="322"/>
      <c r="AD174" s="188"/>
      <c r="AE174" s="18">
        <f t="shared" si="73"/>
        <v>0</v>
      </c>
      <c r="AF174" s="71"/>
      <c r="AG174" s="322"/>
      <c r="AH174" s="360"/>
      <c r="AI174" s="97"/>
      <c r="AJ174" s="194"/>
      <c r="AK174" s="193"/>
      <c r="AL174" s="205"/>
      <c r="AM174" s="197"/>
      <c r="AN174" s="205"/>
      <c r="AO174" s="197"/>
      <c r="AP174" s="205"/>
      <c r="AQ174" s="197"/>
      <c r="AR174" s="13">
        <f t="shared" si="74"/>
        <v>1.7399999999999999E-5</v>
      </c>
      <c r="AS174" s="13">
        <f t="shared" si="75"/>
        <v>0</v>
      </c>
      <c r="AT174" s="13"/>
      <c r="AU174" s="160">
        <v>179</v>
      </c>
      <c r="AV174" s="191">
        <f t="shared" si="84"/>
        <v>2.3199999999999998E-5</v>
      </c>
      <c r="AW174" s="160">
        <f t="shared" si="76"/>
        <v>0</v>
      </c>
      <c r="AX174" s="219">
        <f t="shared" si="77"/>
        <v>1.7399999999999999E-5</v>
      </c>
      <c r="AY174" s="13">
        <f t="shared" si="80"/>
        <v>0</v>
      </c>
      <c r="AZ174" s="160">
        <v>179</v>
      </c>
      <c r="BA174" s="77">
        <f t="shared" si="85"/>
        <v>2.1799999999999998E-5</v>
      </c>
      <c r="BB174" s="192">
        <f t="shared" si="78"/>
        <v>0</v>
      </c>
      <c r="BC174" s="219">
        <f t="shared" si="81"/>
        <v>1.7399999999999999E-5</v>
      </c>
      <c r="BD174" s="13">
        <f t="shared" si="82"/>
        <v>0</v>
      </c>
      <c r="BE174" s="160">
        <v>179</v>
      </c>
      <c r="BF174" s="77">
        <f t="shared" si="86"/>
        <v>2.1799999999999998E-5</v>
      </c>
      <c r="BG174" s="192">
        <f t="shared" si="79"/>
        <v>0</v>
      </c>
      <c r="BI174" s="120"/>
      <c r="BJ174" s="120"/>
      <c r="BK174" s="160"/>
      <c r="BL174" s="160"/>
      <c r="BM174" s="161" t="str">
        <f t="shared" si="88"/>
        <v/>
      </c>
      <c r="BN174" s="161" t="str">
        <f t="shared" si="89"/>
        <v/>
      </c>
      <c r="BO174" s="161" t="str">
        <f t="shared" si="90"/>
        <v/>
      </c>
      <c r="BP174" s="161" t="str">
        <f t="shared" si="91"/>
        <v/>
      </c>
      <c r="BQ174" s="161" t="str">
        <f t="shared" si="92"/>
        <v/>
      </c>
      <c r="BR174" s="161" t="str">
        <f t="shared" si="93"/>
        <v/>
      </c>
      <c r="BS174" s="161" t="str">
        <f t="shared" si="98"/>
        <v/>
      </c>
      <c r="BT174" s="161" t="str">
        <f t="shared" si="83"/>
        <v/>
      </c>
      <c r="BU174" s="161" t="str">
        <f t="shared" si="95"/>
        <v/>
      </c>
      <c r="BV174" s="161" t="str">
        <f t="shared" si="96"/>
        <v/>
      </c>
      <c r="BW174" s="161" t="str">
        <f t="shared" si="97"/>
        <v/>
      </c>
      <c r="BX174" s="161" t="str">
        <f t="shared" si="87"/>
        <v/>
      </c>
      <c r="BY174" s="148"/>
      <c r="BZ174" s="148"/>
      <c r="CA174" s="148"/>
      <c r="CB174" s="148" t="s">
        <v>149</v>
      </c>
      <c r="CC174" s="148"/>
    </row>
    <row r="175" spans="1:81" ht="14.25" customHeight="1" thickBot="1">
      <c r="A175" s="190">
        <v>165</v>
      </c>
      <c r="B175" s="78"/>
      <c r="C175" s="181"/>
      <c r="D175" s="86"/>
      <c r="E175" s="92"/>
      <c r="F175" s="88"/>
      <c r="G175" s="93"/>
      <c r="H175" s="93"/>
      <c r="I175" s="93"/>
      <c r="J175" s="93"/>
      <c r="K175" s="81">
        <f t="shared" si="71"/>
        <v>0</v>
      </c>
      <c r="L175" s="281"/>
      <c r="M175" s="282"/>
      <c r="N175" s="352"/>
      <c r="O175" s="343" t="s">
        <v>65</v>
      </c>
      <c r="P175" s="88"/>
      <c r="Q175" s="93"/>
      <c r="R175" s="93"/>
      <c r="S175" s="89"/>
      <c r="T175" s="93"/>
      <c r="U175" s="212">
        <f t="shared" si="72"/>
        <v>0</v>
      </c>
      <c r="V175" s="281"/>
      <c r="W175" s="282"/>
      <c r="X175" s="352"/>
      <c r="Y175" s="210" t="s">
        <v>85</v>
      </c>
      <c r="Z175" s="72"/>
      <c r="AA175" s="323"/>
      <c r="AB175" s="323"/>
      <c r="AC175" s="324"/>
      <c r="AD175" s="93"/>
      <c r="AE175" s="81">
        <f t="shared" si="73"/>
        <v>0</v>
      </c>
      <c r="AF175" s="72"/>
      <c r="AG175" s="324"/>
      <c r="AH175" s="361"/>
      <c r="AI175" s="98"/>
      <c r="AJ175" s="95"/>
      <c r="AK175" s="215"/>
      <c r="AL175" s="206"/>
      <c r="AM175" s="83"/>
      <c r="AN175" s="206"/>
      <c r="AO175" s="83"/>
      <c r="AP175" s="206"/>
      <c r="AQ175" s="83"/>
      <c r="AR175" s="13">
        <f t="shared" si="74"/>
        <v>1.7499999999999998E-5</v>
      </c>
      <c r="AS175" s="13">
        <f t="shared" si="75"/>
        <v>0</v>
      </c>
      <c r="AT175" s="13"/>
      <c r="AU175" s="160">
        <v>180</v>
      </c>
      <c r="AV175" s="191">
        <f t="shared" si="84"/>
        <v>2.3099999999999999E-5</v>
      </c>
      <c r="AW175" s="160">
        <f t="shared" si="76"/>
        <v>0</v>
      </c>
      <c r="AX175" s="219">
        <f t="shared" si="77"/>
        <v>1.7499999999999998E-5</v>
      </c>
      <c r="AY175" s="13">
        <f t="shared" si="80"/>
        <v>0</v>
      </c>
      <c r="AZ175" s="160">
        <v>180</v>
      </c>
      <c r="BA175" s="77">
        <f t="shared" si="85"/>
        <v>2.1699999999999999E-5</v>
      </c>
      <c r="BB175" s="192">
        <f t="shared" si="78"/>
        <v>0</v>
      </c>
      <c r="BC175" s="219">
        <f t="shared" si="81"/>
        <v>1.7499999999999998E-5</v>
      </c>
      <c r="BD175" s="13">
        <f t="shared" si="82"/>
        <v>0</v>
      </c>
      <c r="BE175" s="160">
        <v>180</v>
      </c>
      <c r="BF175" s="77">
        <f t="shared" si="86"/>
        <v>2.1699999999999999E-5</v>
      </c>
      <c r="BG175" s="192">
        <f t="shared" si="79"/>
        <v>0</v>
      </c>
      <c r="BI175" s="120"/>
      <c r="BJ175" s="120"/>
      <c r="BK175" s="160"/>
      <c r="BL175" s="160"/>
      <c r="BM175" s="161" t="str">
        <f t="shared" si="88"/>
        <v/>
      </c>
      <c r="BN175" s="161" t="str">
        <f t="shared" si="89"/>
        <v/>
      </c>
      <c r="BO175" s="161" t="str">
        <f t="shared" si="90"/>
        <v/>
      </c>
      <c r="BP175" s="161" t="str">
        <f t="shared" si="91"/>
        <v/>
      </c>
      <c r="BQ175" s="161" t="str">
        <f t="shared" si="92"/>
        <v/>
      </c>
      <c r="BR175" s="161" t="str">
        <f t="shared" si="93"/>
        <v/>
      </c>
      <c r="BS175" s="161" t="str">
        <f t="shared" si="98"/>
        <v/>
      </c>
      <c r="BT175" s="161" t="str">
        <f t="shared" si="83"/>
        <v/>
      </c>
      <c r="BU175" s="161" t="str">
        <f t="shared" si="95"/>
        <v/>
      </c>
      <c r="BV175" s="161" t="str">
        <f t="shared" si="96"/>
        <v/>
      </c>
      <c r="BW175" s="161" t="str">
        <f t="shared" si="97"/>
        <v/>
      </c>
      <c r="BX175" s="161" t="str">
        <f t="shared" si="87"/>
        <v/>
      </c>
      <c r="BY175" s="148"/>
      <c r="BZ175" s="148"/>
      <c r="CA175" s="148"/>
      <c r="CB175" s="148" t="s">
        <v>149</v>
      </c>
      <c r="CC175" s="148"/>
    </row>
    <row r="176" spans="1:81" ht="14.25" customHeight="1" thickBot="1">
      <c r="A176" s="190">
        <v>166</v>
      </c>
      <c r="B176" s="79"/>
      <c r="C176" s="179"/>
      <c r="D176" s="137"/>
      <c r="E176" s="198"/>
      <c r="F176" s="199"/>
      <c r="G176" s="200"/>
      <c r="H176" s="200"/>
      <c r="I176" s="200"/>
      <c r="J176" s="200"/>
      <c r="K176" s="201">
        <f t="shared" si="71"/>
        <v>0</v>
      </c>
      <c r="L176" s="277"/>
      <c r="M176" s="278"/>
      <c r="N176" s="350"/>
      <c r="O176" s="341" t="s">
        <v>65</v>
      </c>
      <c r="P176" s="189"/>
      <c r="Q176" s="326"/>
      <c r="R176" s="326"/>
      <c r="S176" s="87"/>
      <c r="T176" s="207"/>
      <c r="U176" s="225">
        <f t="shared" si="72"/>
        <v>0</v>
      </c>
      <c r="V176" s="277"/>
      <c r="W176" s="278"/>
      <c r="X176" s="350"/>
      <c r="Y176" s="208" t="s">
        <v>147</v>
      </c>
      <c r="Z176" s="11"/>
      <c r="AA176" s="207"/>
      <c r="AB176" s="207"/>
      <c r="AC176" s="3"/>
      <c r="AD176" s="207"/>
      <c r="AE176" s="226">
        <f t="shared" si="73"/>
        <v>0</v>
      </c>
      <c r="AF176" s="11"/>
      <c r="AG176" s="3"/>
      <c r="AH176" s="359"/>
      <c r="AI176" s="96"/>
      <c r="AJ176" s="94"/>
      <c r="AK176" s="214"/>
      <c r="AL176" s="213"/>
      <c r="AM176" s="82"/>
      <c r="AN176" s="213"/>
      <c r="AO176" s="82"/>
      <c r="AP176" s="213"/>
      <c r="AQ176" s="82"/>
      <c r="AR176" s="13">
        <f t="shared" si="74"/>
        <v>1.7600000000000001E-5</v>
      </c>
      <c r="AS176" s="13">
        <f t="shared" si="75"/>
        <v>0</v>
      </c>
      <c r="AT176" s="13"/>
      <c r="AU176" s="160">
        <v>181</v>
      </c>
      <c r="AV176" s="191">
        <f t="shared" si="84"/>
        <v>2.3E-5</v>
      </c>
      <c r="AW176" s="160">
        <f t="shared" si="76"/>
        <v>0</v>
      </c>
      <c r="AX176" s="219">
        <f t="shared" si="77"/>
        <v>1.7600000000000001E-5</v>
      </c>
      <c r="AY176" s="13">
        <f t="shared" si="80"/>
        <v>0</v>
      </c>
      <c r="AZ176" s="160">
        <v>181</v>
      </c>
      <c r="BA176" s="77">
        <f t="shared" si="85"/>
        <v>2.16E-5</v>
      </c>
      <c r="BB176" s="192">
        <f t="shared" si="78"/>
        <v>0</v>
      </c>
      <c r="BC176" s="219">
        <f t="shared" si="81"/>
        <v>1.7600000000000001E-5</v>
      </c>
      <c r="BD176" s="13">
        <f t="shared" si="82"/>
        <v>0</v>
      </c>
      <c r="BE176" s="160">
        <v>181</v>
      </c>
      <c r="BF176" s="77">
        <f t="shared" si="86"/>
        <v>2.16E-5</v>
      </c>
      <c r="BG176" s="192">
        <f t="shared" si="79"/>
        <v>0</v>
      </c>
      <c r="BI176" s="120"/>
      <c r="BJ176" s="120"/>
      <c r="BK176" s="160"/>
      <c r="BL176" s="160"/>
      <c r="BM176" s="161" t="str">
        <f t="shared" si="88"/>
        <v/>
      </c>
      <c r="BN176" s="161" t="str">
        <f t="shared" si="89"/>
        <v/>
      </c>
      <c r="BO176" s="161" t="str">
        <f t="shared" si="90"/>
        <v/>
      </c>
      <c r="BP176" s="161" t="str">
        <f t="shared" si="91"/>
        <v/>
      </c>
      <c r="BQ176" s="161" t="str">
        <f t="shared" si="92"/>
        <v/>
      </c>
      <c r="BR176" s="161" t="str">
        <f t="shared" si="93"/>
        <v/>
      </c>
      <c r="BS176" s="161" t="str">
        <f t="shared" si="98"/>
        <v/>
      </c>
      <c r="BT176" s="161" t="str">
        <f t="shared" si="83"/>
        <v/>
      </c>
      <c r="BU176" s="161" t="str">
        <f t="shared" si="95"/>
        <v/>
      </c>
      <c r="BV176" s="161" t="str">
        <f t="shared" si="96"/>
        <v/>
      </c>
      <c r="BW176" s="161" t="str">
        <f t="shared" si="97"/>
        <v/>
      </c>
      <c r="BX176" s="161" t="str">
        <f t="shared" si="87"/>
        <v/>
      </c>
      <c r="BY176" s="148"/>
      <c r="BZ176" s="148"/>
      <c r="CA176" s="148"/>
      <c r="CB176" s="148" t="s">
        <v>149</v>
      </c>
      <c r="CC176" s="148"/>
    </row>
    <row r="177" spans="1:81" ht="14.25" customHeight="1" thickBot="1">
      <c r="A177" s="190">
        <v>167</v>
      </c>
      <c r="B177" s="196"/>
      <c r="C177" s="180"/>
      <c r="D177" s="136"/>
      <c r="E177" s="91"/>
      <c r="F177" s="187"/>
      <c r="G177" s="188"/>
      <c r="H177" s="188"/>
      <c r="I177" s="188"/>
      <c r="J177" s="188"/>
      <c r="K177" s="18">
        <f t="shared" si="71"/>
        <v>0</v>
      </c>
      <c r="L177" s="279"/>
      <c r="M177" s="280"/>
      <c r="N177" s="351"/>
      <c r="O177" s="342" t="s">
        <v>65</v>
      </c>
      <c r="P177" s="187"/>
      <c r="Q177" s="188"/>
      <c r="R177" s="188"/>
      <c r="S177" s="119"/>
      <c r="T177" s="188"/>
      <c r="U177" s="211">
        <f t="shared" si="72"/>
        <v>0</v>
      </c>
      <c r="V177" s="279"/>
      <c r="W177" s="280"/>
      <c r="X177" s="351"/>
      <c r="Y177" s="209" t="s">
        <v>85</v>
      </c>
      <c r="Z177" s="71"/>
      <c r="AA177" s="321"/>
      <c r="AB177" s="321"/>
      <c r="AC177" s="322"/>
      <c r="AD177" s="188"/>
      <c r="AE177" s="18">
        <f t="shared" si="73"/>
        <v>0</v>
      </c>
      <c r="AF177" s="71"/>
      <c r="AG177" s="322"/>
      <c r="AH177" s="360"/>
      <c r="AI177" s="97"/>
      <c r="AJ177" s="194"/>
      <c r="AK177" s="193"/>
      <c r="AL177" s="205"/>
      <c r="AM177" s="197"/>
      <c r="AN177" s="205"/>
      <c r="AO177" s="197"/>
      <c r="AP177" s="205"/>
      <c r="AQ177" s="197"/>
      <c r="AR177" s="13">
        <f t="shared" si="74"/>
        <v>1.77E-5</v>
      </c>
      <c r="AS177" s="13">
        <f t="shared" si="75"/>
        <v>0</v>
      </c>
      <c r="AT177" s="13"/>
      <c r="AU177" s="160">
        <v>182</v>
      </c>
      <c r="AV177" s="191">
        <f t="shared" si="84"/>
        <v>2.2899999999999998E-5</v>
      </c>
      <c r="AW177" s="160">
        <f t="shared" si="76"/>
        <v>0</v>
      </c>
      <c r="AX177" s="219">
        <f t="shared" si="77"/>
        <v>1.77E-5</v>
      </c>
      <c r="AY177" s="13">
        <f t="shared" si="80"/>
        <v>0</v>
      </c>
      <c r="AZ177" s="160">
        <v>182</v>
      </c>
      <c r="BA177" s="77">
        <f t="shared" si="85"/>
        <v>2.1499999999999997E-5</v>
      </c>
      <c r="BB177" s="192">
        <f t="shared" si="78"/>
        <v>0</v>
      </c>
      <c r="BC177" s="219">
        <f t="shared" si="81"/>
        <v>1.77E-5</v>
      </c>
      <c r="BD177" s="13">
        <f t="shared" si="82"/>
        <v>0</v>
      </c>
      <c r="BE177" s="160">
        <v>182</v>
      </c>
      <c r="BF177" s="77">
        <f t="shared" si="86"/>
        <v>2.1499999999999997E-5</v>
      </c>
      <c r="BG177" s="192">
        <f t="shared" si="79"/>
        <v>0</v>
      </c>
      <c r="BI177" s="120"/>
      <c r="BJ177" s="120"/>
      <c r="BK177" s="160"/>
      <c r="BL177" s="160"/>
      <c r="BM177" s="161" t="str">
        <f t="shared" si="88"/>
        <v/>
      </c>
      <c r="BN177" s="161" t="str">
        <f t="shared" si="89"/>
        <v/>
      </c>
      <c r="BO177" s="161" t="str">
        <f t="shared" si="90"/>
        <v/>
      </c>
      <c r="BP177" s="161" t="str">
        <f t="shared" si="91"/>
        <v/>
      </c>
      <c r="BQ177" s="161" t="str">
        <f t="shared" si="92"/>
        <v/>
      </c>
      <c r="BR177" s="161" t="str">
        <f t="shared" si="93"/>
        <v/>
      </c>
      <c r="BS177" s="161" t="str">
        <f t="shared" si="98"/>
        <v/>
      </c>
      <c r="BT177" s="161" t="str">
        <f t="shared" si="83"/>
        <v/>
      </c>
      <c r="BU177" s="161" t="str">
        <f t="shared" si="95"/>
        <v/>
      </c>
      <c r="BV177" s="161" t="str">
        <f t="shared" si="96"/>
        <v/>
      </c>
      <c r="BW177" s="161" t="str">
        <f t="shared" si="97"/>
        <v/>
      </c>
      <c r="BX177" s="161" t="str">
        <f t="shared" si="87"/>
        <v/>
      </c>
      <c r="BY177" s="148"/>
      <c r="BZ177" s="148"/>
      <c r="CA177" s="148"/>
      <c r="CB177" s="148" t="s">
        <v>149</v>
      </c>
      <c r="CC177" s="148"/>
    </row>
    <row r="178" spans="1:81" ht="14.25" customHeight="1" thickBot="1">
      <c r="A178" s="190">
        <v>168</v>
      </c>
      <c r="B178" s="78"/>
      <c r="C178" s="181"/>
      <c r="D178" s="86"/>
      <c r="E178" s="92"/>
      <c r="F178" s="88"/>
      <c r="G178" s="93"/>
      <c r="H178" s="93"/>
      <c r="I178" s="93"/>
      <c r="J178" s="93"/>
      <c r="K178" s="81">
        <f t="shared" si="71"/>
        <v>0</v>
      </c>
      <c r="L178" s="281"/>
      <c r="M178" s="282"/>
      <c r="N178" s="352"/>
      <c r="O178" s="343" t="s">
        <v>65</v>
      </c>
      <c r="P178" s="88"/>
      <c r="Q178" s="93"/>
      <c r="R178" s="93"/>
      <c r="S178" s="89"/>
      <c r="T178" s="93"/>
      <c r="U178" s="212">
        <f t="shared" si="72"/>
        <v>0</v>
      </c>
      <c r="V178" s="281"/>
      <c r="W178" s="282"/>
      <c r="X178" s="352"/>
      <c r="Y178" s="210" t="s">
        <v>85</v>
      </c>
      <c r="Z178" s="72"/>
      <c r="AA178" s="323"/>
      <c r="AB178" s="323"/>
      <c r="AC178" s="324"/>
      <c r="AD178" s="93"/>
      <c r="AE178" s="81">
        <f t="shared" si="73"/>
        <v>0</v>
      </c>
      <c r="AF178" s="72"/>
      <c r="AG178" s="324"/>
      <c r="AH178" s="361"/>
      <c r="AI178" s="98"/>
      <c r="AJ178" s="95"/>
      <c r="AK178" s="215"/>
      <c r="AL178" s="206"/>
      <c r="AM178" s="83"/>
      <c r="AN178" s="206"/>
      <c r="AO178" s="83"/>
      <c r="AP178" s="206"/>
      <c r="AQ178" s="83"/>
      <c r="AR178" s="13">
        <f t="shared" si="74"/>
        <v>1.7799999999999999E-5</v>
      </c>
      <c r="AS178" s="13">
        <f t="shared" si="75"/>
        <v>0</v>
      </c>
      <c r="AT178" s="13"/>
      <c r="AU178" s="160">
        <v>183</v>
      </c>
      <c r="AV178" s="191">
        <f t="shared" si="84"/>
        <v>2.2799999999999999E-5</v>
      </c>
      <c r="AW178" s="160">
        <f t="shared" si="76"/>
        <v>0</v>
      </c>
      <c r="AX178" s="219">
        <f t="shared" si="77"/>
        <v>1.7799999999999999E-5</v>
      </c>
      <c r="AY178" s="13">
        <f t="shared" si="80"/>
        <v>0</v>
      </c>
      <c r="AZ178" s="160">
        <v>183</v>
      </c>
      <c r="BA178" s="77">
        <f t="shared" si="85"/>
        <v>2.1399999999999998E-5</v>
      </c>
      <c r="BB178" s="192">
        <f t="shared" si="78"/>
        <v>0</v>
      </c>
      <c r="BC178" s="219">
        <f t="shared" si="81"/>
        <v>1.7799999999999999E-5</v>
      </c>
      <c r="BD178" s="13">
        <f t="shared" si="82"/>
        <v>0</v>
      </c>
      <c r="BE178" s="160">
        <v>183</v>
      </c>
      <c r="BF178" s="77">
        <f t="shared" si="86"/>
        <v>2.1399999999999998E-5</v>
      </c>
      <c r="BG178" s="192">
        <f t="shared" si="79"/>
        <v>0</v>
      </c>
      <c r="BI178" s="120"/>
      <c r="BJ178" s="120"/>
      <c r="BK178" s="160"/>
      <c r="BL178" s="160"/>
      <c r="BM178" s="161" t="str">
        <f t="shared" si="88"/>
        <v/>
      </c>
      <c r="BN178" s="161" t="str">
        <f t="shared" si="89"/>
        <v/>
      </c>
      <c r="BO178" s="161" t="str">
        <f t="shared" si="90"/>
        <v/>
      </c>
      <c r="BP178" s="161" t="str">
        <f t="shared" ref="BP178:BP188" si="99">MID($BK178,9,1)</f>
        <v/>
      </c>
      <c r="BQ178" s="161" t="str">
        <f t="shared" si="92"/>
        <v/>
      </c>
      <c r="BR178" s="161" t="str">
        <f t="shared" si="93"/>
        <v/>
      </c>
      <c r="BS178" s="161" t="str">
        <f t="shared" si="98"/>
        <v/>
      </c>
      <c r="BT178" s="161" t="str">
        <f t="shared" si="83"/>
        <v/>
      </c>
      <c r="BU178" s="161" t="str">
        <f t="shared" si="95"/>
        <v/>
      </c>
      <c r="BV178" s="161" t="str">
        <f t="shared" si="96"/>
        <v/>
      </c>
      <c r="BW178" s="161" t="str">
        <f t="shared" si="97"/>
        <v/>
      </c>
      <c r="BX178" s="161" t="str">
        <f t="shared" si="87"/>
        <v/>
      </c>
      <c r="BY178" s="148"/>
      <c r="BZ178" s="148"/>
      <c r="CA178" s="148"/>
      <c r="CB178" s="148" t="s">
        <v>149</v>
      </c>
      <c r="CC178" s="148"/>
    </row>
    <row r="179" spans="1:81" ht="14.25" customHeight="1" thickBot="1">
      <c r="A179" s="190">
        <v>169</v>
      </c>
      <c r="B179" s="79"/>
      <c r="C179" s="179"/>
      <c r="D179" s="137"/>
      <c r="E179" s="198"/>
      <c r="F179" s="199"/>
      <c r="G179" s="200"/>
      <c r="H179" s="200"/>
      <c r="I179" s="200"/>
      <c r="J179" s="200"/>
      <c r="K179" s="201">
        <f t="shared" si="71"/>
        <v>0</v>
      </c>
      <c r="L179" s="277"/>
      <c r="M179" s="278"/>
      <c r="N179" s="350"/>
      <c r="O179" s="341" t="s">
        <v>65</v>
      </c>
      <c r="P179" s="189"/>
      <c r="Q179" s="326"/>
      <c r="R179" s="326"/>
      <c r="S179" s="87"/>
      <c r="T179" s="207"/>
      <c r="U179" s="225">
        <f t="shared" si="72"/>
        <v>0</v>
      </c>
      <c r="V179" s="277"/>
      <c r="W179" s="278"/>
      <c r="X179" s="350"/>
      <c r="Y179" s="208" t="s">
        <v>147</v>
      </c>
      <c r="Z179" s="11"/>
      <c r="AA179" s="207"/>
      <c r="AB179" s="207"/>
      <c r="AC179" s="3"/>
      <c r="AD179" s="207"/>
      <c r="AE179" s="226">
        <f t="shared" si="73"/>
        <v>0</v>
      </c>
      <c r="AF179" s="11"/>
      <c r="AG179" s="3"/>
      <c r="AH179" s="359"/>
      <c r="AI179" s="96"/>
      <c r="AJ179" s="94"/>
      <c r="AK179" s="214"/>
      <c r="AL179" s="213"/>
      <c r="AM179" s="82"/>
      <c r="AN179" s="213"/>
      <c r="AO179" s="82"/>
      <c r="AP179" s="213"/>
      <c r="AQ179" s="82"/>
      <c r="AR179" s="13">
        <f t="shared" si="74"/>
        <v>1.7899999999999998E-5</v>
      </c>
      <c r="AS179" s="13">
        <f t="shared" si="75"/>
        <v>0</v>
      </c>
      <c r="AT179" s="13"/>
      <c r="AU179" s="160">
        <v>184</v>
      </c>
      <c r="AV179" s="191">
        <f t="shared" si="84"/>
        <v>2.27E-5</v>
      </c>
      <c r="AW179" s="160">
        <f t="shared" si="76"/>
        <v>0</v>
      </c>
      <c r="AX179" s="219">
        <f t="shared" si="77"/>
        <v>1.7899999999999998E-5</v>
      </c>
      <c r="AY179" s="13">
        <f t="shared" si="80"/>
        <v>0</v>
      </c>
      <c r="AZ179" s="160">
        <v>184</v>
      </c>
      <c r="BA179" s="77">
        <f t="shared" si="85"/>
        <v>2.1299999999999999E-5</v>
      </c>
      <c r="BB179" s="192">
        <f t="shared" si="78"/>
        <v>0</v>
      </c>
      <c r="BC179" s="219">
        <f t="shared" si="81"/>
        <v>1.7899999999999998E-5</v>
      </c>
      <c r="BD179" s="13">
        <f t="shared" si="82"/>
        <v>0</v>
      </c>
      <c r="BE179" s="160">
        <v>184</v>
      </c>
      <c r="BF179" s="77">
        <f t="shared" si="86"/>
        <v>2.1299999999999999E-5</v>
      </c>
      <c r="BG179" s="192">
        <f t="shared" si="79"/>
        <v>0</v>
      </c>
      <c r="BI179" s="120"/>
      <c r="BJ179" s="120"/>
      <c r="BK179" s="160"/>
      <c r="BL179" s="160"/>
      <c r="BM179" s="161" t="str">
        <f t="shared" si="88"/>
        <v/>
      </c>
      <c r="BN179" s="161" t="str">
        <f t="shared" si="89"/>
        <v/>
      </c>
      <c r="BO179" s="161" t="str">
        <f t="shared" si="90"/>
        <v/>
      </c>
      <c r="BP179" s="161" t="str">
        <f t="shared" si="99"/>
        <v/>
      </c>
      <c r="BQ179" s="161" t="str">
        <f t="shared" si="92"/>
        <v/>
      </c>
      <c r="BR179" s="161" t="str">
        <f t="shared" si="93"/>
        <v/>
      </c>
      <c r="BS179" s="161" t="str">
        <f t="shared" si="98"/>
        <v/>
      </c>
      <c r="BT179" s="161" t="str">
        <f t="shared" si="83"/>
        <v/>
      </c>
      <c r="BU179" s="161" t="str">
        <f t="shared" si="95"/>
        <v/>
      </c>
      <c r="BV179" s="161" t="str">
        <f t="shared" si="96"/>
        <v/>
      </c>
      <c r="BW179" s="161" t="str">
        <f t="shared" si="97"/>
        <v/>
      </c>
      <c r="BX179" s="161" t="str">
        <f t="shared" si="87"/>
        <v/>
      </c>
      <c r="BY179" s="148"/>
      <c r="BZ179" s="148"/>
      <c r="CA179" s="148"/>
      <c r="CB179" s="148" t="s">
        <v>149</v>
      </c>
      <c r="CC179" s="148"/>
    </row>
    <row r="180" spans="1:81" ht="14.25" customHeight="1" thickBot="1">
      <c r="A180" s="190">
        <v>170</v>
      </c>
      <c r="B180" s="196"/>
      <c r="C180" s="180"/>
      <c r="D180" s="136"/>
      <c r="E180" s="91"/>
      <c r="F180" s="187"/>
      <c r="G180" s="188"/>
      <c r="H180" s="188"/>
      <c r="I180" s="188"/>
      <c r="J180" s="188"/>
      <c r="K180" s="18">
        <f t="shared" si="71"/>
        <v>0</v>
      </c>
      <c r="L180" s="279"/>
      <c r="M180" s="280"/>
      <c r="N180" s="351"/>
      <c r="O180" s="342" t="s">
        <v>65</v>
      </c>
      <c r="P180" s="187"/>
      <c r="Q180" s="188"/>
      <c r="R180" s="188"/>
      <c r="S180" s="119"/>
      <c r="T180" s="188"/>
      <c r="U180" s="211">
        <f t="shared" si="72"/>
        <v>0</v>
      </c>
      <c r="V180" s="279"/>
      <c r="W180" s="280"/>
      <c r="X180" s="351"/>
      <c r="Y180" s="209" t="s">
        <v>85</v>
      </c>
      <c r="Z180" s="71"/>
      <c r="AA180" s="321"/>
      <c r="AB180" s="321"/>
      <c r="AC180" s="322"/>
      <c r="AD180" s="188"/>
      <c r="AE180" s="18">
        <f t="shared" si="73"/>
        <v>0</v>
      </c>
      <c r="AF180" s="71"/>
      <c r="AG180" s="322"/>
      <c r="AH180" s="360"/>
      <c r="AI180" s="97"/>
      <c r="AJ180" s="194"/>
      <c r="AK180" s="193"/>
      <c r="AL180" s="205"/>
      <c r="AM180" s="197"/>
      <c r="AN180" s="205"/>
      <c r="AO180" s="197"/>
      <c r="AP180" s="205"/>
      <c r="AQ180" s="197"/>
      <c r="AR180" s="13">
        <f t="shared" si="74"/>
        <v>1.8E-5</v>
      </c>
      <c r="AS180" s="13">
        <f t="shared" si="75"/>
        <v>0</v>
      </c>
      <c r="AT180" s="13"/>
      <c r="AU180" s="160">
        <v>185</v>
      </c>
      <c r="AV180" s="191">
        <f t="shared" si="84"/>
        <v>2.26E-5</v>
      </c>
      <c r="AW180" s="160">
        <f t="shared" si="76"/>
        <v>0</v>
      </c>
      <c r="AX180" s="219">
        <f t="shared" si="77"/>
        <v>1.8E-5</v>
      </c>
      <c r="AY180" s="13">
        <f t="shared" si="80"/>
        <v>0</v>
      </c>
      <c r="AZ180" s="160">
        <v>185</v>
      </c>
      <c r="BA180" s="77">
        <f t="shared" si="85"/>
        <v>2.12E-5</v>
      </c>
      <c r="BB180" s="192">
        <f t="shared" si="78"/>
        <v>0</v>
      </c>
      <c r="BC180" s="219">
        <f t="shared" si="81"/>
        <v>1.8E-5</v>
      </c>
      <c r="BD180" s="13">
        <f t="shared" si="82"/>
        <v>0</v>
      </c>
      <c r="BE180" s="160">
        <v>185</v>
      </c>
      <c r="BF180" s="77">
        <f t="shared" si="86"/>
        <v>2.12E-5</v>
      </c>
      <c r="BG180" s="192">
        <f t="shared" si="79"/>
        <v>0</v>
      </c>
      <c r="BI180" s="120"/>
      <c r="BJ180" s="120"/>
      <c r="BK180" s="160"/>
      <c r="BL180" s="160"/>
      <c r="BM180" s="161" t="str">
        <f t="shared" si="88"/>
        <v/>
      </c>
      <c r="BN180" s="161" t="str">
        <f t="shared" si="89"/>
        <v/>
      </c>
      <c r="BO180" s="161" t="str">
        <f t="shared" si="90"/>
        <v/>
      </c>
      <c r="BP180" s="161" t="str">
        <f t="shared" si="99"/>
        <v/>
      </c>
      <c r="BQ180" s="161" t="str">
        <f t="shared" si="92"/>
        <v/>
      </c>
      <c r="BR180" s="161" t="str">
        <f t="shared" si="93"/>
        <v/>
      </c>
      <c r="BS180" s="161" t="str">
        <f t="shared" si="98"/>
        <v/>
      </c>
      <c r="BT180" s="161" t="str">
        <f t="shared" si="83"/>
        <v/>
      </c>
      <c r="BU180" s="161" t="str">
        <f t="shared" si="95"/>
        <v/>
      </c>
      <c r="BV180" s="161" t="str">
        <f t="shared" si="96"/>
        <v/>
      </c>
      <c r="BW180" s="161" t="str">
        <f t="shared" si="97"/>
        <v/>
      </c>
      <c r="BX180" s="161" t="str">
        <f t="shared" si="87"/>
        <v/>
      </c>
      <c r="BY180" s="148"/>
      <c r="BZ180" s="148"/>
      <c r="CA180" s="148"/>
      <c r="CB180" s="148" t="s">
        <v>149</v>
      </c>
      <c r="CC180" s="148"/>
    </row>
    <row r="181" spans="1:81" ht="14.25" customHeight="1" thickBot="1">
      <c r="A181" s="190">
        <v>171</v>
      </c>
      <c r="B181" s="78"/>
      <c r="C181" s="181"/>
      <c r="D181" s="86"/>
      <c r="E181" s="92"/>
      <c r="F181" s="88"/>
      <c r="G181" s="93"/>
      <c r="H181" s="93"/>
      <c r="I181" s="93"/>
      <c r="J181" s="93"/>
      <c r="K181" s="81">
        <f t="shared" si="71"/>
        <v>0</v>
      </c>
      <c r="L181" s="281"/>
      <c r="M181" s="282"/>
      <c r="N181" s="352"/>
      <c r="O181" s="343" t="s">
        <v>65</v>
      </c>
      <c r="P181" s="88"/>
      <c r="Q181" s="93"/>
      <c r="R181" s="93"/>
      <c r="S181" s="89"/>
      <c r="T181" s="93"/>
      <c r="U181" s="212">
        <f t="shared" si="72"/>
        <v>0</v>
      </c>
      <c r="V181" s="281"/>
      <c r="W181" s="282"/>
      <c r="X181" s="352"/>
      <c r="Y181" s="210" t="s">
        <v>85</v>
      </c>
      <c r="Z181" s="72"/>
      <c r="AA181" s="323"/>
      <c r="AB181" s="323"/>
      <c r="AC181" s="324"/>
      <c r="AD181" s="93"/>
      <c r="AE181" s="81">
        <f t="shared" si="73"/>
        <v>0</v>
      </c>
      <c r="AF181" s="72"/>
      <c r="AG181" s="324"/>
      <c r="AH181" s="361"/>
      <c r="AI181" s="98"/>
      <c r="AJ181" s="95"/>
      <c r="AK181" s="215"/>
      <c r="AL181" s="206"/>
      <c r="AM181" s="83"/>
      <c r="AN181" s="206"/>
      <c r="AO181" s="83"/>
      <c r="AP181" s="206"/>
      <c r="AQ181" s="83"/>
      <c r="AR181" s="13">
        <f t="shared" si="74"/>
        <v>1.8099999999999999E-5</v>
      </c>
      <c r="AS181" s="13">
        <f t="shared" si="75"/>
        <v>0</v>
      </c>
      <c r="AT181" s="13"/>
      <c r="AU181" s="160">
        <v>186</v>
      </c>
      <c r="AV181" s="191">
        <f t="shared" si="84"/>
        <v>2.2499999999999998E-5</v>
      </c>
      <c r="AW181" s="160">
        <f t="shared" si="76"/>
        <v>0</v>
      </c>
      <c r="AX181" s="219">
        <f t="shared" si="77"/>
        <v>1.8099999999999999E-5</v>
      </c>
      <c r="AY181" s="13">
        <f t="shared" si="80"/>
        <v>0</v>
      </c>
      <c r="AZ181" s="160">
        <v>186</v>
      </c>
      <c r="BA181" s="77">
        <f t="shared" si="85"/>
        <v>2.1099999999999998E-5</v>
      </c>
      <c r="BB181" s="192">
        <f t="shared" si="78"/>
        <v>0</v>
      </c>
      <c r="BC181" s="219">
        <f t="shared" si="81"/>
        <v>1.8099999999999999E-5</v>
      </c>
      <c r="BD181" s="13">
        <f t="shared" si="82"/>
        <v>0</v>
      </c>
      <c r="BE181" s="160">
        <v>186</v>
      </c>
      <c r="BF181" s="77">
        <f t="shared" si="86"/>
        <v>2.1099999999999998E-5</v>
      </c>
      <c r="BG181" s="192">
        <f t="shared" si="79"/>
        <v>0</v>
      </c>
      <c r="BI181" s="120"/>
      <c r="BJ181" s="120"/>
      <c r="BK181" s="160"/>
      <c r="BL181" s="160"/>
      <c r="BM181" s="161" t="str">
        <f t="shared" si="88"/>
        <v/>
      </c>
      <c r="BN181" s="161" t="str">
        <f t="shared" si="89"/>
        <v/>
      </c>
      <c r="BO181" s="161" t="str">
        <f t="shared" si="90"/>
        <v/>
      </c>
      <c r="BP181" s="161" t="str">
        <f t="shared" si="99"/>
        <v/>
      </c>
      <c r="BQ181" s="161" t="str">
        <f t="shared" si="92"/>
        <v/>
      </c>
      <c r="BR181" s="161" t="str">
        <f t="shared" si="93"/>
        <v/>
      </c>
      <c r="BS181" s="161" t="str">
        <f t="shared" si="98"/>
        <v/>
      </c>
      <c r="BT181" s="161" t="str">
        <f t="shared" si="83"/>
        <v/>
      </c>
      <c r="BU181" s="161" t="str">
        <f t="shared" si="95"/>
        <v/>
      </c>
      <c r="BV181" s="161" t="str">
        <f t="shared" si="96"/>
        <v/>
      </c>
      <c r="BW181" s="161" t="str">
        <f t="shared" si="97"/>
        <v/>
      </c>
      <c r="BX181" s="161" t="str">
        <f t="shared" si="87"/>
        <v/>
      </c>
      <c r="BY181" s="148"/>
      <c r="BZ181" s="148"/>
      <c r="CA181" s="148"/>
      <c r="CB181" s="148" t="s">
        <v>149</v>
      </c>
      <c r="CC181" s="148"/>
    </row>
    <row r="182" spans="1:81" ht="14.25" customHeight="1" thickBot="1">
      <c r="A182" s="190">
        <v>172</v>
      </c>
      <c r="B182" s="79"/>
      <c r="C182" s="179"/>
      <c r="D182" s="137"/>
      <c r="E182" s="198"/>
      <c r="F182" s="199"/>
      <c r="G182" s="200"/>
      <c r="H182" s="200"/>
      <c r="I182" s="200"/>
      <c r="J182" s="200"/>
      <c r="K182" s="201">
        <f t="shared" si="71"/>
        <v>0</v>
      </c>
      <c r="L182" s="277"/>
      <c r="M182" s="278"/>
      <c r="N182" s="350"/>
      <c r="O182" s="341" t="s">
        <v>65</v>
      </c>
      <c r="P182" s="189"/>
      <c r="Q182" s="326"/>
      <c r="R182" s="326"/>
      <c r="S182" s="87"/>
      <c r="T182" s="207"/>
      <c r="U182" s="225">
        <f t="shared" si="72"/>
        <v>0</v>
      </c>
      <c r="V182" s="277"/>
      <c r="W182" s="278"/>
      <c r="X182" s="350"/>
      <c r="Y182" s="208" t="s">
        <v>147</v>
      </c>
      <c r="Z182" s="11"/>
      <c r="AA182" s="207"/>
      <c r="AB182" s="207"/>
      <c r="AC182" s="3"/>
      <c r="AD182" s="207"/>
      <c r="AE182" s="226">
        <f t="shared" si="73"/>
        <v>0</v>
      </c>
      <c r="AF182" s="11"/>
      <c r="AG182" s="3"/>
      <c r="AH182" s="359"/>
      <c r="AI182" s="96"/>
      <c r="AJ182" s="94"/>
      <c r="AK182" s="214"/>
      <c r="AL182" s="213"/>
      <c r="AM182" s="82"/>
      <c r="AN182" s="213"/>
      <c r="AO182" s="82"/>
      <c r="AP182" s="213"/>
      <c r="AQ182" s="82"/>
      <c r="AR182" s="13">
        <f t="shared" si="74"/>
        <v>1.8199999999999999E-5</v>
      </c>
      <c r="AS182" s="13">
        <f t="shared" si="75"/>
        <v>0</v>
      </c>
      <c r="AT182" s="13"/>
      <c r="AU182" s="160">
        <v>187</v>
      </c>
      <c r="AV182" s="191">
        <f t="shared" si="84"/>
        <v>2.2399999999999999E-5</v>
      </c>
      <c r="AW182" s="160">
        <f t="shared" si="76"/>
        <v>0</v>
      </c>
      <c r="AX182" s="219">
        <f t="shared" si="77"/>
        <v>1.8199999999999999E-5</v>
      </c>
      <c r="AY182" s="13">
        <f t="shared" si="80"/>
        <v>0</v>
      </c>
      <c r="AZ182" s="160">
        <v>187</v>
      </c>
      <c r="BA182" s="77">
        <f t="shared" si="85"/>
        <v>2.0999999999999999E-5</v>
      </c>
      <c r="BB182" s="192">
        <f t="shared" si="78"/>
        <v>0</v>
      </c>
      <c r="BC182" s="219">
        <f t="shared" si="81"/>
        <v>1.8199999999999999E-5</v>
      </c>
      <c r="BD182" s="13">
        <f t="shared" si="82"/>
        <v>0</v>
      </c>
      <c r="BE182" s="160">
        <v>187</v>
      </c>
      <c r="BF182" s="77">
        <f t="shared" si="86"/>
        <v>2.0999999999999999E-5</v>
      </c>
      <c r="BG182" s="192">
        <f t="shared" si="79"/>
        <v>0</v>
      </c>
      <c r="BI182" s="120"/>
      <c r="BJ182" s="120"/>
      <c r="BK182" s="160"/>
      <c r="BL182" s="160"/>
      <c r="BM182" s="161" t="str">
        <f t="shared" si="88"/>
        <v/>
      </c>
      <c r="BN182" s="161" t="str">
        <f t="shared" si="89"/>
        <v/>
      </c>
      <c r="BO182" s="161" t="str">
        <f t="shared" si="90"/>
        <v/>
      </c>
      <c r="BP182" s="161" t="str">
        <f t="shared" si="99"/>
        <v/>
      </c>
      <c r="BQ182" s="161" t="str">
        <f t="shared" si="92"/>
        <v/>
      </c>
      <c r="BR182" s="161" t="str">
        <f t="shared" si="93"/>
        <v/>
      </c>
      <c r="BS182" s="161" t="str">
        <f t="shared" si="98"/>
        <v/>
      </c>
      <c r="BT182" s="161" t="str">
        <f t="shared" si="83"/>
        <v/>
      </c>
      <c r="BU182" s="161" t="str">
        <f t="shared" si="95"/>
        <v/>
      </c>
      <c r="BV182" s="161" t="str">
        <f t="shared" si="96"/>
        <v/>
      </c>
      <c r="BW182" s="161" t="str">
        <f t="shared" si="97"/>
        <v/>
      </c>
      <c r="BX182" s="161" t="str">
        <f t="shared" si="87"/>
        <v/>
      </c>
      <c r="BY182" s="148"/>
      <c r="BZ182" s="148"/>
      <c r="CA182" s="148"/>
      <c r="CB182" s="148" t="s">
        <v>149</v>
      </c>
      <c r="CC182" s="148"/>
    </row>
    <row r="183" spans="1:81" ht="14.25" customHeight="1" thickBot="1">
      <c r="A183" s="190">
        <v>173</v>
      </c>
      <c r="B183" s="196"/>
      <c r="C183" s="180"/>
      <c r="D183" s="136"/>
      <c r="E183" s="91"/>
      <c r="F183" s="187"/>
      <c r="G183" s="188"/>
      <c r="H183" s="188"/>
      <c r="I183" s="188"/>
      <c r="J183" s="188"/>
      <c r="K183" s="18">
        <f t="shared" si="71"/>
        <v>0</v>
      </c>
      <c r="L183" s="279"/>
      <c r="M183" s="280"/>
      <c r="N183" s="351"/>
      <c r="O183" s="342" t="s">
        <v>65</v>
      </c>
      <c r="P183" s="187"/>
      <c r="Q183" s="188"/>
      <c r="R183" s="188"/>
      <c r="S183" s="119"/>
      <c r="T183" s="188"/>
      <c r="U183" s="211">
        <f t="shared" si="72"/>
        <v>0</v>
      </c>
      <c r="V183" s="279"/>
      <c r="W183" s="280"/>
      <c r="X183" s="351"/>
      <c r="Y183" s="209" t="s">
        <v>85</v>
      </c>
      <c r="Z183" s="71"/>
      <c r="AA183" s="321"/>
      <c r="AB183" s="321"/>
      <c r="AC183" s="322"/>
      <c r="AD183" s="188"/>
      <c r="AE183" s="18">
        <f t="shared" si="73"/>
        <v>0</v>
      </c>
      <c r="AF183" s="71"/>
      <c r="AG183" s="322"/>
      <c r="AH183" s="360"/>
      <c r="AI183" s="97"/>
      <c r="AJ183" s="194"/>
      <c r="AK183" s="193"/>
      <c r="AL183" s="205"/>
      <c r="AM183" s="197"/>
      <c r="AN183" s="205"/>
      <c r="AO183" s="197"/>
      <c r="AP183" s="205"/>
      <c r="AQ183" s="197"/>
      <c r="AR183" s="13">
        <f t="shared" si="74"/>
        <v>1.8299999999999998E-5</v>
      </c>
      <c r="AS183" s="13">
        <f t="shared" si="75"/>
        <v>0</v>
      </c>
      <c r="AT183" s="13"/>
      <c r="AU183" s="160">
        <v>188</v>
      </c>
      <c r="AV183" s="191">
        <f t="shared" si="84"/>
        <v>2.23E-5</v>
      </c>
      <c r="AW183" s="160">
        <f t="shared" si="76"/>
        <v>0</v>
      </c>
      <c r="AX183" s="219">
        <f t="shared" si="77"/>
        <v>1.8299999999999998E-5</v>
      </c>
      <c r="AY183" s="13">
        <f t="shared" si="80"/>
        <v>0</v>
      </c>
      <c r="AZ183" s="160">
        <v>188</v>
      </c>
      <c r="BA183" s="77">
        <f t="shared" si="85"/>
        <v>2.09E-5</v>
      </c>
      <c r="BB183" s="192">
        <f t="shared" si="78"/>
        <v>0</v>
      </c>
      <c r="BC183" s="219">
        <f t="shared" si="81"/>
        <v>1.8299999999999998E-5</v>
      </c>
      <c r="BD183" s="13">
        <f t="shared" si="82"/>
        <v>0</v>
      </c>
      <c r="BE183" s="160">
        <v>188</v>
      </c>
      <c r="BF183" s="77">
        <f t="shared" si="86"/>
        <v>2.09E-5</v>
      </c>
      <c r="BG183" s="192">
        <f t="shared" si="79"/>
        <v>0</v>
      </c>
      <c r="BI183" s="120"/>
      <c r="BJ183" s="120"/>
      <c r="BK183" s="160"/>
      <c r="BL183" s="160"/>
      <c r="BM183" s="161" t="str">
        <f t="shared" si="88"/>
        <v/>
      </c>
      <c r="BN183" s="161" t="str">
        <f t="shared" si="89"/>
        <v/>
      </c>
      <c r="BO183" s="161" t="str">
        <f t="shared" si="90"/>
        <v/>
      </c>
      <c r="BP183" s="161" t="str">
        <f t="shared" si="99"/>
        <v/>
      </c>
      <c r="BQ183" s="161" t="str">
        <f t="shared" si="92"/>
        <v/>
      </c>
      <c r="BR183" s="161" t="str">
        <f t="shared" si="93"/>
        <v/>
      </c>
      <c r="BS183" s="161" t="str">
        <f t="shared" si="98"/>
        <v/>
      </c>
      <c r="BT183" s="161" t="str">
        <f t="shared" si="83"/>
        <v/>
      </c>
      <c r="BU183" s="161" t="str">
        <f t="shared" si="95"/>
        <v/>
      </c>
      <c r="BV183" s="161" t="str">
        <f t="shared" si="96"/>
        <v/>
      </c>
      <c r="BW183" s="161" t="str">
        <f t="shared" si="97"/>
        <v/>
      </c>
      <c r="BX183" s="161" t="str">
        <f t="shared" si="87"/>
        <v/>
      </c>
      <c r="BY183" s="148"/>
      <c r="BZ183" s="148"/>
      <c r="CA183" s="148"/>
      <c r="CB183" s="148" t="s">
        <v>149</v>
      </c>
      <c r="CC183" s="148"/>
    </row>
    <row r="184" spans="1:81" ht="14.25" customHeight="1" thickBot="1">
      <c r="A184" s="190">
        <v>174</v>
      </c>
      <c r="B184" s="78"/>
      <c r="C184" s="181"/>
      <c r="D184" s="86"/>
      <c r="E184" s="92"/>
      <c r="F184" s="88"/>
      <c r="G184" s="93"/>
      <c r="H184" s="93"/>
      <c r="I184" s="93"/>
      <c r="J184" s="93"/>
      <c r="K184" s="81">
        <f t="shared" si="71"/>
        <v>0</v>
      </c>
      <c r="L184" s="281"/>
      <c r="M184" s="282"/>
      <c r="N184" s="352"/>
      <c r="O184" s="343" t="s">
        <v>65</v>
      </c>
      <c r="P184" s="88"/>
      <c r="Q184" s="93"/>
      <c r="R184" s="93"/>
      <c r="S184" s="89"/>
      <c r="T184" s="93"/>
      <c r="U184" s="212">
        <f t="shared" si="72"/>
        <v>0</v>
      </c>
      <c r="V184" s="281"/>
      <c r="W184" s="282"/>
      <c r="X184" s="352"/>
      <c r="Y184" s="210" t="s">
        <v>85</v>
      </c>
      <c r="Z184" s="72"/>
      <c r="AA184" s="323"/>
      <c r="AB184" s="323"/>
      <c r="AC184" s="324"/>
      <c r="AD184" s="93"/>
      <c r="AE184" s="81">
        <f t="shared" si="73"/>
        <v>0</v>
      </c>
      <c r="AF184" s="72"/>
      <c r="AG184" s="324"/>
      <c r="AH184" s="361"/>
      <c r="AI184" s="98"/>
      <c r="AJ184" s="95"/>
      <c r="AK184" s="215"/>
      <c r="AL184" s="206"/>
      <c r="AM184" s="83"/>
      <c r="AN184" s="206"/>
      <c r="AO184" s="83"/>
      <c r="AP184" s="206"/>
      <c r="AQ184" s="83"/>
      <c r="AR184" s="13">
        <f t="shared" si="74"/>
        <v>1.84E-5</v>
      </c>
      <c r="AS184" s="13">
        <f t="shared" si="75"/>
        <v>0</v>
      </c>
      <c r="AT184" s="13"/>
      <c r="AU184" s="160">
        <v>189</v>
      </c>
      <c r="AV184" s="191">
        <f t="shared" si="84"/>
        <v>2.2199999999999998E-5</v>
      </c>
      <c r="AW184" s="160">
        <f t="shared" si="76"/>
        <v>0</v>
      </c>
      <c r="AX184" s="219">
        <f t="shared" si="77"/>
        <v>1.84E-5</v>
      </c>
      <c r="AY184" s="13">
        <f t="shared" si="80"/>
        <v>0</v>
      </c>
      <c r="AZ184" s="160">
        <v>189</v>
      </c>
      <c r="BA184" s="77">
        <f t="shared" si="85"/>
        <v>2.0799999999999997E-5</v>
      </c>
      <c r="BB184" s="192">
        <f t="shared" si="78"/>
        <v>0</v>
      </c>
      <c r="BC184" s="219">
        <f t="shared" si="81"/>
        <v>1.84E-5</v>
      </c>
      <c r="BD184" s="13">
        <f t="shared" si="82"/>
        <v>0</v>
      </c>
      <c r="BE184" s="160">
        <v>189</v>
      </c>
      <c r="BF184" s="77">
        <f t="shared" si="86"/>
        <v>2.0799999999999997E-5</v>
      </c>
      <c r="BG184" s="192">
        <f t="shared" si="79"/>
        <v>0</v>
      </c>
      <c r="BI184" s="120"/>
      <c r="BJ184" s="120"/>
      <c r="BK184" s="160"/>
      <c r="BL184" s="160"/>
      <c r="BM184" s="161" t="str">
        <f t="shared" si="88"/>
        <v/>
      </c>
      <c r="BN184" s="161" t="str">
        <f t="shared" si="89"/>
        <v/>
      </c>
      <c r="BO184" s="161" t="str">
        <f t="shared" si="90"/>
        <v/>
      </c>
      <c r="BP184" s="161" t="str">
        <f t="shared" si="99"/>
        <v/>
      </c>
      <c r="BQ184" s="161" t="str">
        <f t="shared" si="92"/>
        <v/>
      </c>
      <c r="BR184" s="161" t="str">
        <f t="shared" si="93"/>
        <v/>
      </c>
      <c r="BS184" s="161" t="str">
        <f t="shared" si="98"/>
        <v/>
      </c>
      <c r="BT184" s="161" t="str">
        <f t="shared" si="83"/>
        <v/>
      </c>
      <c r="BU184" s="161" t="str">
        <f t="shared" si="95"/>
        <v/>
      </c>
      <c r="BV184" s="161" t="str">
        <f t="shared" si="96"/>
        <v/>
      </c>
      <c r="BW184" s="161" t="str">
        <f t="shared" si="97"/>
        <v/>
      </c>
      <c r="BX184" s="161" t="str">
        <f t="shared" si="87"/>
        <v/>
      </c>
      <c r="BY184" s="148"/>
      <c r="BZ184" s="148"/>
      <c r="CA184" s="148"/>
      <c r="CB184" s="148" t="s">
        <v>149</v>
      </c>
      <c r="CC184" s="148"/>
    </row>
    <row r="185" spans="1:81" ht="14.25" customHeight="1" thickBot="1">
      <c r="A185" s="190">
        <v>175</v>
      </c>
      <c r="B185" s="79"/>
      <c r="C185" s="179"/>
      <c r="D185" s="137"/>
      <c r="E185" s="198"/>
      <c r="F185" s="199"/>
      <c r="G185" s="200"/>
      <c r="H185" s="200"/>
      <c r="I185" s="200"/>
      <c r="J185" s="200"/>
      <c r="K185" s="201">
        <f t="shared" si="71"/>
        <v>0</v>
      </c>
      <c r="L185" s="277"/>
      <c r="M185" s="278"/>
      <c r="N185" s="350"/>
      <c r="O185" s="341" t="s">
        <v>65</v>
      </c>
      <c r="P185" s="189"/>
      <c r="Q185" s="326"/>
      <c r="R185" s="326"/>
      <c r="S185" s="87"/>
      <c r="T185" s="207"/>
      <c r="U185" s="225">
        <f t="shared" si="72"/>
        <v>0</v>
      </c>
      <c r="V185" s="277"/>
      <c r="W185" s="278"/>
      <c r="X185" s="350"/>
      <c r="Y185" s="208" t="s">
        <v>147</v>
      </c>
      <c r="Z185" s="11"/>
      <c r="AA185" s="207"/>
      <c r="AB185" s="207"/>
      <c r="AC185" s="3"/>
      <c r="AD185" s="207"/>
      <c r="AE185" s="226">
        <f t="shared" si="73"/>
        <v>0</v>
      </c>
      <c r="AF185" s="11"/>
      <c r="AG185" s="3"/>
      <c r="AH185" s="359"/>
      <c r="AI185" s="96"/>
      <c r="AJ185" s="94"/>
      <c r="AK185" s="214"/>
      <c r="AL185" s="213"/>
      <c r="AM185" s="82"/>
      <c r="AN185" s="213"/>
      <c r="AO185" s="82"/>
      <c r="AP185" s="213"/>
      <c r="AQ185" s="82"/>
      <c r="AR185" s="13">
        <f t="shared" si="74"/>
        <v>1.8499999999999999E-5</v>
      </c>
      <c r="AS185" s="13">
        <f t="shared" si="75"/>
        <v>0</v>
      </c>
      <c r="AT185" s="13"/>
      <c r="AU185" s="160">
        <v>190</v>
      </c>
      <c r="AV185" s="191">
        <f t="shared" si="84"/>
        <v>2.2099999999999998E-5</v>
      </c>
      <c r="AW185" s="160">
        <f t="shared" si="76"/>
        <v>0</v>
      </c>
      <c r="AX185" s="219">
        <f t="shared" si="77"/>
        <v>1.8499999999999999E-5</v>
      </c>
      <c r="AY185" s="13">
        <f t="shared" si="80"/>
        <v>0</v>
      </c>
      <c r="AZ185" s="160">
        <v>190</v>
      </c>
      <c r="BA185" s="77">
        <f t="shared" si="85"/>
        <v>2.0699999999999998E-5</v>
      </c>
      <c r="BB185" s="192">
        <f t="shared" si="78"/>
        <v>0</v>
      </c>
      <c r="BC185" s="219">
        <f t="shared" si="81"/>
        <v>1.8499999999999999E-5</v>
      </c>
      <c r="BD185" s="13">
        <f t="shared" si="82"/>
        <v>0</v>
      </c>
      <c r="BE185" s="160">
        <v>190</v>
      </c>
      <c r="BF185" s="77">
        <f t="shared" si="86"/>
        <v>2.0699999999999998E-5</v>
      </c>
      <c r="BG185" s="192">
        <f t="shared" si="79"/>
        <v>0</v>
      </c>
      <c r="BI185" s="120"/>
      <c r="BJ185" s="120"/>
      <c r="BK185" s="160"/>
      <c r="BL185" s="160"/>
      <c r="BM185" s="161" t="str">
        <f t="shared" si="88"/>
        <v/>
      </c>
      <c r="BN185" s="161" t="str">
        <f t="shared" si="89"/>
        <v/>
      </c>
      <c r="BO185" s="161" t="str">
        <f t="shared" si="90"/>
        <v/>
      </c>
      <c r="BP185" s="161" t="str">
        <f t="shared" si="99"/>
        <v/>
      </c>
      <c r="BQ185" s="161" t="str">
        <f t="shared" si="92"/>
        <v/>
      </c>
      <c r="BR185" s="161" t="str">
        <f t="shared" si="93"/>
        <v/>
      </c>
      <c r="BS185" s="161" t="str">
        <f t="shared" si="98"/>
        <v/>
      </c>
      <c r="BT185" s="161" t="str">
        <f t="shared" si="83"/>
        <v/>
      </c>
      <c r="BU185" s="161" t="str">
        <f t="shared" si="95"/>
        <v/>
      </c>
      <c r="BV185" s="161" t="str">
        <f t="shared" si="96"/>
        <v/>
      </c>
      <c r="BW185" s="161" t="str">
        <f t="shared" si="97"/>
        <v/>
      </c>
      <c r="BX185" s="161" t="str">
        <f t="shared" si="87"/>
        <v/>
      </c>
      <c r="BY185" s="148"/>
      <c r="BZ185" s="148"/>
      <c r="CA185" s="148"/>
      <c r="CB185" s="148" t="s">
        <v>149</v>
      </c>
      <c r="CC185" s="148"/>
    </row>
    <row r="186" spans="1:81" ht="14.25" customHeight="1" thickBot="1">
      <c r="A186" s="190">
        <v>176</v>
      </c>
      <c r="B186" s="196"/>
      <c r="C186" s="180"/>
      <c r="D186" s="136"/>
      <c r="E186" s="91"/>
      <c r="F186" s="187"/>
      <c r="G186" s="188"/>
      <c r="H186" s="188"/>
      <c r="I186" s="188"/>
      <c r="J186" s="188"/>
      <c r="K186" s="18">
        <f t="shared" si="71"/>
        <v>0</v>
      </c>
      <c r="L186" s="279"/>
      <c r="M186" s="280"/>
      <c r="N186" s="351"/>
      <c r="O186" s="342" t="s">
        <v>65</v>
      </c>
      <c r="P186" s="187"/>
      <c r="Q186" s="188"/>
      <c r="R186" s="188"/>
      <c r="S186" s="119"/>
      <c r="T186" s="188"/>
      <c r="U186" s="211">
        <f t="shared" si="72"/>
        <v>0</v>
      </c>
      <c r="V186" s="279"/>
      <c r="W186" s="280"/>
      <c r="X186" s="351"/>
      <c r="Y186" s="209" t="s">
        <v>85</v>
      </c>
      <c r="Z186" s="71"/>
      <c r="AA186" s="321"/>
      <c r="AB186" s="321"/>
      <c r="AC186" s="322"/>
      <c r="AD186" s="188"/>
      <c r="AE186" s="18">
        <f t="shared" si="73"/>
        <v>0</v>
      </c>
      <c r="AF186" s="71"/>
      <c r="AG186" s="322"/>
      <c r="AH186" s="360"/>
      <c r="AI186" s="97"/>
      <c r="AJ186" s="194"/>
      <c r="AK186" s="193"/>
      <c r="AL186" s="205"/>
      <c r="AM186" s="197"/>
      <c r="AN186" s="205"/>
      <c r="AO186" s="197"/>
      <c r="AP186" s="205"/>
      <c r="AQ186" s="197"/>
      <c r="AR186" s="13">
        <f t="shared" si="74"/>
        <v>1.8599999999999998E-5</v>
      </c>
      <c r="AS186" s="13">
        <f t="shared" si="75"/>
        <v>0</v>
      </c>
      <c r="AT186" s="13"/>
      <c r="AU186" s="160">
        <v>191</v>
      </c>
      <c r="AV186" s="191">
        <f t="shared" si="84"/>
        <v>2.1999999999999999E-5</v>
      </c>
      <c r="AW186" s="160">
        <f t="shared" si="76"/>
        <v>0</v>
      </c>
      <c r="AX186" s="219">
        <f t="shared" si="77"/>
        <v>1.8599999999999998E-5</v>
      </c>
      <c r="AY186" s="13">
        <f t="shared" si="80"/>
        <v>0</v>
      </c>
      <c r="AZ186" s="160">
        <v>191</v>
      </c>
      <c r="BA186" s="77">
        <f t="shared" si="85"/>
        <v>2.0599999999999999E-5</v>
      </c>
      <c r="BB186" s="192">
        <f t="shared" si="78"/>
        <v>0</v>
      </c>
      <c r="BC186" s="219">
        <f t="shared" si="81"/>
        <v>1.8599999999999998E-5</v>
      </c>
      <c r="BD186" s="13">
        <f t="shared" si="82"/>
        <v>0</v>
      </c>
      <c r="BE186" s="160">
        <v>191</v>
      </c>
      <c r="BF186" s="77">
        <f t="shared" si="86"/>
        <v>2.0599999999999999E-5</v>
      </c>
      <c r="BG186" s="192">
        <f t="shared" si="79"/>
        <v>0</v>
      </c>
      <c r="BI186" s="120"/>
      <c r="BJ186" s="120"/>
      <c r="BK186" s="160"/>
      <c r="BL186" s="160"/>
      <c r="BM186" s="161" t="str">
        <f t="shared" si="88"/>
        <v/>
      </c>
      <c r="BN186" s="161" t="str">
        <f t="shared" si="89"/>
        <v/>
      </c>
      <c r="BO186" s="161" t="str">
        <f t="shared" si="90"/>
        <v/>
      </c>
      <c r="BP186" s="161" t="str">
        <f t="shared" si="99"/>
        <v/>
      </c>
      <c r="BQ186" s="161" t="str">
        <f t="shared" si="92"/>
        <v/>
      </c>
      <c r="BR186" s="161" t="str">
        <f t="shared" si="93"/>
        <v/>
      </c>
      <c r="BS186" s="161" t="str">
        <f t="shared" si="98"/>
        <v/>
      </c>
      <c r="BT186" s="161" t="str">
        <f t="shared" si="83"/>
        <v/>
      </c>
      <c r="BU186" s="161" t="str">
        <f t="shared" si="95"/>
        <v/>
      </c>
      <c r="BV186" s="161" t="str">
        <f t="shared" si="96"/>
        <v/>
      </c>
      <c r="BW186" s="161" t="str">
        <f t="shared" si="97"/>
        <v/>
      </c>
      <c r="BX186" s="161" t="str">
        <f t="shared" si="87"/>
        <v/>
      </c>
      <c r="BY186" s="148"/>
      <c r="BZ186" s="148"/>
      <c r="CA186" s="148"/>
      <c r="CB186" s="148" t="s">
        <v>149</v>
      </c>
      <c r="CC186" s="148"/>
    </row>
    <row r="187" spans="1:81" ht="14.25" customHeight="1" thickBot="1">
      <c r="A187" s="190">
        <v>177</v>
      </c>
      <c r="B187" s="78"/>
      <c r="C187" s="181"/>
      <c r="D187" s="86"/>
      <c r="E187" s="92"/>
      <c r="F187" s="88"/>
      <c r="G187" s="93"/>
      <c r="H187" s="93"/>
      <c r="I187" s="93"/>
      <c r="J187" s="93"/>
      <c r="K187" s="81">
        <f t="shared" si="71"/>
        <v>0</v>
      </c>
      <c r="L187" s="281"/>
      <c r="M187" s="282"/>
      <c r="N187" s="352"/>
      <c r="O187" s="343" t="s">
        <v>65</v>
      </c>
      <c r="P187" s="88"/>
      <c r="Q187" s="93"/>
      <c r="R187" s="93"/>
      <c r="S187" s="89"/>
      <c r="T187" s="93"/>
      <c r="U187" s="212">
        <f t="shared" si="72"/>
        <v>0</v>
      </c>
      <c r="V187" s="281"/>
      <c r="W187" s="282"/>
      <c r="X187" s="352"/>
      <c r="Y187" s="210" t="s">
        <v>85</v>
      </c>
      <c r="Z187" s="72"/>
      <c r="AA187" s="323"/>
      <c r="AB187" s="323"/>
      <c r="AC187" s="324"/>
      <c r="AD187" s="93"/>
      <c r="AE187" s="81">
        <f t="shared" si="73"/>
        <v>0</v>
      </c>
      <c r="AF187" s="72"/>
      <c r="AG187" s="324"/>
      <c r="AH187" s="361"/>
      <c r="AI187" s="98"/>
      <c r="AJ187" s="95"/>
      <c r="AK187" s="215"/>
      <c r="AL187" s="206"/>
      <c r="AM187" s="83"/>
      <c r="AN187" s="206"/>
      <c r="AO187" s="83"/>
      <c r="AP187" s="206"/>
      <c r="AQ187" s="83"/>
      <c r="AR187" s="13">
        <f t="shared" si="74"/>
        <v>1.8700000000000001E-5</v>
      </c>
      <c r="AS187" s="13">
        <f t="shared" si="75"/>
        <v>0</v>
      </c>
      <c r="AT187" s="13"/>
      <c r="AU187" s="160">
        <v>192</v>
      </c>
      <c r="AV187" s="191">
        <f t="shared" si="84"/>
        <v>2.19E-5</v>
      </c>
      <c r="AW187" s="160">
        <f t="shared" si="76"/>
        <v>0</v>
      </c>
      <c r="AX187" s="219">
        <f t="shared" si="77"/>
        <v>1.8700000000000001E-5</v>
      </c>
      <c r="AY187" s="13">
        <f t="shared" si="80"/>
        <v>0</v>
      </c>
      <c r="AZ187" s="160">
        <v>192</v>
      </c>
      <c r="BA187" s="77">
        <f t="shared" si="85"/>
        <v>2.05E-5</v>
      </c>
      <c r="BB187" s="192">
        <f t="shared" si="78"/>
        <v>0</v>
      </c>
      <c r="BC187" s="219">
        <f t="shared" si="81"/>
        <v>1.8700000000000001E-5</v>
      </c>
      <c r="BD187" s="13">
        <f t="shared" si="82"/>
        <v>0</v>
      </c>
      <c r="BE187" s="160">
        <v>192</v>
      </c>
      <c r="BF187" s="77">
        <f t="shared" si="86"/>
        <v>2.05E-5</v>
      </c>
      <c r="BG187" s="192">
        <f t="shared" si="79"/>
        <v>0</v>
      </c>
      <c r="BI187" s="120"/>
      <c r="BJ187" s="120"/>
      <c r="BK187" s="160"/>
      <c r="BL187" s="160"/>
      <c r="BM187" s="161" t="str">
        <f t="shared" si="88"/>
        <v/>
      </c>
      <c r="BN187" s="161" t="str">
        <f t="shared" si="89"/>
        <v/>
      </c>
      <c r="BO187" s="161" t="str">
        <f t="shared" si="90"/>
        <v/>
      </c>
      <c r="BP187" s="161" t="str">
        <f t="shared" si="99"/>
        <v/>
      </c>
      <c r="BQ187" s="161" t="str">
        <f t="shared" si="92"/>
        <v/>
      </c>
      <c r="BR187" s="161" t="str">
        <f t="shared" si="93"/>
        <v/>
      </c>
      <c r="BS187" s="161" t="str">
        <f t="shared" si="98"/>
        <v/>
      </c>
      <c r="BT187" s="161" t="str">
        <f t="shared" si="83"/>
        <v/>
      </c>
      <c r="BU187" s="161" t="str">
        <f t="shared" si="95"/>
        <v/>
      </c>
      <c r="BV187" s="161" t="str">
        <f t="shared" si="96"/>
        <v/>
      </c>
      <c r="BW187" s="161" t="str">
        <f t="shared" si="97"/>
        <v/>
      </c>
      <c r="BX187" s="161" t="str">
        <f t="shared" si="87"/>
        <v/>
      </c>
      <c r="BY187" s="148"/>
      <c r="BZ187" s="148"/>
      <c r="CA187" s="148"/>
      <c r="CB187" s="148" t="s">
        <v>149</v>
      </c>
      <c r="CC187" s="148"/>
    </row>
    <row r="188" spans="1:81" ht="14.25" customHeight="1" thickBot="1">
      <c r="A188" s="190">
        <v>178</v>
      </c>
      <c r="B188" s="79"/>
      <c r="C188" s="179"/>
      <c r="D188" s="137"/>
      <c r="E188" s="198"/>
      <c r="F188" s="199"/>
      <c r="G188" s="200"/>
      <c r="H188" s="200"/>
      <c r="I188" s="200"/>
      <c r="J188" s="200"/>
      <c r="K188" s="201">
        <f t="shared" ref="K188:K251" si="100">SUM(F188:J188)</f>
        <v>0</v>
      </c>
      <c r="L188" s="277"/>
      <c r="M188" s="278"/>
      <c r="N188" s="350"/>
      <c r="O188" s="341" t="s">
        <v>65</v>
      </c>
      <c r="P188" s="189"/>
      <c r="Q188" s="326"/>
      <c r="R188" s="326"/>
      <c r="S188" s="87"/>
      <c r="T188" s="207"/>
      <c r="U188" s="225">
        <f t="shared" ref="U188:U251" si="101">SUM(P188:T188)</f>
        <v>0</v>
      </c>
      <c r="V188" s="277"/>
      <c r="W188" s="278"/>
      <c r="X188" s="350"/>
      <c r="Y188" s="208" t="s">
        <v>147</v>
      </c>
      <c r="Z188" s="11"/>
      <c r="AA188" s="207"/>
      <c r="AB188" s="207"/>
      <c r="AC188" s="3"/>
      <c r="AD188" s="207"/>
      <c r="AE188" s="226">
        <f t="shared" ref="AE188:AE251" si="102">SUM(Z188:AD188)</f>
        <v>0</v>
      </c>
      <c r="AF188" s="11"/>
      <c r="AG188" s="3"/>
      <c r="AH188" s="359"/>
      <c r="AI188" s="96"/>
      <c r="AJ188" s="94"/>
      <c r="AK188" s="214"/>
      <c r="AL188" s="213"/>
      <c r="AM188" s="82"/>
      <c r="AN188" s="213"/>
      <c r="AO188" s="82"/>
      <c r="AP188" s="213"/>
      <c r="AQ188" s="82"/>
      <c r="AR188" s="13">
        <f t="shared" ref="AR188:AR251" si="103">K188+ROW()*0.0000001</f>
        <v>1.88E-5</v>
      </c>
      <c r="AS188" s="13">
        <f t="shared" ref="AS188:AS251" si="104">B188</f>
        <v>0</v>
      </c>
      <c r="AT188" s="13"/>
      <c r="AU188" s="160">
        <v>193</v>
      </c>
      <c r="AV188" s="191">
        <f t="shared" si="84"/>
        <v>2.1799999999999998E-5</v>
      </c>
      <c r="AW188" s="160">
        <f t="shared" ref="AW188:AW251" si="105">IFERROR(VLOOKUP(AV188,الترتيب1,2,0),"")</f>
        <v>0</v>
      </c>
      <c r="AX188" s="219">
        <f t="shared" ref="AX188:AX251" si="106">U188+ROW()*0.0000001</f>
        <v>1.88E-5</v>
      </c>
      <c r="AY188" s="13">
        <f t="shared" si="80"/>
        <v>0</v>
      </c>
      <c r="AZ188" s="160">
        <v>193</v>
      </c>
      <c r="BA188" s="77">
        <f t="shared" si="85"/>
        <v>2.0399999999999998E-5</v>
      </c>
      <c r="BB188" s="192">
        <f t="shared" ref="BB188:BB251" si="107">IFERROR(VLOOKUP(BA188,الترتيب2,2,0),"")</f>
        <v>0</v>
      </c>
      <c r="BC188" s="219">
        <f t="shared" si="81"/>
        <v>1.88E-5</v>
      </c>
      <c r="BD188" s="13">
        <f t="shared" si="82"/>
        <v>0</v>
      </c>
      <c r="BE188" s="160">
        <v>193</v>
      </c>
      <c r="BF188" s="77">
        <f t="shared" si="86"/>
        <v>2.0399999999999998E-5</v>
      </c>
      <c r="BG188" s="192">
        <f t="shared" ref="BG188:BG251" si="108">IFERROR(VLOOKUP(BF188,الترتيب3,2,0),"")</f>
        <v>0</v>
      </c>
      <c r="BI188" s="120"/>
      <c r="BJ188" s="120"/>
      <c r="BK188" s="160"/>
      <c r="BL188" s="160"/>
      <c r="BM188" s="161" t="str">
        <f t="shared" si="88"/>
        <v/>
      </c>
      <c r="BN188" s="161" t="str">
        <f t="shared" si="89"/>
        <v/>
      </c>
      <c r="BO188" s="161" t="str">
        <f t="shared" si="90"/>
        <v/>
      </c>
      <c r="BP188" s="161" t="str">
        <f t="shared" si="99"/>
        <v/>
      </c>
      <c r="BQ188" s="161" t="str">
        <f t="shared" si="92"/>
        <v/>
      </c>
      <c r="BR188" s="161" t="str">
        <f t="shared" si="93"/>
        <v/>
      </c>
      <c r="BS188" s="161" t="str">
        <f t="shared" si="98"/>
        <v/>
      </c>
      <c r="BT188" s="161" t="str">
        <f t="shared" si="83"/>
        <v/>
      </c>
      <c r="BU188" s="161" t="str">
        <f t="shared" si="95"/>
        <v/>
      </c>
      <c r="BV188" s="161" t="str">
        <f t="shared" si="96"/>
        <v/>
      </c>
      <c r="BW188" s="161" t="str">
        <f t="shared" si="97"/>
        <v/>
      </c>
      <c r="BX188" s="161" t="str">
        <f t="shared" si="87"/>
        <v/>
      </c>
      <c r="BY188" s="148"/>
      <c r="BZ188" s="148"/>
      <c r="CA188" s="148"/>
      <c r="CB188" s="148" t="s">
        <v>149</v>
      </c>
      <c r="CC188" s="148"/>
    </row>
    <row r="189" spans="1:81" ht="14.25" customHeight="1" thickBot="1">
      <c r="A189" s="190">
        <v>179</v>
      </c>
      <c r="B189" s="196"/>
      <c r="C189" s="180"/>
      <c r="D189" s="136"/>
      <c r="E189" s="91"/>
      <c r="F189" s="187"/>
      <c r="G189" s="188"/>
      <c r="H189" s="188"/>
      <c r="I189" s="188"/>
      <c r="J189" s="188"/>
      <c r="K189" s="18">
        <f t="shared" si="100"/>
        <v>0</v>
      </c>
      <c r="L189" s="279"/>
      <c r="M189" s="280"/>
      <c r="N189" s="351"/>
      <c r="O189" s="342" t="s">
        <v>65</v>
      </c>
      <c r="P189" s="187"/>
      <c r="Q189" s="188"/>
      <c r="R189" s="188"/>
      <c r="S189" s="119"/>
      <c r="T189" s="188"/>
      <c r="U189" s="211">
        <f t="shared" si="101"/>
        <v>0</v>
      </c>
      <c r="V189" s="279"/>
      <c r="W189" s="280"/>
      <c r="X189" s="351"/>
      <c r="Y189" s="209" t="s">
        <v>85</v>
      </c>
      <c r="Z189" s="71"/>
      <c r="AA189" s="321"/>
      <c r="AB189" s="321"/>
      <c r="AC189" s="322"/>
      <c r="AD189" s="188"/>
      <c r="AE189" s="18">
        <f t="shared" si="102"/>
        <v>0</v>
      </c>
      <c r="AF189" s="71"/>
      <c r="AG189" s="322"/>
      <c r="AH189" s="360"/>
      <c r="AI189" s="97"/>
      <c r="AJ189" s="194"/>
      <c r="AK189" s="193"/>
      <c r="AL189" s="205"/>
      <c r="AM189" s="197"/>
      <c r="AN189" s="205"/>
      <c r="AO189" s="197"/>
      <c r="AP189" s="205"/>
      <c r="AQ189" s="197"/>
      <c r="AR189" s="13">
        <f t="shared" si="103"/>
        <v>1.8899999999999999E-5</v>
      </c>
      <c r="AS189" s="13">
        <f t="shared" si="104"/>
        <v>0</v>
      </c>
      <c r="AT189" s="13"/>
      <c r="AU189" s="160">
        <v>194</v>
      </c>
      <c r="AV189" s="191">
        <f t="shared" si="84"/>
        <v>2.1699999999999999E-5</v>
      </c>
      <c r="AW189" s="160">
        <f t="shared" si="105"/>
        <v>0</v>
      </c>
      <c r="AX189" s="219">
        <f t="shared" si="106"/>
        <v>1.8899999999999999E-5</v>
      </c>
      <c r="AY189" s="13">
        <f t="shared" ref="AY189:AY252" si="109">AS189</f>
        <v>0</v>
      </c>
      <c r="AZ189" s="160">
        <v>194</v>
      </c>
      <c r="BA189" s="77">
        <f t="shared" si="85"/>
        <v>2.0299999999999999E-5</v>
      </c>
      <c r="BB189" s="192">
        <f t="shared" si="107"/>
        <v>0</v>
      </c>
      <c r="BC189" s="219">
        <f t="shared" ref="BC189:BC252" si="110">AE189+ROW()*0.0000001</f>
        <v>1.8899999999999999E-5</v>
      </c>
      <c r="BD189" s="13">
        <f t="shared" ref="BD189:BD252" si="111">AY189</f>
        <v>0</v>
      </c>
      <c r="BE189" s="160">
        <v>194</v>
      </c>
      <c r="BF189" s="77">
        <f t="shared" si="86"/>
        <v>2.0299999999999999E-5</v>
      </c>
      <c r="BG189" s="192">
        <f t="shared" si="108"/>
        <v>0</v>
      </c>
      <c r="BI189" s="120"/>
      <c r="BJ189" s="120"/>
      <c r="BK189" s="160"/>
      <c r="BL189" s="160"/>
      <c r="BM189" s="161" t="str">
        <f t="shared" si="88"/>
        <v/>
      </c>
      <c r="BN189" s="161" t="str">
        <f t="shared" si="89"/>
        <v/>
      </c>
      <c r="BO189" s="161" t="str">
        <f t="shared" si="90"/>
        <v/>
      </c>
      <c r="BP189" s="161" t="str">
        <f t="shared" ref="BP189:BP252" si="112">MID($BK189,9,1)</f>
        <v/>
      </c>
      <c r="BQ189" s="161" t="str">
        <f t="shared" si="92"/>
        <v/>
      </c>
      <c r="BR189" s="161" t="str">
        <f t="shared" si="93"/>
        <v/>
      </c>
      <c r="BS189" s="161" t="str">
        <f t="shared" ref="BS189:BS252" si="113">MID($BK189,6,1)</f>
        <v/>
      </c>
      <c r="BT189" s="161" t="str">
        <f t="shared" ref="BT189:BT252" si="114">MID($BK189,5,1)</f>
        <v/>
      </c>
      <c r="BU189" s="161" t="str">
        <f t="shared" si="95"/>
        <v/>
      </c>
      <c r="BV189" s="161" t="str">
        <f t="shared" si="96"/>
        <v/>
      </c>
      <c r="BW189" s="161" t="str">
        <f t="shared" si="97"/>
        <v/>
      </c>
      <c r="BX189" s="161" t="str">
        <f t="shared" si="87"/>
        <v/>
      </c>
      <c r="BY189" s="148"/>
      <c r="BZ189" s="148"/>
      <c r="CA189" s="148"/>
      <c r="CB189" s="148" t="s">
        <v>149</v>
      </c>
      <c r="CC189" s="148"/>
    </row>
    <row r="190" spans="1:81" ht="14.25" customHeight="1" thickBot="1">
      <c r="A190" s="190">
        <v>180</v>
      </c>
      <c r="B190" s="78"/>
      <c r="C190" s="181"/>
      <c r="D190" s="86"/>
      <c r="E190" s="92"/>
      <c r="F190" s="88"/>
      <c r="G190" s="93"/>
      <c r="H190" s="93"/>
      <c r="I190" s="93"/>
      <c r="J190" s="93"/>
      <c r="K190" s="81">
        <f t="shared" si="100"/>
        <v>0</v>
      </c>
      <c r="L190" s="281"/>
      <c r="M190" s="282"/>
      <c r="N190" s="352"/>
      <c r="O190" s="343" t="s">
        <v>65</v>
      </c>
      <c r="P190" s="88"/>
      <c r="Q190" s="93"/>
      <c r="R190" s="93"/>
      <c r="S190" s="89"/>
      <c r="T190" s="93"/>
      <c r="U190" s="212">
        <f t="shared" si="101"/>
        <v>0</v>
      </c>
      <c r="V190" s="281"/>
      <c r="W190" s="282"/>
      <c r="X190" s="352"/>
      <c r="Y190" s="210" t="s">
        <v>85</v>
      </c>
      <c r="Z190" s="72"/>
      <c r="AA190" s="323"/>
      <c r="AB190" s="323"/>
      <c r="AC190" s="324"/>
      <c r="AD190" s="93"/>
      <c r="AE190" s="81">
        <f t="shared" si="102"/>
        <v>0</v>
      </c>
      <c r="AF190" s="72"/>
      <c r="AG190" s="324"/>
      <c r="AH190" s="361"/>
      <c r="AI190" s="98"/>
      <c r="AJ190" s="95"/>
      <c r="AK190" s="215"/>
      <c r="AL190" s="206"/>
      <c r="AM190" s="83"/>
      <c r="AN190" s="206"/>
      <c r="AO190" s="83"/>
      <c r="AP190" s="206"/>
      <c r="AQ190" s="83"/>
      <c r="AR190" s="13">
        <f t="shared" si="103"/>
        <v>1.8999999999999998E-5</v>
      </c>
      <c r="AS190" s="13">
        <f t="shared" si="104"/>
        <v>0</v>
      </c>
      <c r="AT190" s="13"/>
      <c r="AU190" s="160">
        <v>195</v>
      </c>
      <c r="AV190" s="191">
        <f t="shared" si="84"/>
        <v>2.16E-5</v>
      </c>
      <c r="AW190" s="160">
        <f t="shared" si="105"/>
        <v>0</v>
      </c>
      <c r="AX190" s="219">
        <f t="shared" si="106"/>
        <v>1.8999999999999998E-5</v>
      </c>
      <c r="AY190" s="13">
        <f t="shared" si="109"/>
        <v>0</v>
      </c>
      <c r="AZ190" s="160">
        <v>195</v>
      </c>
      <c r="BA190" s="77">
        <f t="shared" si="85"/>
        <v>2.02E-5</v>
      </c>
      <c r="BB190" s="192">
        <f t="shared" si="107"/>
        <v>0</v>
      </c>
      <c r="BC190" s="219">
        <f t="shared" si="110"/>
        <v>1.8999999999999998E-5</v>
      </c>
      <c r="BD190" s="13">
        <f t="shared" si="111"/>
        <v>0</v>
      </c>
      <c r="BE190" s="160">
        <v>195</v>
      </c>
      <c r="BF190" s="77">
        <f t="shared" si="86"/>
        <v>2.02E-5</v>
      </c>
      <c r="BG190" s="192">
        <f t="shared" si="108"/>
        <v>0</v>
      </c>
      <c r="BI190" s="120"/>
      <c r="BJ190" s="120"/>
      <c r="BK190" s="160"/>
      <c r="BL190" s="160"/>
      <c r="BM190" s="161" t="str">
        <f t="shared" si="88"/>
        <v/>
      </c>
      <c r="BN190" s="161" t="str">
        <f t="shared" si="89"/>
        <v/>
      </c>
      <c r="BO190" s="161" t="str">
        <f t="shared" si="90"/>
        <v/>
      </c>
      <c r="BP190" s="161" t="str">
        <f t="shared" si="112"/>
        <v/>
      </c>
      <c r="BQ190" s="161" t="str">
        <f t="shared" si="92"/>
        <v/>
      </c>
      <c r="BR190" s="161" t="str">
        <f t="shared" si="93"/>
        <v/>
      </c>
      <c r="BS190" s="161" t="str">
        <f t="shared" si="113"/>
        <v/>
      </c>
      <c r="BT190" s="161" t="str">
        <f t="shared" si="114"/>
        <v/>
      </c>
      <c r="BU190" s="161" t="str">
        <f t="shared" si="95"/>
        <v/>
      </c>
      <c r="BV190" s="161" t="str">
        <f t="shared" si="96"/>
        <v/>
      </c>
      <c r="BW190" s="161" t="str">
        <f t="shared" si="97"/>
        <v/>
      </c>
      <c r="BX190" s="161" t="str">
        <f t="shared" si="87"/>
        <v/>
      </c>
      <c r="BY190" s="148"/>
      <c r="BZ190" s="148"/>
      <c r="CA190" s="148"/>
      <c r="CB190" s="148" t="s">
        <v>149</v>
      </c>
      <c r="CC190" s="148"/>
    </row>
    <row r="191" spans="1:81" ht="14.25" customHeight="1" thickBot="1">
      <c r="A191" s="190">
        <v>181</v>
      </c>
      <c r="B191" s="79"/>
      <c r="C191" s="179"/>
      <c r="D191" s="137"/>
      <c r="E191" s="198"/>
      <c r="F191" s="199"/>
      <c r="G191" s="200"/>
      <c r="H191" s="200"/>
      <c r="I191" s="200"/>
      <c r="J191" s="200"/>
      <c r="K191" s="201">
        <f t="shared" si="100"/>
        <v>0</v>
      </c>
      <c r="L191" s="277"/>
      <c r="M191" s="278"/>
      <c r="N191" s="350"/>
      <c r="O191" s="341" t="s">
        <v>65</v>
      </c>
      <c r="P191" s="189"/>
      <c r="Q191" s="326"/>
      <c r="R191" s="326"/>
      <c r="S191" s="87"/>
      <c r="T191" s="207"/>
      <c r="U191" s="225">
        <f t="shared" si="101"/>
        <v>0</v>
      </c>
      <c r="V191" s="277"/>
      <c r="W191" s="278"/>
      <c r="X191" s="350"/>
      <c r="Y191" s="208" t="s">
        <v>147</v>
      </c>
      <c r="Z191" s="11"/>
      <c r="AA191" s="207"/>
      <c r="AB191" s="207"/>
      <c r="AC191" s="3"/>
      <c r="AD191" s="207"/>
      <c r="AE191" s="226">
        <f t="shared" si="102"/>
        <v>0</v>
      </c>
      <c r="AF191" s="11"/>
      <c r="AG191" s="3"/>
      <c r="AH191" s="359"/>
      <c r="AI191" s="96"/>
      <c r="AJ191" s="94"/>
      <c r="AK191" s="214"/>
      <c r="AL191" s="213"/>
      <c r="AM191" s="82"/>
      <c r="AN191" s="213"/>
      <c r="AO191" s="82"/>
      <c r="AP191" s="213"/>
      <c r="AQ191" s="82"/>
      <c r="AR191" s="13">
        <f t="shared" si="103"/>
        <v>1.91E-5</v>
      </c>
      <c r="AS191" s="13">
        <f t="shared" si="104"/>
        <v>0</v>
      </c>
      <c r="AT191" s="13"/>
      <c r="AU191" s="160">
        <v>196</v>
      </c>
      <c r="AV191" s="191">
        <f t="shared" si="84"/>
        <v>2.1499999999999997E-5</v>
      </c>
      <c r="AW191" s="160">
        <f t="shared" si="105"/>
        <v>0</v>
      </c>
      <c r="AX191" s="219">
        <f t="shared" si="106"/>
        <v>1.91E-5</v>
      </c>
      <c r="AY191" s="13">
        <f t="shared" si="109"/>
        <v>0</v>
      </c>
      <c r="AZ191" s="160">
        <v>196</v>
      </c>
      <c r="BA191" s="77">
        <f t="shared" si="85"/>
        <v>2.0100000000000001E-5</v>
      </c>
      <c r="BB191" s="192">
        <f t="shared" si="107"/>
        <v>0</v>
      </c>
      <c r="BC191" s="219">
        <f t="shared" si="110"/>
        <v>1.91E-5</v>
      </c>
      <c r="BD191" s="13">
        <f t="shared" si="111"/>
        <v>0</v>
      </c>
      <c r="BE191" s="160">
        <v>196</v>
      </c>
      <c r="BF191" s="77">
        <f t="shared" si="86"/>
        <v>2.0100000000000001E-5</v>
      </c>
      <c r="BG191" s="192">
        <f t="shared" si="108"/>
        <v>0</v>
      </c>
      <c r="BI191" s="120"/>
      <c r="BJ191" s="120"/>
      <c r="BK191" s="160"/>
      <c r="BL191" s="160"/>
      <c r="BM191" s="161" t="str">
        <f t="shared" si="88"/>
        <v/>
      </c>
      <c r="BN191" s="161" t="str">
        <f t="shared" si="89"/>
        <v/>
      </c>
      <c r="BO191" s="161" t="str">
        <f t="shared" si="90"/>
        <v/>
      </c>
      <c r="BP191" s="161" t="str">
        <f t="shared" si="112"/>
        <v/>
      </c>
      <c r="BQ191" s="161" t="str">
        <f t="shared" si="92"/>
        <v/>
      </c>
      <c r="BR191" s="161" t="str">
        <f t="shared" si="93"/>
        <v/>
      </c>
      <c r="BS191" s="161" t="str">
        <f t="shared" si="113"/>
        <v/>
      </c>
      <c r="BT191" s="161" t="str">
        <f t="shared" si="114"/>
        <v/>
      </c>
      <c r="BU191" s="161" t="str">
        <f t="shared" si="95"/>
        <v/>
      </c>
      <c r="BV191" s="161" t="str">
        <f t="shared" si="96"/>
        <v/>
      </c>
      <c r="BW191" s="161" t="str">
        <f t="shared" si="97"/>
        <v/>
      </c>
      <c r="BX191" s="161" t="str">
        <f t="shared" si="87"/>
        <v/>
      </c>
      <c r="BY191" s="148"/>
      <c r="BZ191" s="148"/>
      <c r="CA191" s="148"/>
      <c r="CB191" s="148" t="s">
        <v>149</v>
      </c>
      <c r="CC191" s="148"/>
    </row>
    <row r="192" spans="1:81" ht="14.25" customHeight="1" thickBot="1">
      <c r="A192" s="190">
        <v>182</v>
      </c>
      <c r="B192" s="196"/>
      <c r="C192" s="180"/>
      <c r="D192" s="136"/>
      <c r="E192" s="91"/>
      <c r="F192" s="187"/>
      <c r="G192" s="188"/>
      <c r="H192" s="188"/>
      <c r="I192" s="188"/>
      <c r="J192" s="188"/>
      <c r="K192" s="18">
        <f t="shared" si="100"/>
        <v>0</v>
      </c>
      <c r="L192" s="279"/>
      <c r="M192" s="280"/>
      <c r="N192" s="351"/>
      <c r="O192" s="342" t="s">
        <v>65</v>
      </c>
      <c r="P192" s="187"/>
      <c r="Q192" s="188"/>
      <c r="R192" s="188"/>
      <c r="S192" s="119"/>
      <c r="T192" s="188"/>
      <c r="U192" s="211">
        <f t="shared" si="101"/>
        <v>0</v>
      </c>
      <c r="V192" s="279"/>
      <c r="W192" s="280"/>
      <c r="X192" s="351"/>
      <c r="Y192" s="209" t="s">
        <v>85</v>
      </c>
      <c r="Z192" s="71"/>
      <c r="AA192" s="321"/>
      <c r="AB192" s="321"/>
      <c r="AC192" s="322"/>
      <c r="AD192" s="188"/>
      <c r="AE192" s="18">
        <f t="shared" si="102"/>
        <v>0</v>
      </c>
      <c r="AF192" s="71"/>
      <c r="AG192" s="322"/>
      <c r="AH192" s="360"/>
      <c r="AI192" s="97"/>
      <c r="AJ192" s="194"/>
      <c r="AK192" s="193"/>
      <c r="AL192" s="205"/>
      <c r="AM192" s="197"/>
      <c r="AN192" s="205"/>
      <c r="AO192" s="197"/>
      <c r="AP192" s="205"/>
      <c r="AQ192" s="197"/>
      <c r="AR192" s="13">
        <f t="shared" si="103"/>
        <v>1.9199999999999999E-5</v>
      </c>
      <c r="AS192" s="13">
        <f t="shared" si="104"/>
        <v>0</v>
      </c>
      <c r="AT192" s="13"/>
      <c r="AU192" s="160">
        <v>197</v>
      </c>
      <c r="AV192" s="191">
        <f t="shared" si="84"/>
        <v>2.1399999999999998E-5</v>
      </c>
      <c r="AW192" s="160">
        <f t="shared" si="105"/>
        <v>0</v>
      </c>
      <c r="AX192" s="219">
        <f t="shared" si="106"/>
        <v>1.9199999999999999E-5</v>
      </c>
      <c r="AY192" s="13">
        <f t="shared" si="109"/>
        <v>0</v>
      </c>
      <c r="AZ192" s="160">
        <v>197</v>
      </c>
      <c r="BA192" s="77">
        <f t="shared" si="85"/>
        <v>1.9999999999999998E-5</v>
      </c>
      <c r="BB192" s="192">
        <f t="shared" si="107"/>
        <v>0</v>
      </c>
      <c r="BC192" s="219">
        <f t="shared" si="110"/>
        <v>1.9199999999999999E-5</v>
      </c>
      <c r="BD192" s="13">
        <f t="shared" si="111"/>
        <v>0</v>
      </c>
      <c r="BE192" s="160">
        <v>197</v>
      </c>
      <c r="BF192" s="77">
        <f t="shared" si="86"/>
        <v>1.9999999999999998E-5</v>
      </c>
      <c r="BG192" s="192">
        <f t="shared" si="108"/>
        <v>0</v>
      </c>
      <c r="BI192" s="120"/>
      <c r="BJ192" s="120"/>
      <c r="BK192" s="160"/>
      <c r="BL192" s="160"/>
      <c r="BM192" s="161" t="str">
        <f t="shared" si="88"/>
        <v/>
      </c>
      <c r="BN192" s="161" t="str">
        <f t="shared" si="89"/>
        <v/>
      </c>
      <c r="BO192" s="161" t="str">
        <f t="shared" si="90"/>
        <v/>
      </c>
      <c r="BP192" s="161" t="str">
        <f t="shared" si="112"/>
        <v/>
      </c>
      <c r="BQ192" s="161" t="str">
        <f t="shared" si="92"/>
        <v/>
      </c>
      <c r="BR192" s="161" t="str">
        <f t="shared" si="93"/>
        <v/>
      </c>
      <c r="BS192" s="161" t="str">
        <f t="shared" si="113"/>
        <v/>
      </c>
      <c r="BT192" s="161" t="str">
        <f t="shared" si="114"/>
        <v/>
      </c>
      <c r="BU192" s="161" t="str">
        <f t="shared" si="95"/>
        <v/>
      </c>
      <c r="BV192" s="161" t="str">
        <f t="shared" si="96"/>
        <v/>
      </c>
      <c r="BW192" s="161" t="str">
        <f t="shared" si="97"/>
        <v/>
      </c>
      <c r="BX192" s="161" t="str">
        <f t="shared" si="87"/>
        <v/>
      </c>
      <c r="BY192" s="148"/>
      <c r="BZ192" s="148"/>
      <c r="CA192" s="148"/>
      <c r="CB192" s="148" t="s">
        <v>149</v>
      </c>
      <c r="CC192" s="148"/>
    </row>
    <row r="193" spans="1:81" ht="14.25" customHeight="1" thickBot="1">
      <c r="A193" s="190">
        <v>183</v>
      </c>
      <c r="B193" s="78"/>
      <c r="C193" s="181"/>
      <c r="D193" s="86"/>
      <c r="E193" s="92"/>
      <c r="F193" s="88"/>
      <c r="G193" s="93"/>
      <c r="H193" s="93"/>
      <c r="I193" s="93"/>
      <c r="J193" s="93"/>
      <c r="K193" s="81">
        <f t="shared" si="100"/>
        <v>0</v>
      </c>
      <c r="L193" s="281"/>
      <c r="M193" s="282"/>
      <c r="N193" s="352"/>
      <c r="O193" s="343" t="s">
        <v>65</v>
      </c>
      <c r="P193" s="88"/>
      <c r="Q193" s="93"/>
      <c r="R193" s="93"/>
      <c r="S193" s="89"/>
      <c r="T193" s="93"/>
      <c r="U193" s="212">
        <f t="shared" si="101"/>
        <v>0</v>
      </c>
      <c r="V193" s="281"/>
      <c r="W193" s="282"/>
      <c r="X193" s="352"/>
      <c r="Y193" s="210" t="s">
        <v>85</v>
      </c>
      <c r="Z193" s="72"/>
      <c r="AA193" s="323"/>
      <c r="AB193" s="323"/>
      <c r="AC193" s="324"/>
      <c r="AD193" s="93"/>
      <c r="AE193" s="81">
        <f t="shared" si="102"/>
        <v>0</v>
      </c>
      <c r="AF193" s="72"/>
      <c r="AG193" s="324"/>
      <c r="AH193" s="361"/>
      <c r="AI193" s="98"/>
      <c r="AJ193" s="95"/>
      <c r="AK193" s="215"/>
      <c r="AL193" s="206"/>
      <c r="AM193" s="83"/>
      <c r="AN193" s="206"/>
      <c r="AO193" s="83"/>
      <c r="AP193" s="206"/>
      <c r="AQ193" s="83"/>
      <c r="AR193" s="13">
        <f t="shared" si="103"/>
        <v>1.9299999999999998E-5</v>
      </c>
      <c r="AS193" s="13">
        <f t="shared" si="104"/>
        <v>0</v>
      </c>
      <c r="AT193" s="13"/>
      <c r="AU193" s="160">
        <v>198</v>
      </c>
      <c r="AV193" s="191">
        <f t="shared" si="84"/>
        <v>2.1299999999999999E-5</v>
      </c>
      <c r="AW193" s="160">
        <f t="shared" si="105"/>
        <v>0</v>
      </c>
      <c r="AX193" s="219">
        <f t="shared" si="106"/>
        <v>1.9299999999999998E-5</v>
      </c>
      <c r="AY193" s="13">
        <f t="shared" si="109"/>
        <v>0</v>
      </c>
      <c r="AZ193" s="160">
        <v>198</v>
      </c>
      <c r="BA193" s="77">
        <f t="shared" si="85"/>
        <v>1.9899999999999999E-5</v>
      </c>
      <c r="BB193" s="192">
        <f t="shared" si="107"/>
        <v>0</v>
      </c>
      <c r="BC193" s="219">
        <f t="shared" si="110"/>
        <v>1.9299999999999998E-5</v>
      </c>
      <c r="BD193" s="13">
        <f t="shared" si="111"/>
        <v>0</v>
      </c>
      <c r="BE193" s="160">
        <v>198</v>
      </c>
      <c r="BF193" s="77">
        <f t="shared" si="86"/>
        <v>1.9899999999999999E-5</v>
      </c>
      <c r="BG193" s="192">
        <f t="shared" si="108"/>
        <v>0</v>
      </c>
      <c r="BI193" s="120"/>
      <c r="BJ193" s="120"/>
      <c r="BK193" s="160"/>
      <c r="BL193" s="160"/>
      <c r="BM193" s="161" t="str">
        <f t="shared" si="88"/>
        <v/>
      </c>
      <c r="BN193" s="161" t="str">
        <f t="shared" si="89"/>
        <v/>
      </c>
      <c r="BO193" s="161" t="str">
        <f t="shared" si="90"/>
        <v/>
      </c>
      <c r="BP193" s="161" t="str">
        <f t="shared" si="112"/>
        <v/>
      </c>
      <c r="BQ193" s="161" t="str">
        <f t="shared" si="92"/>
        <v/>
      </c>
      <c r="BR193" s="161" t="str">
        <f t="shared" si="93"/>
        <v/>
      </c>
      <c r="BS193" s="161" t="str">
        <f t="shared" si="113"/>
        <v/>
      </c>
      <c r="BT193" s="161" t="str">
        <f t="shared" si="114"/>
        <v/>
      </c>
      <c r="BU193" s="161" t="str">
        <f t="shared" si="95"/>
        <v/>
      </c>
      <c r="BV193" s="161" t="str">
        <f t="shared" si="96"/>
        <v/>
      </c>
      <c r="BW193" s="161" t="str">
        <f t="shared" si="97"/>
        <v/>
      </c>
      <c r="BX193" s="161" t="str">
        <f t="shared" si="87"/>
        <v/>
      </c>
      <c r="BY193" s="148"/>
      <c r="BZ193" s="148"/>
      <c r="CA193" s="148"/>
      <c r="CB193" s="148" t="s">
        <v>149</v>
      </c>
      <c r="CC193" s="148"/>
    </row>
    <row r="194" spans="1:81" ht="14.25" customHeight="1" thickBot="1">
      <c r="A194" s="190">
        <v>184</v>
      </c>
      <c r="B194" s="79"/>
      <c r="C194" s="179"/>
      <c r="D194" s="137"/>
      <c r="E194" s="198"/>
      <c r="F194" s="199"/>
      <c r="G194" s="200"/>
      <c r="H194" s="200"/>
      <c r="I194" s="200"/>
      <c r="J194" s="200"/>
      <c r="K194" s="201">
        <f t="shared" si="100"/>
        <v>0</v>
      </c>
      <c r="L194" s="277"/>
      <c r="M194" s="278"/>
      <c r="N194" s="350"/>
      <c r="O194" s="341" t="s">
        <v>65</v>
      </c>
      <c r="P194" s="189"/>
      <c r="Q194" s="326"/>
      <c r="R194" s="326"/>
      <c r="S194" s="87"/>
      <c r="T194" s="207"/>
      <c r="U194" s="225">
        <f t="shared" si="101"/>
        <v>0</v>
      </c>
      <c r="V194" s="277"/>
      <c r="W194" s="278"/>
      <c r="X194" s="350"/>
      <c r="Y194" s="208" t="s">
        <v>147</v>
      </c>
      <c r="Z194" s="11"/>
      <c r="AA194" s="207"/>
      <c r="AB194" s="207"/>
      <c r="AC194" s="3"/>
      <c r="AD194" s="207"/>
      <c r="AE194" s="226">
        <f t="shared" si="102"/>
        <v>0</v>
      </c>
      <c r="AF194" s="11"/>
      <c r="AG194" s="3"/>
      <c r="AH194" s="359"/>
      <c r="AI194" s="96"/>
      <c r="AJ194" s="94"/>
      <c r="AK194" s="214"/>
      <c r="AL194" s="213"/>
      <c r="AM194" s="82"/>
      <c r="AN194" s="213"/>
      <c r="AO194" s="82"/>
      <c r="AP194" s="213"/>
      <c r="AQ194" s="82"/>
      <c r="AR194" s="13">
        <f t="shared" si="103"/>
        <v>1.9400000000000001E-5</v>
      </c>
      <c r="AS194" s="13">
        <f t="shared" si="104"/>
        <v>0</v>
      </c>
      <c r="AT194" s="13"/>
      <c r="AU194" s="160">
        <v>199</v>
      </c>
      <c r="AV194" s="191">
        <f t="shared" si="84"/>
        <v>2.12E-5</v>
      </c>
      <c r="AW194" s="160">
        <f t="shared" si="105"/>
        <v>0</v>
      </c>
      <c r="AX194" s="219">
        <f t="shared" si="106"/>
        <v>1.9400000000000001E-5</v>
      </c>
      <c r="AY194" s="13">
        <f t="shared" si="109"/>
        <v>0</v>
      </c>
      <c r="AZ194" s="160">
        <v>199</v>
      </c>
      <c r="BA194" s="77">
        <f t="shared" si="85"/>
        <v>1.98E-5</v>
      </c>
      <c r="BB194" s="192">
        <f t="shared" si="107"/>
        <v>0</v>
      </c>
      <c r="BC194" s="219">
        <f t="shared" si="110"/>
        <v>1.9400000000000001E-5</v>
      </c>
      <c r="BD194" s="13">
        <f t="shared" si="111"/>
        <v>0</v>
      </c>
      <c r="BE194" s="160">
        <v>199</v>
      </c>
      <c r="BF194" s="77">
        <f t="shared" si="86"/>
        <v>1.98E-5</v>
      </c>
      <c r="BG194" s="192">
        <f t="shared" si="108"/>
        <v>0</v>
      </c>
      <c r="BI194" s="120"/>
      <c r="BJ194" s="120"/>
      <c r="BK194" s="160"/>
      <c r="BL194" s="160"/>
      <c r="BM194" s="161" t="str">
        <f t="shared" si="88"/>
        <v/>
      </c>
      <c r="BN194" s="161" t="str">
        <f t="shared" si="89"/>
        <v/>
      </c>
      <c r="BO194" s="161" t="str">
        <f t="shared" si="90"/>
        <v/>
      </c>
      <c r="BP194" s="161" t="str">
        <f t="shared" si="112"/>
        <v/>
      </c>
      <c r="BQ194" s="161" t="str">
        <f t="shared" si="92"/>
        <v/>
      </c>
      <c r="BR194" s="161" t="str">
        <f t="shared" si="93"/>
        <v/>
      </c>
      <c r="BS194" s="161" t="str">
        <f t="shared" si="113"/>
        <v/>
      </c>
      <c r="BT194" s="161" t="str">
        <f t="shared" si="114"/>
        <v/>
      </c>
      <c r="BU194" s="161" t="str">
        <f t="shared" si="95"/>
        <v/>
      </c>
      <c r="BV194" s="161" t="str">
        <f t="shared" si="96"/>
        <v/>
      </c>
      <c r="BW194" s="161" t="str">
        <f t="shared" si="97"/>
        <v/>
      </c>
      <c r="BX194" s="161" t="str">
        <f t="shared" si="87"/>
        <v/>
      </c>
      <c r="BY194" s="148"/>
      <c r="BZ194" s="148"/>
      <c r="CA194" s="148"/>
      <c r="CB194" s="148" t="s">
        <v>149</v>
      </c>
      <c r="CC194" s="148"/>
    </row>
    <row r="195" spans="1:81" ht="14.25" customHeight="1" thickBot="1">
      <c r="A195" s="190">
        <v>185</v>
      </c>
      <c r="B195" s="196"/>
      <c r="C195" s="180"/>
      <c r="D195" s="136"/>
      <c r="E195" s="91"/>
      <c r="F195" s="187"/>
      <c r="G195" s="188"/>
      <c r="H195" s="188"/>
      <c r="I195" s="188"/>
      <c r="J195" s="188"/>
      <c r="K195" s="18">
        <f t="shared" si="100"/>
        <v>0</v>
      </c>
      <c r="L195" s="279"/>
      <c r="M195" s="280"/>
      <c r="N195" s="351"/>
      <c r="O195" s="342" t="s">
        <v>65</v>
      </c>
      <c r="P195" s="187"/>
      <c r="Q195" s="188"/>
      <c r="R195" s="188"/>
      <c r="S195" s="119"/>
      <c r="T195" s="188"/>
      <c r="U195" s="211">
        <f t="shared" si="101"/>
        <v>0</v>
      </c>
      <c r="V195" s="279"/>
      <c r="W195" s="280"/>
      <c r="X195" s="351"/>
      <c r="Y195" s="209" t="s">
        <v>85</v>
      </c>
      <c r="Z195" s="71"/>
      <c r="AA195" s="321"/>
      <c r="AB195" s="321"/>
      <c r="AC195" s="322"/>
      <c r="AD195" s="188"/>
      <c r="AE195" s="18">
        <f t="shared" si="102"/>
        <v>0</v>
      </c>
      <c r="AF195" s="71"/>
      <c r="AG195" s="322"/>
      <c r="AH195" s="360"/>
      <c r="AI195" s="97"/>
      <c r="AJ195" s="194"/>
      <c r="AK195" s="193"/>
      <c r="AL195" s="205"/>
      <c r="AM195" s="197"/>
      <c r="AN195" s="205"/>
      <c r="AO195" s="197"/>
      <c r="AP195" s="205"/>
      <c r="AQ195" s="197"/>
      <c r="AR195" s="13">
        <f t="shared" si="103"/>
        <v>1.95E-5</v>
      </c>
      <c r="AS195" s="13">
        <f t="shared" si="104"/>
        <v>0</v>
      </c>
      <c r="AT195" s="13"/>
      <c r="AU195" s="160">
        <v>200</v>
      </c>
      <c r="AV195" s="191">
        <f t="shared" si="84"/>
        <v>2.1099999999999998E-5</v>
      </c>
      <c r="AW195" s="160">
        <f t="shared" si="105"/>
        <v>0</v>
      </c>
      <c r="AX195" s="219">
        <f t="shared" si="106"/>
        <v>1.95E-5</v>
      </c>
      <c r="AY195" s="13">
        <f t="shared" si="109"/>
        <v>0</v>
      </c>
      <c r="AZ195" s="160">
        <v>200</v>
      </c>
      <c r="BA195" s="77">
        <f t="shared" si="85"/>
        <v>1.9699999999999998E-5</v>
      </c>
      <c r="BB195" s="192">
        <f t="shared" si="107"/>
        <v>0</v>
      </c>
      <c r="BC195" s="219">
        <f t="shared" si="110"/>
        <v>1.95E-5</v>
      </c>
      <c r="BD195" s="13">
        <f t="shared" si="111"/>
        <v>0</v>
      </c>
      <c r="BE195" s="160">
        <v>200</v>
      </c>
      <c r="BF195" s="77">
        <f t="shared" si="86"/>
        <v>1.9699999999999998E-5</v>
      </c>
      <c r="BG195" s="192">
        <f t="shared" si="108"/>
        <v>0</v>
      </c>
      <c r="BI195" s="120"/>
      <c r="BJ195" s="120"/>
      <c r="BK195" s="160"/>
      <c r="BL195" s="160"/>
      <c r="BM195" s="161" t="str">
        <f t="shared" si="88"/>
        <v/>
      </c>
      <c r="BN195" s="161" t="str">
        <f t="shared" si="89"/>
        <v/>
      </c>
      <c r="BO195" s="161" t="str">
        <f t="shared" si="90"/>
        <v/>
      </c>
      <c r="BP195" s="161" t="str">
        <f t="shared" si="112"/>
        <v/>
      </c>
      <c r="BQ195" s="161" t="str">
        <f t="shared" si="92"/>
        <v/>
      </c>
      <c r="BR195" s="161" t="str">
        <f t="shared" si="93"/>
        <v/>
      </c>
      <c r="BS195" s="161" t="str">
        <f t="shared" si="113"/>
        <v/>
      </c>
      <c r="BT195" s="161" t="str">
        <f t="shared" si="114"/>
        <v/>
      </c>
      <c r="BU195" s="161" t="str">
        <f t="shared" si="95"/>
        <v/>
      </c>
      <c r="BV195" s="161" t="str">
        <f t="shared" si="96"/>
        <v/>
      </c>
      <c r="BW195" s="161" t="str">
        <f t="shared" si="97"/>
        <v/>
      </c>
      <c r="BX195" s="161" t="str">
        <f t="shared" si="87"/>
        <v/>
      </c>
      <c r="BY195" s="148"/>
      <c r="BZ195" s="148"/>
      <c r="CA195" s="148"/>
      <c r="CB195" s="148" t="s">
        <v>149</v>
      </c>
      <c r="CC195" s="148"/>
    </row>
    <row r="196" spans="1:81" ht="14.25" customHeight="1" thickBot="1">
      <c r="A196" s="190">
        <v>186</v>
      </c>
      <c r="B196" s="78"/>
      <c r="C196" s="181"/>
      <c r="D196" s="86"/>
      <c r="E196" s="92"/>
      <c r="F196" s="88"/>
      <c r="G196" s="93"/>
      <c r="H196" s="93"/>
      <c r="I196" s="93"/>
      <c r="J196" s="93"/>
      <c r="K196" s="81">
        <f t="shared" si="100"/>
        <v>0</v>
      </c>
      <c r="L196" s="281"/>
      <c r="M196" s="282"/>
      <c r="N196" s="352"/>
      <c r="O196" s="343" t="s">
        <v>65</v>
      </c>
      <c r="P196" s="88"/>
      <c r="Q196" s="93"/>
      <c r="R196" s="93"/>
      <c r="S196" s="89"/>
      <c r="T196" s="93"/>
      <c r="U196" s="212">
        <f t="shared" si="101"/>
        <v>0</v>
      </c>
      <c r="V196" s="281"/>
      <c r="W196" s="282"/>
      <c r="X196" s="352"/>
      <c r="Y196" s="210" t="s">
        <v>85</v>
      </c>
      <c r="Z196" s="72"/>
      <c r="AA196" s="323"/>
      <c r="AB196" s="323"/>
      <c r="AC196" s="324"/>
      <c r="AD196" s="93"/>
      <c r="AE196" s="81">
        <f t="shared" si="102"/>
        <v>0</v>
      </c>
      <c r="AF196" s="72"/>
      <c r="AG196" s="324"/>
      <c r="AH196" s="361"/>
      <c r="AI196" s="98"/>
      <c r="AJ196" s="95"/>
      <c r="AK196" s="215"/>
      <c r="AL196" s="206"/>
      <c r="AM196" s="83"/>
      <c r="AN196" s="206"/>
      <c r="AO196" s="83"/>
      <c r="AP196" s="206"/>
      <c r="AQ196" s="83"/>
      <c r="AR196" s="13">
        <f t="shared" si="103"/>
        <v>1.9599999999999999E-5</v>
      </c>
      <c r="AS196" s="13">
        <f t="shared" si="104"/>
        <v>0</v>
      </c>
      <c r="AT196" s="13"/>
      <c r="AU196" s="160">
        <v>201</v>
      </c>
      <c r="AV196" s="191">
        <f t="shared" si="84"/>
        <v>2.0999999999999999E-5</v>
      </c>
      <c r="AW196" s="160">
        <f t="shared" si="105"/>
        <v>0</v>
      </c>
      <c r="AX196" s="219">
        <f t="shared" si="106"/>
        <v>1.9599999999999999E-5</v>
      </c>
      <c r="AY196" s="13">
        <f t="shared" si="109"/>
        <v>0</v>
      </c>
      <c r="AZ196" s="160">
        <v>201</v>
      </c>
      <c r="BA196" s="77">
        <f t="shared" si="85"/>
        <v>1.9599999999999999E-5</v>
      </c>
      <c r="BB196" s="192">
        <f t="shared" si="107"/>
        <v>0</v>
      </c>
      <c r="BC196" s="219">
        <f t="shared" si="110"/>
        <v>1.9599999999999999E-5</v>
      </c>
      <c r="BD196" s="13">
        <f t="shared" si="111"/>
        <v>0</v>
      </c>
      <c r="BE196" s="160">
        <v>201</v>
      </c>
      <c r="BF196" s="77">
        <f t="shared" si="86"/>
        <v>1.9599999999999999E-5</v>
      </c>
      <c r="BG196" s="192">
        <f t="shared" si="108"/>
        <v>0</v>
      </c>
      <c r="BI196" s="120"/>
      <c r="BJ196" s="120"/>
      <c r="BK196" s="160"/>
      <c r="BL196" s="160"/>
      <c r="BM196" s="161" t="str">
        <f t="shared" si="88"/>
        <v/>
      </c>
      <c r="BN196" s="161" t="str">
        <f t="shared" si="89"/>
        <v/>
      </c>
      <c r="BO196" s="161" t="str">
        <f t="shared" si="90"/>
        <v/>
      </c>
      <c r="BP196" s="161" t="str">
        <f t="shared" si="112"/>
        <v/>
      </c>
      <c r="BQ196" s="161" t="str">
        <f t="shared" si="92"/>
        <v/>
      </c>
      <c r="BR196" s="161" t="str">
        <f t="shared" si="93"/>
        <v/>
      </c>
      <c r="BS196" s="161" t="str">
        <f t="shared" si="113"/>
        <v/>
      </c>
      <c r="BT196" s="161" t="str">
        <f t="shared" si="114"/>
        <v/>
      </c>
      <c r="BU196" s="161" t="str">
        <f t="shared" si="95"/>
        <v/>
      </c>
      <c r="BV196" s="161" t="str">
        <f t="shared" si="96"/>
        <v/>
      </c>
      <c r="BW196" s="161" t="str">
        <f t="shared" si="97"/>
        <v/>
      </c>
      <c r="BX196" s="161" t="str">
        <f t="shared" si="87"/>
        <v/>
      </c>
      <c r="BY196" s="148"/>
      <c r="BZ196" s="148"/>
      <c r="CA196" s="148"/>
      <c r="CB196" s="148" t="s">
        <v>149</v>
      </c>
      <c r="CC196" s="148"/>
    </row>
    <row r="197" spans="1:81" ht="14.25" customHeight="1" thickBot="1">
      <c r="A197" s="190">
        <v>187</v>
      </c>
      <c r="B197" s="79"/>
      <c r="C197" s="179"/>
      <c r="D197" s="137"/>
      <c r="E197" s="198"/>
      <c r="F197" s="199"/>
      <c r="G197" s="200"/>
      <c r="H197" s="200"/>
      <c r="I197" s="200"/>
      <c r="J197" s="200"/>
      <c r="K197" s="201">
        <f t="shared" si="100"/>
        <v>0</v>
      </c>
      <c r="L197" s="277"/>
      <c r="M197" s="278"/>
      <c r="N197" s="350"/>
      <c r="O197" s="341" t="s">
        <v>65</v>
      </c>
      <c r="P197" s="189"/>
      <c r="Q197" s="326"/>
      <c r="R197" s="326"/>
      <c r="S197" s="87"/>
      <c r="T197" s="207"/>
      <c r="U197" s="225">
        <f t="shared" si="101"/>
        <v>0</v>
      </c>
      <c r="V197" s="277"/>
      <c r="W197" s="278"/>
      <c r="X197" s="350"/>
      <c r="Y197" s="208" t="s">
        <v>147</v>
      </c>
      <c r="Z197" s="11"/>
      <c r="AA197" s="207"/>
      <c r="AB197" s="207"/>
      <c r="AC197" s="3"/>
      <c r="AD197" s="207"/>
      <c r="AE197" s="226">
        <f t="shared" si="102"/>
        <v>0</v>
      </c>
      <c r="AF197" s="11"/>
      <c r="AG197" s="3"/>
      <c r="AH197" s="359"/>
      <c r="AI197" s="96"/>
      <c r="AJ197" s="94"/>
      <c r="AK197" s="214"/>
      <c r="AL197" s="213"/>
      <c r="AM197" s="82"/>
      <c r="AN197" s="213"/>
      <c r="AO197" s="82"/>
      <c r="AP197" s="213"/>
      <c r="AQ197" s="82"/>
      <c r="AR197" s="13">
        <f t="shared" si="103"/>
        <v>1.9699999999999998E-5</v>
      </c>
      <c r="AS197" s="13">
        <f t="shared" si="104"/>
        <v>0</v>
      </c>
      <c r="AT197" s="13"/>
      <c r="AU197" s="160">
        <v>202</v>
      </c>
      <c r="AV197" s="191">
        <f t="shared" si="84"/>
        <v>2.09E-5</v>
      </c>
      <c r="AW197" s="160">
        <f t="shared" si="105"/>
        <v>0</v>
      </c>
      <c r="AX197" s="219">
        <f t="shared" si="106"/>
        <v>1.9699999999999998E-5</v>
      </c>
      <c r="AY197" s="13">
        <f t="shared" si="109"/>
        <v>0</v>
      </c>
      <c r="AZ197" s="160">
        <v>202</v>
      </c>
      <c r="BA197" s="77">
        <f t="shared" si="85"/>
        <v>1.95E-5</v>
      </c>
      <c r="BB197" s="192">
        <f t="shared" si="107"/>
        <v>0</v>
      </c>
      <c r="BC197" s="219">
        <f t="shared" si="110"/>
        <v>1.9699999999999998E-5</v>
      </c>
      <c r="BD197" s="13">
        <f t="shared" si="111"/>
        <v>0</v>
      </c>
      <c r="BE197" s="160">
        <v>202</v>
      </c>
      <c r="BF197" s="77">
        <f t="shared" si="86"/>
        <v>1.95E-5</v>
      </c>
      <c r="BG197" s="192">
        <f t="shared" si="108"/>
        <v>0</v>
      </c>
      <c r="BI197" s="120"/>
      <c r="BJ197" s="120"/>
      <c r="BK197" s="160"/>
      <c r="BL197" s="160"/>
      <c r="BM197" s="161" t="str">
        <f t="shared" si="88"/>
        <v/>
      </c>
      <c r="BN197" s="161" t="str">
        <f t="shared" si="89"/>
        <v/>
      </c>
      <c r="BO197" s="161" t="str">
        <f t="shared" si="90"/>
        <v/>
      </c>
      <c r="BP197" s="161" t="str">
        <f t="shared" si="112"/>
        <v/>
      </c>
      <c r="BQ197" s="161" t="str">
        <f t="shared" si="92"/>
        <v/>
      </c>
      <c r="BR197" s="161" t="str">
        <f t="shared" si="93"/>
        <v/>
      </c>
      <c r="BS197" s="161" t="str">
        <f t="shared" si="113"/>
        <v/>
      </c>
      <c r="BT197" s="161" t="str">
        <f t="shared" si="114"/>
        <v/>
      </c>
      <c r="BU197" s="161" t="str">
        <f t="shared" si="95"/>
        <v/>
      </c>
      <c r="BV197" s="161" t="str">
        <f t="shared" si="96"/>
        <v/>
      </c>
      <c r="BW197" s="161" t="str">
        <f t="shared" si="97"/>
        <v/>
      </c>
      <c r="BX197" s="161" t="str">
        <f t="shared" si="87"/>
        <v/>
      </c>
      <c r="BY197" s="148"/>
      <c r="BZ197" s="148"/>
      <c r="CA197" s="148"/>
      <c r="CB197" s="148" t="s">
        <v>149</v>
      </c>
      <c r="CC197" s="148"/>
    </row>
    <row r="198" spans="1:81" ht="14.25" customHeight="1" thickBot="1">
      <c r="A198" s="190">
        <v>188</v>
      </c>
      <c r="B198" s="196"/>
      <c r="C198" s="180"/>
      <c r="D198" s="136"/>
      <c r="E198" s="91"/>
      <c r="F198" s="187"/>
      <c r="G198" s="188"/>
      <c r="H198" s="188"/>
      <c r="I198" s="188"/>
      <c r="J198" s="188"/>
      <c r="K198" s="18">
        <f t="shared" si="100"/>
        <v>0</v>
      </c>
      <c r="L198" s="279"/>
      <c r="M198" s="280"/>
      <c r="N198" s="351"/>
      <c r="O198" s="342" t="s">
        <v>65</v>
      </c>
      <c r="P198" s="187"/>
      <c r="Q198" s="188"/>
      <c r="R198" s="188"/>
      <c r="S198" s="119"/>
      <c r="T198" s="188"/>
      <c r="U198" s="211">
        <f t="shared" si="101"/>
        <v>0</v>
      </c>
      <c r="V198" s="279"/>
      <c r="W198" s="280"/>
      <c r="X198" s="351"/>
      <c r="Y198" s="209" t="s">
        <v>85</v>
      </c>
      <c r="Z198" s="71"/>
      <c r="AA198" s="321"/>
      <c r="AB198" s="321"/>
      <c r="AC198" s="322"/>
      <c r="AD198" s="188"/>
      <c r="AE198" s="18">
        <f t="shared" si="102"/>
        <v>0</v>
      </c>
      <c r="AF198" s="71"/>
      <c r="AG198" s="322"/>
      <c r="AH198" s="360"/>
      <c r="AI198" s="97"/>
      <c r="AJ198" s="194"/>
      <c r="AK198" s="193"/>
      <c r="AL198" s="205"/>
      <c r="AM198" s="197"/>
      <c r="AN198" s="205"/>
      <c r="AO198" s="197"/>
      <c r="AP198" s="205"/>
      <c r="AQ198" s="197"/>
      <c r="AR198" s="13">
        <f t="shared" si="103"/>
        <v>1.98E-5</v>
      </c>
      <c r="AS198" s="13">
        <f t="shared" si="104"/>
        <v>0</v>
      </c>
      <c r="AT198" s="13"/>
      <c r="AU198" s="160">
        <v>203</v>
      </c>
      <c r="AV198" s="191">
        <f t="shared" si="84"/>
        <v>2.0799999999999997E-5</v>
      </c>
      <c r="AW198" s="160">
        <f t="shared" si="105"/>
        <v>0</v>
      </c>
      <c r="AX198" s="219">
        <f t="shared" si="106"/>
        <v>1.98E-5</v>
      </c>
      <c r="AY198" s="13">
        <f t="shared" si="109"/>
        <v>0</v>
      </c>
      <c r="AZ198" s="160">
        <v>203</v>
      </c>
      <c r="BA198" s="77">
        <f t="shared" si="85"/>
        <v>1.9400000000000001E-5</v>
      </c>
      <c r="BB198" s="192">
        <f t="shared" si="107"/>
        <v>0</v>
      </c>
      <c r="BC198" s="219">
        <f t="shared" si="110"/>
        <v>1.98E-5</v>
      </c>
      <c r="BD198" s="13">
        <f t="shared" si="111"/>
        <v>0</v>
      </c>
      <c r="BE198" s="160">
        <v>203</v>
      </c>
      <c r="BF198" s="77">
        <f t="shared" si="86"/>
        <v>1.9400000000000001E-5</v>
      </c>
      <c r="BG198" s="192">
        <f t="shared" si="108"/>
        <v>0</v>
      </c>
      <c r="BI198" s="120"/>
      <c r="BJ198" s="120"/>
      <c r="BK198" s="160"/>
      <c r="BL198" s="160"/>
      <c r="BM198" s="161" t="str">
        <f t="shared" si="88"/>
        <v/>
      </c>
      <c r="BN198" s="161" t="str">
        <f t="shared" si="89"/>
        <v/>
      </c>
      <c r="BO198" s="161" t="str">
        <f t="shared" si="90"/>
        <v/>
      </c>
      <c r="BP198" s="161" t="str">
        <f t="shared" si="112"/>
        <v/>
      </c>
      <c r="BQ198" s="161" t="str">
        <f t="shared" si="92"/>
        <v/>
      </c>
      <c r="BR198" s="161" t="str">
        <f t="shared" si="93"/>
        <v/>
      </c>
      <c r="BS198" s="161" t="str">
        <f t="shared" si="113"/>
        <v/>
      </c>
      <c r="BT198" s="161" t="str">
        <f t="shared" si="114"/>
        <v/>
      </c>
      <c r="BU198" s="161" t="str">
        <f t="shared" si="95"/>
        <v/>
      </c>
      <c r="BV198" s="161" t="str">
        <f t="shared" ref="BV198:BV252" si="115">MID($BK198,3,1)</f>
        <v/>
      </c>
      <c r="BW198" s="161" t="str">
        <f t="shared" si="97"/>
        <v/>
      </c>
      <c r="BX198" s="161" t="str">
        <f t="shared" si="87"/>
        <v/>
      </c>
      <c r="BY198" s="148"/>
      <c r="BZ198" s="148"/>
      <c r="CA198" s="148"/>
      <c r="CB198" s="148" t="s">
        <v>149</v>
      </c>
      <c r="CC198" s="148"/>
    </row>
    <row r="199" spans="1:81" ht="14.25" customHeight="1" thickBot="1">
      <c r="A199" s="190">
        <v>189</v>
      </c>
      <c r="B199" s="78"/>
      <c r="C199" s="181"/>
      <c r="D199" s="86"/>
      <c r="E199" s="92"/>
      <c r="F199" s="88"/>
      <c r="G199" s="93"/>
      <c r="H199" s="93"/>
      <c r="I199" s="93"/>
      <c r="J199" s="93"/>
      <c r="K199" s="81">
        <f t="shared" si="100"/>
        <v>0</v>
      </c>
      <c r="L199" s="281"/>
      <c r="M199" s="282"/>
      <c r="N199" s="352"/>
      <c r="O199" s="343" t="s">
        <v>65</v>
      </c>
      <c r="P199" s="88"/>
      <c r="Q199" s="93"/>
      <c r="R199" s="93"/>
      <c r="S199" s="89"/>
      <c r="T199" s="93"/>
      <c r="U199" s="212">
        <f t="shared" si="101"/>
        <v>0</v>
      </c>
      <c r="V199" s="281"/>
      <c r="W199" s="282"/>
      <c r="X199" s="352"/>
      <c r="Y199" s="210" t="s">
        <v>85</v>
      </c>
      <c r="Z199" s="72"/>
      <c r="AA199" s="323"/>
      <c r="AB199" s="323"/>
      <c r="AC199" s="324"/>
      <c r="AD199" s="93"/>
      <c r="AE199" s="81">
        <f t="shared" si="102"/>
        <v>0</v>
      </c>
      <c r="AF199" s="72"/>
      <c r="AG199" s="324"/>
      <c r="AH199" s="361"/>
      <c r="AI199" s="98"/>
      <c r="AJ199" s="95"/>
      <c r="AK199" s="215"/>
      <c r="AL199" s="206"/>
      <c r="AM199" s="83"/>
      <c r="AN199" s="206"/>
      <c r="AO199" s="83"/>
      <c r="AP199" s="206"/>
      <c r="AQ199" s="83"/>
      <c r="AR199" s="13">
        <f t="shared" si="103"/>
        <v>1.9899999999999999E-5</v>
      </c>
      <c r="AS199" s="13">
        <f t="shared" si="104"/>
        <v>0</v>
      </c>
      <c r="AT199" s="13"/>
      <c r="AU199" s="160">
        <v>204</v>
      </c>
      <c r="AV199" s="191">
        <f t="shared" si="84"/>
        <v>2.0699999999999998E-5</v>
      </c>
      <c r="AW199" s="160">
        <f t="shared" si="105"/>
        <v>0</v>
      </c>
      <c r="AX199" s="219">
        <f t="shared" si="106"/>
        <v>1.9899999999999999E-5</v>
      </c>
      <c r="AY199" s="13">
        <f t="shared" si="109"/>
        <v>0</v>
      </c>
      <c r="AZ199" s="160">
        <v>204</v>
      </c>
      <c r="BA199" s="77">
        <f t="shared" si="85"/>
        <v>1.9299999999999998E-5</v>
      </c>
      <c r="BB199" s="192">
        <f t="shared" si="107"/>
        <v>0</v>
      </c>
      <c r="BC199" s="219">
        <f t="shared" si="110"/>
        <v>1.9899999999999999E-5</v>
      </c>
      <c r="BD199" s="13">
        <f t="shared" si="111"/>
        <v>0</v>
      </c>
      <c r="BE199" s="160">
        <v>204</v>
      </c>
      <c r="BF199" s="77">
        <f t="shared" si="86"/>
        <v>1.9299999999999998E-5</v>
      </c>
      <c r="BG199" s="192">
        <f t="shared" si="108"/>
        <v>0</v>
      </c>
      <c r="BI199" s="120"/>
      <c r="BJ199" s="120"/>
      <c r="BK199" s="160"/>
      <c r="BL199" s="160"/>
      <c r="BM199" s="161" t="str">
        <f t="shared" si="88"/>
        <v/>
      </c>
      <c r="BN199" s="161" t="str">
        <f t="shared" si="89"/>
        <v/>
      </c>
      <c r="BO199" s="161" t="str">
        <f t="shared" si="90"/>
        <v/>
      </c>
      <c r="BP199" s="161" t="str">
        <f t="shared" si="112"/>
        <v/>
      </c>
      <c r="BQ199" s="161" t="str">
        <f t="shared" si="92"/>
        <v/>
      </c>
      <c r="BR199" s="161" t="str">
        <f t="shared" si="93"/>
        <v/>
      </c>
      <c r="BS199" s="161" t="str">
        <f t="shared" si="113"/>
        <v/>
      </c>
      <c r="BT199" s="161" t="str">
        <f t="shared" si="114"/>
        <v/>
      </c>
      <c r="BU199" s="161" t="str">
        <f t="shared" si="95"/>
        <v/>
      </c>
      <c r="BV199" s="161" t="str">
        <f t="shared" si="115"/>
        <v/>
      </c>
      <c r="BW199" s="161" t="str">
        <f t="shared" si="97"/>
        <v/>
      </c>
      <c r="BX199" s="161" t="str">
        <f t="shared" si="87"/>
        <v/>
      </c>
      <c r="BY199" s="148"/>
      <c r="BZ199" s="148"/>
      <c r="CA199" s="148"/>
      <c r="CB199" s="148" t="s">
        <v>149</v>
      </c>
      <c r="CC199" s="148"/>
    </row>
    <row r="200" spans="1:81" ht="14.25" customHeight="1" thickBot="1">
      <c r="A200" s="190">
        <v>190</v>
      </c>
      <c r="B200" s="79"/>
      <c r="C200" s="179"/>
      <c r="D200" s="137"/>
      <c r="E200" s="198"/>
      <c r="F200" s="199"/>
      <c r="G200" s="200"/>
      <c r="H200" s="200"/>
      <c r="I200" s="200"/>
      <c r="J200" s="200"/>
      <c r="K200" s="201">
        <f t="shared" si="100"/>
        <v>0</v>
      </c>
      <c r="L200" s="277"/>
      <c r="M200" s="278"/>
      <c r="N200" s="350"/>
      <c r="O200" s="341" t="s">
        <v>65</v>
      </c>
      <c r="P200" s="189"/>
      <c r="Q200" s="326"/>
      <c r="R200" s="326"/>
      <c r="S200" s="87"/>
      <c r="T200" s="207"/>
      <c r="U200" s="225">
        <f t="shared" si="101"/>
        <v>0</v>
      </c>
      <c r="V200" s="277"/>
      <c r="W200" s="278"/>
      <c r="X200" s="350"/>
      <c r="Y200" s="208" t="s">
        <v>147</v>
      </c>
      <c r="Z200" s="11"/>
      <c r="AA200" s="207"/>
      <c r="AB200" s="207"/>
      <c r="AC200" s="3"/>
      <c r="AD200" s="207"/>
      <c r="AE200" s="226">
        <f t="shared" si="102"/>
        <v>0</v>
      </c>
      <c r="AF200" s="11"/>
      <c r="AG200" s="3"/>
      <c r="AH200" s="359"/>
      <c r="AI200" s="96"/>
      <c r="AJ200" s="94"/>
      <c r="AK200" s="214"/>
      <c r="AL200" s="213"/>
      <c r="AM200" s="82"/>
      <c r="AN200" s="213"/>
      <c r="AO200" s="82"/>
      <c r="AP200" s="213"/>
      <c r="AQ200" s="82"/>
      <c r="AR200" s="13">
        <f t="shared" si="103"/>
        <v>1.9999999999999998E-5</v>
      </c>
      <c r="AS200" s="13">
        <f t="shared" si="104"/>
        <v>0</v>
      </c>
      <c r="AT200" s="13"/>
      <c r="AU200" s="160">
        <v>205</v>
      </c>
      <c r="AV200" s="191">
        <f t="shared" si="84"/>
        <v>2.0599999999999999E-5</v>
      </c>
      <c r="AW200" s="160">
        <f t="shared" si="105"/>
        <v>0</v>
      </c>
      <c r="AX200" s="219">
        <f t="shared" si="106"/>
        <v>1.9999999999999998E-5</v>
      </c>
      <c r="AY200" s="13">
        <f t="shared" si="109"/>
        <v>0</v>
      </c>
      <c r="AZ200" s="160">
        <v>205</v>
      </c>
      <c r="BA200" s="77">
        <f t="shared" si="85"/>
        <v>1.9199999999999999E-5</v>
      </c>
      <c r="BB200" s="192">
        <f t="shared" si="107"/>
        <v>0</v>
      </c>
      <c r="BC200" s="219">
        <f t="shared" si="110"/>
        <v>1.9999999999999998E-5</v>
      </c>
      <c r="BD200" s="13">
        <f t="shared" si="111"/>
        <v>0</v>
      </c>
      <c r="BE200" s="160">
        <v>205</v>
      </c>
      <c r="BF200" s="77">
        <f t="shared" si="86"/>
        <v>1.9199999999999999E-5</v>
      </c>
      <c r="BG200" s="192">
        <f t="shared" si="108"/>
        <v>0</v>
      </c>
      <c r="BI200" s="120"/>
      <c r="BJ200" s="120"/>
      <c r="BK200" s="160"/>
      <c r="BL200" s="160"/>
      <c r="BM200" s="161" t="str">
        <f t="shared" si="88"/>
        <v/>
      </c>
      <c r="BN200" s="161" t="str">
        <f t="shared" si="89"/>
        <v/>
      </c>
      <c r="BO200" s="161" t="str">
        <f t="shared" si="90"/>
        <v/>
      </c>
      <c r="BP200" s="161" t="str">
        <f t="shared" si="112"/>
        <v/>
      </c>
      <c r="BQ200" s="161" t="str">
        <f t="shared" si="92"/>
        <v/>
      </c>
      <c r="BR200" s="161" t="str">
        <f t="shared" si="93"/>
        <v/>
      </c>
      <c r="BS200" s="161" t="str">
        <f t="shared" si="113"/>
        <v/>
      </c>
      <c r="BT200" s="161" t="str">
        <f t="shared" si="114"/>
        <v/>
      </c>
      <c r="BU200" s="161" t="str">
        <f t="shared" si="95"/>
        <v/>
      </c>
      <c r="BV200" s="161" t="str">
        <f t="shared" si="115"/>
        <v/>
      </c>
      <c r="BW200" s="161" t="str">
        <f t="shared" si="97"/>
        <v/>
      </c>
      <c r="BX200" s="161" t="str">
        <f t="shared" si="87"/>
        <v/>
      </c>
      <c r="BY200" s="148"/>
      <c r="BZ200" s="148"/>
      <c r="CA200" s="148"/>
      <c r="CB200" s="148" t="s">
        <v>149</v>
      </c>
      <c r="CC200" s="148"/>
    </row>
    <row r="201" spans="1:81" ht="14.25" customHeight="1" thickBot="1">
      <c r="A201" s="190">
        <v>191</v>
      </c>
      <c r="B201" s="196"/>
      <c r="C201" s="180"/>
      <c r="D201" s="136"/>
      <c r="E201" s="91"/>
      <c r="F201" s="187"/>
      <c r="G201" s="188"/>
      <c r="H201" s="188"/>
      <c r="I201" s="188"/>
      <c r="J201" s="188"/>
      <c r="K201" s="18">
        <f t="shared" si="100"/>
        <v>0</v>
      </c>
      <c r="L201" s="279"/>
      <c r="M201" s="280"/>
      <c r="N201" s="351"/>
      <c r="O201" s="342" t="s">
        <v>65</v>
      </c>
      <c r="P201" s="187"/>
      <c r="Q201" s="188"/>
      <c r="R201" s="188"/>
      <c r="S201" s="119"/>
      <c r="T201" s="188"/>
      <c r="U201" s="211">
        <f t="shared" si="101"/>
        <v>0</v>
      </c>
      <c r="V201" s="279"/>
      <c r="W201" s="280"/>
      <c r="X201" s="351"/>
      <c r="Y201" s="209" t="s">
        <v>85</v>
      </c>
      <c r="Z201" s="71"/>
      <c r="AA201" s="321"/>
      <c r="AB201" s="321"/>
      <c r="AC201" s="322"/>
      <c r="AD201" s="188"/>
      <c r="AE201" s="18">
        <f t="shared" si="102"/>
        <v>0</v>
      </c>
      <c r="AF201" s="71"/>
      <c r="AG201" s="322"/>
      <c r="AH201" s="360"/>
      <c r="AI201" s="97"/>
      <c r="AJ201" s="194"/>
      <c r="AK201" s="193"/>
      <c r="AL201" s="205"/>
      <c r="AM201" s="197"/>
      <c r="AN201" s="205"/>
      <c r="AO201" s="197"/>
      <c r="AP201" s="205"/>
      <c r="AQ201" s="197"/>
      <c r="AR201" s="13">
        <f t="shared" si="103"/>
        <v>2.0100000000000001E-5</v>
      </c>
      <c r="AS201" s="13">
        <f t="shared" si="104"/>
        <v>0</v>
      </c>
      <c r="AT201" s="13"/>
      <c r="AU201" s="160">
        <v>206</v>
      </c>
      <c r="AV201" s="191">
        <f t="shared" si="84"/>
        <v>2.05E-5</v>
      </c>
      <c r="AW201" s="160">
        <f t="shared" si="105"/>
        <v>0</v>
      </c>
      <c r="AX201" s="219">
        <f t="shared" si="106"/>
        <v>2.0100000000000001E-5</v>
      </c>
      <c r="AY201" s="13">
        <f t="shared" si="109"/>
        <v>0</v>
      </c>
      <c r="AZ201" s="160">
        <v>206</v>
      </c>
      <c r="BA201" s="77">
        <f t="shared" si="85"/>
        <v>1.91E-5</v>
      </c>
      <c r="BB201" s="192">
        <f t="shared" si="107"/>
        <v>0</v>
      </c>
      <c r="BC201" s="219">
        <f t="shared" si="110"/>
        <v>2.0100000000000001E-5</v>
      </c>
      <c r="BD201" s="13">
        <f t="shared" si="111"/>
        <v>0</v>
      </c>
      <c r="BE201" s="160">
        <v>206</v>
      </c>
      <c r="BF201" s="77">
        <f t="shared" si="86"/>
        <v>1.91E-5</v>
      </c>
      <c r="BG201" s="192">
        <f t="shared" si="108"/>
        <v>0</v>
      </c>
      <c r="BI201" s="120"/>
      <c r="BJ201" s="120"/>
      <c r="BK201" s="160"/>
      <c r="BL201" s="160"/>
      <c r="BM201" s="161" t="str">
        <f t="shared" si="88"/>
        <v/>
      </c>
      <c r="BN201" s="161" t="str">
        <f t="shared" ref="BN201:BN252" si="116">MID($BK201,11,1)</f>
        <v/>
      </c>
      <c r="BO201" s="161" t="str">
        <f t="shared" si="90"/>
        <v/>
      </c>
      <c r="BP201" s="161" t="str">
        <f t="shared" si="112"/>
        <v/>
      </c>
      <c r="BQ201" s="161" t="str">
        <f t="shared" si="92"/>
        <v/>
      </c>
      <c r="BR201" s="161" t="str">
        <f t="shared" si="93"/>
        <v/>
      </c>
      <c r="BS201" s="161" t="str">
        <f t="shared" si="113"/>
        <v/>
      </c>
      <c r="BT201" s="161" t="str">
        <f t="shared" si="114"/>
        <v/>
      </c>
      <c r="BU201" s="161" t="str">
        <f t="shared" si="95"/>
        <v/>
      </c>
      <c r="BV201" s="161" t="str">
        <f t="shared" si="115"/>
        <v/>
      </c>
      <c r="BW201" s="161" t="str">
        <f t="shared" si="97"/>
        <v/>
      </c>
      <c r="BX201" s="161" t="str">
        <f t="shared" si="87"/>
        <v/>
      </c>
      <c r="BY201" s="148"/>
      <c r="BZ201" s="148"/>
      <c r="CA201" s="148"/>
      <c r="CB201" s="148" t="s">
        <v>149</v>
      </c>
      <c r="CC201" s="148"/>
    </row>
    <row r="202" spans="1:81" ht="14.25" customHeight="1" thickBot="1">
      <c r="A202" s="190">
        <v>192</v>
      </c>
      <c r="B202" s="78"/>
      <c r="C202" s="181"/>
      <c r="D202" s="86"/>
      <c r="E202" s="92"/>
      <c r="F202" s="88"/>
      <c r="G202" s="93"/>
      <c r="H202" s="93"/>
      <c r="I202" s="93"/>
      <c r="J202" s="93"/>
      <c r="K202" s="81">
        <f t="shared" si="100"/>
        <v>0</v>
      </c>
      <c r="L202" s="281"/>
      <c r="M202" s="282"/>
      <c r="N202" s="352"/>
      <c r="O202" s="343" t="s">
        <v>65</v>
      </c>
      <c r="P202" s="88"/>
      <c r="Q202" s="93"/>
      <c r="R202" s="93"/>
      <c r="S202" s="89"/>
      <c r="T202" s="93"/>
      <c r="U202" s="212">
        <f t="shared" si="101"/>
        <v>0</v>
      </c>
      <c r="V202" s="281"/>
      <c r="W202" s="282"/>
      <c r="X202" s="352"/>
      <c r="Y202" s="210" t="s">
        <v>85</v>
      </c>
      <c r="Z202" s="72"/>
      <c r="AA202" s="323"/>
      <c r="AB202" s="323"/>
      <c r="AC202" s="324"/>
      <c r="AD202" s="93"/>
      <c r="AE202" s="81">
        <f t="shared" si="102"/>
        <v>0</v>
      </c>
      <c r="AF202" s="72"/>
      <c r="AG202" s="324"/>
      <c r="AH202" s="361"/>
      <c r="AI202" s="98"/>
      <c r="AJ202" s="95"/>
      <c r="AK202" s="215"/>
      <c r="AL202" s="206"/>
      <c r="AM202" s="83"/>
      <c r="AN202" s="206"/>
      <c r="AO202" s="83"/>
      <c r="AP202" s="206"/>
      <c r="AQ202" s="83"/>
      <c r="AR202" s="13">
        <f t="shared" si="103"/>
        <v>2.02E-5</v>
      </c>
      <c r="AS202" s="13">
        <f t="shared" si="104"/>
        <v>0</v>
      </c>
      <c r="AT202" s="13"/>
      <c r="AU202" s="160">
        <v>207</v>
      </c>
      <c r="AV202" s="191">
        <f t="shared" si="84"/>
        <v>2.0399999999999998E-5</v>
      </c>
      <c r="AW202" s="160">
        <f t="shared" si="105"/>
        <v>0</v>
      </c>
      <c r="AX202" s="219">
        <f t="shared" si="106"/>
        <v>2.02E-5</v>
      </c>
      <c r="AY202" s="13">
        <f t="shared" si="109"/>
        <v>0</v>
      </c>
      <c r="AZ202" s="160">
        <v>207</v>
      </c>
      <c r="BA202" s="77">
        <f t="shared" si="85"/>
        <v>1.8999999999999998E-5</v>
      </c>
      <c r="BB202" s="192">
        <f t="shared" si="107"/>
        <v>0</v>
      </c>
      <c r="BC202" s="219">
        <f t="shared" si="110"/>
        <v>2.02E-5</v>
      </c>
      <c r="BD202" s="13">
        <f t="shared" si="111"/>
        <v>0</v>
      </c>
      <c r="BE202" s="160">
        <v>207</v>
      </c>
      <c r="BF202" s="77">
        <f t="shared" si="86"/>
        <v>1.8999999999999998E-5</v>
      </c>
      <c r="BG202" s="192">
        <f t="shared" si="108"/>
        <v>0</v>
      </c>
      <c r="BI202" s="120"/>
      <c r="BJ202" s="120"/>
      <c r="BK202" s="160"/>
      <c r="BL202" s="160"/>
      <c r="BM202" s="161" t="str">
        <f t="shared" si="88"/>
        <v/>
      </c>
      <c r="BN202" s="161" t="str">
        <f t="shared" si="116"/>
        <v/>
      </c>
      <c r="BO202" s="161" t="str">
        <f t="shared" si="90"/>
        <v/>
      </c>
      <c r="BP202" s="161" t="str">
        <f t="shared" si="112"/>
        <v/>
      </c>
      <c r="BQ202" s="161" t="str">
        <f t="shared" si="92"/>
        <v/>
      </c>
      <c r="BR202" s="161" t="str">
        <f t="shared" si="93"/>
        <v/>
      </c>
      <c r="BS202" s="161" t="str">
        <f t="shared" si="113"/>
        <v/>
      </c>
      <c r="BT202" s="161" t="str">
        <f t="shared" si="114"/>
        <v/>
      </c>
      <c r="BU202" s="161" t="str">
        <f t="shared" si="95"/>
        <v/>
      </c>
      <c r="BV202" s="161" t="str">
        <f t="shared" si="115"/>
        <v/>
      </c>
      <c r="BW202" s="161" t="str">
        <f t="shared" si="97"/>
        <v/>
      </c>
      <c r="BX202" s="161" t="str">
        <f t="shared" si="87"/>
        <v/>
      </c>
      <c r="BY202" s="148"/>
      <c r="BZ202" s="148"/>
      <c r="CA202" s="148"/>
      <c r="CB202" s="148" t="s">
        <v>149</v>
      </c>
      <c r="CC202" s="148"/>
    </row>
    <row r="203" spans="1:81" ht="14.25" customHeight="1" thickBot="1">
      <c r="A203" s="190">
        <v>193</v>
      </c>
      <c r="B203" s="79"/>
      <c r="C203" s="179"/>
      <c r="D203" s="137"/>
      <c r="E203" s="198"/>
      <c r="F203" s="199"/>
      <c r="G203" s="200"/>
      <c r="H203" s="200"/>
      <c r="I203" s="200"/>
      <c r="J203" s="200"/>
      <c r="K203" s="201">
        <f t="shared" si="100"/>
        <v>0</v>
      </c>
      <c r="L203" s="277"/>
      <c r="M203" s="278"/>
      <c r="N203" s="350"/>
      <c r="O203" s="341" t="s">
        <v>65</v>
      </c>
      <c r="P203" s="189"/>
      <c r="Q203" s="326"/>
      <c r="R203" s="326"/>
      <c r="S203" s="87"/>
      <c r="T203" s="207"/>
      <c r="U203" s="225">
        <f t="shared" si="101"/>
        <v>0</v>
      </c>
      <c r="V203" s="277"/>
      <c r="W203" s="278"/>
      <c r="X203" s="350"/>
      <c r="Y203" s="208" t="s">
        <v>147</v>
      </c>
      <c r="Z203" s="11"/>
      <c r="AA203" s="207"/>
      <c r="AB203" s="207"/>
      <c r="AC203" s="3"/>
      <c r="AD203" s="207"/>
      <c r="AE203" s="226">
        <f t="shared" si="102"/>
        <v>0</v>
      </c>
      <c r="AF203" s="11"/>
      <c r="AG203" s="3"/>
      <c r="AH203" s="359"/>
      <c r="AI203" s="96"/>
      <c r="AJ203" s="94"/>
      <c r="AK203" s="214"/>
      <c r="AL203" s="213"/>
      <c r="AM203" s="82"/>
      <c r="AN203" s="213"/>
      <c r="AO203" s="82"/>
      <c r="AP203" s="213"/>
      <c r="AQ203" s="82"/>
      <c r="AR203" s="13">
        <f t="shared" si="103"/>
        <v>2.0299999999999999E-5</v>
      </c>
      <c r="AS203" s="13">
        <f t="shared" si="104"/>
        <v>0</v>
      </c>
      <c r="AT203" s="13"/>
      <c r="AU203" s="160">
        <v>208</v>
      </c>
      <c r="AV203" s="191">
        <f t="shared" ref="AV203:AV266" si="117">IFERROR(LARGE($AR$11:$AR$396,AU203),"")</f>
        <v>2.0299999999999999E-5</v>
      </c>
      <c r="AW203" s="160">
        <f t="shared" si="105"/>
        <v>0</v>
      </c>
      <c r="AX203" s="219">
        <f t="shared" si="106"/>
        <v>2.0299999999999999E-5</v>
      </c>
      <c r="AY203" s="13">
        <f t="shared" si="109"/>
        <v>0</v>
      </c>
      <c r="AZ203" s="160">
        <v>208</v>
      </c>
      <c r="BA203" s="77">
        <f t="shared" ref="BA203:BA266" si="118">IFERROR(LARGE($AX$11:$AX$396,AZ203),"")</f>
        <v>1.8899999999999999E-5</v>
      </c>
      <c r="BB203" s="192">
        <f t="shared" si="107"/>
        <v>0</v>
      </c>
      <c r="BC203" s="219">
        <f t="shared" si="110"/>
        <v>2.0299999999999999E-5</v>
      </c>
      <c r="BD203" s="13">
        <f t="shared" si="111"/>
        <v>0</v>
      </c>
      <c r="BE203" s="160">
        <v>208</v>
      </c>
      <c r="BF203" s="77">
        <f t="shared" ref="BF203:BF266" si="119">IFERROR(LARGE($BC$11:$BC$396,BE203),"")</f>
        <v>1.8899999999999999E-5</v>
      </c>
      <c r="BG203" s="192">
        <f t="shared" si="108"/>
        <v>0</v>
      </c>
      <c r="BI203" s="120"/>
      <c r="BJ203" s="120"/>
      <c r="BK203" s="160"/>
      <c r="BL203" s="160"/>
      <c r="BM203" s="161" t="str">
        <f t="shared" si="88"/>
        <v/>
      </c>
      <c r="BN203" s="161" t="str">
        <f t="shared" si="116"/>
        <v/>
      </c>
      <c r="BO203" s="161" t="str">
        <f t="shared" si="90"/>
        <v/>
      </c>
      <c r="BP203" s="161" t="str">
        <f t="shared" si="112"/>
        <v/>
      </c>
      <c r="BQ203" s="161" t="str">
        <f t="shared" si="92"/>
        <v/>
      </c>
      <c r="BR203" s="161" t="str">
        <f t="shared" si="93"/>
        <v/>
      </c>
      <c r="BS203" s="161" t="str">
        <f t="shared" si="113"/>
        <v/>
      </c>
      <c r="BT203" s="161" t="str">
        <f t="shared" si="114"/>
        <v/>
      </c>
      <c r="BU203" s="161" t="str">
        <f t="shared" si="95"/>
        <v/>
      </c>
      <c r="BV203" s="161" t="str">
        <f t="shared" si="115"/>
        <v/>
      </c>
      <c r="BW203" s="161" t="str">
        <f t="shared" si="97"/>
        <v/>
      </c>
      <c r="BX203" s="161" t="str">
        <f t="shared" ref="BX203:BX266" si="120">MID($BK203,1,1)</f>
        <v/>
      </c>
      <c r="BY203" s="148"/>
      <c r="BZ203" s="148"/>
      <c r="CA203" s="148"/>
      <c r="CB203" s="148" t="s">
        <v>149</v>
      </c>
      <c r="CC203" s="148"/>
    </row>
    <row r="204" spans="1:81" ht="14.25" customHeight="1" thickBot="1">
      <c r="A204" s="190">
        <v>194</v>
      </c>
      <c r="B204" s="196"/>
      <c r="C204" s="180"/>
      <c r="D204" s="136"/>
      <c r="E204" s="91"/>
      <c r="F204" s="187"/>
      <c r="G204" s="188"/>
      <c r="H204" s="188"/>
      <c r="I204" s="188"/>
      <c r="J204" s="188"/>
      <c r="K204" s="18">
        <f t="shared" si="100"/>
        <v>0</v>
      </c>
      <c r="L204" s="279"/>
      <c r="M204" s="280"/>
      <c r="N204" s="351"/>
      <c r="O204" s="342" t="s">
        <v>65</v>
      </c>
      <c r="P204" s="187"/>
      <c r="Q204" s="188"/>
      <c r="R204" s="188"/>
      <c r="S204" s="119"/>
      <c r="T204" s="188"/>
      <c r="U204" s="211">
        <f t="shared" si="101"/>
        <v>0</v>
      </c>
      <c r="V204" s="279"/>
      <c r="W204" s="280"/>
      <c r="X204" s="351"/>
      <c r="Y204" s="209" t="s">
        <v>85</v>
      </c>
      <c r="Z204" s="71"/>
      <c r="AA204" s="321"/>
      <c r="AB204" s="321"/>
      <c r="AC204" s="322"/>
      <c r="AD204" s="188"/>
      <c r="AE204" s="18">
        <f t="shared" si="102"/>
        <v>0</v>
      </c>
      <c r="AF204" s="71"/>
      <c r="AG204" s="322"/>
      <c r="AH204" s="360"/>
      <c r="AI204" s="97"/>
      <c r="AJ204" s="194"/>
      <c r="AK204" s="193"/>
      <c r="AL204" s="205"/>
      <c r="AM204" s="197"/>
      <c r="AN204" s="205"/>
      <c r="AO204" s="197"/>
      <c r="AP204" s="205"/>
      <c r="AQ204" s="197"/>
      <c r="AR204" s="13">
        <f t="shared" si="103"/>
        <v>2.0399999999999998E-5</v>
      </c>
      <c r="AS204" s="13">
        <f t="shared" si="104"/>
        <v>0</v>
      </c>
      <c r="AT204" s="13"/>
      <c r="AU204" s="160">
        <v>209</v>
      </c>
      <c r="AV204" s="191">
        <f t="shared" si="117"/>
        <v>2.02E-5</v>
      </c>
      <c r="AW204" s="160">
        <f t="shared" si="105"/>
        <v>0</v>
      </c>
      <c r="AX204" s="219">
        <f t="shared" si="106"/>
        <v>2.0399999999999998E-5</v>
      </c>
      <c r="AY204" s="13">
        <f t="shared" si="109"/>
        <v>0</v>
      </c>
      <c r="AZ204" s="160">
        <v>209</v>
      </c>
      <c r="BA204" s="77">
        <f t="shared" si="118"/>
        <v>1.88E-5</v>
      </c>
      <c r="BB204" s="192">
        <f t="shared" si="107"/>
        <v>0</v>
      </c>
      <c r="BC204" s="219">
        <f t="shared" si="110"/>
        <v>2.0399999999999998E-5</v>
      </c>
      <c r="BD204" s="13">
        <f t="shared" si="111"/>
        <v>0</v>
      </c>
      <c r="BE204" s="160">
        <v>209</v>
      </c>
      <c r="BF204" s="77">
        <f t="shared" si="119"/>
        <v>1.88E-5</v>
      </c>
      <c r="BG204" s="192">
        <f t="shared" si="108"/>
        <v>0</v>
      </c>
      <c r="BI204" s="120"/>
      <c r="BJ204" s="120"/>
      <c r="BK204" s="160"/>
      <c r="BL204" s="160"/>
      <c r="BM204" s="161" t="str">
        <f t="shared" ref="BM204:BM267" si="121">MID($BK204,12,1)</f>
        <v/>
      </c>
      <c r="BN204" s="161" t="str">
        <f t="shared" si="116"/>
        <v/>
      </c>
      <c r="BO204" s="161" t="str">
        <f t="shared" ref="BO204:BO267" si="122">MID($BK204,10,1)</f>
        <v/>
      </c>
      <c r="BP204" s="161" t="str">
        <f t="shared" si="112"/>
        <v/>
      </c>
      <c r="BQ204" s="161" t="str">
        <f t="shared" ref="BQ204:BQ222" si="123">MID($BK204,8,1)</f>
        <v/>
      </c>
      <c r="BR204" s="161" t="str">
        <f t="shared" ref="BR204:BR267" si="124">MID($BK204,7,1)</f>
        <v/>
      </c>
      <c r="BS204" s="161" t="str">
        <f t="shared" si="113"/>
        <v/>
      </c>
      <c r="BT204" s="161" t="str">
        <f t="shared" si="114"/>
        <v/>
      </c>
      <c r="BU204" s="161" t="str">
        <f t="shared" ref="BU204:BU267" si="125">MID($BK204,4,1)</f>
        <v/>
      </c>
      <c r="BV204" s="161" t="str">
        <f t="shared" si="115"/>
        <v/>
      </c>
      <c r="BW204" s="161" t="str">
        <f t="shared" ref="BW204:BW267" si="126">MID($BK204,2,1)</f>
        <v/>
      </c>
      <c r="BX204" s="161" t="str">
        <f t="shared" si="120"/>
        <v/>
      </c>
      <c r="BY204" s="148"/>
      <c r="BZ204" s="148"/>
      <c r="CA204" s="148"/>
      <c r="CB204" s="148" t="s">
        <v>149</v>
      </c>
      <c r="CC204" s="148"/>
    </row>
    <row r="205" spans="1:81" ht="14.25" customHeight="1" thickBot="1">
      <c r="A205" s="190">
        <v>195</v>
      </c>
      <c r="B205" s="78"/>
      <c r="C205" s="181"/>
      <c r="D205" s="86"/>
      <c r="E205" s="92"/>
      <c r="F205" s="88"/>
      <c r="G205" s="93"/>
      <c r="H205" s="93"/>
      <c r="I205" s="93"/>
      <c r="J205" s="93"/>
      <c r="K205" s="81">
        <f t="shared" si="100"/>
        <v>0</v>
      </c>
      <c r="L205" s="281"/>
      <c r="M205" s="282"/>
      <c r="N205" s="352"/>
      <c r="O205" s="343" t="s">
        <v>65</v>
      </c>
      <c r="P205" s="88"/>
      <c r="Q205" s="93"/>
      <c r="R205" s="93"/>
      <c r="S205" s="89"/>
      <c r="T205" s="93"/>
      <c r="U205" s="212">
        <f t="shared" si="101"/>
        <v>0</v>
      </c>
      <c r="V205" s="281"/>
      <c r="W205" s="282"/>
      <c r="X205" s="352"/>
      <c r="Y205" s="210" t="s">
        <v>85</v>
      </c>
      <c r="Z205" s="72"/>
      <c r="AA205" s="323"/>
      <c r="AB205" s="323"/>
      <c r="AC205" s="324"/>
      <c r="AD205" s="93"/>
      <c r="AE205" s="81">
        <f t="shared" si="102"/>
        <v>0</v>
      </c>
      <c r="AF205" s="72"/>
      <c r="AG205" s="324"/>
      <c r="AH205" s="361"/>
      <c r="AI205" s="98"/>
      <c r="AJ205" s="95"/>
      <c r="AK205" s="215"/>
      <c r="AL205" s="206"/>
      <c r="AM205" s="83"/>
      <c r="AN205" s="206"/>
      <c r="AO205" s="83"/>
      <c r="AP205" s="206"/>
      <c r="AQ205" s="83"/>
      <c r="AR205" s="13">
        <f t="shared" si="103"/>
        <v>2.05E-5</v>
      </c>
      <c r="AS205" s="13">
        <f t="shared" si="104"/>
        <v>0</v>
      </c>
      <c r="AT205" s="13"/>
      <c r="AU205" s="160">
        <v>210</v>
      </c>
      <c r="AV205" s="191">
        <f t="shared" si="117"/>
        <v>2.0100000000000001E-5</v>
      </c>
      <c r="AW205" s="160">
        <f t="shared" si="105"/>
        <v>0</v>
      </c>
      <c r="AX205" s="219">
        <f t="shared" si="106"/>
        <v>2.05E-5</v>
      </c>
      <c r="AY205" s="13">
        <f t="shared" si="109"/>
        <v>0</v>
      </c>
      <c r="AZ205" s="160">
        <v>210</v>
      </c>
      <c r="BA205" s="77">
        <f t="shared" si="118"/>
        <v>1.8700000000000001E-5</v>
      </c>
      <c r="BB205" s="192">
        <f t="shared" si="107"/>
        <v>0</v>
      </c>
      <c r="BC205" s="219">
        <f t="shared" si="110"/>
        <v>2.05E-5</v>
      </c>
      <c r="BD205" s="13">
        <f t="shared" si="111"/>
        <v>0</v>
      </c>
      <c r="BE205" s="160">
        <v>210</v>
      </c>
      <c r="BF205" s="77">
        <f t="shared" si="119"/>
        <v>1.8700000000000001E-5</v>
      </c>
      <c r="BG205" s="192">
        <f t="shared" si="108"/>
        <v>0</v>
      </c>
      <c r="BI205" s="120"/>
      <c r="BJ205" s="120"/>
      <c r="BK205" s="160"/>
      <c r="BL205" s="160"/>
      <c r="BM205" s="161" t="str">
        <f t="shared" si="121"/>
        <v/>
      </c>
      <c r="BN205" s="161" t="str">
        <f t="shared" si="116"/>
        <v/>
      </c>
      <c r="BO205" s="161" t="str">
        <f t="shared" si="122"/>
        <v/>
      </c>
      <c r="BP205" s="161" t="str">
        <f t="shared" si="112"/>
        <v/>
      </c>
      <c r="BQ205" s="161" t="str">
        <f t="shared" si="123"/>
        <v/>
      </c>
      <c r="BR205" s="161" t="str">
        <f t="shared" si="124"/>
        <v/>
      </c>
      <c r="BS205" s="161" t="str">
        <f t="shared" si="113"/>
        <v/>
      </c>
      <c r="BT205" s="161" t="str">
        <f t="shared" si="114"/>
        <v/>
      </c>
      <c r="BU205" s="161" t="str">
        <f t="shared" si="125"/>
        <v/>
      </c>
      <c r="BV205" s="161" t="str">
        <f t="shared" si="115"/>
        <v/>
      </c>
      <c r="BW205" s="161" t="str">
        <f t="shared" si="126"/>
        <v/>
      </c>
      <c r="BX205" s="161" t="str">
        <f t="shared" si="120"/>
        <v/>
      </c>
      <c r="BY205" s="148"/>
      <c r="BZ205" s="148"/>
      <c r="CA205" s="148"/>
      <c r="CB205" s="148" t="s">
        <v>149</v>
      </c>
      <c r="CC205" s="148"/>
    </row>
    <row r="206" spans="1:81" ht="14.25" customHeight="1" thickBot="1">
      <c r="A206" s="190">
        <v>196</v>
      </c>
      <c r="B206" s="79"/>
      <c r="C206" s="179"/>
      <c r="D206" s="137"/>
      <c r="E206" s="198"/>
      <c r="F206" s="199"/>
      <c r="G206" s="200"/>
      <c r="H206" s="200"/>
      <c r="I206" s="200"/>
      <c r="J206" s="200"/>
      <c r="K206" s="201">
        <f t="shared" si="100"/>
        <v>0</v>
      </c>
      <c r="L206" s="277"/>
      <c r="M206" s="278"/>
      <c r="N206" s="350"/>
      <c r="O206" s="341" t="s">
        <v>65</v>
      </c>
      <c r="P206" s="189"/>
      <c r="Q206" s="326"/>
      <c r="R206" s="326"/>
      <c r="S206" s="87"/>
      <c r="T206" s="207"/>
      <c r="U206" s="225">
        <f t="shared" si="101"/>
        <v>0</v>
      </c>
      <c r="V206" s="277"/>
      <c r="W206" s="278"/>
      <c r="X206" s="350"/>
      <c r="Y206" s="208" t="s">
        <v>147</v>
      </c>
      <c r="Z206" s="11"/>
      <c r="AA206" s="207"/>
      <c r="AB206" s="207"/>
      <c r="AC206" s="3"/>
      <c r="AD206" s="207"/>
      <c r="AE206" s="226">
        <f t="shared" si="102"/>
        <v>0</v>
      </c>
      <c r="AF206" s="11"/>
      <c r="AG206" s="3"/>
      <c r="AH206" s="359"/>
      <c r="AI206" s="96"/>
      <c r="AJ206" s="94"/>
      <c r="AK206" s="214"/>
      <c r="AL206" s="213"/>
      <c r="AM206" s="82"/>
      <c r="AN206" s="213"/>
      <c r="AO206" s="82"/>
      <c r="AP206" s="213"/>
      <c r="AQ206" s="82"/>
      <c r="AR206" s="13">
        <f t="shared" si="103"/>
        <v>2.0599999999999999E-5</v>
      </c>
      <c r="AS206" s="13">
        <f t="shared" si="104"/>
        <v>0</v>
      </c>
      <c r="AT206" s="13"/>
      <c r="AU206" s="160">
        <v>211</v>
      </c>
      <c r="AV206" s="191">
        <f t="shared" si="117"/>
        <v>1.9999999999999998E-5</v>
      </c>
      <c r="AW206" s="160">
        <f t="shared" si="105"/>
        <v>0</v>
      </c>
      <c r="AX206" s="219">
        <f t="shared" si="106"/>
        <v>2.0599999999999999E-5</v>
      </c>
      <c r="AY206" s="13">
        <f t="shared" si="109"/>
        <v>0</v>
      </c>
      <c r="AZ206" s="160">
        <v>211</v>
      </c>
      <c r="BA206" s="77">
        <f t="shared" si="118"/>
        <v>1.8599999999999998E-5</v>
      </c>
      <c r="BB206" s="192">
        <f t="shared" si="107"/>
        <v>0</v>
      </c>
      <c r="BC206" s="219">
        <f t="shared" si="110"/>
        <v>2.0599999999999999E-5</v>
      </c>
      <c r="BD206" s="13">
        <f t="shared" si="111"/>
        <v>0</v>
      </c>
      <c r="BE206" s="160">
        <v>211</v>
      </c>
      <c r="BF206" s="77">
        <f t="shared" si="119"/>
        <v>1.8599999999999998E-5</v>
      </c>
      <c r="BG206" s="192">
        <f t="shared" si="108"/>
        <v>0</v>
      </c>
      <c r="BI206" s="120"/>
      <c r="BJ206" s="120"/>
      <c r="BK206" s="160"/>
      <c r="BL206" s="160"/>
      <c r="BM206" s="161" t="str">
        <f t="shared" si="121"/>
        <v/>
      </c>
      <c r="BN206" s="161" t="str">
        <f t="shared" si="116"/>
        <v/>
      </c>
      <c r="BO206" s="161" t="str">
        <f t="shared" si="122"/>
        <v/>
      </c>
      <c r="BP206" s="161" t="str">
        <f t="shared" si="112"/>
        <v/>
      </c>
      <c r="BQ206" s="161" t="str">
        <f t="shared" si="123"/>
        <v/>
      </c>
      <c r="BR206" s="161" t="str">
        <f t="shared" si="124"/>
        <v/>
      </c>
      <c r="BS206" s="161" t="str">
        <f t="shared" si="113"/>
        <v/>
      </c>
      <c r="BT206" s="161" t="str">
        <f t="shared" si="114"/>
        <v/>
      </c>
      <c r="BU206" s="161" t="str">
        <f t="shared" si="125"/>
        <v/>
      </c>
      <c r="BV206" s="161" t="str">
        <f t="shared" si="115"/>
        <v/>
      </c>
      <c r="BW206" s="161" t="str">
        <f t="shared" si="126"/>
        <v/>
      </c>
      <c r="BX206" s="161" t="str">
        <f t="shared" si="120"/>
        <v/>
      </c>
      <c r="BY206" s="148"/>
      <c r="BZ206" s="148"/>
      <c r="CA206" s="148"/>
      <c r="CB206" s="148" t="s">
        <v>149</v>
      </c>
      <c r="CC206" s="148"/>
    </row>
    <row r="207" spans="1:81" ht="14.25" customHeight="1" thickBot="1">
      <c r="A207" s="190">
        <v>197</v>
      </c>
      <c r="B207" s="196"/>
      <c r="C207" s="180"/>
      <c r="D207" s="136"/>
      <c r="E207" s="91"/>
      <c r="F207" s="187"/>
      <c r="G207" s="188"/>
      <c r="H207" s="188"/>
      <c r="I207" s="188"/>
      <c r="J207" s="188"/>
      <c r="K207" s="18">
        <f t="shared" si="100"/>
        <v>0</v>
      </c>
      <c r="L207" s="279"/>
      <c r="M207" s="280"/>
      <c r="N207" s="351"/>
      <c r="O207" s="342" t="s">
        <v>65</v>
      </c>
      <c r="P207" s="187"/>
      <c r="Q207" s="188"/>
      <c r="R207" s="188"/>
      <c r="S207" s="119"/>
      <c r="T207" s="188"/>
      <c r="U207" s="211">
        <f t="shared" si="101"/>
        <v>0</v>
      </c>
      <c r="V207" s="279"/>
      <c r="W207" s="280"/>
      <c r="X207" s="351"/>
      <c r="Y207" s="209" t="s">
        <v>85</v>
      </c>
      <c r="Z207" s="71"/>
      <c r="AA207" s="321"/>
      <c r="AB207" s="321"/>
      <c r="AC207" s="322"/>
      <c r="AD207" s="188"/>
      <c r="AE207" s="18">
        <f t="shared" si="102"/>
        <v>0</v>
      </c>
      <c r="AF207" s="71"/>
      <c r="AG207" s="322"/>
      <c r="AH207" s="360"/>
      <c r="AI207" s="97"/>
      <c r="AJ207" s="194"/>
      <c r="AK207" s="193"/>
      <c r="AL207" s="205"/>
      <c r="AM207" s="197"/>
      <c r="AN207" s="205"/>
      <c r="AO207" s="197"/>
      <c r="AP207" s="205"/>
      <c r="AQ207" s="197"/>
      <c r="AR207" s="13">
        <f t="shared" si="103"/>
        <v>2.0699999999999998E-5</v>
      </c>
      <c r="AS207" s="13">
        <f t="shared" si="104"/>
        <v>0</v>
      </c>
      <c r="AT207" s="13"/>
      <c r="AU207" s="160">
        <v>212</v>
      </c>
      <c r="AV207" s="191">
        <f t="shared" si="117"/>
        <v>1.9899999999999999E-5</v>
      </c>
      <c r="AW207" s="160">
        <f t="shared" si="105"/>
        <v>0</v>
      </c>
      <c r="AX207" s="219">
        <f t="shared" si="106"/>
        <v>2.0699999999999998E-5</v>
      </c>
      <c r="AY207" s="13">
        <f t="shared" si="109"/>
        <v>0</v>
      </c>
      <c r="AZ207" s="160">
        <v>212</v>
      </c>
      <c r="BA207" s="77">
        <f t="shared" si="118"/>
        <v>1.8499999999999999E-5</v>
      </c>
      <c r="BB207" s="192">
        <f t="shared" si="107"/>
        <v>0</v>
      </c>
      <c r="BC207" s="219">
        <f t="shared" si="110"/>
        <v>2.0699999999999998E-5</v>
      </c>
      <c r="BD207" s="13">
        <f t="shared" si="111"/>
        <v>0</v>
      </c>
      <c r="BE207" s="160">
        <v>212</v>
      </c>
      <c r="BF207" s="77">
        <f t="shared" si="119"/>
        <v>1.8499999999999999E-5</v>
      </c>
      <c r="BG207" s="192">
        <f t="shared" si="108"/>
        <v>0</v>
      </c>
      <c r="BI207" s="120"/>
      <c r="BJ207" s="120"/>
      <c r="BK207" s="160"/>
      <c r="BL207" s="160"/>
      <c r="BM207" s="161" t="str">
        <f t="shared" si="121"/>
        <v/>
      </c>
      <c r="BN207" s="161" t="str">
        <f t="shared" si="116"/>
        <v/>
      </c>
      <c r="BO207" s="161" t="str">
        <f t="shared" si="122"/>
        <v/>
      </c>
      <c r="BP207" s="161" t="str">
        <f t="shared" si="112"/>
        <v/>
      </c>
      <c r="BQ207" s="161" t="str">
        <f t="shared" si="123"/>
        <v/>
      </c>
      <c r="BR207" s="161" t="str">
        <f t="shared" si="124"/>
        <v/>
      </c>
      <c r="BS207" s="161" t="str">
        <f t="shared" si="113"/>
        <v/>
      </c>
      <c r="BT207" s="161" t="str">
        <f t="shared" si="114"/>
        <v/>
      </c>
      <c r="BU207" s="161" t="str">
        <f t="shared" si="125"/>
        <v/>
      </c>
      <c r="BV207" s="161" t="str">
        <f t="shared" si="115"/>
        <v/>
      </c>
      <c r="BW207" s="161" t="str">
        <f t="shared" si="126"/>
        <v/>
      </c>
      <c r="BX207" s="161" t="str">
        <f t="shared" si="120"/>
        <v/>
      </c>
      <c r="BY207" s="148"/>
      <c r="BZ207" s="148"/>
      <c r="CA207" s="148"/>
      <c r="CB207" s="148" t="s">
        <v>149</v>
      </c>
      <c r="CC207" s="148"/>
    </row>
    <row r="208" spans="1:81" ht="14.25" customHeight="1" thickBot="1">
      <c r="A208" s="190">
        <v>198</v>
      </c>
      <c r="B208" s="78"/>
      <c r="C208" s="181"/>
      <c r="D208" s="86"/>
      <c r="E208" s="92"/>
      <c r="F208" s="88"/>
      <c r="G208" s="93"/>
      <c r="H208" s="93"/>
      <c r="I208" s="93"/>
      <c r="J208" s="93"/>
      <c r="K208" s="81">
        <f t="shared" si="100"/>
        <v>0</v>
      </c>
      <c r="L208" s="281"/>
      <c r="M208" s="282"/>
      <c r="N208" s="352"/>
      <c r="O208" s="343" t="s">
        <v>65</v>
      </c>
      <c r="P208" s="88"/>
      <c r="Q208" s="93"/>
      <c r="R208" s="93"/>
      <c r="S208" s="89"/>
      <c r="T208" s="93"/>
      <c r="U208" s="212">
        <f t="shared" si="101"/>
        <v>0</v>
      </c>
      <c r="V208" s="281"/>
      <c r="W208" s="282"/>
      <c r="X208" s="352"/>
      <c r="Y208" s="210" t="s">
        <v>85</v>
      </c>
      <c r="Z208" s="72"/>
      <c r="AA208" s="323"/>
      <c r="AB208" s="323"/>
      <c r="AC208" s="324"/>
      <c r="AD208" s="93"/>
      <c r="AE208" s="81">
        <f t="shared" si="102"/>
        <v>0</v>
      </c>
      <c r="AF208" s="72"/>
      <c r="AG208" s="324"/>
      <c r="AH208" s="361"/>
      <c r="AI208" s="98"/>
      <c r="AJ208" s="95"/>
      <c r="AK208" s="215"/>
      <c r="AL208" s="206"/>
      <c r="AM208" s="83"/>
      <c r="AN208" s="206"/>
      <c r="AO208" s="83"/>
      <c r="AP208" s="206"/>
      <c r="AQ208" s="83"/>
      <c r="AR208" s="13">
        <f t="shared" si="103"/>
        <v>2.0799999999999997E-5</v>
      </c>
      <c r="AS208" s="13">
        <f t="shared" si="104"/>
        <v>0</v>
      </c>
      <c r="AT208" s="13"/>
      <c r="AU208" s="160">
        <v>213</v>
      </c>
      <c r="AV208" s="191">
        <f t="shared" si="117"/>
        <v>1.98E-5</v>
      </c>
      <c r="AW208" s="160">
        <f t="shared" si="105"/>
        <v>0</v>
      </c>
      <c r="AX208" s="219">
        <f t="shared" si="106"/>
        <v>2.0799999999999997E-5</v>
      </c>
      <c r="AY208" s="13">
        <f t="shared" si="109"/>
        <v>0</v>
      </c>
      <c r="AZ208" s="160">
        <v>213</v>
      </c>
      <c r="BA208" s="77">
        <f t="shared" si="118"/>
        <v>1.84E-5</v>
      </c>
      <c r="BB208" s="192">
        <f t="shared" si="107"/>
        <v>0</v>
      </c>
      <c r="BC208" s="219">
        <f t="shared" si="110"/>
        <v>2.0799999999999997E-5</v>
      </c>
      <c r="BD208" s="13">
        <f t="shared" si="111"/>
        <v>0</v>
      </c>
      <c r="BE208" s="160">
        <v>213</v>
      </c>
      <c r="BF208" s="77">
        <f t="shared" si="119"/>
        <v>1.84E-5</v>
      </c>
      <c r="BG208" s="192">
        <f t="shared" si="108"/>
        <v>0</v>
      </c>
      <c r="BI208" s="120"/>
      <c r="BJ208" s="120"/>
      <c r="BK208" s="160"/>
      <c r="BL208" s="160"/>
      <c r="BM208" s="161" t="str">
        <f t="shared" si="121"/>
        <v/>
      </c>
      <c r="BN208" s="161" t="str">
        <f t="shared" si="116"/>
        <v/>
      </c>
      <c r="BO208" s="161" t="str">
        <f t="shared" si="122"/>
        <v/>
      </c>
      <c r="BP208" s="161" t="str">
        <f t="shared" si="112"/>
        <v/>
      </c>
      <c r="BQ208" s="161" t="str">
        <f t="shared" si="123"/>
        <v/>
      </c>
      <c r="BR208" s="161" t="str">
        <f t="shared" si="124"/>
        <v/>
      </c>
      <c r="BS208" s="161" t="str">
        <f t="shared" si="113"/>
        <v/>
      </c>
      <c r="BT208" s="161" t="str">
        <f t="shared" si="114"/>
        <v/>
      </c>
      <c r="BU208" s="161" t="str">
        <f t="shared" si="125"/>
        <v/>
      </c>
      <c r="BV208" s="161" t="str">
        <f t="shared" si="115"/>
        <v/>
      </c>
      <c r="BW208" s="161" t="str">
        <f t="shared" si="126"/>
        <v/>
      </c>
      <c r="BX208" s="161" t="str">
        <f t="shared" si="120"/>
        <v/>
      </c>
      <c r="BY208" s="148"/>
      <c r="BZ208" s="148"/>
      <c r="CA208" s="148"/>
      <c r="CB208" s="148" t="s">
        <v>149</v>
      </c>
      <c r="CC208" s="148"/>
    </row>
    <row r="209" spans="1:81" ht="14.25" customHeight="1" thickBot="1">
      <c r="A209" s="190">
        <v>199</v>
      </c>
      <c r="B209" s="79"/>
      <c r="C209" s="179"/>
      <c r="D209" s="137"/>
      <c r="E209" s="198"/>
      <c r="F209" s="199"/>
      <c r="G209" s="200"/>
      <c r="H209" s="200"/>
      <c r="I209" s="200"/>
      <c r="J209" s="200"/>
      <c r="K209" s="201">
        <f t="shared" si="100"/>
        <v>0</v>
      </c>
      <c r="L209" s="277"/>
      <c r="M209" s="278"/>
      <c r="N209" s="350"/>
      <c r="O209" s="341" t="s">
        <v>65</v>
      </c>
      <c r="P209" s="189"/>
      <c r="Q209" s="326"/>
      <c r="R209" s="326"/>
      <c r="S209" s="87"/>
      <c r="T209" s="207"/>
      <c r="U209" s="225">
        <f t="shared" si="101"/>
        <v>0</v>
      </c>
      <c r="V209" s="277"/>
      <c r="W209" s="278"/>
      <c r="X209" s="350"/>
      <c r="Y209" s="208" t="s">
        <v>147</v>
      </c>
      <c r="Z209" s="11"/>
      <c r="AA209" s="207"/>
      <c r="AB209" s="207"/>
      <c r="AC209" s="3"/>
      <c r="AD209" s="207"/>
      <c r="AE209" s="226">
        <f t="shared" si="102"/>
        <v>0</v>
      </c>
      <c r="AF209" s="11"/>
      <c r="AG209" s="3"/>
      <c r="AH209" s="359"/>
      <c r="AI209" s="96"/>
      <c r="AJ209" s="94"/>
      <c r="AK209" s="214"/>
      <c r="AL209" s="213"/>
      <c r="AM209" s="82"/>
      <c r="AN209" s="213"/>
      <c r="AO209" s="82"/>
      <c r="AP209" s="213"/>
      <c r="AQ209" s="82"/>
      <c r="AR209" s="13">
        <f t="shared" si="103"/>
        <v>2.09E-5</v>
      </c>
      <c r="AS209" s="13">
        <f t="shared" si="104"/>
        <v>0</v>
      </c>
      <c r="AT209" s="13"/>
      <c r="AU209" s="160">
        <v>214</v>
      </c>
      <c r="AV209" s="191">
        <f t="shared" si="117"/>
        <v>1.9699999999999998E-5</v>
      </c>
      <c r="AW209" s="160">
        <f t="shared" si="105"/>
        <v>0</v>
      </c>
      <c r="AX209" s="219">
        <f t="shared" si="106"/>
        <v>2.09E-5</v>
      </c>
      <c r="AY209" s="13">
        <f t="shared" si="109"/>
        <v>0</v>
      </c>
      <c r="AZ209" s="160">
        <v>214</v>
      </c>
      <c r="BA209" s="77">
        <f t="shared" si="118"/>
        <v>1.8299999999999998E-5</v>
      </c>
      <c r="BB209" s="192">
        <f t="shared" si="107"/>
        <v>0</v>
      </c>
      <c r="BC209" s="219">
        <f t="shared" si="110"/>
        <v>2.09E-5</v>
      </c>
      <c r="BD209" s="13">
        <f t="shared" si="111"/>
        <v>0</v>
      </c>
      <c r="BE209" s="160">
        <v>214</v>
      </c>
      <c r="BF209" s="77">
        <f t="shared" si="119"/>
        <v>1.8299999999999998E-5</v>
      </c>
      <c r="BG209" s="192">
        <f t="shared" si="108"/>
        <v>0</v>
      </c>
      <c r="BI209" s="120"/>
      <c r="BJ209" s="120"/>
      <c r="BK209" s="160"/>
      <c r="BL209" s="160"/>
      <c r="BM209" s="161" t="str">
        <f t="shared" si="121"/>
        <v/>
      </c>
      <c r="BN209" s="161" t="str">
        <f t="shared" si="116"/>
        <v/>
      </c>
      <c r="BO209" s="161" t="str">
        <f t="shared" si="122"/>
        <v/>
      </c>
      <c r="BP209" s="161" t="str">
        <f t="shared" si="112"/>
        <v/>
      </c>
      <c r="BQ209" s="161" t="str">
        <f t="shared" si="123"/>
        <v/>
      </c>
      <c r="BR209" s="161" t="str">
        <f t="shared" si="124"/>
        <v/>
      </c>
      <c r="BS209" s="161" t="str">
        <f t="shared" si="113"/>
        <v/>
      </c>
      <c r="BT209" s="161" t="str">
        <f t="shared" si="114"/>
        <v/>
      </c>
      <c r="BU209" s="161" t="str">
        <f t="shared" si="125"/>
        <v/>
      </c>
      <c r="BV209" s="161" t="str">
        <f t="shared" si="115"/>
        <v/>
      </c>
      <c r="BW209" s="161" t="str">
        <f t="shared" si="126"/>
        <v/>
      </c>
      <c r="BX209" s="161" t="str">
        <f t="shared" si="120"/>
        <v/>
      </c>
      <c r="BY209" s="148"/>
      <c r="BZ209" s="148"/>
      <c r="CA209" s="148"/>
      <c r="CB209" s="148" t="s">
        <v>149</v>
      </c>
      <c r="CC209" s="148"/>
    </row>
    <row r="210" spans="1:81" ht="14.25" customHeight="1" thickBot="1">
      <c r="A210" s="190">
        <v>200</v>
      </c>
      <c r="B210" s="196"/>
      <c r="C210" s="180"/>
      <c r="D210" s="136"/>
      <c r="E210" s="91"/>
      <c r="F210" s="187"/>
      <c r="G210" s="188"/>
      <c r="H210" s="188"/>
      <c r="I210" s="188"/>
      <c r="J210" s="188"/>
      <c r="K210" s="18">
        <f t="shared" si="100"/>
        <v>0</v>
      </c>
      <c r="L210" s="279"/>
      <c r="M210" s="280"/>
      <c r="N210" s="351"/>
      <c r="O210" s="342" t="s">
        <v>65</v>
      </c>
      <c r="P210" s="187"/>
      <c r="Q210" s="188"/>
      <c r="R210" s="188"/>
      <c r="S210" s="119"/>
      <c r="T210" s="188"/>
      <c r="U210" s="211">
        <f t="shared" si="101"/>
        <v>0</v>
      </c>
      <c r="V210" s="279"/>
      <c r="W210" s="280"/>
      <c r="X210" s="351"/>
      <c r="Y210" s="209" t="s">
        <v>85</v>
      </c>
      <c r="Z210" s="71"/>
      <c r="AA210" s="321"/>
      <c r="AB210" s="321"/>
      <c r="AC210" s="322"/>
      <c r="AD210" s="188"/>
      <c r="AE210" s="18">
        <f t="shared" si="102"/>
        <v>0</v>
      </c>
      <c r="AF210" s="71"/>
      <c r="AG210" s="322"/>
      <c r="AH210" s="360"/>
      <c r="AI210" s="97"/>
      <c r="AJ210" s="194"/>
      <c r="AK210" s="193"/>
      <c r="AL210" s="205"/>
      <c r="AM210" s="197"/>
      <c r="AN210" s="205"/>
      <c r="AO210" s="197"/>
      <c r="AP210" s="205"/>
      <c r="AQ210" s="197"/>
      <c r="AR210" s="13">
        <f t="shared" si="103"/>
        <v>2.0999999999999999E-5</v>
      </c>
      <c r="AS210" s="13">
        <f t="shared" si="104"/>
        <v>0</v>
      </c>
      <c r="AT210" s="13"/>
      <c r="AU210" s="160">
        <v>215</v>
      </c>
      <c r="AV210" s="191">
        <f t="shared" si="117"/>
        <v>1.9599999999999999E-5</v>
      </c>
      <c r="AW210" s="160">
        <f t="shared" si="105"/>
        <v>0</v>
      </c>
      <c r="AX210" s="219">
        <f t="shared" si="106"/>
        <v>2.0999999999999999E-5</v>
      </c>
      <c r="AY210" s="13">
        <f t="shared" si="109"/>
        <v>0</v>
      </c>
      <c r="AZ210" s="160">
        <v>215</v>
      </c>
      <c r="BA210" s="77">
        <f t="shared" si="118"/>
        <v>1.8199999999999999E-5</v>
      </c>
      <c r="BB210" s="192">
        <f t="shared" si="107"/>
        <v>0</v>
      </c>
      <c r="BC210" s="219">
        <f t="shared" si="110"/>
        <v>2.0999999999999999E-5</v>
      </c>
      <c r="BD210" s="13">
        <f t="shared" si="111"/>
        <v>0</v>
      </c>
      <c r="BE210" s="160">
        <v>215</v>
      </c>
      <c r="BF210" s="77">
        <f t="shared" si="119"/>
        <v>1.8199999999999999E-5</v>
      </c>
      <c r="BG210" s="192">
        <f t="shared" si="108"/>
        <v>0</v>
      </c>
      <c r="BI210" s="120"/>
      <c r="BJ210" s="120"/>
      <c r="BK210" s="160"/>
      <c r="BL210" s="160"/>
      <c r="BM210" s="161" t="str">
        <f t="shared" si="121"/>
        <v/>
      </c>
      <c r="BN210" s="161" t="str">
        <f t="shared" si="116"/>
        <v/>
      </c>
      <c r="BO210" s="161" t="str">
        <f t="shared" si="122"/>
        <v/>
      </c>
      <c r="BP210" s="161" t="str">
        <f t="shared" si="112"/>
        <v/>
      </c>
      <c r="BQ210" s="161" t="str">
        <f t="shared" si="123"/>
        <v/>
      </c>
      <c r="BR210" s="161" t="str">
        <f t="shared" si="124"/>
        <v/>
      </c>
      <c r="BS210" s="161" t="str">
        <f t="shared" si="113"/>
        <v/>
      </c>
      <c r="BT210" s="161" t="str">
        <f t="shared" si="114"/>
        <v/>
      </c>
      <c r="BU210" s="161" t="str">
        <f t="shared" si="125"/>
        <v/>
      </c>
      <c r="BV210" s="161" t="str">
        <f t="shared" si="115"/>
        <v/>
      </c>
      <c r="BW210" s="161" t="str">
        <f t="shared" si="126"/>
        <v/>
      </c>
      <c r="BX210" s="161" t="str">
        <f t="shared" si="120"/>
        <v/>
      </c>
      <c r="BY210" s="148"/>
      <c r="BZ210" s="148"/>
      <c r="CA210" s="148"/>
      <c r="CB210" s="148" t="s">
        <v>149</v>
      </c>
      <c r="CC210" s="148"/>
    </row>
    <row r="211" spans="1:81" ht="14.25" customHeight="1" thickBot="1">
      <c r="A211" s="190">
        <v>201</v>
      </c>
      <c r="B211" s="78"/>
      <c r="C211" s="181"/>
      <c r="D211" s="86"/>
      <c r="E211" s="92"/>
      <c r="F211" s="88"/>
      <c r="G211" s="93"/>
      <c r="H211" s="93"/>
      <c r="I211" s="93"/>
      <c r="J211" s="93"/>
      <c r="K211" s="81">
        <f t="shared" si="100"/>
        <v>0</v>
      </c>
      <c r="L211" s="281"/>
      <c r="M211" s="282"/>
      <c r="N211" s="352"/>
      <c r="O211" s="343" t="s">
        <v>65</v>
      </c>
      <c r="P211" s="88"/>
      <c r="Q211" s="93"/>
      <c r="R211" s="93"/>
      <c r="S211" s="89"/>
      <c r="T211" s="93"/>
      <c r="U211" s="212">
        <f t="shared" si="101"/>
        <v>0</v>
      </c>
      <c r="V211" s="281"/>
      <c r="W211" s="282"/>
      <c r="X211" s="352"/>
      <c r="Y211" s="210" t="s">
        <v>85</v>
      </c>
      <c r="Z211" s="72"/>
      <c r="AA211" s="323"/>
      <c r="AB211" s="323"/>
      <c r="AC211" s="324"/>
      <c r="AD211" s="93"/>
      <c r="AE211" s="81">
        <f t="shared" si="102"/>
        <v>0</v>
      </c>
      <c r="AF211" s="72"/>
      <c r="AG211" s="324"/>
      <c r="AH211" s="361"/>
      <c r="AI211" s="98"/>
      <c r="AJ211" s="95"/>
      <c r="AK211" s="215"/>
      <c r="AL211" s="206"/>
      <c r="AM211" s="83"/>
      <c r="AN211" s="206"/>
      <c r="AO211" s="83"/>
      <c r="AP211" s="206"/>
      <c r="AQ211" s="83"/>
      <c r="AR211" s="13">
        <f t="shared" si="103"/>
        <v>2.1099999999999998E-5</v>
      </c>
      <c r="AS211" s="13">
        <f t="shared" si="104"/>
        <v>0</v>
      </c>
      <c r="AT211" s="13"/>
      <c r="AU211" s="160">
        <v>216</v>
      </c>
      <c r="AV211" s="191">
        <f t="shared" si="117"/>
        <v>1.95E-5</v>
      </c>
      <c r="AW211" s="160">
        <f t="shared" si="105"/>
        <v>0</v>
      </c>
      <c r="AX211" s="219">
        <f t="shared" si="106"/>
        <v>2.1099999999999998E-5</v>
      </c>
      <c r="AY211" s="13">
        <f t="shared" si="109"/>
        <v>0</v>
      </c>
      <c r="AZ211" s="160">
        <v>216</v>
      </c>
      <c r="BA211" s="77">
        <f t="shared" si="118"/>
        <v>1.8099999999999999E-5</v>
      </c>
      <c r="BB211" s="192">
        <f t="shared" si="107"/>
        <v>0</v>
      </c>
      <c r="BC211" s="219">
        <f t="shared" si="110"/>
        <v>2.1099999999999998E-5</v>
      </c>
      <c r="BD211" s="13">
        <f t="shared" si="111"/>
        <v>0</v>
      </c>
      <c r="BE211" s="160">
        <v>216</v>
      </c>
      <c r="BF211" s="77">
        <f t="shared" si="119"/>
        <v>1.8099999999999999E-5</v>
      </c>
      <c r="BG211" s="192">
        <f t="shared" si="108"/>
        <v>0</v>
      </c>
      <c r="BI211" s="120"/>
      <c r="BJ211" s="120"/>
      <c r="BK211" s="160"/>
      <c r="BL211" s="160"/>
      <c r="BM211" s="161" t="str">
        <f t="shared" si="121"/>
        <v/>
      </c>
      <c r="BN211" s="161" t="str">
        <f t="shared" si="116"/>
        <v/>
      </c>
      <c r="BO211" s="161" t="str">
        <f t="shared" si="122"/>
        <v/>
      </c>
      <c r="BP211" s="161" t="str">
        <f t="shared" si="112"/>
        <v/>
      </c>
      <c r="BQ211" s="161" t="str">
        <f t="shared" si="123"/>
        <v/>
      </c>
      <c r="BR211" s="161" t="str">
        <f t="shared" si="124"/>
        <v/>
      </c>
      <c r="BS211" s="161" t="str">
        <f t="shared" si="113"/>
        <v/>
      </c>
      <c r="BT211" s="161" t="str">
        <f t="shared" si="114"/>
        <v/>
      </c>
      <c r="BU211" s="161" t="str">
        <f t="shared" si="125"/>
        <v/>
      </c>
      <c r="BV211" s="161" t="str">
        <f t="shared" si="115"/>
        <v/>
      </c>
      <c r="BW211" s="161" t="str">
        <f t="shared" si="126"/>
        <v/>
      </c>
      <c r="BX211" s="161" t="str">
        <f t="shared" si="120"/>
        <v/>
      </c>
      <c r="BY211" s="148"/>
      <c r="BZ211" s="148"/>
      <c r="CA211" s="148"/>
      <c r="CB211" s="148" t="s">
        <v>149</v>
      </c>
      <c r="CC211" s="148"/>
    </row>
    <row r="212" spans="1:81" ht="14.25" customHeight="1" thickBot="1">
      <c r="A212" s="190">
        <v>202</v>
      </c>
      <c r="B212" s="79"/>
      <c r="C212" s="179"/>
      <c r="D212" s="137"/>
      <c r="E212" s="198"/>
      <c r="F212" s="199"/>
      <c r="G212" s="200"/>
      <c r="H212" s="200"/>
      <c r="I212" s="200"/>
      <c r="J212" s="200"/>
      <c r="K212" s="201">
        <f t="shared" si="100"/>
        <v>0</v>
      </c>
      <c r="L212" s="277"/>
      <c r="M212" s="278"/>
      <c r="N212" s="350"/>
      <c r="O212" s="341" t="s">
        <v>65</v>
      </c>
      <c r="P212" s="189"/>
      <c r="Q212" s="326"/>
      <c r="R212" s="326"/>
      <c r="S212" s="87"/>
      <c r="T212" s="207"/>
      <c r="U212" s="225">
        <f t="shared" si="101"/>
        <v>0</v>
      </c>
      <c r="V212" s="277"/>
      <c r="W212" s="278"/>
      <c r="X212" s="350"/>
      <c r="Y212" s="208" t="s">
        <v>147</v>
      </c>
      <c r="Z212" s="11"/>
      <c r="AA212" s="207"/>
      <c r="AB212" s="207"/>
      <c r="AC212" s="3"/>
      <c r="AD212" s="207"/>
      <c r="AE212" s="226">
        <f t="shared" si="102"/>
        <v>0</v>
      </c>
      <c r="AF212" s="11"/>
      <c r="AG212" s="3"/>
      <c r="AH212" s="359"/>
      <c r="AI212" s="96"/>
      <c r="AJ212" s="94"/>
      <c r="AK212" s="214"/>
      <c r="AL212" s="213"/>
      <c r="AM212" s="82"/>
      <c r="AN212" s="213"/>
      <c r="AO212" s="82"/>
      <c r="AP212" s="213"/>
      <c r="AQ212" s="82"/>
      <c r="AR212" s="13">
        <f t="shared" si="103"/>
        <v>2.12E-5</v>
      </c>
      <c r="AS212" s="13">
        <f t="shared" si="104"/>
        <v>0</v>
      </c>
      <c r="AT212" s="13"/>
      <c r="AU212" s="160">
        <v>217</v>
      </c>
      <c r="AV212" s="191">
        <f t="shared" si="117"/>
        <v>1.9400000000000001E-5</v>
      </c>
      <c r="AW212" s="160">
        <f t="shared" si="105"/>
        <v>0</v>
      </c>
      <c r="AX212" s="219">
        <f t="shared" si="106"/>
        <v>2.12E-5</v>
      </c>
      <c r="AY212" s="13">
        <f t="shared" si="109"/>
        <v>0</v>
      </c>
      <c r="AZ212" s="160">
        <v>217</v>
      </c>
      <c r="BA212" s="77">
        <f t="shared" si="118"/>
        <v>1.8E-5</v>
      </c>
      <c r="BB212" s="192">
        <f t="shared" si="107"/>
        <v>0</v>
      </c>
      <c r="BC212" s="219">
        <f t="shared" si="110"/>
        <v>2.12E-5</v>
      </c>
      <c r="BD212" s="13">
        <f t="shared" si="111"/>
        <v>0</v>
      </c>
      <c r="BE212" s="160">
        <v>217</v>
      </c>
      <c r="BF212" s="77">
        <f t="shared" si="119"/>
        <v>1.8E-5</v>
      </c>
      <c r="BG212" s="192">
        <f t="shared" si="108"/>
        <v>0</v>
      </c>
      <c r="BI212" s="120"/>
      <c r="BJ212" s="120"/>
      <c r="BK212" s="160"/>
      <c r="BL212" s="160"/>
      <c r="BM212" s="161" t="str">
        <f t="shared" si="121"/>
        <v/>
      </c>
      <c r="BN212" s="161" t="str">
        <f t="shared" si="116"/>
        <v/>
      </c>
      <c r="BO212" s="161" t="str">
        <f t="shared" si="122"/>
        <v/>
      </c>
      <c r="BP212" s="161" t="str">
        <f t="shared" si="112"/>
        <v/>
      </c>
      <c r="BQ212" s="161" t="str">
        <f t="shared" si="123"/>
        <v/>
      </c>
      <c r="BR212" s="161" t="str">
        <f t="shared" si="124"/>
        <v/>
      </c>
      <c r="BS212" s="161" t="str">
        <f t="shared" si="113"/>
        <v/>
      </c>
      <c r="BT212" s="161" t="str">
        <f t="shared" si="114"/>
        <v/>
      </c>
      <c r="BU212" s="161" t="str">
        <f t="shared" si="125"/>
        <v/>
      </c>
      <c r="BV212" s="161" t="str">
        <f t="shared" si="115"/>
        <v/>
      </c>
      <c r="BW212" s="161" t="str">
        <f t="shared" si="126"/>
        <v/>
      </c>
      <c r="BX212" s="161" t="str">
        <f t="shared" si="120"/>
        <v/>
      </c>
      <c r="BY212" s="148"/>
      <c r="BZ212" s="148"/>
      <c r="CA212" s="148"/>
      <c r="CB212" s="148" t="s">
        <v>149</v>
      </c>
      <c r="CC212" s="148"/>
    </row>
    <row r="213" spans="1:81" ht="14.25" customHeight="1" thickBot="1">
      <c r="A213" s="190">
        <v>203</v>
      </c>
      <c r="B213" s="196"/>
      <c r="C213" s="180"/>
      <c r="D213" s="136"/>
      <c r="E213" s="91"/>
      <c r="F213" s="187"/>
      <c r="G213" s="188"/>
      <c r="H213" s="188"/>
      <c r="I213" s="188"/>
      <c r="J213" s="188"/>
      <c r="K213" s="18">
        <f t="shared" si="100"/>
        <v>0</v>
      </c>
      <c r="L213" s="279"/>
      <c r="M213" s="280"/>
      <c r="N213" s="351"/>
      <c r="O213" s="342" t="s">
        <v>65</v>
      </c>
      <c r="P213" s="187"/>
      <c r="Q213" s="188"/>
      <c r="R213" s="188"/>
      <c r="S213" s="119"/>
      <c r="T213" s="188"/>
      <c r="U213" s="211">
        <f t="shared" si="101"/>
        <v>0</v>
      </c>
      <c r="V213" s="279"/>
      <c r="W213" s="280"/>
      <c r="X213" s="351"/>
      <c r="Y213" s="209" t="s">
        <v>85</v>
      </c>
      <c r="Z213" s="71"/>
      <c r="AA213" s="321"/>
      <c r="AB213" s="321"/>
      <c r="AC213" s="322"/>
      <c r="AD213" s="188"/>
      <c r="AE213" s="18">
        <f t="shared" si="102"/>
        <v>0</v>
      </c>
      <c r="AF213" s="71"/>
      <c r="AG213" s="322"/>
      <c r="AH213" s="360"/>
      <c r="AI213" s="97"/>
      <c r="AJ213" s="194"/>
      <c r="AK213" s="193"/>
      <c r="AL213" s="205"/>
      <c r="AM213" s="197"/>
      <c r="AN213" s="205"/>
      <c r="AO213" s="197"/>
      <c r="AP213" s="205"/>
      <c r="AQ213" s="197"/>
      <c r="AR213" s="13">
        <f t="shared" si="103"/>
        <v>2.1299999999999999E-5</v>
      </c>
      <c r="AS213" s="13">
        <f t="shared" si="104"/>
        <v>0</v>
      </c>
      <c r="AT213" s="13"/>
      <c r="AU213" s="160">
        <v>218</v>
      </c>
      <c r="AV213" s="191">
        <f t="shared" si="117"/>
        <v>1.9299999999999998E-5</v>
      </c>
      <c r="AW213" s="160">
        <f t="shared" si="105"/>
        <v>0</v>
      </c>
      <c r="AX213" s="219">
        <f t="shared" si="106"/>
        <v>2.1299999999999999E-5</v>
      </c>
      <c r="AY213" s="13">
        <f t="shared" si="109"/>
        <v>0</v>
      </c>
      <c r="AZ213" s="160">
        <v>218</v>
      </c>
      <c r="BA213" s="77">
        <f t="shared" si="118"/>
        <v>1.7899999999999998E-5</v>
      </c>
      <c r="BB213" s="192">
        <f t="shared" si="107"/>
        <v>0</v>
      </c>
      <c r="BC213" s="219">
        <f t="shared" si="110"/>
        <v>2.1299999999999999E-5</v>
      </c>
      <c r="BD213" s="13">
        <f t="shared" si="111"/>
        <v>0</v>
      </c>
      <c r="BE213" s="160">
        <v>218</v>
      </c>
      <c r="BF213" s="77">
        <f t="shared" si="119"/>
        <v>1.7899999999999998E-5</v>
      </c>
      <c r="BG213" s="192">
        <f t="shared" si="108"/>
        <v>0</v>
      </c>
      <c r="BI213" s="120"/>
      <c r="BJ213" s="120"/>
      <c r="BK213" s="160"/>
      <c r="BL213" s="160"/>
      <c r="BM213" s="161" t="str">
        <f t="shared" si="121"/>
        <v/>
      </c>
      <c r="BN213" s="161" t="str">
        <f t="shared" si="116"/>
        <v/>
      </c>
      <c r="BO213" s="161" t="str">
        <f t="shared" si="122"/>
        <v/>
      </c>
      <c r="BP213" s="161" t="str">
        <f t="shared" si="112"/>
        <v/>
      </c>
      <c r="BQ213" s="161" t="str">
        <f t="shared" si="123"/>
        <v/>
      </c>
      <c r="BR213" s="161" t="str">
        <f t="shared" si="124"/>
        <v/>
      </c>
      <c r="BS213" s="161" t="str">
        <f t="shared" si="113"/>
        <v/>
      </c>
      <c r="BT213" s="161" t="str">
        <f t="shared" si="114"/>
        <v/>
      </c>
      <c r="BU213" s="161" t="str">
        <f t="shared" si="125"/>
        <v/>
      </c>
      <c r="BV213" s="161" t="str">
        <f t="shared" si="115"/>
        <v/>
      </c>
      <c r="BW213" s="161" t="str">
        <f t="shared" si="126"/>
        <v/>
      </c>
      <c r="BX213" s="161" t="str">
        <f t="shared" si="120"/>
        <v/>
      </c>
      <c r="BY213" s="148"/>
      <c r="BZ213" s="148"/>
      <c r="CA213" s="148"/>
      <c r="CB213" s="148" t="s">
        <v>149</v>
      </c>
      <c r="CC213" s="148"/>
    </row>
    <row r="214" spans="1:81" ht="14.25" customHeight="1" thickBot="1">
      <c r="A214" s="190">
        <v>204</v>
      </c>
      <c r="B214" s="78"/>
      <c r="C214" s="181"/>
      <c r="D214" s="86"/>
      <c r="E214" s="92"/>
      <c r="F214" s="88"/>
      <c r="G214" s="93"/>
      <c r="H214" s="93"/>
      <c r="I214" s="93"/>
      <c r="J214" s="93"/>
      <c r="K214" s="81">
        <f t="shared" si="100"/>
        <v>0</v>
      </c>
      <c r="L214" s="281"/>
      <c r="M214" s="282"/>
      <c r="N214" s="352"/>
      <c r="O214" s="343" t="s">
        <v>65</v>
      </c>
      <c r="P214" s="88"/>
      <c r="Q214" s="93"/>
      <c r="R214" s="93"/>
      <c r="S214" s="89"/>
      <c r="T214" s="93"/>
      <c r="U214" s="212">
        <f t="shared" si="101"/>
        <v>0</v>
      </c>
      <c r="V214" s="281"/>
      <c r="W214" s="282"/>
      <c r="X214" s="352"/>
      <c r="Y214" s="210" t="s">
        <v>85</v>
      </c>
      <c r="Z214" s="72"/>
      <c r="AA214" s="323"/>
      <c r="AB214" s="323"/>
      <c r="AC214" s="324"/>
      <c r="AD214" s="93"/>
      <c r="AE214" s="81">
        <f t="shared" si="102"/>
        <v>0</v>
      </c>
      <c r="AF214" s="72"/>
      <c r="AG214" s="324"/>
      <c r="AH214" s="361"/>
      <c r="AI214" s="98"/>
      <c r="AJ214" s="95"/>
      <c r="AK214" s="215"/>
      <c r="AL214" s="206"/>
      <c r="AM214" s="83"/>
      <c r="AN214" s="206"/>
      <c r="AO214" s="83"/>
      <c r="AP214" s="206"/>
      <c r="AQ214" s="83"/>
      <c r="AR214" s="13">
        <f t="shared" si="103"/>
        <v>2.1399999999999998E-5</v>
      </c>
      <c r="AS214" s="13">
        <f t="shared" si="104"/>
        <v>0</v>
      </c>
      <c r="AT214" s="13"/>
      <c r="AU214" s="160">
        <v>219</v>
      </c>
      <c r="AV214" s="191">
        <f t="shared" si="117"/>
        <v>1.9199999999999999E-5</v>
      </c>
      <c r="AW214" s="160">
        <f t="shared" si="105"/>
        <v>0</v>
      </c>
      <c r="AX214" s="219">
        <f t="shared" si="106"/>
        <v>2.1399999999999998E-5</v>
      </c>
      <c r="AY214" s="13">
        <f t="shared" si="109"/>
        <v>0</v>
      </c>
      <c r="AZ214" s="160">
        <v>219</v>
      </c>
      <c r="BA214" s="77">
        <f t="shared" si="118"/>
        <v>1.7799999999999999E-5</v>
      </c>
      <c r="BB214" s="192">
        <f t="shared" si="107"/>
        <v>0</v>
      </c>
      <c r="BC214" s="219">
        <f t="shared" si="110"/>
        <v>2.1399999999999998E-5</v>
      </c>
      <c r="BD214" s="13">
        <f t="shared" si="111"/>
        <v>0</v>
      </c>
      <c r="BE214" s="160">
        <v>219</v>
      </c>
      <c r="BF214" s="77">
        <f t="shared" si="119"/>
        <v>1.7799999999999999E-5</v>
      </c>
      <c r="BG214" s="192">
        <f t="shared" si="108"/>
        <v>0</v>
      </c>
      <c r="BI214" s="120"/>
      <c r="BJ214" s="120"/>
      <c r="BK214" s="160"/>
      <c r="BL214" s="160"/>
      <c r="BM214" s="161" t="str">
        <f t="shared" si="121"/>
        <v/>
      </c>
      <c r="BN214" s="161" t="str">
        <f t="shared" si="116"/>
        <v/>
      </c>
      <c r="BO214" s="161" t="str">
        <f t="shared" si="122"/>
        <v/>
      </c>
      <c r="BP214" s="161" t="str">
        <f t="shared" si="112"/>
        <v/>
      </c>
      <c r="BQ214" s="161" t="str">
        <f t="shared" si="123"/>
        <v/>
      </c>
      <c r="BR214" s="161" t="str">
        <f t="shared" si="124"/>
        <v/>
      </c>
      <c r="BS214" s="161" t="str">
        <f t="shared" si="113"/>
        <v/>
      </c>
      <c r="BT214" s="161" t="str">
        <f t="shared" si="114"/>
        <v/>
      </c>
      <c r="BU214" s="161" t="str">
        <f t="shared" si="125"/>
        <v/>
      </c>
      <c r="BV214" s="161" t="str">
        <f t="shared" si="115"/>
        <v/>
      </c>
      <c r="BW214" s="161" t="str">
        <f t="shared" si="126"/>
        <v/>
      </c>
      <c r="BX214" s="161" t="str">
        <f t="shared" si="120"/>
        <v/>
      </c>
      <c r="BY214" s="148"/>
      <c r="BZ214" s="148"/>
      <c r="CA214" s="148"/>
      <c r="CB214" s="148" t="s">
        <v>149</v>
      </c>
      <c r="CC214" s="148"/>
    </row>
    <row r="215" spans="1:81" ht="14.25" customHeight="1" thickBot="1">
      <c r="A215" s="190">
        <v>205</v>
      </c>
      <c r="B215" s="79"/>
      <c r="C215" s="179"/>
      <c r="D215" s="137"/>
      <c r="E215" s="198"/>
      <c r="F215" s="199"/>
      <c r="G215" s="200"/>
      <c r="H215" s="200"/>
      <c r="I215" s="200"/>
      <c r="J215" s="200"/>
      <c r="K215" s="201">
        <f t="shared" si="100"/>
        <v>0</v>
      </c>
      <c r="L215" s="277"/>
      <c r="M215" s="278"/>
      <c r="N215" s="350"/>
      <c r="O215" s="341" t="s">
        <v>65</v>
      </c>
      <c r="P215" s="189"/>
      <c r="Q215" s="326"/>
      <c r="R215" s="326"/>
      <c r="S215" s="87"/>
      <c r="T215" s="207"/>
      <c r="U215" s="225">
        <f t="shared" si="101"/>
        <v>0</v>
      </c>
      <c r="V215" s="277"/>
      <c r="W215" s="278"/>
      <c r="X215" s="350"/>
      <c r="Y215" s="208" t="s">
        <v>147</v>
      </c>
      <c r="Z215" s="11"/>
      <c r="AA215" s="207"/>
      <c r="AB215" s="207"/>
      <c r="AC215" s="3"/>
      <c r="AD215" s="207"/>
      <c r="AE215" s="226">
        <f t="shared" si="102"/>
        <v>0</v>
      </c>
      <c r="AF215" s="11"/>
      <c r="AG215" s="3"/>
      <c r="AH215" s="359"/>
      <c r="AI215" s="96"/>
      <c r="AJ215" s="94"/>
      <c r="AK215" s="214"/>
      <c r="AL215" s="213"/>
      <c r="AM215" s="82"/>
      <c r="AN215" s="213"/>
      <c r="AO215" s="82"/>
      <c r="AP215" s="213"/>
      <c r="AQ215" s="82"/>
      <c r="AR215" s="13">
        <f t="shared" si="103"/>
        <v>2.1499999999999997E-5</v>
      </c>
      <c r="AS215" s="13">
        <f t="shared" si="104"/>
        <v>0</v>
      </c>
      <c r="AT215" s="13"/>
      <c r="AU215" s="160">
        <v>220</v>
      </c>
      <c r="AV215" s="191">
        <f t="shared" si="117"/>
        <v>1.91E-5</v>
      </c>
      <c r="AW215" s="160">
        <f t="shared" si="105"/>
        <v>0</v>
      </c>
      <c r="AX215" s="219">
        <f t="shared" si="106"/>
        <v>2.1499999999999997E-5</v>
      </c>
      <c r="AY215" s="13">
        <f t="shared" si="109"/>
        <v>0</v>
      </c>
      <c r="AZ215" s="160">
        <v>220</v>
      </c>
      <c r="BA215" s="77">
        <f t="shared" si="118"/>
        <v>1.77E-5</v>
      </c>
      <c r="BB215" s="192">
        <f t="shared" si="107"/>
        <v>0</v>
      </c>
      <c r="BC215" s="219">
        <f t="shared" si="110"/>
        <v>2.1499999999999997E-5</v>
      </c>
      <c r="BD215" s="13">
        <f t="shared" si="111"/>
        <v>0</v>
      </c>
      <c r="BE215" s="160">
        <v>220</v>
      </c>
      <c r="BF215" s="77">
        <f t="shared" si="119"/>
        <v>1.77E-5</v>
      </c>
      <c r="BG215" s="192">
        <f t="shared" si="108"/>
        <v>0</v>
      </c>
      <c r="BI215" s="120"/>
      <c r="BJ215" s="120"/>
      <c r="BK215" s="160"/>
      <c r="BL215" s="160"/>
      <c r="BM215" s="161" t="str">
        <f t="shared" si="121"/>
        <v/>
      </c>
      <c r="BN215" s="161" t="str">
        <f t="shared" si="116"/>
        <v/>
      </c>
      <c r="BO215" s="161" t="str">
        <f t="shared" si="122"/>
        <v/>
      </c>
      <c r="BP215" s="161" t="str">
        <f t="shared" si="112"/>
        <v/>
      </c>
      <c r="BQ215" s="161" t="str">
        <f t="shared" si="123"/>
        <v/>
      </c>
      <c r="BR215" s="161" t="str">
        <f t="shared" si="124"/>
        <v/>
      </c>
      <c r="BS215" s="161" t="str">
        <f t="shared" si="113"/>
        <v/>
      </c>
      <c r="BT215" s="161" t="str">
        <f t="shared" si="114"/>
        <v/>
      </c>
      <c r="BU215" s="161" t="str">
        <f t="shared" si="125"/>
        <v/>
      </c>
      <c r="BV215" s="161" t="str">
        <f t="shared" si="115"/>
        <v/>
      </c>
      <c r="BW215" s="161" t="str">
        <f t="shared" si="126"/>
        <v/>
      </c>
      <c r="BX215" s="161" t="str">
        <f t="shared" si="120"/>
        <v/>
      </c>
      <c r="BY215" s="148"/>
      <c r="BZ215" s="148"/>
      <c r="CA215" s="148"/>
      <c r="CB215" s="148" t="s">
        <v>149</v>
      </c>
      <c r="CC215" s="148"/>
    </row>
    <row r="216" spans="1:81" ht="14.25" customHeight="1" thickBot="1">
      <c r="A216" s="190">
        <v>206</v>
      </c>
      <c r="B216" s="196"/>
      <c r="C216" s="180"/>
      <c r="D216" s="136"/>
      <c r="E216" s="91"/>
      <c r="F216" s="187"/>
      <c r="G216" s="188"/>
      <c r="H216" s="188"/>
      <c r="I216" s="188"/>
      <c r="J216" s="188"/>
      <c r="K216" s="18">
        <f t="shared" si="100"/>
        <v>0</v>
      </c>
      <c r="L216" s="279"/>
      <c r="M216" s="280"/>
      <c r="N216" s="351"/>
      <c r="O216" s="342" t="s">
        <v>65</v>
      </c>
      <c r="P216" s="187"/>
      <c r="Q216" s="188"/>
      <c r="R216" s="188"/>
      <c r="S216" s="119"/>
      <c r="T216" s="188"/>
      <c r="U216" s="211">
        <f t="shared" si="101"/>
        <v>0</v>
      </c>
      <c r="V216" s="279"/>
      <c r="W216" s="280"/>
      <c r="X216" s="351"/>
      <c r="Y216" s="209" t="s">
        <v>85</v>
      </c>
      <c r="Z216" s="71"/>
      <c r="AA216" s="321"/>
      <c r="AB216" s="321"/>
      <c r="AC216" s="322"/>
      <c r="AD216" s="188"/>
      <c r="AE216" s="18">
        <f t="shared" si="102"/>
        <v>0</v>
      </c>
      <c r="AF216" s="71"/>
      <c r="AG216" s="322"/>
      <c r="AH216" s="360"/>
      <c r="AI216" s="97"/>
      <c r="AJ216" s="194"/>
      <c r="AK216" s="193"/>
      <c r="AL216" s="205"/>
      <c r="AM216" s="197"/>
      <c r="AN216" s="205"/>
      <c r="AO216" s="197"/>
      <c r="AP216" s="205"/>
      <c r="AQ216" s="197"/>
      <c r="AR216" s="13">
        <f t="shared" si="103"/>
        <v>2.16E-5</v>
      </c>
      <c r="AS216" s="13">
        <f t="shared" si="104"/>
        <v>0</v>
      </c>
      <c r="AT216" s="13"/>
      <c r="AU216" s="160">
        <v>221</v>
      </c>
      <c r="AV216" s="191">
        <f t="shared" si="117"/>
        <v>1.8999999999999998E-5</v>
      </c>
      <c r="AW216" s="160">
        <f t="shared" si="105"/>
        <v>0</v>
      </c>
      <c r="AX216" s="219">
        <f t="shared" si="106"/>
        <v>2.16E-5</v>
      </c>
      <c r="AY216" s="13">
        <f t="shared" si="109"/>
        <v>0</v>
      </c>
      <c r="AZ216" s="160">
        <v>221</v>
      </c>
      <c r="BA216" s="77">
        <f t="shared" si="118"/>
        <v>1.7600000000000001E-5</v>
      </c>
      <c r="BB216" s="192">
        <f t="shared" si="107"/>
        <v>0</v>
      </c>
      <c r="BC216" s="219">
        <f t="shared" si="110"/>
        <v>2.16E-5</v>
      </c>
      <c r="BD216" s="13">
        <f t="shared" si="111"/>
        <v>0</v>
      </c>
      <c r="BE216" s="160">
        <v>221</v>
      </c>
      <c r="BF216" s="77">
        <f t="shared" si="119"/>
        <v>1.7600000000000001E-5</v>
      </c>
      <c r="BG216" s="192">
        <f t="shared" si="108"/>
        <v>0</v>
      </c>
      <c r="BI216" s="120"/>
      <c r="BJ216" s="120"/>
      <c r="BK216" s="160"/>
      <c r="BL216" s="160"/>
      <c r="BM216" s="161" t="str">
        <f t="shared" si="121"/>
        <v/>
      </c>
      <c r="BN216" s="161" t="str">
        <f t="shared" si="116"/>
        <v/>
      </c>
      <c r="BO216" s="161" t="str">
        <f t="shared" si="122"/>
        <v/>
      </c>
      <c r="BP216" s="161" t="str">
        <f t="shared" si="112"/>
        <v/>
      </c>
      <c r="BQ216" s="161" t="str">
        <f t="shared" si="123"/>
        <v/>
      </c>
      <c r="BR216" s="161" t="str">
        <f t="shared" si="124"/>
        <v/>
      </c>
      <c r="BS216" s="161" t="str">
        <f t="shared" si="113"/>
        <v/>
      </c>
      <c r="BT216" s="161" t="str">
        <f t="shared" si="114"/>
        <v/>
      </c>
      <c r="BU216" s="161" t="str">
        <f t="shared" si="125"/>
        <v/>
      </c>
      <c r="BV216" s="161" t="str">
        <f t="shared" si="115"/>
        <v/>
      </c>
      <c r="BW216" s="161" t="str">
        <f t="shared" si="126"/>
        <v/>
      </c>
      <c r="BX216" s="161" t="str">
        <f t="shared" si="120"/>
        <v/>
      </c>
      <c r="BY216" s="148"/>
      <c r="BZ216" s="148"/>
      <c r="CA216" s="148"/>
      <c r="CB216" s="148" t="s">
        <v>149</v>
      </c>
      <c r="CC216" s="148"/>
    </row>
    <row r="217" spans="1:81" ht="14.25" customHeight="1" thickBot="1">
      <c r="A217" s="190">
        <v>207</v>
      </c>
      <c r="B217" s="78"/>
      <c r="C217" s="181"/>
      <c r="D217" s="86"/>
      <c r="E217" s="92"/>
      <c r="F217" s="88"/>
      <c r="G217" s="93"/>
      <c r="H217" s="93"/>
      <c r="I217" s="93"/>
      <c r="J217" s="93"/>
      <c r="K217" s="81">
        <f t="shared" si="100"/>
        <v>0</v>
      </c>
      <c r="L217" s="281"/>
      <c r="M217" s="282"/>
      <c r="N217" s="352"/>
      <c r="O217" s="343" t="s">
        <v>65</v>
      </c>
      <c r="P217" s="88"/>
      <c r="Q217" s="93"/>
      <c r="R217" s="93"/>
      <c r="S217" s="89"/>
      <c r="T217" s="93"/>
      <c r="U217" s="212">
        <f t="shared" si="101"/>
        <v>0</v>
      </c>
      <c r="V217" s="281"/>
      <c r="W217" s="282"/>
      <c r="X217" s="352"/>
      <c r="Y217" s="210" t="s">
        <v>85</v>
      </c>
      <c r="Z217" s="72"/>
      <c r="AA217" s="323"/>
      <c r="AB217" s="323"/>
      <c r="AC217" s="324"/>
      <c r="AD217" s="93"/>
      <c r="AE217" s="81">
        <f t="shared" si="102"/>
        <v>0</v>
      </c>
      <c r="AF217" s="72"/>
      <c r="AG217" s="324"/>
      <c r="AH217" s="361"/>
      <c r="AI217" s="98"/>
      <c r="AJ217" s="95"/>
      <c r="AK217" s="215"/>
      <c r="AL217" s="206"/>
      <c r="AM217" s="83"/>
      <c r="AN217" s="206"/>
      <c r="AO217" s="83"/>
      <c r="AP217" s="206"/>
      <c r="AQ217" s="83"/>
      <c r="AR217" s="13">
        <f t="shared" si="103"/>
        <v>2.1699999999999999E-5</v>
      </c>
      <c r="AS217" s="13">
        <f t="shared" si="104"/>
        <v>0</v>
      </c>
      <c r="AT217" s="13"/>
      <c r="AU217" s="160">
        <v>222</v>
      </c>
      <c r="AV217" s="191">
        <f t="shared" si="117"/>
        <v>1.8899999999999999E-5</v>
      </c>
      <c r="AW217" s="160">
        <f t="shared" si="105"/>
        <v>0</v>
      </c>
      <c r="AX217" s="219">
        <f t="shared" si="106"/>
        <v>2.1699999999999999E-5</v>
      </c>
      <c r="AY217" s="13">
        <f t="shared" si="109"/>
        <v>0</v>
      </c>
      <c r="AZ217" s="160">
        <v>222</v>
      </c>
      <c r="BA217" s="77">
        <f t="shared" si="118"/>
        <v>1.7499999999999998E-5</v>
      </c>
      <c r="BB217" s="192">
        <f t="shared" si="107"/>
        <v>0</v>
      </c>
      <c r="BC217" s="219">
        <f t="shared" si="110"/>
        <v>2.1699999999999999E-5</v>
      </c>
      <c r="BD217" s="13">
        <f t="shared" si="111"/>
        <v>0</v>
      </c>
      <c r="BE217" s="160">
        <v>222</v>
      </c>
      <c r="BF217" s="77">
        <f t="shared" si="119"/>
        <v>1.7499999999999998E-5</v>
      </c>
      <c r="BG217" s="192">
        <f t="shared" si="108"/>
        <v>0</v>
      </c>
      <c r="BI217" s="120"/>
      <c r="BJ217" s="120"/>
      <c r="BK217" s="160"/>
      <c r="BL217" s="160"/>
      <c r="BM217" s="161" t="str">
        <f t="shared" si="121"/>
        <v/>
      </c>
      <c r="BN217" s="161" t="str">
        <f t="shared" si="116"/>
        <v/>
      </c>
      <c r="BO217" s="161" t="str">
        <f t="shared" si="122"/>
        <v/>
      </c>
      <c r="BP217" s="161" t="str">
        <f t="shared" si="112"/>
        <v/>
      </c>
      <c r="BQ217" s="161" t="str">
        <f t="shared" si="123"/>
        <v/>
      </c>
      <c r="BR217" s="161" t="str">
        <f t="shared" si="124"/>
        <v/>
      </c>
      <c r="BS217" s="161" t="str">
        <f t="shared" si="113"/>
        <v/>
      </c>
      <c r="BT217" s="161" t="str">
        <f t="shared" si="114"/>
        <v/>
      </c>
      <c r="BU217" s="161" t="str">
        <f t="shared" si="125"/>
        <v/>
      </c>
      <c r="BV217" s="161" t="str">
        <f t="shared" si="115"/>
        <v/>
      </c>
      <c r="BW217" s="161" t="str">
        <f t="shared" si="126"/>
        <v/>
      </c>
      <c r="BX217" s="161" t="str">
        <f t="shared" si="120"/>
        <v/>
      </c>
      <c r="BY217" s="148"/>
      <c r="BZ217" s="148"/>
      <c r="CA217" s="148"/>
      <c r="CB217" s="148" t="s">
        <v>149</v>
      </c>
      <c r="CC217" s="148"/>
    </row>
    <row r="218" spans="1:81" ht="14.25" customHeight="1" thickBot="1">
      <c r="A218" s="190">
        <v>208</v>
      </c>
      <c r="B218" s="79"/>
      <c r="C218" s="179"/>
      <c r="D218" s="137"/>
      <c r="E218" s="198"/>
      <c r="F218" s="199"/>
      <c r="G218" s="200"/>
      <c r="H218" s="200"/>
      <c r="I218" s="200"/>
      <c r="J218" s="200"/>
      <c r="K218" s="201">
        <f t="shared" si="100"/>
        <v>0</v>
      </c>
      <c r="L218" s="277"/>
      <c r="M218" s="278"/>
      <c r="N218" s="350"/>
      <c r="O218" s="341" t="s">
        <v>65</v>
      </c>
      <c r="P218" s="189"/>
      <c r="Q218" s="326"/>
      <c r="R218" s="326"/>
      <c r="S218" s="87"/>
      <c r="T218" s="207"/>
      <c r="U218" s="225">
        <f t="shared" si="101"/>
        <v>0</v>
      </c>
      <c r="V218" s="277"/>
      <c r="W218" s="278"/>
      <c r="X218" s="350"/>
      <c r="Y218" s="208" t="s">
        <v>147</v>
      </c>
      <c r="Z218" s="11"/>
      <c r="AA218" s="207"/>
      <c r="AB218" s="207"/>
      <c r="AC218" s="3"/>
      <c r="AD218" s="207"/>
      <c r="AE218" s="226">
        <f t="shared" si="102"/>
        <v>0</v>
      </c>
      <c r="AF218" s="11"/>
      <c r="AG218" s="3"/>
      <c r="AH218" s="359"/>
      <c r="AI218" s="96"/>
      <c r="AJ218" s="94"/>
      <c r="AK218" s="214"/>
      <c r="AL218" s="213"/>
      <c r="AM218" s="82"/>
      <c r="AN218" s="213"/>
      <c r="AO218" s="82"/>
      <c r="AP218" s="213"/>
      <c r="AQ218" s="82"/>
      <c r="AR218" s="13">
        <f t="shared" si="103"/>
        <v>2.1799999999999998E-5</v>
      </c>
      <c r="AS218" s="13">
        <f t="shared" si="104"/>
        <v>0</v>
      </c>
      <c r="AT218" s="13"/>
      <c r="AU218" s="160">
        <v>223</v>
      </c>
      <c r="AV218" s="191">
        <f t="shared" si="117"/>
        <v>1.88E-5</v>
      </c>
      <c r="AW218" s="160">
        <f t="shared" si="105"/>
        <v>0</v>
      </c>
      <c r="AX218" s="219">
        <f t="shared" si="106"/>
        <v>2.1799999999999998E-5</v>
      </c>
      <c r="AY218" s="13">
        <f t="shared" si="109"/>
        <v>0</v>
      </c>
      <c r="AZ218" s="160">
        <v>223</v>
      </c>
      <c r="BA218" s="77">
        <f t="shared" si="118"/>
        <v>1.7399999999999999E-5</v>
      </c>
      <c r="BB218" s="192">
        <f t="shared" si="107"/>
        <v>0</v>
      </c>
      <c r="BC218" s="219">
        <f t="shared" si="110"/>
        <v>2.1799999999999998E-5</v>
      </c>
      <c r="BD218" s="13">
        <f t="shared" si="111"/>
        <v>0</v>
      </c>
      <c r="BE218" s="160">
        <v>223</v>
      </c>
      <c r="BF218" s="77">
        <f t="shared" si="119"/>
        <v>1.7399999999999999E-5</v>
      </c>
      <c r="BG218" s="192">
        <f t="shared" si="108"/>
        <v>0</v>
      </c>
      <c r="BI218" s="120"/>
      <c r="BJ218" s="120"/>
      <c r="BK218" s="160"/>
      <c r="BL218" s="160"/>
      <c r="BM218" s="161" t="str">
        <f t="shared" si="121"/>
        <v/>
      </c>
      <c r="BN218" s="161" t="str">
        <f t="shared" si="116"/>
        <v/>
      </c>
      <c r="BO218" s="161" t="str">
        <f t="shared" si="122"/>
        <v/>
      </c>
      <c r="BP218" s="161" t="str">
        <f t="shared" si="112"/>
        <v/>
      </c>
      <c r="BQ218" s="161" t="str">
        <f t="shared" si="123"/>
        <v/>
      </c>
      <c r="BR218" s="161" t="str">
        <f t="shared" si="124"/>
        <v/>
      </c>
      <c r="BS218" s="161" t="str">
        <f t="shared" si="113"/>
        <v/>
      </c>
      <c r="BT218" s="161" t="str">
        <f t="shared" si="114"/>
        <v/>
      </c>
      <c r="BU218" s="161" t="str">
        <f t="shared" si="125"/>
        <v/>
      </c>
      <c r="BV218" s="161" t="str">
        <f t="shared" si="115"/>
        <v/>
      </c>
      <c r="BW218" s="161" t="str">
        <f t="shared" si="126"/>
        <v/>
      </c>
      <c r="BX218" s="161" t="str">
        <f t="shared" si="120"/>
        <v/>
      </c>
      <c r="BY218" s="148"/>
      <c r="BZ218" s="148"/>
      <c r="CA218" s="148"/>
      <c r="CB218" s="148" t="s">
        <v>149</v>
      </c>
      <c r="CC218" s="148"/>
    </row>
    <row r="219" spans="1:81" ht="14.25" customHeight="1" thickBot="1">
      <c r="A219" s="190">
        <v>209</v>
      </c>
      <c r="B219" s="196"/>
      <c r="C219" s="180"/>
      <c r="D219" s="136"/>
      <c r="E219" s="91"/>
      <c r="F219" s="187"/>
      <c r="G219" s="188"/>
      <c r="H219" s="188"/>
      <c r="I219" s="188"/>
      <c r="J219" s="188"/>
      <c r="K219" s="18">
        <f t="shared" si="100"/>
        <v>0</v>
      </c>
      <c r="L219" s="279"/>
      <c r="M219" s="280"/>
      <c r="N219" s="351"/>
      <c r="O219" s="342" t="s">
        <v>65</v>
      </c>
      <c r="P219" s="187"/>
      <c r="Q219" s="188"/>
      <c r="R219" s="188"/>
      <c r="S219" s="119"/>
      <c r="T219" s="188"/>
      <c r="U219" s="211">
        <f t="shared" si="101"/>
        <v>0</v>
      </c>
      <c r="V219" s="279"/>
      <c r="W219" s="280"/>
      <c r="X219" s="351"/>
      <c r="Y219" s="209" t="s">
        <v>85</v>
      </c>
      <c r="Z219" s="71"/>
      <c r="AA219" s="321"/>
      <c r="AB219" s="321"/>
      <c r="AC219" s="322"/>
      <c r="AD219" s="188"/>
      <c r="AE219" s="18">
        <f t="shared" si="102"/>
        <v>0</v>
      </c>
      <c r="AF219" s="71"/>
      <c r="AG219" s="322"/>
      <c r="AH219" s="360"/>
      <c r="AI219" s="97"/>
      <c r="AJ219" s="194"/>
      <c r="AK219" s="193"/>
      <c r="AL219" s="205"/>
      <c r="AM219" s="197"/>
      <c r="AN219" s="205"/>
      <c r="AO219" s="197"/>
      <c r="AP219" s="205"/>
      <c r="AQ219" s="197"/>
      <c r="AR219" s="13">
        <f t="shared" si="103"/>
        <v>2.19E-5</v>
      </c>
      <c r="AS219" s="13">
        <f t="shared" si="104"/>
        <v>0</v>
      </c>
      <c r="AT219" s="13"/>
      <c r="AU219" s="160">
        <v>224</v>
      </c>
      <c r="AV219" s="191">
        <f t="shared" si="117"/>
        <v>1.8700000000000001E-5</v>
      </c>
      <c r="AW219" s="160">
        <f t="shared" si="105"/>
        <v>0</v>
      </c>
      <c r="AX219" s="219">
        <f t="shared" si="106"/>
        <v>2.19E-5</v>
      </c>
      <c r="AY219" s="13">
        <f t="shared" si="109"/>
        <v>0</v>
      </c>
      <c r="AZ219" s="160">
        <v>224</v>
      </c>
      <c r="BA219" s="77">
        <f t="shared" si="118"/>
        <v>1.73E-5</v>
      </c>
      <c r="BB219" s="192">
        <f t="shared" si="107"/>
        <v>0</v>
      </c>
      <c r="BC219" s="219">
        <f t="shared" si="110"/>
        <v>2.19E-5</v>
      </c>
      <c r="BD219" s="13">
        <f t="shared" si="111"/>
        <v>0</v>
      </c>
      <c r="BE219" s="160">
        <v>224</v>
      </c>
      <c r="BF219" s="77">
        <f t="shared" si="119"/>
        <v>1.73E-5</v>
      </c>
      <c r="BG219" s="192">
        <f t="shared" si="108"/>
        <v>0</v>
      </c>
      <c r="BI219" s="120"/>
      <c r="BJ219" s="120"/>
      <c r="BK219" s="160"/>
      <c r="BL219" s="160"/>
      <c r="BM219" s="161" t="str">
        <f t="shared" si="121"/>
        <v/>
      </c>
      <c r="BN219" s="161" t="str">
        <f t="shared" si="116"/>
        <v/>
      </c>
      <c r="BO219" s="161" t="str">
        <f t="shared" si="122"/>
        <v/>
      </c>
      <c r="BP219" s="161" t="str">
        <f t="shared" si="112"/>
        <v/>
      </c>
      <c r="BQ219" s="161" t="str">
        <f t="shared" si="123"/>
        <v/>
      </c>
      <c r="BR219" s="161" t="str">
        <f t="shared" si="124"/>
        <v/>
      </c>
      <c r="BS219" s="161" t="str">
        <f t="shared" si="113"/>
        <v/>
      </c>
      <c r="BT219" s="161" t="str">
        <f t="shared" si="114"/>
        <v/>
      </c>
      <c r="BU219" s="161" t="str">
        <f t="shared" si="125"/>
        <v/>
      </c>
      <c r="BV219" s="161" t="str">
        <f t="shared" si="115"/>
        <v/>
      </c>
      <c r="BW219" s="161" t="str">
        <f t="shared" si="126"/>
        <v/>
      </c>
      <c r="BX219" s="161" t="str">
        <f t="shared" si="120"/>
        <v/>
      </c>
      <c r="BY219" s="148"/>
      <c r="BZ219" s="148"/>
      <c r="CA219" s="148"/>
      <c r="CB219" s="148" t="s">
        <v>149</v>
      </c>
      <c r="CC219" s="148"/>
    </row>
    <row r="220" spans="1:81" ht="14.25" customHeight="1" thickBot="1">
      <c r="A220" s="190">
        <v>210</v>
      </c>
      <c r="B220" s="78"/>
      <c r="C220" s="181"/>
      <c r="D220" s="86"/>
      <c r="E220" s="92"/>
      <c r="F220" s="88"/>
      <c r="G220" s="93"/>
      <c r="H220" s="93"/>
      <c r="I220" s="93"/>
      <c r="J220" s="93"/>
      <c r="K220" s="81">
        <f t="shared" si="100"/>
        <v>0</v>
      </c>
      <c r="L220" s="281"/>
      <c r="M220" s="282"/>
      <c r="N220" s="352"/>
      <c r="O220" s="343" t="s">
        <v>65</v>
      </c>
      <c r="P220" s="88"/>
      <c r="Q220" s="93"/>
      <c r="R220" s="93"/>
      <c r="S220" s="89"/>
      <c r="T220" s="93"/>
      <c r="U220" s="212">
        <f t="shared" si="101"/>
        <v>0</v>
      </c>
      <c r="V220" s="281"/>
      <c r="W220" s="282"/>
      <c r="X220" s="352"/>
      <c r="Y220" s="210" t="s">
        <v>85</v>
      </c>
      <c r="Z220" s="72"/>
      <c r="AA220" s="323"/>
      <c r="AB220" s="323"/>
      <c r="AC220" s="324"/>
      <c r="AD220" s="93"/>
      <c r="AE220" s="81">
        <f t="shared" si="102"/>
        <v>0</v>
      </c>
      <c r="AF220" s="72"/>
      <c r="AG220" s="324"/>
      <c r="AH220" s="361"/>
      <c r="AI220" s="98"/>
      <c r="AJ220" s="95"/>
      <c r="AK220" s="215"/>
      <c r="AL220" s="206"/>
      <c r="AM220" s="83"/>
      <c r="AN220" s="206"/>
      <c r="AO220" s="83"/>
      <c r="AP220" s="206"/>
      <c r="AQ220" s="83"/>
      <c r="AR220" s="13">
        <f t="shared" si="103"/>
        <v>2.1999999999999999E-5</v>
      </c>
      <c r="AS220" s="13">
        <f t="shared" si="104"/>
        <v>0</v>
      </c>
      <c r="AT220" s="13"/>
      <c r="AU220" s="160">
        <v>225</v>
      </c>
      <c r="AV220" s="191">
        <f t="shared" si="117"/>
        <v>1.8599999999999998E-5</v>
      </c>
      <c r="AW220" s="160">
        <f t="shared" si="105"/>
        <v>0</v>
      </c>
      <c r="AX220" s="219">
        <f t="shared" si="106"/>
        <v>2.1999999999999999E-5</v>
      </c>
      <c r="AY220" s="13">
        <f t="shared" si="109"/>
        <v>0</v>
      </c>
      <c r="AZ220" s="160">
        <v>225</v>
      </c>
      <c r="BA220" s="77">
        <f t="shared" si="118"/>
        <v>1.7199999999999998E-5</v>
      </c>
      <c r="BB220" s="192">
        <f t="shared" si="107"/>
        <v>0</v>
      </c>
      <c r="BC220" s="219">
        <f t="shared" si="110"/>
        <v>2.1999999999999999E-5</v>
      </c>
      <c r="BD220" s="13">
        <f t="shared" si="111"/>
        <v>0</v>
      </c>
      <c r="BE220" s="160">
        <v>225</v>
      </c>
      <c r="BF220" s="77">
        <f t="shared" si="119"/>
        <v>1.7199999999999998E-5</v>
      </c>
      <c r="BG220" s="192">
        <f t="shared" si="108"/>
        <v>0</v>
      </c>
      <c r="BI220" s="120"/>
      <c r="BJ220" s="120"/>
      <c r="BK220" s="160"/>
      <c r="BL220" s="160"/>
      <c r="BM220" s="161" t="str">
        <f t="shared" si="121"/>
        <v/>
      </c>
      <c r="BN220" s="161" t="str">
        <f t="shared" si="116"/>
        <v/>
      </c>
      <c r="BO220" s="161" t="str">
        <f t="shared" si="122"/>
        <v/>
      </c>
      <c r="BP220" s="161" t="str">
        <f t="shared" si="112"/>
        <v/>
      </c>
      <c r="BQ220" s="161" t="str">
        <f t="shared" si="123"/>
        <v/>
      </c>
      <c r="BR220" s="161" t="str">
        <f t="shared" si="124"/>
        <v/>
      </c>
      <c r="BS220" s="161" t="str">
        <f t="shared" si="113"/>
        <v/>
      </c>
      <c r="BT220" s="161" t="str">
        <f t="shared" si="114"/>
        <v/>
      </c>
      <c r="BU220" s="161" t="str">
        <f t="shared" si="125"/>
        <v/>
      </c>
      <c r="BV220" s="161" t="str">
        <f t="shared" si="115"/>
        <v/>
      </c>
      <c r="BW220" s="161" t="str">
        <f t="shared" si="126"/>
        <v/>
      </c>
      <c r="BX220" s="161" t="str">
        <f t="shared" si="120"/>
        <v/>
      </c>
      <c r="BY220" s="148"/>
      <c r="BZ220" s="148"/>
      <c r="CA220" s="148"/>
      <c r="CB220" s="148" t="s">
        <v>149</v>
      </c>
      <c r="CC220" s="148"/>
    </row>
    <row r="221" spans="1:81" ht="14.25" customHeight="1" thickBot="1">
      <c r="A221" s="190">
        <v>211</v>
      </c>
      <c r="B221" s="79"/>
      <c r="C221" s="179"/>
      <c r="D221" s="137"/>
      <c r="E221" s="198"/>
      <c r="F221" s="199"/>
      <c r="G221" s="200"/>
      <c r="H221" s="200"/>
      <c r="I221" s="200"/>
      <c r="J221" s="200"/>
      <c r="K221" s="201">
        <f t="shared" si="100"/>
        <v>0</v>
      </c>
      <c r="L221" s="277"/>
      <c r="M221" s="278"/>
      <c r="N221" s="350"/>
      <c r="O221" s="341" t="s">
        <v>65</v>
      </c>
      <c r="P221" s="189"/>
      <c r="Q221" s="326"/>
      <c r="R221" s="326"/>
      <c r="S221" s="87"/>
      <c r="T221" s="207"/>
      <c r="U221" s="225">
        <f t="shared" si="101"/>
        <v>0</v>
      </c>
      <c r="V221" s="277"/>
      <c r="W221" s="278"/>
      <c r="X221" s="350"/>
      <c r="Y221" s="208" t="s">
        <v>147</v>
      </c>
      <c r="Z221" s="11"/>
      <c r="AA221" s="207"/>
      <c r="AB221" s="207"/>
      <c r="AC221" s="3"/>
      <c r="AD221" s="207"/>
      <c r="AE221" s="226">
        <f t="shared" si="102"/>
        <v>0</v>
      </c>
      <c r="AF221" s="11"/>
      <c r="AG221" s="3"/>
      <c r="AH221" s="359"/>
      <c r="AI221" s="96"/>
      <c r="AJ221" s="94"/>
      <c r="AK221" s="214"/>
      <c r="AL221" s="213"/>
      <c r="AM221" s="82"/>
      <c r="AN221" s="213"/>
      <c r="AO221" s="82"/>
      <c r="AP221" s="213"/>
      <c r="AQ221" s="82"/>
      <c r="AR221" s="13">
        <f t="shared" si="103"/>
        <v>2.2099999999999998E-5</v>
      </c>
      <c r="AS221" s="13">
        <f t="shared" si="104"/>
        <v>0</v>
      </c>
      <c r="AT221" s="13"/>
      <c r="AU221" s="160">
        <v>226</v>
      </c>
      <c r="AV221" s="191">
        <f t="shared" si="117"/>
        <v>1.8499999999999999E-5</v>
      </c>
      <c r="AW221" s="160">
        <f t="shared" si="105"/>
        <v>0</v>
      </c>
      <c r="AX221" s="219">
        <f t="shared" si="106"/>
        <v>2.2099999999999998E-5</v>
      </c>
      <c r="AY221" s="13">
        <f t="shared" si="109"/>
        <v>0</v>
      </c>
      <c r="AZ221" s="160">
        <v>226</v>
      </c>
      <c r="BA221" s="77">
        <f t="shared" si="118"/>
        <v>1.7099999999999999E-5</v>
      </c>
      <c r="BB221" s="192">
        <f t="shared" si="107"/>
        <v>0</v>
      </c>
      <c r="BC221" s="219">
        <f t="shared" si="110"/>
        <v>2.2099999999999998E-5</v>
      </c>
      <c r="BD221" s="13">
        <f t="shared" si="111"/>
        <v>0</v>
      </c>
      <c r="BE221" s="160">
        <v>226</v>
      </c>
      <c r="BF221" s="77">
        <f t="shared" si="119"/>
        <v>1.7099999999999999E-5</v>
      </c>
      <c r="BG221" s="192">
        <f t="shared" si="108"/>
        <v>0</v>
      </c>
      <c r="BI221" s="120"/>
      <c r="BJ221" s="120"/>
      <c r="BK221" s="160"/>
      <c r="BL221" s="160"/>
      <c r="BM221" s="161" t="str">
        <f t="shared" si="121"/>
        <v/>
      </c>
      <c r="BN221" s="161" t="str">
        <f t="shared" si="116"/>
        <v/>
      </c>
      <c r="BO221" s="161" t="str">
        <f t="shared" si="122"/>
        <v/>
      </c>
      <c r="BP221" s="161" t="str">
        <f t="shared" si="112"/>
        <v/>
      </c>
      <c r="BQ221" s="161" t="str">
        <f t="shared" si="123"/>
        <v/>
      </c>
      <c r="BR221" s="161" t="str">
        <f t="shared" si="124"/>
        <v/>
      </c>
      <c r="BS221" s="161" t="str">
        <f t="shared" si="113"/>
        <v/>
      </c>
      <c r="BT221" s="161" t="str">
        <f t="shared" si="114"/>
        <v/>
      </c>
      <c r="BU221" s="161" t="str">
        <f t="shared" si="125"/>
        <v/>
      </c>
      <c r="BV221" s="161" t="str">
        <f t="shared" si="115"/>
        <v/>
      </c>
      <c r="BW221" s="161" t="str">
        <f t="shared" si="126"/>
        <v/>
      </c>
      <c r="BX221" s="161" t="str">
        <f t="shared" si="120"/>
        <v/>
      </c>
      <c r="BY221" s="148"/>
      <c r="BZ221" s="148"/>
      <c r="CA221" s="148"/>
      <c r="CB221" s="148" t="s">
        <v>149</v>
      </c>
      <c r="CC221" s="148"/>
    </row>
    <row r="222" spans="1:81" ht="14.25" customHeight="1" thickBot="1">
      <c r="A222" s="190">
        <v>212</v>
      </c>
      <c r="B222" s="196"/>
      <c r="C222" s="180"/>
      <c r="D222" s="136"/>
      <c r="E222" s="91"/>
      <c r="F222" s="187"/>
      <c r="G222" s="188"/>
      <c r="H222" s="188"/>
      <c r="I222" s="188"/>
      <c r="J222" s="188"/>
      <c r="K222" s="18">
        <f t="shared" si="100"/>
        <v>0</v>
      </c>
      <c r="L222" s="279"/>
      <c r="M222" s="280"/>
      <c r="N222" s="351"/>
      <c r="O222" s="342" t="s">
        <v>65</v>
      </c>
      <c r="P222" s="187"/>
      <c r="Q222" s="188"/>
      <c r="R222" s="188"/>
      <c r="S222" s="119"/>
      <c r="T222" s="188"/>
      <c r="U222" s="211">
        <f t="shared" si="101"/>
        <v>0</v>
      </c>
      <c r="V222" s="279"/>
      <c r="W222" s="280"/>
      <c r="X222" s="351"/>
      <c r="Y222" s="209" t="s">
        <v>85</v>
      </c>
      <c r="Z222" s="71"/>
      <c r="AA222" s="321"/>
      <c r="AB222" s="321"/>
      <c r="AC222" s="322"/>
      <c r="AD222" s="188"/>
      <c r="AE222" s="18">
        <f t="shared" si="102"/>
        <v>0</v>
      </c>
      <c r="AF222" s="71"/>
      <c r="AG222" s="322"/>
      <c r="AH222" s="360"/>
      <c r="AI222" s="97"/>
      <c r="AJ222" s="194"/>
      <c r="AK222" s="193"/>
      <c r="AL222" s="205"/>
      <c r="AM222" s="197"/>
      <c r="AN222" s="205"/>
      <c r="AO222" s="197"/>
      <c r="AP222" s="205"/>
      <c r="AQ222" s="197"/>
      <c r="AR222" s="13">
        <f t="shared" si="103"/>
        <v>2.2199999999999998E-5</v>
      </c>
      <c r="AS222" s="13">
        <f t="shared" si="104"/>
        <v>0</v>
      </c>
      <c r="AT222" s="13"/>
      <c r="AU222" s="160">
        <v>227</v>
      </c>
      <c r="AV222" s="191">
        <f t="shared" si="117"/>
        <v>1.84E-5</v>
      </c>
      <c r="AW222" s="160">
        <f t="shared" si="105"/>
        <v>0</v>
      </c>
      <c r="AX222" s="219">
        <f t="shared" si="106"/>
        <v>2.2199999999999998E-5</v>
      </c>
      <c r="AY222" s="13">
        <f t="shared" si="109"/>
        <v>0</v>
      </c>
      <c r="AZ222" s="160">
        <v>227</v>
      </c>
      <c r="BA222" s="77">
        <f t="shared" si="118"/>
        <v>1.7E-5</v>
      </c>
      <c r="BB222" s="192">
        <f t="shared" si="107"/>
        <v>0</v>
      </c>
      <c r="BC222" s="219">
        <f t="shared" si="110"/>
        <v>2.2199999999999998E-5</v>
      </c>
      <c r="BD222" s="13">
        <f t="shared" si="111"/>
        <v>0</v>
      </c>
      <c r="BE222" s="160">
        <v>227</v>
      </c>
      <c r="BF222" s="77">
        <f t="shared" si="119"/>
        <v>1.7E-5</v>
      </c>
      <c r="BG222" s="192">
        <f t="shared" si="108"/>
        <v>0</v>
      </c>
      <c r="BI222" s="120"/>
      <c r="BJ222" s="120"/>
      <c r="BK222" s="160"/>
      <c r="BL222" s="160"/>
      <c r="BM222" s="161" t="str">
        <f t="shared" si="121"/>
        <v/>
      </c>
      <c r="BN222" s="161" t="str">
        <f t="shared" si="116"/>
        <v/>
      </c>
      <c r="BO222" s="161" t="str">
        <f t="shared" si="122"/>
        <v/>
      </c>
      <c r="BP222" s="161" t="str">
        <f t="shared" si="112"/>
        <v/>
      </c>
      <c r="BQ222" s="161" t="str">
        <f t="shared" si="123"/>
        <v/>
      </c>
      <c r="BR222" s="161" t="str">
        <f t="shared" si="124"/>
        <v/>
      </c>
      <c r="BS222" s="161" t="str">
        <f t="shared" si="113"/>
        <v/>
      </c>
      <c r="BT222" s="161" t="str">
        <f t="shared" si="114"/>
        <v/>
      </c>
      <c r="BU222" s="161" t="str">
        <f t="shared" si="125"/>
        <v/>
      </c>
      <c r="BV222" s="161" t="str">
        <f t="shared" si="115"/>
        <v/>
      </c>
      <c r="BW222" s="161" t="str">
        <f t="shared" si="126"/>
        <v/>
      </c>
      <c r="BX222" s="161" t="str">
        <f t="shared" si="120"/>
        <v/>
      </c>
      <c r="BY222" s="148"/>
      <c r="BZ222" s="148"/>
      <c r="CA222" s="148"/>
      <c r="CB222" s="148" t="s">
        <v>149</v>
      </c>
      <c r="CC222" s="148"/>
    </row>
    <row r="223" spans="1:81" ht="14.25" customHeight="1" thickBot="1">
      <c r="A223" s="190">
        <v>213</v>
      </c>
      <c r="B223" s="78"/>
      <c r="C223" s="181"/>
      <c r="D223" s="86"/>
      <c r="E223" s="92"/>
      <c r="F223" s="88"/>
      <c r="G223" s="93"/>
      <c r="H223" s="93"/>
      <c r="I223" s="93"/>
      <c r="J223" s="93"/>
      <c r="K223" s="81">
        <f t="shared" si="100"/>
        <v>0</v>
      </c>
      <c r="L223" s="281"/>
      <c r="M223" s="282"/>
      <c r="N223" s="352"/>
      <c r="O223" s="343" t="s">
        <v>65</v>
      </c>
      <c r="P223" s="88"/>
      <c r="Q223" s="93"/>
      <c r="R223" s="93"/>
      <c r="S223" s="89"/>
      <c r="T223" s="93"/>
      <c r="U223" s="212">
        <f t="shared" si="101"/>
        <v>0</v>
      </c>
      <c r="V223" s="281"/>
      <c r="W223" s="282"/>
      <c r="X223" s="352"/>
      <c r="Y223" s="210" t="s">
        <v>85</v>
      </c>
      <c r="Z223" s="72"/>
      <c r="AA223" s="323"/>
      <c r="AB223" s="323"/>
      <c r="AC223" s="324"/>
      <c r="AD223" s="93"/>
      <c r="AE223" s="81">
        <f t="shared" si="102"/>
        <v>0</v>
      </c>
      <c r="AF223" s="72"/>
      <c r="AG223" s="324"/>
      <c r="AH223" s="361"/>
      <c r="AI223" s="98"/>
      <c r="AJ223" s="95"/>
      <c r="AK223" s="215"/>
      <c r="AL223" s="206"/>
      <c r="AM223" s="83"/>
      <c r="AN223" s="206"/>
      <c r="AO223" s="83"/>
      <c r="AP223" s="206"/>
      <c r="AQ223" s="83"/>
      <c r="AR223" s="13">
        <f t="shared" si="103"/>
        <v>2.23E-5</v>
      </c>
      <c r="AS223" s="13">
        <f t="shared" si="104"/>
        <v>0</v>
      </c>
      <c r="AT223" s="13"/>
      <c r="AU223" s="160">
        <v>228</v>
      </c>
      <c r="AV223" s="191">
        <f t="shared" si="117"/>
        <v>1.8299999999999998E-5</v>
      </c>
      <c r="AW223" s="160">
        <f t="shared" si="105"/>
        <v>0</v>
      </c>
      <c r="AX223" s="219">
        <f t="shared" si="106"/>
        <v>2.23E-5</v>
      </c>
      <c r="AY223" s="13">
        <f t="shared" si="109"/>
        <v>0</v>
      </c>
      <c r="AZ223" s="160">
        <v>228</v>
      </c>
      <c r="BA223" s="77">
        <f t="shared" si="118"/>
        <v>1.6900000000000001E-5</v>
      </c>
      <c r="BB223" s="192">
        <f t="shared" si="107"/>
        <v>0</v>
      </c>
      <c r="BC223" s="219">
        <f t="shared" si="110"/>
        <v>2.23E-5</v>
      </c>
      <c r="BD223" s="13">
        <f t="shared" si="111"/>
        <v>0</v>
      </c>
      <c r="BE223" s="160">
        <v>228</v>
      </c>
      <c r="BF223" s="77">
        <f t="shared" si="119"/>
        <v>1.6900000000000001E-5</v>
      </c>
      <c r="BG223" s="192">
        <f t="shared" si="108"/>
        <v>0</v>
      </c>
      <c r="BI223" s="120"/>
      <c r="BJ223" s="120"/>
      <c r="BK223" s="160"/>
      <c r="BL223" s="160"/>
      <c r="BM223" s="161" t="str">
        <f t="shared" si="121"/>
        <v/>
      </c>
      <c r="BN223" s="161" t="str">
        <f t="shared" si="116"/>
        <v/>
      </c>
      <c r="BO223" s="161" t="str">
        <f t="shared" si="122"/>
        <v/>
      </c>
      <c r="BP223" s="161" t="str">
        <f t="shared" si="112"/>
        <v/>
      </c>
      <c r="BQ223" s="161" t="str">
        <f t="shared" ref="BQ223:BQ252" si="127">MID($BK223,8,1)</f>
        <v/>
      </c>
      <c r="BR223" s="161" t="str">
        <f t="shared" si="124"/>
        <v/>
      </c>
      <c r="BS223" s="161" t="str">
        <f t="shared" si="113"/>
        <v/>
      </c>
      <c r="BT223" s="161" t="str">
        <f t="shared" si="114"/>
        <v/>
      </c>
      <c r="BU223" s="161" t="str">
        <f t="shared" si="125"/>
        <v/>
      </c>
      <c r="BV223" s="161" t="str">
        <f t="shared" si="115"/>
        <v/>
      </c>
      <c r="BW223" s="161" t="str">
        <f t="shared" si="126"/>
        <v/>
      </c>
      <c r="BX223" s="161" t="str">
        <f t="shared" si="120"/>
        <v/>
      </c>
      <c r="BY223" s="148"/>
      <c r="BZ223" s="148"/>
      <c r="CA223" s="148"/>
      <c r="CB223" s="148" t="s">
        <v>149</v>
      </c>
      <c r="CC223" s="148"/>
    </row>
    <row r="224" spans="1:81" ht="14.25" customHeight="1" thickBot="1">
      <c r="A224" s="190">
        <v>214</v>
      </c>
      <c r="B224" s="79"/>
      <c r="C224" s="179"/>
      <c r="D224" s="137"/>
      <c r="E224" s="198"/>
      <c r="F224" s="199"/>
      <c r="G224" s="200"/>
      <c r="H224" s="200"/>
      <c r="I224" s="200"/>
      <c r="J224" s="200"/>
      <c r="K224" s="201">
        <f t="shared" si="100"/>
        <v>0</v>
      </c>
      <c r="L224" s="277"/>
      <c r="M224" s="278"/>
      <c r="N224" s="350"/>
      <c r="O224" s="341" t="s">
        <v>65</v>
      </c>
      <c r="P224" s="189"/>
      <c r="Q224" s="326"/>
      <c r="R224" s="326"/>
      <c r="S224" s="87"/>
      <c r="T224" s="207"/>
      <c r="U224" s="225">
        <f t="shared" si="101"/>
        <v>0</v>
      </c>
      <c r="V224" s="277"/>
      <c r="W224" s="278"/>
      <c r="X224" s="350"/>
      <c r="Y224" s="208" t="s">
        <v>147</v>
      </c>
      <c r="Z224" s="11"/>
      <c r="AA224" s="207"/>
      <c r="AB224" s="207"/>
      <c r="AC224" s="3"/>
      <c r="AD224" s="207"/>
      <c r="AE224" s="226">
        <f t="shared" si="102"/>
        <v>0</v>
      </c>
      <c r="AF224" s="11"/>
      <c r="AG224" s="3"/>
      <c r="AH224" s="359"/>
      <c r="AI224" s="96"/>
      <c r="AJ224" s="94"/>
      <c r="AK224" s="214"/>
      <c r="AL224" s="213"/>
      <c r="AM224" s="82"/>
      <c r="AN224" s="213"/>
      <c r="AO224" s="82"/>
      <c r="AP224" s="213"/>
      <c r="AQ224" s="82"/>
      <c r="AR224" s="13">
        <f t="shared" si="103"/>
        <v>2.2399999999999999E-5</v>
      </c>
      <c r="AS224" s="13">
        <f t="shared" si="104"/>
        <v>0</v>
      </c>
      <c r="AT224" s="13"/>
      <c r="AU224" s="160">
        <v>229</v>
      </c>
      <c r="AV224" s="191">
        <f t="shared" si="117"/>
        <v>1.8199999999999999E-5</v>
      </c>
      <c r="AW224" s="160">
        <f t="shared" si="105"/>
        <v>0</v>
      </c>
      <c r="AX224" s="219">
        <f t="shared" si="106"/>
        <v>2.2399999999999999E-5</v>
      </c>
      <c r="AY224" s="13">
        <f t="shared" si="109"/>
        <v>0</v>
      </c>
      <c r="AZ224" s="160">
        <v>229</v>
      </c>
      <c r="BA224" s="77">
        <f t="shared" si="118"/>
        <v>1.6799999999999998E-5</v>
      </c>
      <c r="BB224" s="192">
        <f t="shared" si="107"/>
        <v>0</v>
      </c>
      <c r="BC224" s="219">
        <f t="shared" si="110"/>
        <v>2.2399999999999999E-5</v>
      </c>
      <c r="BD224" s="13">
        <f t="shared" si="111"/>
        <v>0</v>
      </c>
      <c r="BE224" s="160">
        <v>229</v>
      </c>
      <c r="BF224" s="77">
        <f t="shared" si="119"/>
        <v>1.6799999999999998E-5</v>
      </c>
      <c r="BG224" s="192">
        <f t="shared" si="108"/>
        <v>0</v>
      </c>
      <c r="BI224" s="120"/>
      <c r="BJ224" s="120"/>
      <c r="BK224" s="160"/>
      <c r="BL224" s="160"/>
      <c r="BM224" s="161" t="str">
        <f t="shared" si="121"/>
        <v/>
      </c>
      <c r="BN224" s="161" t="str">
        <f t="shared" si="116"/>
        <v/>
      </c>
      <c r="BO224" s="161" t="str">
        <f t="shared" si="122"/>
        <v/>
      </c>
      <c r="BP224" s="161" t="str">
        <f t="shared" si="112"/>
        <v/>
      </c>
      <c r="BQ224" s="161" t="str">
        <f t="shared" si="127"/>
        <v/>
      </c>
      <c r="BR224" s="161" t="str">
        <f t="shared" si="124"/>
        <v/>
      </c>
      <c r="BS224" s="161" t="str">
        <f t="shared" si="113"/>
        <v/>
      </c>
      <c r="BT224" s="161" t="str">
        <f t="shared" si="114"/>
        <v/>
      </c>
      <c r="BU224" s="161" t="str">
        <f t="shared" si="125"/>
        <v/>
      </c>
      <c r="BV224" s="161" t="str">
        <f t="shared" si="115"/>
        <v/>
      </c>
      <c r="BW224" s="161" t="str">
        <f t="shared" si="126"/>
        <v/>
      </c>
      <c r="BX224" s="161" t="str">
        <f t="shared" si="120"/>
        <v/>
      </c>
      <c r="BY224" s="148"/>
      <c r="BZ224" s="148"/>
      <c r="CA224" s="148"/>
      <c r="CB224" s="148" t="s">
        <v>149</v>
      </c>
      <c r="CC224" s="148"/>
    </row>
    <row r="225" spans="1:81" ht="14.25" customHeight="1" thickBot="1">
      <c r="A225" s="190">
        <v>215</v>
      </c>
      <c r="B225" s="196"/>
      <c r="C225" s="180"/>
      <c r="D225" s="136"/>
      <c r="E225" s="91"/>
      <c r="F225" s="187"/>
      <c r="G225" s="188"/>
      <c r="H225" s="188"/>
      <c r="I225" s="188"/>
      <c r="J225" s="188"/>
      <c r="K225" s="18">
        <f t="shared" si="100"/>
        <v>0</v>
      </c>
      <c r="L225" s="279"/>
      <c r="M225" s="280"/>
      <c r="N225" s="351"/>
      <c r="O225" s="342" t="s">
        <v>65</v>
      </c>
      <c r="P225" s="187"/>
      <c r="Q225" s="188"/>
      <c r="R225" s="188"/>
      <c r="S225" s="119"/>
      <c r="T225" s="188"/>
      <c r="U225" s="211">
        <f t="shared" si="101"/>
        <v>0</v>
      </c>
      <c r="V225" s="279"/>
      <c r="W225" s="280"/>
      <c r="X225" s="351"/>
      <c r="Y225" s="209" t="s">
        <v>85</v>
      </c>
      <c r="Z225" s="71"/>
      <c r="AA225" s="321"/>
      <c r="AB225" s="321"/>
      <c r="AC225" s="322"/>
      <c r="AD225" s="188"/>
      <c r="AE225" s="18">
        <f t="shared" si="102"/>
        <v>0</v>
      </c>
      <c r="AF225" s="71"/>
      <c r="AG225" s="322"/>
      <c r="AH225" s="360"/>
      <c r="AI225" s="97"/>
      <c r="AJ225" s="194"/>
      <c r="AK225" s="193"/>
      <c r="AL225" s="205"/>
      <c r="AM225" s="197"/>
      <c r="AN225" s="205"/>
      <c r="AO225" s="197"/>
      <c r="AP225" s="205"/>
      <c r="AQ225" s="197"/>
      <c r="AR225" s="13">
        <f t="shared" si="103"/>
        <v>2.2499999999999998E-5</v>
      </c>
      <c r="AS225" s="13">
        <f t="shared" si="104"/>
        <v>0</v>
      </c>
      <c r="AT225" s="13"/>
      <c r="AU225" s="160">
        <v>230</v>
      </c>
      <c r="AV225" s="191">
        <f t="shared" si="117"/>
        <v>1.8099999999999999E-5</v>
      </c>
      <c r="AW225" s="160">
        <f t="shared" si="105"/>
        <v>0</v>
      </c>
      <c r="AX225" s="219">
        <f t="shared" si="106"/>
        <v>2.2499999999999998E-5</v>
      </c>
      <c r="AY225" s="13">
        <f t="shared" si="109"/>
        <v>0</v>
      </c>
      <c r="AZ225" s="160">
        <v>230</v>
      </c>
      <c r="BA225" s="77">
        <f t="shared" si="118"/>
        <v>1.6699999999999999E-5</v>
      </c>
      <c r="BB225" s="192">
        <f t="shared" si="107"/>
        <v>0</v>
      </c>
      <c r="BC225" s="219">
        <f t="shared" si="110"/>
        <v>2.2499999999999998E-5</v>
      </c>
      <c r="BD225" s="13">
        <f t="shared" si="111"/>
        <v>0</v>
      </c>
      <c r="BE225" s="160">
        <v>230</v>
      </c>
      <c r="BF225" s="77">
        <f t="shared" si="119"/>
        <v>1.6699999999999999E-5</v>
      </c>
      <c r="BG225" s="192">
        <f t="shared" si="108"/>
        <v>0</v>
      </c>
      <c r="BI225" s="120"/>
      <c r="BJ225" s="120"/>
      <c r="BK225" s="160"/>
      <c r="BL225" s="160"/>
      <c r="BM225" s="161" t="str">
        <f t="shared" si="121"/>
        <v/>
      </c>
      <c r="BN225" s="161" t="str">
        <f t="shared" si="116"/>
        <v/>
      </c>
      <c r="BO225" s="161" t="str">
        <f t="shared" si="122"/>
        <v/>
      </c>
      <c r="BP225" s="161" t="str">
        <f t="shared" si="112"/>
        <v/>
      </c>
      <c r="BQ225" s="161" t="str">
        <f t="shared" si="127"/>
        <v/>
      </c>
      <c r="BR225" s="161" t="str">
        <f t="shared" si="124"/>
        <v/>
      </c>
      <c r="BS225" s="161" t="str">
        <f t="shared" si="113"/>
        <v/>
      </c>
      <c r="BT225" s="161" t="str">
        <f t="shared" si="114"/>
        <v/>
      </c>
      <c r="BU225" s="161" t="str">
        <f t="shared" si="125"/>
        <v/>
      </c>
      <c r="BV225" s="161" t="str">
        <f t="shared" si="115"/>
        <v/>
      </c>
      <c r="BW225" s="161" t="str">
        <f t="shared" si="126"/>
        <v/>
      </c>
      <c r="BX225" s="161" t="str">
        <f t="shared" si="120"/>
        <v/>
      </c>
      <c r="BY225" s="148"/>
      <c r="BZ225" s="148"/>
      <c r="CA225" s="148"/>
      <c r="CB225" s="148" t="s">
        <v>149</v>
      </c>
      <c r="CC225" s="148"/>
    </row>
    <row r="226" spans="1:81" ht="14.25" customHeight="1" thickBot="1">
      <c r="A226" s="190">
        <v>216</v>
      </c>
      <c r="B226" s="78"/>
      <c r="C226" s="181"/>
      <c r="D226" s="86"/>
      <c r="E226" s="92"/>
      <c r="F226" s="88"/>
      <c r="G226" s="93"/>
      <c r="H226" s="93"/>
      <c r="I226" s="93"/>
      <c r="J226" s="93"/>
      <c r="K226" s="81">
        <f t="shared" si="100"/>
        <v>0</v>
      </c>
      <c r="L226" s="281"/>
      <c r="M226" s="282"/>
      <c r="N226" s="352"/>
      <c r="O226" s="343" t="s">
        <v>65</v>
      </c>
      <c r="P226" s="88"/>
      <c r="Q226" s="93"/>
      <c r="R226" s="93"/>
      <c r="S226" s="89"/>
      <c r="T226" s="93"/>
      <c r="U226" s="212">
        <f t="shared" si="101"/>
        <v>0</v>
      </c>
      <c r="V226" s="281"/>
      <c r="W226" s="282"/>
      <c r="X226" s="352"/>
      <c r="Y226" s="210" t="s">
        <v>85</v>
      </c>
      <c r="Z226" s="72"/>
      <c r="AA226" s="323"/>
      <c r="AB226" s="323"/>
      <c r="AC226" s="324"/>
      <c r="AD226" s="93"/>
      <c r="AE226" s="81">
        <f t="shared" si="102"/>
        <v>0</v>
      </c>
      <c r="AF226" s="72"/>
      <c r="AG226" s="324"/>
      <c r="AH226" s="361"/>
      <c r="AI226" s="98"/>
      <c r="AJ226" s="95"/>
      <c r="AK226" s="215"/>
      <c r="AL226" s="206"/>
      <c r="AM226" s="83"/>
      <c r="AN226" s="206"/>
      <c r="AO226" s="83"/>
      <c r="AP226" s="206"/>
      <c r="AQ226" s="83"/>
      <c r="AR226" s="13">
        <f t="shared" si="103"/>
        <v>2.26E-5</v>
      </c>
      <c r="AS226" s="13">
        <f t="shared" si="104"/>
        <v>0</v>
      </c>
      <c r="AT226" s="13"/>
      <c r="AU226" s="160">
        <v>231</v>
      </c>
      <c r="AV226" s="191">
        <f t="shared" si="117"/>
        <v>1.8E-5</v>
      </c>
      <c r="AW226" s="160">
        <f t="shared" si="105"/>
        <v>0</v>
      </c>
      <c r="AX226" s="219">
        <f t="shared" si="106"/>
        <v>2.26E-5</v>
      </c>
      <c r="AY226" s="13">
        <f t="shared" si="109"/>
        <v>0</v>
      </c>
      <c r="AZ226" s="160">
        <v>231</v>
      </c>
      <c r="BA226" s="77">
        <f t="shared" si="118"/>
        <v>1.66E-5</v>
      </c>
      <c r="BB226" s="192">
        <f t="shared" si="107"/>
        <v>0</v>
      </c>
      <c r="BC226" s="219">
        <f t="shared" si="110"/>
        <v>2.26E-5</v>
      </c>
      <c r="BD226" s="13">
        <f t="shared" si="111"/>
        <v>0</v>
      </c>
      <c r="BE226" s="160">
        <v>231</v>
      </c>
      <c r="BF226" s="77">
        <f t="shared" si="119"/>
        <v>1.66E-5</v>
      </c>
      <c r="BG226" s="192">
        <f t="shared" si="108"/>
        <v>0</v>
      </c>
      <c r="BI226" s="120"/>
      <c r="BJ226" s="120"/>
      <c r="BK226" s="160"/>
      <c r="BL226" s="160"/>
      <c r="BM226" s="161" t="str">
        <f t="shared" si="121"/>
        <v/>
      </c>
      <c r="BN226" s="161" t="str">
        <f t="shared" si="116"/>
        <v/>
      </c>
      <c r="BO226" s="161" t="str">
        <f t="shared" si="122"/>
        <v/>
      </c>
      <c r="BP226" s="161" t="str">
        <f t="shared" si="112"/>
        <v/>
      </c>
      <c r="BQ226" s="161" t="str">
        <f t="shared" si="127"/>
        <v/>
      </c>
      <c r="BR226" s="161" t="str">
        <f t="shared" si="124"/>
        <v/>
      </c>
      <c r="BS226" s="161" t="str">
        <f t="shared" si="113"/>
        <v/>
      </c>
      <c r="BT226" s="161" t="str">
        <f t="shared" si="114"/>
        <v/>
      </c>
      <c r="BU226" s="161" t="str">
        <f t="shared" si="125"/>
        <v/>
      </c>
      <c r="BV226" s="161" t="str">
        <f t="shared" si="115"/>
        <v/>
      </c>
      <c r="BW226" s="161" t="str">
        <f t="shared" si="126"/>
        <v/>
      </c>
      <c r="BX226" s="161" t="str">
        <f t="shared" si="120"/>
        <v/>
      </c>
      <c r="BY226" s="148"/>
      <c r="BZ226" s="148"/>
      <c r="CA226" s="148"/>
      <c r="CB226" s="148" t="s">
        <v>149</v>
      </c>
      <c r="CC226" s="148"/>
    </row>
    <row r="227" spans="1:81" ht="14.25" customHeight="1" thickBot="1">
      <c r="A227" s="190">
        <v>217</v>
      </c>
      <c r="B227" s="79"/>
      <c r="C227" s="179"/>
      <c r="D227" s="137"/>
      <c r="E227" s="198"/>
      <c r="F227" s="199"/>
      <c r="G227" s="200"/>
      <c r="H227" s="200"/>
      <c r="I227" s="200"/>
      <c r="J227" s="200"/>
      <c r="K227" s="201">
        <f t="shared" si="100"/>
        <v>0</v>
      </c>
      <c r="L227" s="277"/>
      <c r="M227" s="278"/>
      <c r="N227" s="350"/>
      <c r="O227" s="341" t="s">
        <v>65</v>
      </c>
      <c r="P227" s="189"/>
      <c r="Q227" s="326"/>
      <c r="R227" s="326"/>
      <c r="S227" s="87"/>
      <c r="T227" s="207"/>
      <c r="U227" s="225">
        <f t="shared" si="101"/>
        <v>0</v>
      </c>
      <c r="V227" s="277"/>
      <c r="W227" s="278"/>
      <c r="X227" s="350"/>
      <c r="Y227" s="208" t="s">
        <v>147</v>
      </c>
      <c r="Z227" s="11"/>
      <c r="AA227" s="207"/>
      <c r="AB227" s="207"/>
      <c r="AC227" s="3"/>
      <c r="AD227" s="207"/>
      <c r="AE227" s="226">
        <f t="shared" si="102"/>
        <v>0</v>
      </c>
      <c r="AF227" s="11"/>
      <c r="AG227" s="3"/>
      <c r="AH227" s="359"/>
      <c r="AI227" s="96"/>
      <c r="AJ227" s="94"/>
      <c r="AK227" s="214"/>
      <c r="AL227" s="213"/>
      <c r="AM227" s="82"/>
      <c r="AN227" s="213"/>
      <c r="AO227" s="82"/>
      <c r="AP227" s="213"/>
      <c r="AQ227" s="82"/>
      <c r="AR227" s="13">
        <f t="shared" si="103"/>
        <v>2.27E-5</v>
      </c>
      <c r="AS227" s="13">
        <f t="shared" si="104"/>
        <v>0</v>
      </c>
      <c r="AT227" s="13"/>
      <c r="AU227" s="160">
        <v>232</v>
      </c>
      <c r="AV227" s="191">
        <f t="shared" si="117"/>
        <v>1.7899999999999998E-5</v>
      </c>
      <c r="AW227" s="160">
        <f t="shared" si="105"/>
        <v>0</v>
      </c>
      <c r="AX227" s="219">
        <f t="shared" si="106"/>
        <v>2.27E-5</v>
      </c>
      <c r="AY227" s="13">
        <f t="shared" si="109"/>
        <v>0</v>
      </c>
      <c r="AZ227" s="160">
        <v>232</v>
      </c>
      <c r="BA227" s="77">
        <f t="shared" si="118"/>
        <v>1.6499999999999998E-5</v>
      </c>
      <c r="BB227" s="192">
        <f t="shared" si="107"/>
        <v>0</v>
      </c>
      <c r="BC227" s="219">
        <f t="shared" si="110"/>
        <v>2.27E-5</v>
      </c>
      <c r="BD227" s="13">
        <f t="shared" si="111"/>
        <v>0</v>
      </c>
      <c r="BE227" s="160">
        <v>232</v>
      </c>
      <c r="BF227" s="77">
        <f t="shared" si="119"/>
        <v>1.6499999999999998E-5</v>
      </c>
      <c r="BG227" s="192">
        <f t="shared" si="108"/>
        <v>0</v>
      </c>
      <c r="BI227" s="120"/>
      <c r="BJ227" s="120"/>
      <c r="BK227" s="160"/>
      <c r="BL227" s="160"/>
      <c r="BM227" s="161" t="str">
        <f t="shared" si="121"/>
        <v/>
      </c>
      <c r="BN227" s="161" t="str">
        <f t="shared" si="116"/>
        <v/>
      </c>
      <c r="BO227" s="161" t="str">
        <f t="shared" si="122"/>
        <v/>
      </c>
      <c r="BP227" s="161" t="str">
        <f t="shared" si="112"/>
        <v/>
      </c>
      <c r="BQ227" s="161" t="str">
        <f t="shared" si="127"/>
        <v/>
      </c>
      <c r="BR227" s="161" t="str">
        <f t="shared" si="124"/>
        <v/>
      </c>
      <c r="BS227" s="161" t="str">
        <f t="shared" si="113"/>
        <v/>
      </c>
      <c r="BT227" s="161" t="str">
        <f t="shared" si="114"/>
        <v/>
      </c>
      <c r="BU227" s="161" t="str">
        <f t="shared" si="125"/>
        <v/>
      </c>
      <c r="BV227" s="161" t="str">
        <f t="shared" si="115"/>
        <v/>
      </c>
      <c r="BW227" s="161" t="str">
        <f t="shared" si="126"/>
        <v/>
      </c>
      <c r="BX227" s="161" t="str">
        <f t="shared" si="120"/>
        <v/>
      </c>
      <c r="BY227" s="148"/>
      <c r="BZ227" s="148"/>
      <c r="CA227" s="148"/>
      <c r="CB227" s="148" t="s">
        <v>149</v>
      </c>
      <c r="CC227" s="148"/>
    </row>
    <row r="228" spans="1:81" ht="14.25" customHeight="1" thickBot="1">
      <c r="A228" s="190">
        <v>218</v>
      </c>
      <c r="B228" s="196"/>
      <c r="C228" s="180"/>
      <c r="D228" s="136"/>
      <c r="E228" s="91"/>
      <c r="F228" s="187"/>
      <c r="G228" s="188"/>
      <c r="H228" s="188"/>
      <c r="I228" s="188"/>
      <c r="J228" s="188"/>
      <c r="K228" s="18">
        <f t="shared" si="100"/>
        <v>0</v>
      </c>
      <c r="L228" s="279"/>
      <c r="M228" s="280"/>
      <c r="N228" s="351"/>
      <c r="O228" s="342" t="s">
        <v>65</v>
      </c>
      <c r="P228" s="187"/>
      <c r="Q228" s="188"/>
      <c r="R228" s="188"/>
      <c r="S228" s="119"/>
      <c r="T228" s="188"/>
      <c r="U228" s="211">
        <f t="shared" si="101"/>
        <v>0</v>
      </c>
      <c r="V228" s="279"/>
      <c r="W228" s="280"/>
      <c r="X228" s="351"/>
      <c r="Y228" s="209" t="s">
        <v>85</v>
      </c>
      <c r="Z228" s="71"/>
      <c r="AA228" s="321"/>
      <c r="AB228" s="321"/>
      <c r="AC228" s="322"/>
      <c r="AD228" s="188"/>
      <c r="AE228" s="18">
        <f t="shared" si="102"/>
        <v>0</v>
      </c>
      <c r="AF228" s="71"/>
      <c r="AG228" s="322"/>
      <c r="AH228" s="360"/>
      <c r="AI228" s="97"/>
      <c r="AJ228" s="194"/>
      <c r="AK228" s="193"/>
      <c r="AL228" s="205"/>
      <c r="AM228" s="197"/>
      <c r="AN228" s="205"/>
      <c r="AO228" s="197"/>
      <c r="AP228" s="205"/>
      <c r="AQ228" s="197"/>
      <c r="AR228" s="13">
        <f t="shared" si="103"/>
        <v>2.2799999999999999E-5</v>
      </c>
      <c r="AS228" s="13">
        <f t="shared" si="104"/>
        <v>0</v>
      </c>
      <c r="AT228" s="13"/>
      <c r="AU228" s="160">
        <v>233</v>
      </c>
      <c r="AV228" s="191">
        <f t="shared" si="117"/>
        <v>1.7799999999999999E-5</v>
      </c>
      <c r="AW228" s="160">
        <f t="shared" si="105"/>
        <v>0</v>
      </c>
      <c r="AX228" s="219">
        <f t="shared" si="106"/>
        <v>2.2799999999999999E-5</v>
      </c>
      <c r="AY228" s="13">
        <f t="shared" si="109"/>
        <v>0</v>
      </c>
      <c r="AZ228" s="160">
        <v>233</v>
      </c>
      <c r="BA228" s="77">
        <f t="shared" si="118"/>
        <v>1.6399999999999999E-5</v>
      </c>
      <c r="BB228" s="192">
        <f t="shared" si="107"/>
        <v>0</v>
      </c>
      <c r="BC228" s="219">
        <f t="shared" si="110"/>
        <v>2.2799999999999999E-5</v>
      </c>
      <c r="BD228" s="13">
        <f t="shared" si="111"/>
        <v>0</v>
      </c>
      <c r="BE228" s="160">
        <v>233</v>
      </c>
      <c r="BF228" s="77">
        <f t="shared" si="119"/>
        <v>1.6399999999999999E-5</v>
      </c>
      <c r="BG228" s="192">
        <f t="shared" si="108"/>
        <v>0</v>
      </c>
      <c r="BI228" s="120"/>
      <c r="BJ228" s="120"/>
      <c r="BK228" s="160"/>
      <c r="BL228" s="160"/>
      <c r="BM228" s="161" t="str">
        <f t="shared" si="121"/>
        <v/>
      </c>
      <c r="BN228" s="161" t="str">
        <f t="shared" si="116"/>
        <v/>
      </c>
      <c r="BO228" s="161" t="str">
        <f t="shared" si="122"/>
        <v/>
      </c>
      <c r="BP228" s="161" t="str">
        <f t="shared" si="112"/>
        <v/>
      </c>
      <c r="BQ228" s="161" t="str">
        <f t="shared" si="127"/>
        <v/>
      </c>
      <c r="BR228" s="161" t="str">
        <f t="shared" si="124"/>
        <v/>
      </c>
      <c r="BS228" s="161" t="str">
        <f t="shared" si="113"/>
        <v/>
      </c>
      <c r="BT228" s="161" t="str">
        <f t="shared" si="114"/>
        <v/>
      </c>
      <c r="BU228" s="161" t="str">
        <f t="shared" si="125"/>
        <v/>
      </c>
      <c r="BV228" s="161" t="str">
        <f t="shared" si="115"/>
        <v/>
      </c>
      <c r="BW228" s="161" t="str">
        <f t="shared" si="126"/>
        <v/>
      </c>
      <c r="BX228" s="161" t="str">
        <f t="shared" si="120"/>
        <v/>
      </c>
      <c r="BY228" s="148"/>
      <c r="BZ228" s="148"/>
      <c r="CA228" s="148"/>
      <c r="CB228" s="148" t="s">
        <v>149</v>
      </c>
      <c r="CC228" s="148"/>
    </row>
    <row r="229" spans="1:81" ht="14.25" customHeight="1" thickBot="1">
      <c r="A229" s="190">
        <v>219</v>
      </c>
      <c r="B229" s="78"/>
      <c r="C229" s="181"/>
      <c r="D229" s="86"/>
      <c r="E229" s="92"/>
      <c r="F229" s="88"/>
      <c r="G229" s="93"/>
      <c r="H229" s="93"/>
      <c r="I229" s="93"/>
      <c r="J229" s="93"/>
      <c r="K229" s="81">
        <f t="shared" si="100"/>
        <v>0</v>
      </c>
      <c r="L229" s="281"/>
      <c r="M229" s="282"/>
      <c r="N229" s="352"/>
      <c r="O229" s="343" t="s">
        <v>65</v>
      </c>
      <c r="P229" s="88"/>
      <c r="Q229" s="93"/>
      <c r="R229" s="93"/>
      <c r="S229" s="89"/>
      <c r="T229" s="93"/>
      <c r="U229" s="212">
        <f t="shared" si="101"/>
        <v>0</v>
      </c>
      <c r="V229" s="281"/>
      <c r="W229" s="282"/>
      <c r="X229" s="352"/>
      <c r="Y229" s="210" t="s">
        <v>85</v>
      </c>
      <c r="Z229" s="72"/>
      <c r="AA229" s="323"/>
      <c r="AB229" s="323"/>
      <c r="AC229" s="324"/>
      <c r="AD229" s="93"/>
      <c r="AE229" s="81">
        <f t="shared" si="102"/>
        <v>0</v>
      </c>
      <c r="AF229" s="72"/>
      <c r="AG229" s="324"/>
      <c r="AH229" s="361"/>
      <c r="AI229" s="98"/>
      <c r="AJ229" s="95"/>
      <c r="AK229" s="215"/>
      <c r="AL229" s="206"/>
      <c r="AM229" s="83"/>
      <c r="AN229" s="206"/>
      <c r="AO229" s="83"/>
      <c r="AP229" s="206"/>
      <c r="AQ229" s="83"/>
      <c r="AR229" s="13">
        <f t="shared" si="103"/>
        <v>2.2899999999999998E-5</v>
      </c>
      <c r="AS229" s="13">
        <f t="shared" si="104"/>
        <v>0</v>
      </c>
      <c r="AT229" s="13"/>
      <c r="AU229" s="160">
        <v>234</v>
      </c>
      <c r="AV229" s="191">
        <f t="shared" si="117"/>
        <v>1.77E-5</v>
      </c>
      <c r="AW229" s="160">
        <f t="shared" si="105"/>
        <v>0</v>
      </c>
      <c r="AX229" s="219">
        <f t="shared" si="106"/>
        <v>2.2899999999999998E-5</v>
      </c>
      <c r="AY229" s="13">
        <f t="shared" si="109"/>
        <v>0</v>
      </c>
      <c r="AZ229" s="160">
        <v>234</v>
      </c>
      <c r="BA229" s="77">
        <f t="shared" si="118"/>
        <v>1.63E-5</v>
      </c>
      <c r="BB229" s="192">
        <f t="shared" si="107"/>
        <v>0</v>
      </c>
      <c r="BC229" s="219">
        <f t="shared" si="110"/>
        <v>2.2899999999999998E-5</v>
      </c>
      <c r="BD229" s="13">
        <f t="shared" si="111"/>
        <v>0</v>
      </c>
      <c r="BE229" s="160">
        <v>234</v>
      </c>
      <c r="BF229" s="77">
        <f t="shared" si="119"/>
        <v>1.63E-5</v>
      </c>
      <c r="BG229" s="192">
        <f t="shared" si="108"/>
        <v>0</v>
      </c>
      <c r="BI229" s="120"/>
      <c r="BJ229" s="120"/>
      <c r="BK229" s="160"/>
      <c r="BL229" s="160"/>
      <c r="BM229" s="161" t="str">
        <f t="shared" si="121"/>
        <v/>
      </c>
      <c r="BN229" s="161" t="str">
        <f t="shared" si="116"/>
        <v/>
      </c>
      <c r="BO229" s="161" t="str">
        <f t="shared" si="122"/>
        <v/>
      </c>
      <c r="BP229" s="161" t="str">
        <f t="shared" si="112"/>
        <v/>
      </c>
      <c r="BQ229" s="161" t="str">
        <f t="shared" si="127"/>
        <v/>
      </c>
      <c r="BR229" s="161" t="str">
        <f t="shared" si="124"/>
        <v/>
      </c>
      <c r="BS229" s="161" t="str">
        <f t="shared" si="113"/>
        <v/>
      </c>
      <c r="BT229" s="161" t="str">
        <f t="shared" si="114"/>
        <v/>
      </c>
      <c r="BU229" s="161" t="str">
        <f t="shared" si="125"/>
        <v/>
      </c>
      <c r="BV229" s="161" t="str">
        <f t="shared" si="115"/>
        <v/>
      </c>
      <c r="BW229" s="161" t="str">
        <f t="shared" si="126"/>
        <v/>
      </c>
      <c r="BX229" s="161" t="str">
        <f t="shared" si="120"/>
        <v/>
      </c>
      <c r="BY229" s="148"/>
      <c r="BZ229" s="148"/>
      <c r="CA229" s="148"/>
      <c r="CB229" s="148" t="s">
        <v>149</v>
      </c>
      <c r="CC229" s="148"/>
    </row>
    <row r="230" spans="1:81" ht="14.25" customHeight="1" thickBot="1">
      <c r="A230" s="190">
        <v>220</v>
      </c>
      <c r="B230" s="79"/>
      <c r="C230" s="179"/>
      <c r="D230" s="137"/>
      <c r="E230" s="198" t="s">
        <v>29</v>
      </c>
      <c r="F230" s="199"/>
      <c r="G230" s="200"/>
      <c r="H230" s="200"/>
      <c r="I230" s="200"/>
      <c r="J230" s="200"/>
      <c r="K230" s="201">
        <f t="shared" si="100"/>
        <v>0</v>
      </c>
      <c r="L230" s="189"/>
      <c r="M230" s="84"/>
      <c r="N230" s="335"/>
      <c r="O230" s="341" t="s">
        <v>65</v>
      </c>
      <c r="P230" s="189"/>
      <c r="Q230" s="326"/>
      <c r="R230" s="326"/>
      <c r="S230" s="87"/>
      <c r="T230" s="207"/>
      <c r="U230" s="225">
        <f t="shared" si="101"/>
        <v>0</v>
      </c>
      <c r="V230" s="277"/>
      <c r="W230" s="278"/>
      <c r="X230" s="350"/>
      <c r="Y230" s="208" t="s">
        <v>147</v>
      </c>
      <c r="Z230" s="11"/>
      <c r="AA230" s="207"/>
      <c r="AB230" s="207"/>
      <c r="AC230" s="3"/>
      <c r="AD230" s="207"/>
      <c r="AE230" s="226">
        <f t="shared" si="102"/>
        <v>0</v>
      </c>
      <c r="AF230" s="11"/>
      <c r="AG230" s="3"/>
      <c r="AH230" s="359"/>
      <c r="AI230" s="96"/>
      <c r="AJ230" s="94"/>
      <c r="AK230" s="214"/>
      <c r="AL230" s="213"/>
      <c r="AM230" s="82"/>
      <c r="AN230" s="213"/>
      <c r="AO230" s="82"/>
      <c r="AP230" s="213"/>
      <c r="AQ230" s="82"/>
      <c r="AR230" s="13">
        <f t="shared" si="103"/>
        <v>2.3E-5</v>
      </c>
      <c r="AS230" s="13">
        <f t="shared" si="104"/>
        <v>0</v>
      </c>
      <c r="AT230" s="13"/>
      <c r="AU230" s="160">
        <v>235</v>
      </c>
      <c r="AV230" s="191">
        <f t="shared" si="117"/>
        <v>1.7600000000000001E-5</v>
      </c>
      <c r="AW230" s="160">
        <f t="shared" si="105"/>
        <v>0</v>
      </c>
      <c r="AX230" s="219">
        <f t="shared" si="106"/>
        <v>2.3E-5</v>
      </c>
      <c r="AY230" s="13">
        <f t="shared" si="109"/>
        <v>0</v>
      </c>
      <c r="AZ230" s="160">
        <v>235</v>
      </c>
      <c r="BA230" s="77">
        <f t="shared" si="118"/>
        <v>1.6200000000000001E-5</v>
      </c>
      <c r="BB230" s="192">
        <f t="shared" si="107"/>
        <v>0</v>
      </c>
      <c r="BC230" s="219">
        <f t="shared" si="110"/>
        <v>2.3E-5</v>
      </c>
      <c r="BD230" s="13">
        <f t="shared" si="111"/>
        <v>0</v>
      </c>
      <c r="BE230" s="160">
        <v>235</v>
      </c>
      <c r="BF230" s="77">
        <f t="shared" si="119"/>
        <v>1.6200000000000001E-5</v>
      </c>
      <c r="BG230" s="192">
        <f t="shared" si="108"/>
        <v>0</v>
      </c>
      <c r="BI230" s="120"/>
      <c r="BJ230" s="120"/>
      <c r="BK230" s="160"/>
      <c r="BL230" s="160"/>
      <c r="BM230" s="161" t="str">
        <f t="shared" si="121"/>
        <v/>
      </c>
      <c r="BN230" s="161" t="str">
        <f t="shared" si="116"/>
        <v/>
      </c>
      <c r="BO230" s="161" t="str">
        <f t="shared" si="122"/>
        <v/>
      </c>
      <c r="BP230" s="161" t="str">
        <f t="shared" si="112"/>
        <v/>
      </c>
      <c r="BQ230" s="161" t="str">
        <f t="shared" si="127"/>
        <v/>
      </c>
      <c r="BR230" s="161" t="str">
        <f t="shared" si="124"/>
        <v/>
      </c>
      <c r="BS230" s="161" t="str">
        <f t="shared" si="113"/>
        <v/>
      </c>
      <c r="BT230" s="161" t="str">
        <f t="shared" si="114"/>
        <v/>
      </c>
      <c r="BU230" s="161" t="str">
        <f t="shared" si="125"/>
        <v/>
      </c>
      <c r="BV230" s="161" t="str">
        <f t="shared" si="115"/>
        <v/>
      </c>
      <c r="BW230" s="161" t="str">
        <f t="shared" si="126"/>
        <v/>
      </c>
      <c r="BX230" s="161" t="str">
        <f t="shared" si="120"/>
        <v/>
      </c>
      <c r="BY230" s="148"/>
      <c r="BZ230" s="148"/>
      <c r="CA230" s="148"/>
      <c r="CB230" s="148" t="s">
        <v>149</v>
      </c>
      <c r="CC230" s="148"/>
    </row>
    <row r="231" spans="1:81" ht="14.25" customHeight="1" thickBot="1">
      <c r="A231" s="190">
        <v>221</v>
      </c>
      <c r="B231" s="196"/>
      <c r="C231" s="180"/>
      <c r="D231" s="136"/>
      <c r="E231" s="91" t="s">
        <v>29</v>
      </c>
      <c r="F231" s="187"/>
      <c r="G231" s="188"/>
      <c r="H231" s="188"/>
      <c r="I231" s="188"/>
      <c r="J231" s="188"/>
      <c r="K231" s="18">
        <f t="shared" si="100"/>
        <v>0</v>
      </c>
      <c r="L231" s="187"/>
      <c r="M231" s="118"/>
      <c r="N231" s="336"/>
      <c r="O231" s="342" t="s">
        <v>65</v>
      </c>
      <c r="P231" s="187"/>
      <c r="Q231" s="188"/>
      <c r="R231" s="188"/>
      <c r="S231" s="119"/>
      <c r="T231" s="188"/>
      <c r="U231" s="211">
        <f t="shared" si="101"/>
        <v>0</v>
      </c>
      <c r="V231" s="279"/>
      <c r="W231" s="280"/>
      <c r="X231" s="351"/>
      <c r="Y231" s="209" t="s">
        <v>85</v>
      </c>
      <c r="Z231" s="71"/>
      <c r="AA231" s="321"/>
      <c r="AB231" s="321"/>
      <c r="AC231" s="322"/>
      <c r="AD231" s="188"/>
      <c r="AE231" s="18">
        <f t="shared" si="102"/>
        <v>0</v>
      </c>
      <c r="AF231" s="71"/>
      <c r="AG231" s="322"/>
      <c r="AH231" s="360"/>
      <c r="AI231" s="97"/>
      <c r="AJ231" s="194"/>
      <c r="AK231" s="193"/>
      <c r="AL231" s="205"/>
      <c r="AM231" s="197"/>
      <c r="AN231" s="205"/>
      <c r="AO231" s="197"/>
      <c r="AP231" s="205"/>
      <c r="AQ231" s="197"/>
      <c r="AR231" s="13">
        <f t="shared" si="103"/>
        <v>2.3099999999999999E-5</v>
      </c>
      <c r="AS231" s="13">
        <f t="shared" si="104"/>
        <v>0</v>
      </c>
      <c r="AT231" s="13"/>
      <c r="AU231" s="160">
        <v>236</v>
      </c>
      <c r="AV231" s="191">
        <f t="shared" si="117"/>
        <v>1.7499999999999998E-5</v>
      </c>
      <c r="AW231" s="160">
        <f t="shared" si="105"/>
        <v>0</v>
      </c>
      <c r="AX231" s="219">
        <f t="shared" si="106"/>
        <v>2.3099999999999999E-5</v>
      </c>
      <c r="AY231" s="13">
        <f t="shared" si="109"/>
        <v>0</v>
      </c>
      <c r="AZ231" s="160">
        <v>236</v>
      </c>
      <c r="BA231" s="77">
        <f t="shared" si="118"/>
        <v>1.6099999999999998E-5</v>
      </c>
      <c r="BB231" s="192">
        <f t="shared" si="107"/>
        <v>0</v>
      </c>
      <c r="BC231" s="219">
        <f t="shared" si="110"/>
        <v>2.3099999999999999E-5</v>
      </c>
      <c r="BD231" s="13">
        <f t="shared" si="111"/>
        <v>0</v>
      </c>
      <c r="BE231" s="160">
        <v>236</v>
      </c>
      <c r="BF231" s="77">
        <f t="shared" si="119"/>
        <v>1.6099999999999998E-5</v>
      </c>
      <c r="BG231" s="192">
        <f t="shared" si="108"/>
        <v>0</v>
      </c>
      <c r="BI231" s="120"/>
      <c r="BJ231" s="120"/>
      <c r="BK231" s="160"/>
      <c r="BL231" s="160"/>
      <c r="BM231" s="161" t="str">
        <f t="shared" si="121"/>
        <v/>
      </c>
      <c r="BN231" s="161" t="str">
        <f t="shared" si="116"/>
        <v/>
      </c>
      <c r="BO231" s="161" t="str">
        <f t="shared" si="122"/>
        <v/>
      </c>
      <c r="BP231" s="161" t="str">
        <f t="shared" si="112"/>
        <v/>
      </c>
      <c r="BQ231" s="161" t="str">
        <f t="shared" si="127"/>
        <v/>
      </c>
      <c r="BR231" s="161" t="str">
        <f t="shared" si="124"/>
        <v/>
      </c>
      <c r="BS231" s="161" t="str">
        <f t="shared" si="113"/>
        <v/>
      </c>
      <c r="BT231" s="161" t="str">
        <f t="shared" si="114"/>
        <v/>
      </c>
      <c r="BU231" s="161" t="str">
        <f t="shared" si="125"/>
        <v/>
      </c>
      <c r="BV231" s="161" t="str">
        <f t="shared" si="115"/>
        <v/>
      </c>
      <c r="BW231" s="161" t="str">
        <f t="shared" si="126"/>
        <v/>
      </c>
      <c r="BX231" s="161" t="str">
        <f t="shared" si="120"/>
        <v/>
      </c>
      <c r="BY231" s="148"/>
      <c r="BZ231" s="148"/>
      <c r="CA231" s="148"/>
      <c r="CB231" s="148" t="s">
        <v>149</v>
      </c>
      <c r="CC231" s="148"/>
    </row>
    <row r="232" spans="1:81" ht="14.25" customHeight="1" thickBot="1">
      <c r="A232" s="190">
        <v>222</v>
      </c>
      <c r="B232" s="78"/>
      <c r="C232" s="181"/>
      <c r="D232" s="86"/>
      <c r="E232" s="92" t="s">
        <v>29</v>
      </c>
      <c r="F232" s="88"/>
      <c r="G232" s="93"/>
      <c r="H232" s="93"/>
      <c r="I232" s="93"/>
      <c r="J232" s="93"/>
      <c r="K232" s="81">
        <f t="shared" si="100"/>
        <v>0</v>
      </c>
      <c r="L232" s="88"/>
      <c r="M232" s="85"/>
      <c r="N232" s="337"/>
      <c r="O232" s="343" t="s">
        <v>65</v>
      </c>
      <c r="P232" s="88"/>
      <c r="Q232" s="93"/>
      <c r="R232" s="93"/>
      <c r="S232" s="89"/>
      <c r="T232" s="93"/>
      <c r="U232" s="212">
        <f t="shared" si="101"/>
        <v>0</v>
      </c>
      <c r="V232" s="281"/>
      <c r="W232" s="282"/>
      <c r="X232" s="352"/>
      <c r="Y232" s="210" t="s">
        <v>85</v>
      </c>
      <c r="Z232" s="72"/>
      <c r="AA232" s="323"/>
      <c r="AB232" s="323"/>
      <c r="AC232" s="324"/>
      <c r="AD232" s="93"/>
      <c r="AE232" s="81">
        <f t="shared" si="102"/>
        <v>0</v>
      </c>
      <c r="AF232" s="72"/>
      <c r="AG232" s="324"/>
      <c r="AH232" s="361"/>
      <c r="AI232" s="98"/>
      <c r="AJ232" s="95"/>
      <c r="AK232" s="215"/>
      <c r="AL232" s="206"/>
      <c r="AM232" s="83"/>
      <c r="AN232" s="206"/>
      <c r="AO232" s="83"/>
      <c r="AP232" s="206"/>
      <c r="AQ232" s="83"/>
      <c r="AR232" s="13">
        <f t="shared" si="103"/>
        <v>2.3199999999999998E-5</v>
      </c>
      <c r="AS232" s="13">
        <f t="shared" si="104"/>
        <v>0</v>
      </c>
      <c r="AT232" s="13"/>
      <c r="AU232" s="160">
        <v>237</v>
      </c>
      <c r="AV232" s="191">
        <f t="shared" si="117"/>
        <v>1.7399999999999999E-5</v>
      </c>
      <c r="AW232" s="160">
        <f t="shared" si="105"/>
        <v>0</v>
      </c>
      <c r="AX232" s="219">
        <f t="shared" si="106"/>
        <v>2.3199999999999998E-5</v>
      </c>
      <c r="AY232" s="13">
        <f t="shared" si="109"/>
        <v>0</v>
      </c>
      <c r="AZ232" s="160">
        <v>237</v>
      </c>
      <c r="BA232" s="77">
        <f t="shared" si="118"/>
        <v>1.5999999999999999E-5</v>
      </c>
      <c r="BB232" s="192">
        <f t="shared" si="107"/>
        <v>0</v>
      </c>
      <c r="BC232" s="219">
        <f t="shared" si="110"/>
        <v>2.3199999999999998E-5</v>
      </c>
      <c r="BD232" s="13">
        <f t="shared" si="111"/>
        <v>0</v>
      </c>
      <c r="BE232" s="160">
        <v>237</v>
      </c>
      <c r="BF232" s="77">
        <f t="shared" si="119"/>
        <v>1.5999999999999999E-5</v>
      </c>
      <c r="BG232" s="192">
        <f t="shared" si="108"/>
        <v>0</v>
      </c>
      <c r="BI232" s="120"/>
      <c r="BJ232" s="120"/>
      <c r="BK232" s="160"/>
      <c r="BL232" s="160"/>
      <c r="BM232" s="161" t="str">
        <f t="shared" si="121"/>
        <v/>
      </c>
      <c r="BN232" s="161" t="str">
        <f t="shared" si="116"/>
        <v/>
      </c>
      <c r="BO232" s="161" t="str">
        <f t="shared" si="122"/>
        <v/>
      </c>
      <c r="BP232" s="161" t="str">
        <f t="shared" si="112"/>
        <v/>
      </c>
      <c r="BQ232" s="161" t="str">
        <f t="shared" si="127"/>
        <v/>
      </c>
      <c r="BR232" s="161" t="str">
        <f t="shared" si="124"/>
        <v/>
      </c>
      <c r="BS232" s="161" t="str">
        <f t="shared" si="113"/>
        <v/>
      </c>
      <c r="BT232" s="161" t="str">
        <f t="shared" si="114"/>
        <v/>
      </c>
      <c r="BU232" s="161" t="str">
        <f t="shared" si="125"/>
        <v/>
      </c>
      <c r="BV232" s="161" t="str">
        <f t="shared" si="115"/>
        <v/>
      </c>
      <c r="BW232" s="161" t="str">
        <f t="shared" si="126"/>
        <v/>
      </c>
      <c r="BX232" s="161" t="str">
        <f t="shared" si="120"/>
        <v/>
      </c>
      <c r="BY232" s="148"/>
      <c r="BZ232" s="148"/>
      <c r="CA232" s="148"/>
      <c r="CB232" s="148" t="s">
        <v>149</v>
      </c>
      <c r="CC232" s="148"/>
    </row>
    <row r="233" spans="1:81" ht="14.25" customHeight="1" thickBot="1">
      <c r="A233" s="190">
        <v>223</v>
      </c>
      <c r="B233" s="79"/>
      <c r="C233" s="179"/>
      <c r="D233" s="137"/>
      <c r="E233" s="198" t="s">
        <v>29</v>
      </c>
      <c r="F233" s="199"/>
      <c r="G233" s="200"/>
      <c r="H233" s="200"/>
      <c r="I233" s="200"/>
      <c r="J233" s="200"/>
      <c r="K233" s="201">
        <f t="shared" si="100"/>
        <v>0</v>
      </c>
      <c r="L233" s="189"/>
      <c r="M233" s="84"/>
      <c r="N233" s="335"/>
      <c r="O233" s="341" t="s">
        <v>65</v>
      </c>
      <c r="P233" s="189"/>
      <c r="Q233" s="326"/>
      <c r="R233" s="326"/>
      <c r="S233" s="87"/>
      <c r="T233" s="207"/>
      <c r="U233" s="225">
        <f t="shared" si="101"/>
        <v>0</v>
      </c>
      <c r="V233" s="277"/>
      <c r="W233" s="278"/>
      <c r="X233" s="350"/>
      <c r="Y233" s="208" t="s">
        <v>147</v>
      </c>
      <c r="Z233" s="11"/>
      <c r="AA233" s="207"/>
      <c r="AB233" s="207"/>
      <c r="AC233" s="3"/>
      <c r="AD233" s="207"/>
      <c r="AE233" s="226">
        <f t="shared" si="102"/>
        <v>0</v>
      </c>
      <c r="AF233" s="11"/>
      <c r="AG233" s="3"/>
      <c r="AH233" s="359"/>
      <c r="AI233" s="96"/>
      <c r="AJ233" s="94"/>
      <c r="AK233" s="214"/>
      <c r="AL233" s="213"/>
      <c r="AM233" s="82"/>
      <c r="AN233" s="213"/>
      <c r="AO233" s="82"/>
      <c r="AP233" s="213"/>
      <c r="AQ233" s="82"/>
      <c r="AR233" s="13">
        <f t="shared" si="103"/>
        <v>2.3300000000000001E-5</v>
      </c>
      <c r="AS233" s="13">
        <f t="shared" si="104"/>
        <v>0</v>
      </c>
      <c r="AT233" s="13"/>
      <c r="AU233" s="160">
        <v>238</v>
      </c>
      <c r="AV233" s="191">
        <f t="shared" si="117"/>
        <v>1.73E-5</v>
      </c>
      <c r="AW233" s="160">
        <f t="shared" si="105"/>
        <v>0</v>
      </c>
      <c r="AX233" s="219">
        <f t="shared" si="106"/>
        <v>2.3300000000000001E-5</v>
      </c>
      <c r="AY233" s="13">
        <f t="shared" si="109"/>
        <v>0</v>
      </c>
      <c r="AZ233" s="160">
        <v>238</v>
      </c>
      <c r="BA233" s="77">
        <f t="shared" si="118"/>
        <v>1.59E-5</v>
      </c>
      <c r="BB233" s="192">
        <f t="shared" si="107"/>
        <v>0</v>
      </c>
      <c r="BC233" s="219">
        <f t="shared" si="110"/>
        <v>2.3300000000000001E-5</v>
      </c>
      <c r="BD233" s="13">
        <f t="shared" si="111"/>
        <v>0</v>
      </c>
      <c r="BE233" s="160">
        <v>238</v>
      </c>
      <c r="BF233" s="77">
        <f t="shared" si="119"/>
        <v>1.59E-5</v>
      </c>
      <c r="BG233" s="192">
        <f t="shared" si="108"/>
        <v>0</v>
      </c>
      <c r="BI233" s="120"/>
      <c r="BJ233" s="120"/>
      <c r="BK233" s="160"/>
      <c r="BL233" s="160"/>
      <c r="BM233" s="161" t="str">
        <f t="shared" si="121"/>
        <v/>
      </c>
      <c r="BN233" s="161" t="str">
        <f t="shared" si="116"/>
        <v/>
      </c>
      <c r="BO233" s="161" t="str">
        <f t="shared" si="122"/>
        <v/>
      </c>
      <c r="BP233" s="161" t="str">
        <f t="shared" si="112"/>
        <v/>
      </c>
      <c r="BQ233" s="161" t="str">
        <f t="shared" si="127"/>
        <v/>
      </c>
      <c r="BR233" s="161" t="str">
        <f t="shared" si="124"/>
        <v/>
      </c>
      <c r="BS233" s="161" t="str">
        <f t="shared" si="113"/>
        <v/>
      </c>
      <c r="BT233" s="161" t="str">
        <f t="shared" si="114"/>
        <v/>
      </c>
      <c r="BU233" s="161" t="str">
        <f t="shared" si="125"/>
        <v/>
      </c>
      <c r="BV233" s="161" t="str">
        <f t="shared" si="115"/>
        <v/>
      </c>
      <c r="BW233" s="161" t="str">
        <f t="shared" si="126"/>
        <v/>
      </c>
      <c r="BX233" s="161" t="str">
        <f t="shared" si="120"/>
        <v/>
      </c>
      <c r="BY233" s="148"/>
      <c r="BZ233" s="148"/>
      <c r="CA233" s="148"/>
      <c r="CB233" s="148" t="s">
        <v>149</v>
      </c>
      <c r="CC233" s="148"/>
    </row>
    <row r="234" spans="1:81" ht="14.25" customHeight="1" thickBot="1">
      <c r="A234" s="190">
        <v>224</v>
      </c>
      <c r="B234" s="196"/>
      <c r="C234" s="180"/>
      <c r="D234" s="136"/>
      <c r="E234" s="91" t="s">
        <v>29</v>
      </c>
      <c r="F234" s="187"/>
      <c r="G234" s="188"/>
      <c r="H234" s="188"/>
      <c r="I234" s="188"/>
      <c r="J234" s="188"/>
      <c r="K234" s="18">
        <f t="shared" si="100"/>
        <v>0</v>
      </c>
      <c r="L234" s="187"/>
      <c r="M234" s="118"/>
      <c r="N234" s="336"/>
      <c r="O234" s="342" t="s">
        <v>65</v>
      </c>
      <c r="P234" s="187"/>
      <c r="Q234" s="188"/>
      <c r="R234" s="188"/>
      <c r="S234" s="119"/>
      <c r="T234" s="188"/>
      <c r="U234" s="211">
        <f t="shared" si="101"/>
        <v>0</v>
      </c>
      <c r="V234" s="279"/>
      <c r="W234" s="280"/>
      <c r="X234" s="351"/>
      <c r="Y234" s="209" t="s">
        <v>85</v>
      </c>
      <c r="Z234" s="71"/>
      <c r="AA234" s="321"/>
      <c r="AB234" s="321"/>
      <c r="AC234" s="322"/>
      <c r="AD234" s="188"/>
      <c r="AE234" s="18">
        <f t="shared" si="102"/>
        <v>0</v>
      </c>
      <c r="AF234" s="71"/>
      <c r="AG234" s="322"/>
      <c r="AH234" s="360"/>
      <c r="AI234" s="97"/>
      <c r="AJ234" s="194"/>
      <c r="AK234" s="193"/>
      <c r="AL234" s="205"/>
      <c r="AM234" s="197"/>
      <c r="AN234" s="205"/>
      <c r="AO234" s="197"/>
      <c r="AP234" s="205"/>
      <c r="AQ234" s="197"/>
      <c r="AR234" s="13">
        <f t="shared" si="103"/>
        <v>2.34E-5</v>
      </c>
      <c r="AS234" s="13">
        <f t="shared" si="104"/>
        <v>0</v>
      </c>
      <c r="AT234" s="13"/>
      <c r="AU234" s="160">
        <v>239</v>
      </c>
      <c r="AV234" s="191">
        <f t="shared" si="117"/>
        <v>1.7199999999999998E-5</v>
      </c>
      <c r="AW234" s="160">
        <f t="shared" si="105"/>
        <v>0</v>
      </c>
      <c r="AX234" s="219">
        <f t="shared" si="106"/>
        <v>2.34E-5</v>
      </c>
      <c r="AY234" s="13">
        <f t="shared" si="109"/>
        <v>0</v>
      </c>
      <c r="AZ234" s="160">
        <v>239</v>
      </c>
      <c r="BA234" s="77">
        <f t="shared" si="118"/>
        <v>1.5799999999999998E-5</v>
      </c>
      <c r="BB234" s="192">
        <f t="shared" si="107"/>
        <v>0</v>
      </c>
      <c r="BC234" s="219">
        <f t="shared" si="110"/>
        <v>2.34E-5</v>
      </c>
      <c r="BD234" s="13">
        <f t="shared" si="111"/>
        <v>0</v>
      </c>
      <c r="BE234" s="160">
        <v>239</v>
      </c>
      <c r="BF234" s="77">
        <f t="shared" si="119"/>
        <v>1.5799999999999998E-5</v>
      </c>
      <c r="BG234" s="192">
        <f t="shared" si="108"/>
        <v>0</v>
      </c>
      <c r="BI234" s="120"/>
      <c r="BJ234" s="120"/>
      <c r="BK234" s="160"/>
      <c r="BL234" s="160"/>
      <c r="BM234" s="161" t="str">
        <f t="shared" si="121"/>
        <v/>
      </c>
      <c r="BN234" s="161" t="str">
        <f t="shared" si="116"/>
        <v/>
      </c>
      <c r="BO234" s="161" t="str">
        <f t="shared" si="122"/>
        <v/>
      </c>
      <c r="BP234" s="161" t="str">
        <f t="shared" si="112"/>
        <v/>
      </c>
      <c r="BQ234" s="161" t="str">
        <f t="shared" si="127"/>
        <v/>
      </c>
      <c r="BR234" s="161" t="str">
        <f t="shared" si="124"/>
        <v/>
      </c>
      <c r="BS234" s="161" t="str">
        <f t="shared" si="113"/>
        <v/>
      </c>
      <c r="BT234" s="161" t="str">
        <f t="shared" si="114"/>
        <v/>
      </c>
      <c r="BU234" s="161" t="str">
        <f t="shared" si="125"/>
        <v/>
      </c>
      <c r="BV234" s="161" t="str">
        <f t="shared" si="115"/>
        <v/>
      </c>
      <c r="BW234" s="161" t="str">
        <f t="shared" si="126"/>
        <v/>
      </c>
      <c r="BX234" s="161" t="str">
        <f t="shared" si="120"/>
        <v/>
      </c>
      <c r="BY234" s="148"/>
      <c r="BZ234" s="148"/>
      <c r="CA234" s="148"/>
      <c r="CB234" s="148" t="s">
        <v>149</v>
      </c>
      <c r="CC234" s="148"/>
    </row>
    <row r="235" spans="1:81" ht="14.25" customHeight="1" thickBot="1">
      <c r="A235" s="190">
        <v>225</v>
      </c>
      <c r="B235" s="78"/>
      <c r="C235" s="181"/>
      <c r="D235" s="86"/>
      <c r="E235" s="92" t="s">
        <v>29</v>
      </c>
      <c r="F235" s="88"/>
      <c r="G235" s="93"/>
      <c r="H235" s="93"/>
      <c r="I235" s="93"/>
      <c r="J235" s="93"/>
      <c r="K235" s="81">
        <f t="shared" si="100"/>
        <v>0</v>
      </c>
      <c r="L235" s="88"/>
      <c r="M235" s="85"/>
      <c r="N235" s="337"/>
      <c r="O235" s="343" t="s">
        <v>65</v>
      </c>
      <c r="P235" s="88"/>
      <c r="Q235" s="93"/>
      <c r="R235" s="93"/>
      <c r="S235" s="89"/>
      <c r="T235" s="93"/>
      <c r="U235" s="212">
        <f t="shared" si="101"/>
        <v>0</v>
      </c>
      <c r="V235" s="281"/>
      <c r="W235" s="282"/>
      <c r="X235" s="352"/>
      <c r="Y235" s="210" t="s">
        <v>85</v>
      </c>
      <c r="Z235" s="72"/>
      <c r="AA235" s="323"/>
      <c r="AB235" s="323"/>
      <c r="AC235" s="324"/>
      <c r="AD235" s="93"/>
      <c r="AE235" s="81">
        <f t="shared" si="102"/>
        <v>0</v>
      </c>
      <c r="AF235" s="72"/>
      <c r="AG235" s="324"/>
      <c r="AH235" s="361"/>
      <c r="AI235" s="98"/>
      <c r="AJ235" s="95"/>
      <c r="AK235" s="215"/>
      <c r="AL235" s="206"/>
      <c r="AM235" s="83"/>
      <c r="AN235" s="206"/>
      <c r="AO235" s="83"/>
      <c r="AP235" s="206"/>
      <c r="AQ235" s="83"/>
      <c r="AR235" s="13">
        <f t="shared" si="103"/>
        <v>2.3499999999999999E-5</v>
      </c>
      <c r="AS235" s="13">
        <f t="shared" si="104"/>
        <v>0</v>
      </c>
      <c r="AT235" s="13"/>
      <c r="AU235" s="160">
        <v>240</v>
      </c>
      <c r="AV235" s="191">
        <f t="shared" si="117"/>
        <v>1.7099999999999999E-5</v>
      </c>
      <c r="AW235" s="160">
        <f t="shared" si="105"/>
        <v>0</v>
      </c>
      <c r="AX235" s="219">
        <f t="shared" si="106"/>
        <v>2.3499999999999999E-5</v>
      </c>
      <c r="AY235" s="13">
        <f t="shared" si="109"/>
        <v>0</v>
      </c>
      <c r="AZ235" s="160">
        <v>240</v>
      </c>
      <c r="BA235" s="77">
        <f t="shared" si="118"/>
        <v>1.5699999999999999E-5</v>
      </c>
      <c r="BB235" s="192">
        <f t="shared" si="107"/>
        <v>0</v>
      </c>
      <c r="BC235" s="219">
        <f t="shared" si="110"/>
        <v>2.3499999999999999E-5</v>
      </c>
      <c r="BD235" s="13">
        <f t="shared" si="111"/>
        <v>0</v>
      </c>
      <c r="BE235" s="160">
        <v>240</v>
      </c>
      <c r="BF235" s="77">
        <f t="shared" si="119"/>
        <v>1.5699999999999999E-5</v>
      </c>
      <c r="BG235" s="192">
        <f t="shared" si="108"/>
        <v>0</v>
      </c>
      <c r="BI235" s="120"/>
      <c r="BJ235" s="120"/>
      <c r="BK235" s="160"/>
      <c r="BL235" s="160"/>
      <c r="BM235" s="161" t="str">
        <f t="shared" si="121"/>
        <v/>
      </c>
      <c r="BN235" s="161" t="str">
        <f t="shared" si="116"/>
        <v/>
      </c>
      <c r="BO235" s="161" t="str">
        <f t="shared" si="122"/>
        <v/>
      </c>
      <c r="BP235" s="161" t="str">
        <f t="shared" si="112"/>
        <v/>
      </c>
      <c r="BQ235" s="161" t="str">
        <f t="shared" si="127"/>
        <v/>
      </c>
      <c r="BR235" s="161" t="str">
        <f t="shared" si="124"/>
        <v/>
      </c>
      <c r="BS235" s="161" t="str">
        <f t="shared" si="113"/>
        <v/>
      </c>
      <c r="BT235" s="161" t="str">
        <f t="shared" si="114"/>
        <v/>
      </c>
      <c r="BU235" s="161" t="str">
        <f t="shared" si="125"/>
        <v/>
      </c>
      <c r="BV235" s="161" t="str">
        <f t="shared" si="115"/>
        <v/>
      </c>
      <c r="BW235" s="161" t="str">
        <f t="shared" si="126"/>
        <v/>
      </c>
      <c r="BX235" s="161" t="str">
        <f t="shared" si="120"/>
        <v/>
      </c>
      <c r="BY235" s="148"/>
      <c r="BZ235" s="148"/>
      <c r="CA235" s="148"/>
      <c r="CB235" s="148" t="s">
        <v>149</v>
      </c>
      <c r="CC235" s="148"/>
    </row>
    <row r="236" spans="1:81" ht="14.25" customHeight="1" thickBot="1">
      <c r="A236" s="190">
        <v>226</v>
      </c>
      <c r="B236" s="79"/>
      <c r="C236" s="179"/>
      <c r="D236" s="137"/>
      <c r="E236" s="198" t="s">
        <v>29</v>
      </c>
      <c r="F236" s="199"/>
      <c r="G236" s="200"/>
      <c r="H236" s="200"/>
      <c r="I236" s="200"/>
      <c r="J236" s="200"/>
      <c r="K236" s="201">
        <f t="shared" si="100"/>
        <v>0</v>
      </c>
      <c r="L236" s="189"/>
      <c r="M236" s="84"/>
      <c r="N236" s="335"/>
      <c r="O236" s="341" t="s">
        <v>65</v>
      </c>
      <c r="P236" s="189"/>
      <c r="Q236" s="326"/>
      <c r="R236" s="326"/>
      <c r="S236" s="87"/>
      <c r="T236" s="207"/>
      <c r="U236" s="225">
        <f t="shared" si="101"/>
        <v>0</v>
      </c>
      <c r="V236" s="277"/>
      <c r="W236" s="278"/>
      <c r="X236" s="350"/>
      <c r="Y236" s="208" t="s">
        <v>147</v>
      </c>
      <c r="Z236" s="11"/>
      <c r="AA236" s="207"/>
      <c r="AB236" s="207"/>
      <c r="AC236" s="3"/>
      <c r="AD236" s="207"/>
      <c r="AE236" s="226">
        <f t="shared" si="102"/>
        <v>0</v>
      </c>
      <c r="AF236" s="11"/>
      <c r="AG236" s="3"/>
      <c r="AH236" s="359"/>
      <c r="AI236" s="96"/>
      <c r="AJ236" s="94"/>
      <c r="AK236" s="214"/>
      <c r="AL236" s="213"/>
      <c r="AM236" s="82"/>
      <c r="AN236" s="213"/>
      <c r="AO236" s="82"/>
      <c r="AP236" s="213"/>
      <c r="AQ236" s="82"/>
      <c r="AR236" s="13">
        <f t="shared" si="103"/>
        <v>2.3599999999999998E-5</v>
      </c>
      <c r="AS236" s="13">
        <f t="shared" si="104"/>
        <v>0</v>
      </c>
      <c r="AT236" s="13"/>
      <c r="AU236" s="160">
        <v>241</v>
      </c>
      <c r="AV236" s="191">
        <f t="shared" si="117"/>
        <v>1.7E-5</v>
      </c>
      <c r="AW236" s="160">
        <f t="shared" si="105"/>
        <v>0</v>
      </c>
      <c r="AX236" s="219">
        <f t="shared" si="106"/>
        <v>2.3599999999999998E-5</v>
      </c>
      <c r="AY236" s="13">
        <f t="shared" si="109"/>
        <v>0</v>
      </c>
      <c r="AZ236" s="160">
        <v>241</v>
      </c>
      <c r="BA236" s="77">
        <f t="shared" si="118"/>
        <v>1.56E-5</v>
      </c>
      <c r="BB236" s="192">
        <f t="shared" si="107"/>
        <v>0</v>
      </c>
      <c r="BC236" s="219">
        <f t="shared" si="110"/>
        <v>2.3599999999999998E-5</v>
      </c>
      <c r="BD236" s="13">
        <f t="shared" si="111"/>
        <v>0</v>
      </c>
      <c r="BE236" s="160">
        <v>241</v>
      </c>
      <c r="BF236" s="77">
        <f t="shared" si="119"/>
        <v>1.56E-5</v>
      </c>
      <c r="BG236" s="192">
        <f t="shared" si="108"/>
        <v>0</v>
      </c>
      <c r="BI236" s="120"/>
      <c r="BJ236" s="120"/>
      <c r="BK236" s="160"/>
      <c r="BL236" s="160"/>
      <c r="BM236" s="161" t="str">
        <f t="shared" si="121"/>
        <v/>
      </c>
      <c r="BN236" s="161" t="str">
        <f t="shared" si="116"/>
        <v/>
      </c>
      <c r="BO236" s="161" t="str">
        <f t="shared" si="122"/>
        <v/>
      </c>
      <c r="BP236" s="161" t="str">
        <f t="shared" si="112"/>
        <v/>
      </c>
      <c r="BQ236" s="161" t="str">
        <f t="shared" si="127"/>
        <v/>
      </c>
      <c r="BR236" s="161" t="str">
        <f t="shared" si="124"/>
        <v/>
      </c>
      <c r="BS236" s="161" t="str">
        <f t="shared" si="113"/>
        <v/>
      </c>
      <c r="BT236" s="161" t="str">
        <f t="shared" si="114"/>
        <v/>
      </c>
      <c r="BU236" s="161" t="str">
        <f t="shared" si="125"/>
        <v/>
      </c>
      <c r="BV236" s="161" t="str">
        <f t="shared" si="115"/>
        <v/>
      </c>
      <c r="BW236" s="161" t="str">
        <f t="shared" si="126"/>
        <v/>
      </c>
      <c r="BX236" s="161" t="str">
        <f t="shared" si="120"/>
        <v/>
      </c>
      <c r="BY236" s="148"/>
      <c r="BZ236" s="148"/>
      <c r="CA236" s="148"/>
      <c r="CB236" s="148" t="s">
        <v>149</v>
      </c>
      <c r="CC236" s="148"/>
    </row>
    <row r="237" spans="1:81" ht="14.25" customHeight="1" thickBot="1">
      <c r="A237" s="190">
        <v>227</v>
      </c>
      <c r="B237" s="196"/>
      <c r="C237" s="180"/>
      <c r="D237" s="136"/>
      <c r="E237" s="91" t="s">
        <v>29</v>
      </c>
      <c r="F237" s="187"/>
      <c r="G237" s="188"/>
      <c r="H237" s="188"/>
      <c r="I237" s="188"/>
      <c r="J237" s="188"/>
      <c r="K237" s="18">
        <f t="shared" si="100"/>
        <v>0</v>
      </c>
      <c r="L237" s="187"/>
      <c r="M237" s="118"/>
      <c r="N237" s="336"/>
      <c r="O237" s="342" t="s">
        <v>65</v>
      </c>
      <c r="P237" s="187"/>
      <c r="Q237" s="188"/>
      <c r="R237" s="188"/>
      <c r="S237" s="119"/>
      <c r="T237" s="188"/>
      <c r="U237" s="211">
        <f t="shared" si="101"/>
        <v>0</v>
      </c>
      <c r="V237" s="279"/>
      <c r="W237" s="280"/>
      <c r="X237" s="351"/>
      <c r="Y237" s="209" t="s">
        <v>85</v>
      </c>
      <c r="Z237" s="71"/>
      <c r="AA237" s="321"/>
      <c r="AB237" s="321"/>
      <c r="AC237" s="322"/>
      <c r="AD237" s="188"/>
      <c r="AE237" s="18">
        <f t="shared" si="102"/>
        <v>0</v>
      </c>
      <c r="AF237" s="71"/>
      <c r="AG237" s="322"/>
      <c r="AH237" s="360"/>
      <c r="AI237" s="97"/>
      <c r="AJ237" s="194"/>
      <c r="AK237" s="193"/>
      <c r="AL237" s="205"/>
      <c r="AM237" s="197"/>
      <c r="AN237" s="205"/>
      <c r="AO237" s="197"/>
      <c r="AP237" s="205"/>
      <c r="AQ237" s="197"/>
      <c r="AR237" s="13">
        <f t="shared" si="103"/>
        <v>2.37E-5</v>
      </c>
      <c r="AS237" s="13">
        <f t="shared" si="104"/>
        <v>0</v>
      </c>
      <c r="AT237" s="13"/>
      <c r="AU237" s="160">
        <v>242</v>
      </c>
      <c r="AV237" s="191">
        <f t="shared" si="117"/>
        <v>1.6900000000000001E-5</v>
      </c>
      <c r="AW237" s="160">
        <f t="shared" si="105"/>
        <v>0</v>
      </c>
      <c r="AX237" s="219">
        <f t="shared" si="106"/>
        <v>2.37E-5</v>
      </c>
      <c r="AY237" s="13">
        <f t="shared" si="109"/>
        <v>0</v>
      </c>
      <c r="AZ237" s="160">
        <v>242</v>
      </c>
      <c r="BA237" s="77">
        <f t="shared" si="118"/>
        <v>1.5500000000000001E-5</v>
      </c>
      <c r="BB237" s="192">
        <f t="shared" si="107"/>
        <v>0</v>
      </c>
      <c r="BC237" s="219">
        <f t="shared" si="110"/>
        <v>2.37E-5</v>
      </c>
      <c r="BD237" s="13">
        <f t="shared" si="111"/>
        <v>0</v>
      </c>
      <c r="BE237" s="160">
        <v>242</v>
      </c>
      <c r="BF237" s="77">
        <f t="shared" si="119"/>
        <v>1.5500000000000001E-5</v>
      </c>
      <c r="BG237" s="192">
        <f t="shared" si="108"/>
        <v>0</v>
      </c>
      <c r="BI237" s="120"/>
      <c r="BJ237" s="120"/>
      <c r="BK237" s="160"/>
      <c r="BL237" s="160"/>
      <c r="BM237" s="161" t="str">
        <f t="shared" si="121"/>
        <v/>
      </c>
      <c r="BN237" s="161" t="str">
        <f t="shared" si="116"/>
        <v/>
      </c>
      <c r="BO237" s="161" t="str">
        <f t="shared" si="122"/>
        <v/>
      </c>
      <c r="BP237" s="161" t="str">
        <f t="shared" si="112"/>
        <v/>
      </c>
      <c r="BQ237" s="161" t="str">
        <f t="shared" si="127"/>
        <v/>
      </c>
      <c r="BR237" s="161" t="str">
        <f t="shared" si="124"/>
        <v/>
      </c>
      <c r="BS237" s="161" t="str">
        <f t="shared" si="113"/>
        <v/>
      </c>
      <c r="BT237" s="161" t="str">
        <f t="shared" si="114"/>
        <v/>
      </c>
      <c r="BU237" s="161" t="str">
        <f t="shared" si="125"/>
        <v/>
      </c>
      <c r="BV237" s="161" t="str">
        <f t="shared" si="115"/>
        <v/>
      </c>
      <c r="BW237" s="161" t="str">
        <f t="shared" si="126"/>
        <v/>
      </c>
      <c r="BX237" s="161" t="str">
        <f t="shared" si="120"/>
        <v/>
      </c>
      <c r="BY237" s="148"/>
      <c r="BZ237" s="148"/>
      <c r="CA237" s="148"/>
      <c r="CB237" s="148" t="s">
        <v>149</v>
      </c>
      <c r="CC237" s="148"/>
    </row>
    <row r="238" spans="1:81" ht="14.25" customHeight="1" thickBot="1">
      <c r="A238" s="190">
        <v>228</v>
      </c>
      <c r="B238" s="78"/>
      <c r="C238" s="181"/>
      <c r="D238" s="86"/>
      <c r="E238" s="92" t="s">
        <v>29</v>
      </c>
      <c r="F238" s="88"/>
      <c r="G238" s="93"/>
      <c r="H238" s="93"/>
      <c r="I238" s="93"/>
      <c r="J238" s="93"/>
      <c r="K238" s="81">
        <f t="shared" si="100"/>
        <v>0</v>
      </c>
      <c r="L238" s="88"/>
      <c r="M238" s="85"/>
      <c r="N238" s="337"/>
      <c r="O238" s="343" t="s">
        <v>65</v>
      </c>
      <c r="P238" s="88"/>
      <c r="Q238" s="93"/>
      <c r="R238" s="93"/>
      <c r="S238" s="89"/>
      <c r="T238" s="93"/>
      <c r="U238" s="212">
        <f t="shared" si="101"/>
        <v>0</v>
      </c>
      <c r="V238" s="281"/>
      <c r="W238" s="282"/>
      <c r="X238" s="352"/>
      <c r="Y238" s="210" t="s">
        <v>85</v>
      </c>
      <c r="Z238" s="72"/>
      <c r="AA238" s="323"/>
      <c r="AB238" s="323"/>
      <c r="AC238" s="324"/>
      <c r="AD238" s="93"/>
      <c r="AE238" s="81">
        <f t="shared" si="102"/>
        <v>0</v>
      </c>
      <c r="AF238" s="72"/>
      <c r="AG238" s="324"/>
      <c r="AH238" s="361"/>
      <c r="AI238" s="98"/>
      <c r="AJ238" s="95"/>
      <c r="AK238" s="215"/>
      <c r="AL238" s="206"/>
      <c r="AM238" s="83"/>
      <c r="AN238" s="206"/>
      <c r="AO238" s="83"/>
      <c r="AP238" s="206"/>
      <c r="AQ238" s="83"/>
      <c r="AR238" s="13">
        <f t="shared" si="103"/>
        <v>2.3799999999999999E-5</v>
      </c>
      <c r="AS238" s="13">
        <f t="shared" si="104"/>
        <v>0</v>
      </c>
      <c r="AT238" s="13"/>
      <c r="AU238" s="160">
        <v>243</v>
      </c>
      <c r="AV238" s="191">
        <f t="shared" si="117"/>
        <v>1.6799999999999998E-5</v>
      </c>
      <c r="AW238" s="160">
        <f t="shared" si="105"/>
        <v>0</v>
      </c>
      <c r="AX238" s="219">
        <f t="shared" si="106"/>
        <v>2.3799999999999999E-5</v>
      </c>
      <c r="AY238" s="13">
        <f t="shared" si="109"/>
        <v>0</v>
      </c>
      <c r="AZ238" s="160">
        <v>243</v>
      </c>
      <c r="BA238" s="77">
        <f t="shared" si="118"/>
        <v>1.5399999999999998E-5</v>
      </c>
      <c r="BB238" s="192">
        <f t="shared" si="107"/>
        <v>0</v>
      </c>
      <c r="BC238" s="219">
        <f t="shared" si="110"/>
        <v>2.3799999999999999E-5</v>
      </c>
      <c r="BD238" s="13">
        <f t="shared" si="111"/>
        <v>0</v>
      </c>
      <c r="BE238" s="160">
        <v>243</v>
      </c>
      <c r="BF238" s="77">
        <f t="shared" si="119"/>
        <v>1.5399999999999998E-5</v>
      </c>
      <c r="BG238" s="192">
        <f t="shared" si="108"/>
        <v>0</v>
      </c>
      <c r="BI238" s="120"/>
      <c r="BJ238" s="120"/>
      <c r="BK238" s="160"/>
      <c r="BL238" s="160"/>
      <c r="BM238" s="161" t="str">
        <f t="shared" si="121"/>
        <v/>
      </c>
      <c r="BN238" s="161" t="str">
        <f t="shared" si="116"/>
        <v/>
      </c>
      <c r="BO238" s="161" t="str">
        <f t="shared" si="122"/>
        <v/>
      </c>
      <c r="BP238" s="161" t="str">
        <f t="shared" si="112"/>
        <v/>
      </c>
      <c r="BQ238" s="161" t="str">
        <f t="shared" si="127"/>
        <v/>
      </c>
      <c r="BR238" s="161" t="str">
        <f t="shared" si="124"/>
        <v/>
      </c>
      <c r="BS238" s="161" t="str">
        <f t="shared" si="113"/>
        <v/>
      </c>
      <c r="BT238" s="161" t="str">
        <f t="shared" si="114"/>
        <v/>
      </c>
      <c r="BU238" s="161" t="str">
        <f t="shared" si="125"/>
        <v/>
      </c>
      <c r="BV238" s="161" t="str">
        <f t="shared" si="115"/>
        <v/>
      </c>
      <c r="BW238" s="161" t="str">
        <f t="shared" si="126"/>
        <v/>
      </c>
      <c r="BX238" s="161" t="str">
        <f t="shared" si="120"/>
        <v/>
      </c>
      <c r="BY238" s="148"/>
      <c r="BZ238" s="148"/>
      <c r="CA238" s="148"/>
      <c r="CB238" s="148" t="s">
        <v>149</v>
      </c>
      <c r="CC238" s="148"/>
    </row>
    <row r="239" spans="1:81" ht="14.25" customHeight="1" thickBot="1">
      <c r="A239" s="190">
        <v>229</v>
      </c>
      <c r="B239" s="79"/>
      <c r="C239" s="179"/>
      <c r="D239" s="137"/>
      <c r="E239" s="198" t="s">
        <v>29</v>
      </c>
      <c r="F239" s="199"/>
      <c r="G239" s="200"/>
      <c r="H239" s="200"/>
      <c r="I239" s="200"/>
      <c r="J239" s="200"/>
      <c r="K239" s="201">
        <f t="shared" si="100"/>
        <v>0</v>
      </c>
      <c r="L239" s="189"/>
      <c r="M239" s="84"/>
      <c r="N239" s="335"/>
      <c r="O239" s="341" t="s">
        <v>65</v>
      </c>
      <c r="P239" s="189"/>
      <c r="Q239" s="326"/>
      <c r="R239" s="326"/>
      <c r="S239" s="87"/>
      <c r="T239" s="207"/>
      <c r="U239" s="225">
        <f t="shared" si="101"/>
        <v>0</v>
      </c>
      <c r="V239" s="277"/>
      <c r="W239" s="278"/>
      <c r="X239" s="350"/>
      <c r="Y239" s="208" t="s">
        <v>147</v>
      </c>
      <c r="Z239" s="11"/>
      <c r="AA239" s="207"/>
      <c r="AB239" s="207"/>
      <c r="AC239" s="3"/>
      <c r="AD239" s="207"/>
      <c r="AE239" s="226">
        <f t="shared" si="102"/>
        <v>0</v>
      </c>
      <c r="AF239" s="11"/>
      <c r="AG239" s="3"/>
      <c r="AH239" s="359"/>
      <c r="AI239" s="96"/>
      <c r="AJ239" s="94"/>
      <c r="AK239" s="214"/>
      <c r="AL239" s="213"/>
      <c r="AM239" s="82"/>
      <c r="AN239" s="213"/>
      <c r="AO239" s="82"/>
      <c r="AP239" s="213"/>
      <c r="AQ239" s="82"/>
      <c r="AR239" s="13">
        <f t="shared" si="103"/>
        <v>2.3899999999999998E-5</v>
      </c>
      <c r="AS239" s="13">
        <f t="shared" si="104"/>
        <v>0</v>
      </c>
      <c r="AT239" s="13"/>
      <c r="AU239" s="160">
        <v>244</v>
      </c>
      <c r="AV239" s="191">
        <f t="shared" si="117"/>
        <v>1.6699999999999999E-5</v>
      </c>
      <c r="AW239" s="160">
        <f t="shared" si="105"/>
        <v>0</v>
      </c>
      <c r="AX239" s="219">
        <f t="shared" si="106"/>
        <v>2.3899999999999998E-5</v>
      </c>
      <c r="AY239" s="13">
        <f t="shared" si="109"/>
        <v>0</v>
      </c>
      <c r="AZ239" s="160">
        <v>244</v>
      </c>
      <c r="BA239" s="77">
        <f t="shared" si="118"/>
        <v>1.5299999999999999E-5</v>
      </c>
      <c r="BB239" s="192">
        <f t="shared" si="107"/>
        <v>0</v>
      </c>
      <c r="BC239" s="219">
        <f t="shared" si="110"/>
        <v>2.3899999999999998E-5</v>
      </c>
      <c r="BD239" s="13">
        <f t="shared" si="111"/>
        <v>0</v>
      </c>
      <c r="BE239" s="160">
        <v>244</v>
      </c>
      <c r="BF239" s="77">
        <f t="shared" si="119"/>
        <v>1.5299999999999999E-5</v>
      </c>
      <c r="BG239" s="192">
        <f t="shared" si="108"/>
        <v>0</v>
      </c>
      <c r="BI239" s="120"/>
      <c r="BJ239" s="120"/>
      <c r="BK239" s="160"/>
      <c r="BL239" s="160"/>
      <c r="BM239" s="161" t="str">
        <f t="shared" si="121"/>
        <v/>
      </c>
      <c r="BN239" s="161" t="str">
        <f t="shared" si="116"/>
        <v/>
      </c>
      <c r="BO239" s="161" t="str">
        <f t="shared" si="122"/>
        <v/>
      </c>
      <c r="BP239" s="161" t="str">
        <f t="shared" si="112"/>
        <v/>
      </c>
      <c r="BQ239" s="161" t="str">
        <f t="shared" si="127"/>
        <v/>
      </c>
      <c r="BR239" s="161" t="str">
        <f t="shared" si="124"/>
        <v/>
      </c>
      <c r="BS239" s="161" t="str">
        <f t="shared" si="113"/>
        <v/>
      </c>
      <c r="BT239" s="161" t="str">
        <f t="shared" si="114"/>
        <v/>
      </c>
      <c r="BU239" s="161" t="str">
        <f t="shared" si="125"/>
        <v/>
      </c>
      <c r="BV239" s="161" t="str">
        <f t="shared" si="115"/>
        <v/>
      </c>
      <c r="BW239" s="161" t="str">
        <f t="shared" si="126"/>
        <v/>
      </c>
      <c r="BX239" s="161" t="str">
        <f t="shared" si="120"/>
        <v/>
      </c>
      <c r="BY239" s="148"/>
      <c r="BZ239" s="148"/>
      <c r="CA239" s="148"/>
      <c r="CB239" s="148" t="s">
        <v>149</v>
      </c>
      <c r="CC239" s="148"/>
    </row>
    <row r="240" spans="1:81" ht="14.25" customHeight="1" thickBot="1">
      <c r="A240" s="190">
        <v>230</v>
      </c>
      <c r="B240" s="196"/>
      <c r="C240" s="180"/>
      <c r="D240" s="136"/>
      <c r="E240" s="91" t="s">
        <v>29</v>
      </c>
      <c r="F240" s="187"/>
      <c r="G240" s="188"/>
      <c r="H240" s="188"/>
      <c r="I240" s="188"/>
      <c r="J240" s="188"/>
      <c r="K240" s="18">
        <f t="shared" si="100"/>
        <v>0</v>
      </c>
      <c r="L240" s="187"/>
      <c r="M240" s="118"/>
      <c r="N240" s="336"/>
      <c r="O240" s="342" t="s">
        <v>65</v>
      </c>
      <c r="P240" s="187"/>
      <c r="Q240" s="188"/>
      <c r="R240" s="188"/>
      <c r="S240" s="119"/>
      <c r="T240" s="188"/>
      <c r="U240" s="211">
        <f t="shared" si="101"/>
        <v>0</v>
      </c>
      <c r="V240" s="279"/>
      <c r="W240" s="280"/>
      <c r="X240" s="351"/>
      <c r="Y240" s="209" t="s">
        <v>85</v>
      </c>
      <c r="Z240" s="71"/>
      <c r="AA240" s="321"/>
      <c r="AB240" s="321"/>
      <c r="AC240" s="322"/>
      <c r="AD240" s="188"/>
      <c r="AE240" s="18">
        <f t="shared" si="102"/>
        <v>0</v>
      </c>
      <c r="AF240" s="71"/>
      <c r="AG240" s="322"/>
      <c r="AH240" s="360"/>
      <c r="AI240" s="97"/>
      <c r="AJ240" s="194"/>
      <c r="AK240" s="193"/>
      <c r="AL240" s="205"/>
      <c r="AM240" s="197"/>
      <c r="AN240" s="205"/>
      <c r="AO240" s="197"/>
      <c r="AP240" s="205"/>
      <c r="AQ240" s="197"/>
      <c r="AR240" s="13">
        <f t="shared" si="103"/>
        <v>2.4000000000000001E-5</v>
      </c>
      <c r="AS240" s="13">
        <f t="shared" si="104"/>
        <v>0</v>
      </c>
      <c r="AT240" s="13"/>
      <c r="AU240" s="160">
        <v>245</v>
      </c>
      <c r="AV240" s="191">
        <f t="shared" si="117"/>
        <v>1.66E-5</v>
      </c>
      <c r="AW240" s="160">
        <f t="shared" si="105"/>
        <v>0</v>
      </c>
      <c r="AX240" s="219">
        <f t="shared" si="106"/>
        <v>2.4000000000000001E-5</v>
      </c>
      <c r="AY240" s="13">
        <f t="shared" si="109"/>
        <v>0</v>
      </c>
      <c r="AZ240" s="160">
        <v>245</v>
      </c>
      <c r="BA240" s="77">
        <f t="shared" si="118"/>
        <v>1.52E-5</v>
      </c>
      <c r="BB240" s="192">
        <f t="shared" si="107"/>
        <v>0</v>
      </c>
      <c r="BC240" s="219">
        <f t="shared" si="110"/>
        <v>2.4000000000000001E-5</v>
      </c>
      <c r="BD240" s="13">
        <f t="shared" si="111"/>
        <v>0</v>
      </c>
      <c r="BE240" s="160">
        <v>245</v>
      </c>
      <c r="BF240" s="77">
        <f t="shared" si="119"/>
        <v>1.52E-5</v>
      </c>
      <c r="BG240" s="192">
        <f t="shared" si="108"/>
        <v>0</v>
      </c>
      <c r="BI240" s="120"/>
      <c r="BJ240" s="120"/>
      <c r="BK240" s="160"/>
      <c r="BL240" s="160"/>
      <c r="BM240" s="161" t="str">
        <f t="shared" si="121"/>
        <v/>
      </c>
      <c r="BN240" s="161" t="str">
        <f t="shared" si="116"/>
        <v/>
      </c>
      <c r="BO240" s="161" t="str">
        <f t="shared" si="122"/>
        <v/>
      </c>
      <c r="BP240" s="161" t="str">
        <f t="shared" si="112"/>
        <v/>
      </c>
      <c r="BQ240" s="161" t="str">
        <f t="shared" si="127"/>
        <v/>
      </c>
      <c r="BR240" s="161" t="str">
        <f t="shared" si="124"/>
        <v/>
      </c>
      <c r="BS240" s="161" t="str">
        <f t="shared" si="113"/>
        <v/>
      </c>
      <c r="BT240" s="161" t="str">
        <f t="shared" si="114"/>
        <v/>
      </c>
      <c r="BU240" s="161" t="str">
        <f t="shared" si="125"/>
        <v/>
      </c>
      <c r="BV240" s="161" t="str">
        <f t="shared" si="115"/>
        <v/>
      </c>
      <c r="BW240" s="161" t="str">
        <f t="shared" si="126"/>
        <v/>
      </c>
      <c r="BX240" s="161" t="str">
        <f t="shared" si="120"/>
        <v/>
      </c>
      <c r="BY240" s="148"/>
      <c r="BZ240" s="148"/>
      <c r="CA240" s="148"/>
      <c r="CB240" s="148" t="s">
        <v>149</v>
      </c>
      <c r="CC240" s="148"/>
    </row>
    <row r="241" spans="1:81" ht="14.25" customHeight="1" thickBot="1">
      <c r="A241" s="190">
        <v>231</v>
      </c>
      <c r="B241" s="78"/>
      <c r="C241" s="181"/>
      <c r="D241" s="86"/>
      <c r="E241" s="92" t="s">
        <v>29</v>
      </c>
      <c r="F241" s="88"/>
      <c r="G241" s="93"/>
      <c r="H241" s="93"/>
      <c r="I241" s="93"/>
      <c r="J241" s="93"/>
      <c r="K241" s="81">
        <f t="shared" si="100"/>
        <v>0</v>
      </c>
      <c r="L241" s="88"/>
      <c r="M241" s="85"/>
      <c r="N241" s="337"/>
      <c r="O241" s="343" t="s">
        <v>65</v>
      </c>
      <c r="P241" s="88"/>
      <c r="Q241" s="93"/>
      <c r="R241" s="93"/>
      <c r="S241" s="89"/>
      <c r="T241" s="93"/>
      <c r="U241" s="212">
        <f t="shared" si="101"/>
        <v>0</v>
      </c>
      <c r="V241" s="281"/>
      <c r="W241" s="282"/>
      <c r="X241" s="352"/>
      <c r="Y241" s="210" t="s">
        <v>85</v>
      </c>
      <c r="Z241" s="72"/>
      <c r="AA241" s="323"/>
      <c r="AB241" s="323"/>
      <c r="AC241" s="324"/>
      <c r="AD241" s="93"/>
      <c r="AE241" s="81">
        <f t="shared" si="102"/>
        <v>0</v>
      </c>
      <c r="AF241" s="72"/>
      <c r="AG241" s="324"/>
      <c r="AH241" s="361"/>
      <c r="AI241" s="98"/>
      <c r="AJ241" s="95"/>
      <c r="AK241" s="215"/>
      <c r="AL241" s="206"/>
      <c r="AM241" s="83"/>
      <c r="AN241" s="206"/>
      <c r="AO241" s="83"/>
      <c r="AP241" s="206"/>
      <c r="AQ241" s="83"/>
      <c r="AR241" s="13">
        <f t="shared" si="103"/>
        <v>2.41E-5</v>
      </c>
      <c r="AS241" s="13">
        <f t="shared" si="104"/>
        <v>0</v>
      </c>
      <c r="AT241" s="13"/>
      <c r="AU241" s="160">
        <v>246</v>
      </c>
      <c r="AV241" s="191">
        <f t="shared" si="117"/>
        <v>1.6499999999999998E-5</v>
      </c>
      <c r="AW241" s="160">
        <f t="shared" si="105"/>
        <v>0</v>
      </c>
      <c r="AX241" s="219">
        <f t="shared" si="106"/>
        <v>2.41E-5</v>
      </c>
      <c r="AY241" s="13">
        <f t="shared" si="109"/>
        <v>0</v>
      </c>
      <c r="AZ241" s="160">
        <v>246</v>
      </c>
      <c r="BA241" s="77">
        <f t="shared" si="118"/>
        <v>1.5099999999999999E-5</v>
      </c>
      <c r="BB241" s="192">
        <f t="shared" si="107"/>
        <v>0</v>
      </c>
      <c r="BC241" s="219">
        <f t="shared" si="110"/>
        <v>2.41E-5</v>
      </c>
      <c r="BD241" s="13">
        <f t="shared" si="111"/>
        <v>0</v>
      </c>
      <c r="BE241" s="160">
        <v>246</v>
      </c>
      <c r="BF241" s="77">
        <f t="shared" si="119"/>
        <v>1.5099999999999999E-5</v>
      </c>
      <c r="BG241" s="192">
        <f t="shared" si="108"/>
        <v>0</v>
      </c>
      <c r="BI241" s="120"/>
      <c r="BJ241" s="120"/>
      <c r="BK241" s="160"/>
      <c r="BL241" s="160"/>
      <c r="BM241" s="161" t="str">
        <f t="shared" si="121"/>
        <v/>
      </c>
      <c r="BN241" s="161" t="str">
        <f t="shared" si="116"/>
        <v/>
      </c>
      <c r="BO241" s="161" t="str">
        <f t="shared" si="122"/>
        <v/>
      </c>
      <c r="BP241" s="161" t="str">
        <f t="shared" si="112"/>
        <v/>
      </c>
      <c r="BQ241" s="161" t="str">
        <f t="shared" si="127"/>
        <v/>
      </c>
      <c r="BR241" s="161" t="str">
        <f t="shared" si="124"/>
        <v/>
      </c>
      <c r="BS241" s="161" t="str">
        <f t="shared" si="113"/>
        <v/>
      </c>
      <c r="BT241" s="161" t="str">
        <f t="shared" si="114"/>
        <v/>
      </c>
      <c r="BU241" s="161" t="str">
        <f t="shared" si="125"/>
        <v/>
      </c>
      <c r="BV241" s="161" t="str">
        <f t="shared" si="115"/>
        <v/>
      </c>
      <c r="BW241" s="161" t="str">
        <f t="shared" si="126"/>
        <v/>
      </c>
      <c r="BX241" s="161" t="str">
        <f t="shared" si="120"/>
        <v/>
      </c>
      <c r="BY241" s="148"/>
      <c r="BZ241" s="148"/>
      <c r="CA241" s="148"/>
      <c r="CB241" s="148" t="s">
        <v>149</v>
      </c>
      <c r="CC241" s="148"/>
    </row>
    <row r="242" spans="1:81" ht="14.25" customHeight="1" thickBot="1">
      <c r="A242" s="190">
        <v>232</v>
      </c>
      <c r="B242" s="79"/>
      <c r="C242" s="179"/>
      <c r="D242" s="137"/>
      <c r="E242" s="198" t="s">
        <v>29</v>
      </c>
      <c r="F242" s="199"/>
      <c r="G242" s="200"/>
      <c r="H242" s="200"/>
      <c r="I242" s="200"/>
      <c r="J242" s="200"/>
      <c r="K242" s="201">
        <f t="shared" si="100"/>
        <v>0</v>
      </c>
      <c r="L242" s="189"/>
      <c r="M242" s="84"/>
      <c r="N242" s="335"/>
      <c r="O242" s="341" t="s">
        <v>65</v>
      </c>
      <c r="P242" s="189"/>
      <c r="Q242" s="326"/>
      <c r="R242" s="326"/>
      <c r="S242" s="87"/>
      <c r="T242" s="207"/>
      <c r="U242" s="225">
        <f t="shared" si="101"/>
        <v>0</v>
      </c>
      <c r="V242" s="277"/>
      <c r="W242" s="278"/>
      <c r="X242" s="350"/>
      <c r="Y242" s="208" t="s">
        <v>147</v>
      </c>
      <c r="Z242" s="11"/>
      <c r="AA242" s="207"/>
      <c r="AB242" s="207"/>
      <c r="AC242" s="3"/>
      <c r="AD242" s="207"/>
      <c r="AE242" s="226">
        <f t="shared" si="102"/>
        <v>0</v>
      </c>
      <c r="AF242" s="11"/>
      <c r="AG242" s="3"/>
      <c r="AH242" s="359"/>
      <c r="AI242" s="96"/>
      <c r="AJ242" s="94"/>
      <c r="AK242" s="214"/>
      <c r="AL242" s="213"/>
      <c r="AM242" s="82"/>
      <c r="AN242" s="213"/>
      <c r="AO242" s="82"/>
      <c r="AP242" s="213"/>
      <c r="AQ242" s="82"/>
      <c r="AR242" s="13">
        <f t="shared" si="103"/>
        <v>2.4199999999999999E-5</v>
      </c>
      <c r="AS242" s="13">
        <f t="shared" si="104"/>
        <v>0</v>
      </c>
      <c r="AT242" s="13"/>
      <c r="AU242" s="160">
        <v>247</v>
      </c>
      <c r="AV242" s="191">
        <f t="shared" si="117"/>
        <v>1.6399999999999999E-5</v>
      </c>
      <c r="AW242" s="160">
        <f t="shared" si="105"/>
        <v>0</v>
      </c>
      <c r="AX242" s="219">
        <f t="shared" si="106"/>
        <v>2.4199999999999999E-5</v>
      </c>
      <c r="AY242" s="13">
        <f t="shared" si="109"/>
        <v>0</v>
      </c>
      <c r="AZ242" s="160">
        <v>247</v>
      </c>
      <c r="BA242" s="77">
        <f t="shared" si="118"/>
        <v>1.4999999999999999E-5</v>
      </c>
      <c r="BB242" s="192">
        <f t="shared" si="107"/>
        <v>0</v>
      </c>
      <c r="BC242" s="219">
        <f t="shared" si="110"/>
        <v>2.4199999999999999E-5</v>
      </c>
      <c r="BD242" s="13">
        <f t="shared" si="111"/>
        <v>0</v>
      </c>
      <c r="BE242" s="160">
        <v>247</v>
      </c>
      <c r="BF242" s="77">
        <f t="shared" si="119"/>
        <v>1.4999999999999999E-5</v>
      </c>
      <c r="BG242" s="192">
        <f t="shared" si="108"/>
        <v>0</v>
      </c>
      <c r="BI242" s="120"/>
      <c r="BJ242" s="120"/>
      <c r="BK242" s="160"/>
      <c r="BL242" s="160"/>
      <c r="BM242" s="161" t="str">
        <f t="shared" si="121"/>
        <v/>
      </c>
      <c r="BN242" s="161" t="str">
        <f t="shared" si="116"/>
        <v/>
      </c>
      <c r="BO242" s="161" t="str">
        <f t="shared" si="122"/>
        <v/>
      </c>
      <c r="BP242" s="161" t="str">
        <f t="shared" si="112"/>
        <v/>
      </c>
      <c r="BQ242" s="161" t="str">
        <f t="shared" si="127"/>
        <v/>
      </c>
      <c r="BR242" s="161" t="str">
        <f t="shared" si="124"/>
        <v/>
      </c>
      <c r="BS242" s="161" t="str">
        <f t="shared" si="113"/>
        <v/>
      </c>
      <c r="BT242" s="161" t="str">
        <f t="shared" si="114"/>
        <v/>
      </c>
      <c r="BU242" s="161" t="str">
        <f t="shared" si="125"/>
        <v/>
      </c>
      <c r="BV242" s="161" t="str">
        <f t="shared" si="115"/>
        <v/>
      </c>
      <c r="BW242" s="161" t="str">
        <f t="shared" si="126"/>
        <v/>
      </c>
      <c r="BX242" s="161" t="str">
        <f t="shared" si="120"/>
        <v/>
      </c>
      <c r="BY242" s="148"/>
      <c r="BZ242" s="148"/>
      <c r="CA242" s="148"/>
      <c r="CB242" s="148" t="s">
        <v>149</v>
      </c>
      <c r="CC242" s="148"/>
    </row>
    <row r="243" spans="1:81" ht="14.25" customHeight="1" thickBot="1">
      <c r="A243" s="190">
        <v>233</v>
      </c>
      <c r="B243" s="196"/>
      <c r="C243" s="180"/>
      <c r="D243" s="136"/>
      <c r="E243" s="91" t="s">
        <v>29</v>
      </c>
      <c r="F243" s="187"/>
      <c r="G243" s="188"/>
      <c r="H243" s="188"/>
      <c r="I243" s="188"/>
      <c r="J243" s="188"/>
      <c r="K243" s="18">
        <f t="shared" si="100"/>
        <v>0</v>
      </c>
      <c r="L243" s="187"/>
      <c r="M243" s="118"/>
      <c r="N243" s="336"/>
      <c r="O243" s="342" t="s">
        <v>65</v>
      </c>
      <c r="P243" s="187"/>
      <c r="Q243" s="188"/>
      <c r="R243" s="188"/>
      <c r="S243" s="119"/>
      <c r="T243" s="188"/>
      <c r="U243" s="211">
        <f t="shared" si="101"/>
        <v>0</v>
      </c>
      <c r="V243" s="279"/>
      <c r="W243" s="280"/>
      <c r="X243" s="351"/>
      <c r="Y243" s="209" t="s">
        <v>85</v>
      </c>
      <c r="Z243" s="71"/>
      <c r="AA243" s="321"/>
      <c r="AB243" s="321"/>
      <c r="AC243" s="322"/>
      <c r="AD243" s="188"/>
      <c r="AE243" s="18">
        <f t="shared" si="102"/>
        <v>0</v>
      </c>
      <c r="AF243" s="71"/>
      <c r="AG243" s="322"/>
      <c r="AH243" s="360"/>
      <c r="AI243" s="97"/>
      <c r="AJ243" s="194"/>
      <c r="AK243" s="193"/>
      <c r="AL243" s="205"/>
      <c r="AM243" s="197"/>
      <c r="AN243" s="205"/>
      <c r="AO243" s="197"/>
      <c r="AP243" s="205"/>
      <c r="AQ243" s="197"/>
      <c r="AR243" s="13">
        <f t="shared" si="103"/>
        <v>2.4299999999999998E-5</v>
      </c>
      <c r="AS243" s="13">
        <f t="shared" si="104"/>
        <v>0</v>
      </c>
      <c r="AT243" s="13"/>
      <c r="AU243" s="160">
        <v>248</v>
      </c>
      <c r="AV243" s="191">
        <f t="shared" si="117"/>
        <v>1.63E-5</v>
      </c>
      <c r="AW243" s="160">
        <f t="shared" si="105"/>
        <v>0</v>
      </c>
      <c r="AX243" s="219">
        <f t="shared" si="106"/>
        <v>2.4299999999999998E-5</v>
      </c>
      <c r="AY243" s="13">
        <f t="shared" si="109"/>
        <v>0</v>
      </c>
      <c r="AZ243" s="160">
        <v>248</v>
      </c>
      <c r="BA243" s="77">
        <f t="shared" si="118"/>
        <v>1.49E-5</v>
      </c>
      <c r="BB243" s="192">
        <f t="shared" si="107"/>
        <v>0</v>
      </c>
      <c r="BC243" s="219">
        <f t="shared" si="110"/>
        <v>2.4299999999999998E-5</v>
      </c>
      <c r="BD243" s="13">
        <f t="shared" si="111"/>
        <v>0</v>
      </c>
      <c r="BE243" s="160">
        <v>248</v>
      </c>
      <c r="BF243" s="77">
        <f t="shared" si="119"/>
        <v>1.49E-5</v>
      </c>
      <c r="BG243" s="192">
        <f t="shared" si="108"/>
        <v>0</v>
      </c>
      <c r="BI243" s="120"/>
      <c r="BJ243" s="120"/>
      <c r="BK243" s="160"/>
      <c r="BL243" s="160"/>
      <c r="BM243" s="161" t="str">
        <f t="shared" si="121"/>
        <v/>
      </c>
      <c r="BN243" s="161" t="str">
        <f t="shared" si="116"/>
        <v/>
      </c>
      <c r="BO243" s="161" t="str">
        <f t="shared" si="122"/>
        <v/>
      </c>
      <c r="BP243" s="161" t="str">
        <f t="shared" si="112"/>
        <v/>
      </c>
      <c r="BQ243" s="161" t="str">
        <f t="shared" si="127"/>
        <v/>
      </c>
      <c r="BR243" s="161" t="str">
        <f t="shared" si="124"/>
        <v/>
      </c>
      <c r="BS243" s="161" t="str">
        <f t="shared" si="113"/>
        <v/>
      </c>
      <c r="BT243" s="161" t="str">
        <f t="shared" si="114"/>
        <v/>
      </c>
      <c r="BU243" s="161" t="str">
        <f t="shared" si="125"/>
        <v/>
      </c>
      <c r="BV243" s="161" t="str">
        <f t="shared" si="115"/>
        <v/>
      </c>
      <c r="BW243" s="161" t="str">
        <f t="shared" si="126"/>
        <v/>
      </c>
      <c r="BX243" s="161" t="str">
        <f t="shared" si="120"/>
        <v/>
      </c>
      <c r="BY243" s="148"/>
      <c r="BZ243" s="148"/>
      <c r="CA243" s="148"/>
      <c r="CB243" s="148" t="s">
        <v>149</v>
      </c>
      <c r="CC243" s="148"/>
    </row>
    <row r="244" spans="1:81" ht="14.25" customHeight="1" thickBot="1">
      <c r="A244" s="190">
        <v>234</v>
      </c>
      <c r="B244" s="78"/>
      <c r="C244" s="181"/>
      <c r="D244" s="86"/>
      <c r="E244" s="92" t="s">
        <v>29</v>
      </c>
      <c r="F244" s="88"/>
      <c r="G244" s="93"/>
      <c r="H244" s="93"/>
      <c r="I244" s="93"/>
      <c r="J244" s="93"/>
      <c r="K244" s="81">
        <f t="shared" si="100"/>
        <v>0</v>
      </c>
      <c r="L244" s="88"/>
      <c r="M244" s="85"/>
      <c r="N244" s="337"/>
      <c r="O244" s="343" t="s">
        <v>65</v>
      </c>
      <c r="P244" s="88"/>
      <c r="Q244" s="93"/>
      <c r="R244" s="93"/>
      <c r="S244" s="89"/>
      <c r="T244" s="93"/>
      <c r="U244" s="212">
        <f t="shared" si="101"/>
        <v>0</v>
      </c>
      <c r="V244" s="281"/>
      <c r="W244" s="282"/>
      <c r="X244" s="352"/>
      <c r="Y244" s="210" t="s">
        <v>85</v>
      </c>
      <c r="Z244" s="72"/>
      <c r="AA244" s="323"/>
      <c r="AB244" s="323"/>
      <c r="AC244" s="324"/>
      <c r="AD244" s="93"/>
      <c r="AE244" s="81">
        <f t="shared" si="102"/>
        <v>0</v>
      </c>
      <c r="AF244" s="72"/>
      <c r="AG244" s="324"/>
      <c r="AH244" s="361"/>
      <c r="AI244" s="98"/>
      <c r="AJ244" s="95"/>
      <c r="AK244" s="215"/>
      <c r="AL244" s="206"/>
      <c r="AM244" s="83"/>
      <c r="AN244" s="206"/>
      <c r="AO244" s="83"/>
      <c r="AP244" s="206"/>
      <c r="AQ244" s="83"/>
      <c r="AR244" s="13">
        <f t="shared" si="103"/>
        <v>2.44E-5</v>
      </c>
      <c r="AS244" s="13">
        <f t="shared" si="104"/>
        <v>0</v>
      </c>
      <c r="AT244" s="13"/>
      <c r="AU244" s="160">
        <v>249</v>
      </c>
      <c r="AV244" s="191">
        <f t="shared" si="117"/>
        <v>1.6200000000000001E-5</v>
      </c>
      <c r="AW244" s="160">
        <f t="shared" si="105"/>
        <v>0</v>
      </c>
      <c r="AX244" s="219">
        <f t="shared" si="106"/>
        <v>2.44E-5</v>
      </c>
      <c r="AY244" s="13">
        <f t="shared" si="109"/>
        <v>0</v>
      </c>
      <c r="AZ244" s="160">
        <v>249</v>
      </c>
      <c r="BA244" s="77">
        <f t="shared" si="118"/>
        <v>1.4799999999999999E-5</v>
      </c>
      <c r="BB244" s="192">
        <f t="shared" si="107"/>
        <v>0</v>
      </c>
      <c r="BC244" s="219">
        <f t="shared" si="110"/>
        <v>2.44E-5</v>
      </c>
      <c r="BD244" s="13">
        <f t="shared" si="111"/>
        <v>0</v>
      </c>
      <c r="BE244" s="160">
        <v>249</v>
      </c>
      <c r="BF244" s="77">
        <f t="shared" si="119"/>
        <v>1.4799999999999999E-5</v>
      </c>
      <c r="BG244" s="192">
        <f t="shared" si="108"/>
        <v>0</v>
      </c>
      <c r="BI244" s="120"/>
      <c r="BJ244" s="120"/>
      <c r="BK244" s="160"/>
      <c r="BL244" s="160"/>
      <c r="BM244" s="161" t="str">
        <f t="shared" si="121"/>
        <v/>
      </c>
      <c r="BN244" s="161" t="str">
        <f t="shared" si="116"/>
        <v/>
      </c>
      <c r="BO244" s="161" t="str">
        <f t="shared" si="122"/>
        <v/>
      </c>
      <c r="BP244" s="161" t="str">
        <f t="shared" si="112"/>
        <v/>
      </c>
      <c r="BQ244" s="161" t="str">
        <f t="shared" si="127"/>
        <v/>
      </c>
      <c r="BR244" s="161" t="str">
        <f t="shared" si="124"/>
        <v/>
      </c>
      <c r="BS244" s="161" t="str">
        <f t="shared" si="113"/>
        <v/>
      </c>
      <c r="BT244" s="161" t="str">
        <f t="shared" si="114"/>
        <v/>
      </c>
      <c r="BU244" s="161" t="str">
        <f t="shared" si="125"/>
        <v/>
      </c>
      <c r="BV244" s="161" t="str">
        <f t="shared" si="115"/>
        <v/>
      </c>
      <c r="BW244" s="161" t="str">
        <f t="shared" si="126"/>
        <v/>
      </c>
      <c r="BX244" s="161" t="str">
        <f t="shared" si="120"/>
        <v/>
      </c>
      <c r="BY244" s="148"/>
      <c r="BZ244" s="148"/>
      <c r="CA244" s="148"/>
      <c r="CB244" s="148" t="s">
        <v>149</v>
      </c>
      <c r="CC244" s="148"/>
    </row>
    <row r="245" spans="1:81" ht="14.25" customHeight="1" thickBot="1">
      <c r="A245" s="190">
        <v>235</v>
      </c>
      <c r="B245" s="79"/>
      <c r="C245" s="179"/>
      <c r="D245" s="137"/>
      <c r="E245" s="198" t="s">
        <v>29</v>
      </c>
      <c r="F245" s="199"/>
      <c r="G245" s="200"/>
      <c r="H245" s="200"/>
      <c r="I245" s="200"/>
      <c r="J245" s="200"/>
      <c r="K245" s="201">
        <f t="shared" si="100"/>
        <v>0</v>
      </c>
      <c r="L245" s="189"/>
      <c r="M245" s="84"/>
      <c r="N245" s="335"/>
      <c r="O245" s="341" t="s">
        <v>65</v>
      </c>
      <c r="P245" s="189"/>
      <c r="Q245" s="326"/>
      <c r="R245" s="326"/>
      <c r="S245" s="87"/>
      <c r="T245" s="207"/>
      <c r="U245" s="225">
        <f t="shared" si="101"/>
        <v>0</v>
      </c>
      <c r="V245" s="277"/>
      <c r="W245" s="278"/>
      <c r="X245" s="350"/>
      <c r="Y245" s="208" t="s">
        <v>147</v>
      </c>
      <c r="Z245" s="11"/>
      <c r="AA245" s="207"/>
      <c r="AB245" s="207"/>
      <c r="AC245" s="3"/>
      <c r="AD245" s="207"/>
      <c r="AE245" s="226">
        <f t="shared" si="102"/>
        <v>0</v>
      </c>
      <c r="AF245" s="11"/>
      <c r="AG245" s="3"/>
      <c r="AH245" s="359"/>
      <c r="AI245" s="96"/>
      <c r="AJ245" s="94"/>
      <c r="AK245" s="214"/>
      <c r="AL245" s="213"/>
      <c r="AM245" s="82"/>
      <c r="AN245" s="213"/>
      <c r="AO245" s="82"/>
      <c r="AP245" s="213"/>
      <c r="AQ245" s="82"/>
      <c r="AR245" s="13">
        <f t="shared" si="103"/>
        <v>2.4499999999999999E-5</v>
      </c>
      <c r="AS245" s="13">
        <f t="shared" si="104"/>
        <v>0</v>
      </c>
      <c r="AT245" s="13"/>
      <c r="AU245" s="160">
        <v>250</v>
      </c>
      <c r="AV245" s="191">
        <f t="shared" si="117"/>
        <v>1.6099999999999998E-5</v>
      </c>
      <c r="AW245" s="160">
        <f t="shared" si="105"/>
        <v>0</v>
      </c>
      <c r="AX245" s="219">
        <f t="shared" si="106"/>
        <v>2.4499999999999999E-5</v>
      </c>
      <c r="AY245" s="13">
        <f t="shared" si="109"/>
        <v>0</v>
      </c>
      <c r="AZ245" s="160">
        <v>250</v>
      </c>
      <c r="BA245" s="77">
        <f t="shared" si="118"/>
        <v>1.47E-5</v>
      </c>
      <c r="BB245" s="192">
        <f t="shared" si="107"/>
        <v>0</v>
      </c>
      <c r="BC245" s="219">
        <f t="shared" si="110"/>
        <v>2.4499999999999999E-5</v>
      </c>
      <c r="BD245" s="13">
        <f t="shared" si="111"/>
        <v>0</v>
      </c>
      <c r="BE245" s="160">
        <v>250</v>
      </c>
      <c r="BF245" s="77">
        <f t="shared" si="119"/>
        <v>1.47E-5</v>
      </c>
      <c r="BG245" s="192">
        <f t="shared" si="108"/>
        <v>0</v>
      </c>
      <c r="BI245" s="120"/>
      <c r="BJ245" s="120"/>
      <c r="BK245" s="160"/>
      <c r="BL245" s="160"/>
      <c r="BM245" s="161" t="str">
        <f t="shared" si="121"/>
        <v/>
      </c>
      <c r="BN245" s="161" t="str">
        <f t="shared" si="116"/>
        <v/>
      </c>
      <c r="BO245" s="161" t="str">
        <f t="shared" si="122"/>
        <v/>
      </c>
      <c r="BP245" s="161" t="str">
        <f t="shared" si="112"/>
        <v/>
      </c>
      <c r="BQ245" s="161" t="str">
        <f t="shared" si="127"/>
        <v/>
      </c>
      <c r="BR245" s="161" t="str">
        <f t="shared" si="124"/>
        <v/>
      </c>
      <c r="BS245" s="161" t="str">
        <f t="shared" si="113"/>
        <v/>
      </c>
      <c r="BT245" s="161" t="str">
        <f t="shared" si="114"/>
        <v/>
      </c>
      <c r="BU245" s="161" t="str">
        <f t="shared" si="125"/>
        <v/>
      </c>
      <c r="BV245" s="161" t="str">
        <f t="shared" si="115"/>
        <v/>
      </c>
      <c r="BW245" s="161" t="str">
        <f t="shared" si="126"/>
        <v/>
      </c>
      <c r="BX245" s="161" t="str">
        <f t="shared" si="120"/>
        <v/>
      </c>
      <c r="BY245" s="148"/>
      <c r="BZ245" s="148"/>
      <c r="CA245" s="148"/>
      <c r="CB245" s="148" t="s">
        <v>149</v>
      </c>
      <c r="CC245" s="148"/>
    </row>
    <row r="246" spans="1:81" ht="14.25" customHeight="1" thickBot="1">
      <c r="A246" s="190">
        <v>236</v>
      </c>
      <c r="B246" s="196"/>
      <c r="C246" s="180"/>
      <c r="D246" s="136"/>
      <c r="E246" s="91" t="s">
        <v>29</v>
      </c>
      <c r="F246" s="187"/>
      <c r="G246" s="188"/>
      <c r="H246" s="188"/>
      <c r="I246" s="188"/>
      <c r="J246" s="188"/>
      <c r="K246" s="18">
        <f t="shared" si="100"/>
        <v>0</v>
      </c>
      <c r="L246" s="187"/>
      <c r="M246" s="118"/>
      <c r="N246" s="336"/>
      <c r="O246" s="342" t="s">
        <v>65</v>
      </c>
      <c r="P246" s="187"/>
      <c r="Q246" s="188"/>
      <c r="R246" s="188"/>
      <c r="S246" s="119"/>
      <c r="T246" s="188"/>
      <c r="U246" s="211">
        <f t="shared" si="101"/>
        <v>0</v>
      </c>
      <c r="V246" s="279"/>
      <c r="W246" s="280"/>
      <c r="X246" s="351"/>
      <c r="Y246" s="209" t="s">
        <v>85</v>
      </c>
      <c r="Z246" s="71"/>
      <c r="AA246" s="321"/>
      <c r="AB246" s="321"/>
      <c r="AC246" s="322"/>
      <c r="AD246" s="188"/>
      <c r="AE246" s="18">
        <f t="shared" si="102"/>
        <v>0</v>
      </c>
      <c r="AF246" s="71"/>
      <c r="AG246" s="322"/>
      <c r="AH246" s="360"/>
      <c r="AI246" s="97"/>
      <c r="AJ246" s="194"/>
      <c r="AK246" s="193"/>
      <c r="AL246" s="205"/>
      <c r="AM246" s="197"/>
      <c r="AN246" s="205"/>
      <c r="AO246" s="197"/>
      <c r="AP246" s="205"/>
      <c r="AQ246" s="197"/>
      <c r="AR246" s="13">
        <f t="shared" si="103"/>
        <v>2.4599999999999998E-5</v>
      </c>
      <c r="AS246" s="13">
        <f t="shared" si="104"/>
        <v>0</v>
      </c>
      <c r="AT246" s="13"/>
      <c r="AU246" s="160">
        <v>251</v>
      </c>
      <c r="AV246" s="191">
        <f t="shared" si="117"/>
        <v>1.5999999999999999E-5</v>
      </c>
      <c r="AW246" s="160">
        <f t="shared" si="105"/>
        <v>0</v>
      </c>
      <c r="AX246" s="219">
        <f t="shared" si="106"/>
        <v>2.4599999999999998E-5</v>
      </c>
      <c r="AY246" s="13">
        <f t="shared" si="109"/>
        <v>0</v>
      </c>
      <c r="AZ246" s="160">
        <v>251</v>
      </c>
      <c r="BA246" s="77">
        <f t="shared" si="118"/>
        <v>1.4599999999999999E-5</v>
      </c>
      <c r="BB246" s="192">
        <f t="shared" si="107"/>
        <v>0</v>
      </c>
      <c r="BC246" s="219">
        <f t="shared" si="110"/>
        <v>2.4599999999999998E-5</v>
      </c>
      <c r="BD246" s="13">
        <f t="shared" si="111"/>
        <v>0</v>
      </c>
      <c r="BE246" s="160">
        <v>251</v>
      </c>
      <c r="BF246" s="77">
        <f t="shared" si="119"/>
        <v>1.4599999999999999E-5</v>
      </c>
      <c r="BG246" s="192">
        <f t="shared" si="108"/>
        <v>0</v>
      </c>
      <c r="BI246" s="120"/>
      <c r="BJ246" s="120"/>
      <c r="BK246" s="160"/>
      <c r="BL246" s="160"/>
      <c r="BM246" s="161" t="str">
        <f t="shared" si="121"/>
        <v/>
      </c>
      <c r="BN246" s="161" t="str">
        <f t="shared" si="116"/>
        <v/>
      </c>
      <c r="BO246" s="161" t="str">
        <f t="shared" si="122"/>
        <v/>
      </c>
      <c r="BP246" s="161" t="str">
        <f t="shared" si="112"/>
        <v/>
      </c>
      <c r="BQ246" s="161" t="str">
        <f t="shared" si="127"/>
        <v/>
      </c>
      <c r="BR246" s="161" t="str">
        <f t="shared" si="124"/>
        <v/>
      </c>
      <c r="BS246" s="161" t="str">
        <f t="shared" si="113"/>
        <v/>
      </c>
      <c r="BT246" s="161" t="str">
        <f t="shared" si="114"/>
        <v/>
      </c>
      <c r="BU246" s="161" t="str">
        <f t="shared" si="125"/>
        <v/>
      </c>
      <c r="BV246" s="161" t="str">
        <f t="shared" si="115"/>
        <v/>
      </c>
      <c r="BW246" s="161" t="str">
        <f t="shared" si="126"/>
        <v/>
      </c>
      <c r="BX246" s="161" t="str">
        <f t="shared" si="120"/>
        <v/>
      </c>
      <c r="BY246" s="148"/>
      <c r="BZ246" s="148"/>
      <c r="CA246" s="148"/>
      <c r="CB246" s="148" t="s">
        <v>149</v>
      </c>
      <c r="CC246" s="148"/>
    </row>
    <row r="247" spans="1:81" ht="14.25" customHeight="1" thickBot="1">
      <c r="A247" s="190">
        <v>237</v>
      </c>
      <c r="B247" s="78"/>
      <c r="C247" s="181"/>
      <c r="D247" s="86"/>
      <c r="E247" s="92" t="s">
        <v>29</v>
      </c>
      <c r="F247" s="88"/>
      <c r="G247" s="93"/>
      <c r="H247" s="93"/>
      <c r="I247" s="93"/>
      <c r="J247" s="93"/>
      <c r="K247" s="81">
        <f t="shared" si="100"/>
        <v>0</v>
      </c>
      <c r="L247" s="88"/>
      <c r="M247" s="85"/>
      <c r="N247" s="337"/>
      <c r="O247" s="343" t="s">
        <v>65</v>
      </c>
      <c r="P247" s="88"/>
      <c r="Q247" s="93"/>
      <c r="R247" s="93"/>
      <c r="S247" s="89"/>
      <c r="T247" s="93"/>
      <c r="U247" s="212">
        <f t="shared" si="101"/>
        <v>0</v>
      </c>
      <c r="V247" s="281"/>
      <c r="W247" s="282"/>
      <c r="X247" s="352"/>
      <c r="Y247" s="210" t="s">
        <v>85</v>
      </c>
      <c r="Z247" s="72"/>
      <c r="AA247" s="323"/>
      <c r="AB247" s="323"/>
      <c r="AC247" s="324"/>
      <c r="AD247" s="93"/>
      <c r="AE247" s="81">
        <f t="shared" si="102"/>
        <v>0</v>
      </c>
      <c r="AF247" s="72"/>
      <c r="AG247" s="324"/>
      <c r="AH247" s="361"/>
      <c r="AI247" s="98"/>
      <c r="AJ247" s="95"/>
      <c r="AK247" s="215"/>
      <c r="AL247" s="206"/>
      <c r="AM247" s="83"/>
      <c r="AN247" s="206"/>
      <c r="AO247" s="83"/>
      <c r="AP247" s="206"/>
      <c r="AQ247" s="83"/>
      <c r="AR247" s="13">
        <f t="shared" si="103"/>
        <v>2.4699999999999997E-5</v>
      </c>
      <c r="AS247" s="13">
        <f t="shared" si="104"/>
        <v>0</v>
      </c>
      <c r="AT247" s="13"/>
      <c r="AU247" s="160">
        <v>252</v>
      </c>
      <c r="AV247" s="191">
        <f t="shared" si="117"/>
        <v>1.59E-5</v>
      </c>
      <c r="AW247" s="160">
        <f t="shared" si="105"/>
        <v>0</v>
      </c>
      <c r="AX247" s="219">
        <f t="shared" si="106"/>
        <v>2.4699999999999997E-5</v>
      </c>
      <c r="AY247" s="13">
        <f t="shared" si="109"/>
        <v>0</v>
      </c>
      <c r="AZ247" s="160">
        <v>252</v>
      </c>
      <c r="BA247" s="77">
        <f t="shared" si="118"/>
        <v>1.45E-5</v>
      </c>
      <c r="BB247" s="192">
        <f t="shared" si="107"/>
        <v>0</v>
      </c>
      <c r="BC247" s="219">
        <f t="shared" si="110"/>
        <v>2.4699999999999997E-5</v>
      </c>
      <c r="BD247" s="13">
        <f t="shared" si="111"/>
        <v>0</v>
      </c>
      <c r="BE247" s="160">
        <v>252</v>
      </c>
      <c r="BF247" s="77">
        <f t="shared" si="119"/>
        <v>1.45E-5</v>
      </c>
      <c r="BG247" s="192">
        <f t="shared" si="108"/>
        <v>0</v>
      </c>
      <c r="BI247" s="120"/>
      <c r="BJ247" s="120"/>
      <c r="BK247" s="160"/>
      <c r="BL247" s="160"/>
      <c r="BM247" s="161" t="str">
        <f t="shared" si="121"/>
        <v/>
      </c>
      <c r="BN247" s="161" t="str">
        <f t="shared" si="116"/>
        <v/>
      </c>
      <c r="BO247" s="161" t="str">
        <f t="shared" si="122"/>
        <v/>
      </c>
      <c r="BP247" s="161" t="str">
        <f t="shared" si="112"/>
        <v/>
      </c>
      <c r="BQ247" s="161" t="str">
        <f t="shared" si="127"/>
        <v/>
      </c>
      <c r="BR247" s="161" t="str">
        <f t="shared" si="124"/>
        <v/>
      </c>
      <c r="BS247" s="161" t="str">
        <f t="shared" si="113"/>
        <v/>
      </c>
      <c r="BT247" s="161" t="str">
        <f t="shared" si="114"/>
        <v/>
      </c>
      <c r="BU247" s="161" t="str">
        <f t="shared" si="125"/>
        <v/>
      </c>
      <c r="BV247" s="161" t="str">
        <f t="shared" si="115"/>
        <v/>
      </c>
      <c r="BW247" s="161" t="str">
        <f t="shared" si="126"/>
        <v/>
      </c>
      <c r="BX247" s="161" t="str">
        <f t="shared" si="120"/>
        <v/>
      </c>
      <c r="BY247" s="148"/>
      <c r="BZ247" s="148"/>
      <c r="CA247" s="148"/>
      <c r="CB247" s="148" t="s">
        <v>149</v>
      </c>
      <c r="CC247" s="148"/>
    </row>
    <row r="248" spans="1:81" ht="14.25" customHeight="1" thickBot="1">
      <c r="A248" s="190">
        <v>238</v>
      </c>
      <c r="B248" s="79"/>
      <c r="C248" s="179"/>
      <c r="D248" s="137"/>
      <c r="E248" s="198" t="s">
        <v>29</v>
      </c>
      <c r="F248" s="199"/>
      <c r="G248" s="200"/>
      <c r="H248" s="200"/>
      <c r="I248" s="200"/>
      <c r="J248" s="200"/>
      <c r="K248" s="201">
        <f t="shared" si="100"/>
        <v>0</v>
      </c>
      <c r="L248" s="189"/>
      <c r="M248" s="84"/>
      <c r="N248" s="335"/>
      <c r="O248" s="341" t="s">
        <v>65</v>
      </c>
      <c r="P248" s="189"/>
      <c r="Q248" s="326"/>
      <c r="R248" s="326"/>
      <c r="S248" s="87"/>
      <c r="T248" s="207"/>
      <c r="U248" s="225">
        <f t="shared" si="101"/>
        <v>0</v>
      </c>
      <c r="V248" s="277"/>
      <c r="W248" s="278"/>
      <c r="X248" s="350"/>
      <c r="Y248" s="208" t="s">
        <v>147</v>
      </c>
      <c r="Z248" s="11"/>
      <c r="AA248" s="207"/>
      <c r="AB248" s="207"/>
      <c r="AC248" s="3"/>
      <c r="AD248" s="207"/>
      <c r="AE248" s="226">
        <f t="shared" si="102"/>
        <v>0</v>
      </c>
      <c r="AF248" s="11"/>
      <c r="AG248" s="3"/>
      <c r="AH248" s="359"/>
      <c r="AI248" s="96"/>
      <c r="AJ248" s="94"/>
      <c r="AK248" s="214"/>
      <c r="AL248" s="213"/>
      <c r="AM248" s="82"/>
      <c r="AN248" s="213"/>
      <c r="AO248" s="82"/>
      <c r="AP248" s="213"/>
      <c r="AQ248" s="82"/>
      <c r="AR248" s="13">
        <f t="shared" si="103"/>
        <v>2.48E-5</v>
      </c>
      <c r="AS248" s="13">
        <f t="shared" si="104"/>
        <v>0</v>
      </c>
      <c r="AT248" s="13"/>
      <c r="AU248" s="160">
        <v>253</v>
      </c>
      <c r="AV248" s="191">
        <f t="shared" si="117"/>
        <v>1.5799999999999998E-5</v>
      </c>
      <c r="AW248" s="160">
        <f t="shared" si="105"/>
        <v>0</v>
      </c>
      <c r="AX248" s="219">
        <f t="shared" si="106"/>
        <v>2.48E-5</v>
      </c>
      <c r="AY248" s="13">
        <f t="shared" si="109"/>
        <v>0</v>
      </c>
      <c r="AZ248" s="160">
        <v>253</v>
      </c>
      <c r="BA248" s="77">
        <f t="shared" si="118"/>
        <v>1.4399999999999999E-5</v>
      </c>
      <c r="BB248" s="192">
        <f t="shared" si="107"/>
        <v>0</v>
      </c>
      <c r="BC248" s="219">
        <f t="shared" si="110"/>
        <v>2.48E-5</v>
      </c>
      <c r="BD248" s="13">
        <f t="shared" si="111"/>
        <v>0</v>
      </c>
      <c r="BE248" s="160">
        <v>253</v>
      </c>
      <c r="BF248" s="77">
        <f t="shared" si="119"/>
        <v>1.4399999999999999E-5</v>
      </c>
      <c r="BG248" s="192">
        <f t="shared" si="108"/>
        <v>0</v>
      </c>
      <c r="BI248" s="120"/>
      <c r="BJ248" s="120"/>
      <c r="BK248" s="160"/>
      <c r="BL248" s="160"/>
      <c r="BM248" s="161" t="str">
        <f t="shared" si="121"/>
        <v/>
      </c>
      <c r="BN248" s="161" t="str">
        <f t="shared" si="116"/>
        <v/>
      </c>
      <c r="BO248" s="161" t="str">
        <f t="shared" si="122"/>
        <v/>
      </c>
      <c r="BP248" s="161" t="str">
        <f t="shared" si="112"/>
        <v/>
      </c>
      <c r="BQ248" s="161" t="str">
        <f t="shared" si="127"/>
        <v/>
      </c>
      <c r="BR248" s="161" t="str">
        <f t="shared" si="124"/>
        <v/>
      </c>
      <c r="BS248" s="161" t="str">
        <f t="shared" si="113"/>
        <v/>
      </c>
      <c r="BT248" s="161" t="str">
        <f t="shared" si="114"/>
        <v/>
      </c>
      <c r="BU248" s="161" t="str">
        <f t="shared" si="125"/>
        <v/>
      </c>
      <c r="BV248" s="161" t="str">
        <f t="shared" si="115"/>
        <v/>
      </c>
      <c r="BW248" s="161" t="str">
        <f t="shared" si="126"/>
        <v/>
      </c>
      <c r="BX248" s="161" t="str">
        <f t="shared" si="120"/>
        <v/>
      </c>
      <c r="BY248" s="148"/>
      <c r="BZ248" s="148"/>
      <c r="CA248" s="148"/>
      <c r="CB248" s="148" t="s">
        <v>149</v>
      </c>
      <c r="CC248" s="148"/>
    </row>
    <row r="249" spans="1:81" ht="14.25" customHeight="1" thickBot="1">
      <c r="A249" s="190">
        <v>239</v>
      </c>
      <c r="B249" s="196"/>
      <c r="C249" s="180"/>
      <c r="D249" s="136"/>
      <c r="E249" s="91" t="s">
        <v>29</v>
      </c>
      <c r="F249" s="187"/>
      <c r="G249" s="188"/>
      <c r="H249" s="188"/>
      <c r="I249" s="188"/>
      <c r="J249" s="188"/>
      <c r="K249" s="18">
        <f t="shared" si="100"/>
        <v>0</v>
      </c>
      <c r="L249" s="187"/>
      <c r="M249" s="118"/>
      <c r="N249" s="336"/>
      <c r="O249" s="342" t="s">
        <v>65</v>
      </c>
      <c r="P249" s="187"/>
      <c r="Q249" s="188"/>
      <c r="R249" s="188"/>
      <c r="S249" s="119"/>
      <c r="T249" s="188"/>
      <c r="U249" s="211">
        <f t="shared" si="101"/>
        <v>0</v>
      </c>
      <c r="V249" s="279"/>
      <c r="W249" s="280"/>
      <c r="X249" s="351"/>
      <c r="Y249" s="209" t="s">
        <v>85</v>
      </c>
      <c r="Z249" s="71"/>
      <c r="AA249" s="321"/>
      <c r="AB249" s="321"/>
      <c r="AC249" s="322"/>
      <c r="AD249" s="188"/>
      <c r="AE249" s="18">
        <f t="shared" si="102"/>
        <v>0</v>
      </c>
      <c r="AF249" s="71"/>
      <c r="AG249" s="322"/>
      <c r="AH249" s="360"/>
      <c r="AI249" s="97"/>
      <c r="AJ249" s="194"/>
      <c r="AK249" s="193"/>
      <c r="AL249" s="205"/>
      <c r="AM249" s="197"/>
      <c r="AN249" s="205"/>
      <c r="AO249" s="197"/>
      <c r="AP249" s="205"/>
      <c r="AQ249" s="197"/>
      <c r="AR249" s="13">
        <f t="shared" si="103"/>
        <v>2.4899999999999999E-5</v>
      </c>
      <c r="AS249" s="13">
        <f t="shared" si="104"/>
        <v>0</v>
      </c>
      <c r="AT249" s="13"/>
      <c r="AU249" s="160">
        <v>254</v>
      </c>
      <c r="AV249" s="191">
        <f t="shared" si="117"/>
        <v>1.5699999999999999E-5</v>
      </c>
      <c r="AW249" s="160">
        <f t="shared" si="105"/>
        <v>0</v>
      </c>
      <c r="AX249" s="219">
        <f t="shared" si="106"/>
        <v>2.4899999999999999E-5</v>
      </c>
      <c r="AY249" s="13">
        <f t="shared" si="109"/>
        <v>0</v>
      </c>
      <c r="AZ249" s="160">
        <v>254</v>
      </c>
      <c r="BA249" s="77">
        <f t="shared" si="118"/>
        <v>1.4299999999999999E-5</v>
      </c>
      <c r="BB249" s="192">
        <f t="shared" si="107"/>
        <v>0</v>
      </c>
      <c r="BC249" s="219">
        <f t="shared" si="110"/>
        <v>2.4899999999999999E-5</v>
      </c>
      <c r="BD249" s="13">
        <f t="shared" si="111"/>
        <v>0</v>
      </c>
      <c r="BE249" s="160">
        <v>254</v>
      </c>
      <c r="BF249" s="77">
        <f t="shared" si="119"/>
        <v>1.4299999999999999E-5</v>
      </c>
      <c r="BG249" s="192">
        <f t="shared" si="108"/>
        <v>0</v>
      </c>
      <c r="BI249" s="120"/>
      <c r="BJ249" s="120"/>
      <c r="BK249" s="160"/>
      <c r="BL249" s="160"/>
      <c r="BM249" s="161" t="str">
        <f t="shared" si="121"/>
        <v/>
      </c>
      <c r="BN249" s="161" t="str">
        <f t="shared" si="116"/>
        <v/>
      </c>
      <c r="BO249" s="161" t="str">
        <f t="shared" si="122"/>
        <v/>
      </c>
      <c r="BP249" s="161" t="str">
        <f t="shared" si="112"/>
        <v/>
      </c>
      <c r="BQ249" s="161" t="str">
        <f t="shared" si="127"/>
        <v/>
      </c>
      <c r="BR249" s="161" t="str">
        <f t="shared" si="124"/>
        <v/>
      </c>
      <c r="BS249" s="161" t="str">
        <f t="shared" si="113"/>
        <v/>
      </c>
      <c r="BT249" s="161" t="str">
        <f t="shared" si="114"/>
        <v/>
      </c>
      <c r="BU249" s="161" t="str">
        <f t="shared" si="125"/>
        <v/>
      </c>
      <c r="BV249" s="161" t="str">
        <f t="shared" si="115"/>
        <v/>
      </c>
      <c r="BW249" s="161" t="str">
        <f t="shared" si="126"/>
        <v/>
      </c>
      <c r="BX249" s="161" t="str">
        <f t="shared" si="120"/>
        <v/>
      </c>
      <c r="BY249" s="148"/>
      <c r="BZ249" s="148"/>
      <c r="CA249" s="148"/>
      <c r="CB249" s="148" t="s">
        <v>149</v>
      </c>
      <c r="CC249" s="148"/>
    </row>
    <row r="250" spans="1:81" ht="14.25" customHeight="1" thickBot="1">
      <c r="A250" s="190">
        <v>240</v>
      </c>
      <c r="B250" s="78"/>
      <c r="C250" s="181"/>
      <c r="D250" s="86"/>
      <c r="E250" s="92" t="s">
        <v>29</v>
      </c>
      <c r="F250" s="88"/>
      <c r="G250" s="93"/>
      <c r="H250" s="93"/>
      <c r="I250" s="93"/>
      <c r="J250" s="93"/>
      <c r="K250" s="81">
        <f t="shared" si="100"/>
        <v>0</v>
      </c>
      <c r="L250" s="88"/>
      <c r="M250" s="85"/>
      <c r="N250" s="337"/>
      <c r="O250" s="343" t="s">
        <v>65</v>
      </c>
      <c r="P250" s="88"/>
      <c r="Q250" s="93"/>
      <c r="R250" s="93"/>
      <c r="S250" s="89"/>
      <c r="T250" s="93"/>
      <c r="U250" s="212">
        <f t="shared" si="101"/>
        <v>0</v>
      </c>
      <c r="V250" s="281"/>
      <c r="W250" s="282"/>
      <c r="X250" s="352"/>
      <c r="Y250" s="210" t="s">
        <v>85</v>
      </c>
      <c r="Z250" s="72"/>
      <c r="AA250" s="323"/>
      <c r="AB250" s="323"/>
      <c r="AC250" s="324"/>
      <c r="AD250" s="93"/>
      <c r="AE250" s="81">
        <f t="shared" si="102"/>
        <v>0</v>
      </c>
      <c r="AF250" s="72"/>
      <c r="AG250" s="324"/>
      <c r="AH250" s="361"/>
      <c r="AI250" s="98"/>
      <c r="AJ250" s="95"/>
      <c r="AK250" s="215"/>
      <c r="AL250" s="206"/>
      <c r="AM250" s="83"/>
      <c r="AN250" s="206"/>
      <c r="AO250" s="83"/>
      <c r="AP250" s="206"/>
      <c r="AQ250" s="83"/>
      <c r="AR250" s="13">
        <f t="shared" si="103"/>
        <v>2.4999999999999998E-5</v>
      </c>
      <c r="AS250" s="13">
        <f t="shared" si="104"/>
        <v>0</v>
      </c>
      <c r="AT250" s="13"/>
      <c r="AU250" s="160">
        <v>255</v>
      </c>
      <c r="AV250" s="191">
        <f t="shared" si="117"/>
        <v>1.56E-5</v>
      </c>
      <c r="AW250" s="160">
        <f t="shared" si="105"/>
        <v>0</v>
      </c>
      <c r="AX250" s="219">
        <f t="shared" si="106"/>
        <v>2.4999999999999998E-5</v>
      </c>
      <c r="AY250" s="13">
        <f t="shared" si="109"/>
        <v>0</v>
      </c>
      <c r="AZ250" s="160">
        <v>255</v>
      </c>
      <c r="BA250" s="77">
        <f t="shared" si="118"/>
        <v>1.42E-5</v>
      </c>
      <c r="BB250" s="192">
        <f t="shared" si="107"/>
        <v>0</v>
      </c>
      <c r="BC250" s="219">
        <f t="shared" si="110"/>
        <v>2.4999999999999998E-5</v>
      </c>
      <c r="BD250" s="13">
        <f t="shared" si="111"/>
        <v>0</v>
      </c>
      <c r="BE250" s="160">
        <v>255</v>
      </c>
      <c r="BF250" s="77">
        <f t="shared" si="119"/>
        <v>1.42E-5</v>
      </c>
      <c r="BG250" s="192">
        <f t="shared" si="108"/>
        <v>0</v>
      </c>
      <c r="BI250" s="120"/>
      <c r="BJ250" s="120"/>
      <c r="BK250" s="160"/>
      <c r="BL250" s="160"/>
      <c r="BM250" s="161" t="str">
        <f t="shared" si="121"/>
        <v/>
      </c>
      <c r="BN250" s="161" t="str">
        <f t="shared" si="116"/>
        <v/>
      </c>
      <c r="BO250" s="161" t="str">
        <f t="shared" si="122"/>
        <v/>
      </c>
      <c r="BP250" s="161" t="str">
        <f t="shared" si="112"/>
        <v/>
      </c>
      <c r="BQ250" s="161" t="str">
        <f t="shared" si="127"/>
        <v/>
      </c>
      <c r="BR250" s="161" t="str">
        <f t="shared" si="124"/>
        <v/>
      </c>
      <c r="BS250" s="161" t="str">
        <f t="shared" si="113"/>
        <v/>
      </c>
      <c r="BT250" s="161" t="str">
        <f t="shared" si="114"/>
        <v/>
      </c>
      <c r="BU250" s="161" t="str">
        <f t="shared" si="125"/>
        <v/>
      </c>
      <c r="BV250" s="161" t="str">
        <f t="shared" si="115"/>
        <v/>
      </c>
      <c r="BW250" s="161" t="str">
        <f t="shared" si="126"/>
        <v/>
      </c>
      <c r="BX250" s="161" t="str">
        <f t="shared" si="120"/>
        <v/>
      </c>
      <c r="BY250" s="148"/>
      <c r="BZ250" s="148"/>
      <c r="CA250" s="148"/>
      <c r="CB250" s="148" t="s">
        <v>149</v>
      </c>
      <c r="CC250" s="148"/>
    </row>
    <row r="251" spans="1:81" ht="14.25" customHeight="1" thickBot="1">
      <c r="A251" s="190">
        <v>241</v>
      </c>
      <c r="B251" s="79"/>
      <c r="C251" s="179"/>
      <c r="D251" s="137"/>
      <c r="E251" s="198" t="s">
        <v>29</v>
      </c>
      <c r="F251" s="199"/>
      <c r="G251" s="200"/>
      <c r="H251" s="200"/>
      <c r="I251" s="200"/>
      <c r="J251" s="200"/>
      <c r="K251" s="201">
        <f t="shared" si="100"/>
        <v>0</v>
      </c>
      <c r="L251" s="189"/>
      <c r="M251" s="84"/>
      <c r="N251" s="335"/>
      <c r="O251" s="341" t="s">
        <v>65</v>
      </c>
      <c r="P251" s="189"/>
      <c r="Q251" s="326"/>
      <c r="R251" s="326"/>
      <c r="S251" s="87"/>
      <c r="T251" s="207"/>
      <c r="U251" s="225">
        <f t="shared" si="101"/>
        <v>0</v>
      </c>
      <c r="V251" s="277"/>
      <c r="W251" s="278"/>
      <c r="X251" s="350"/>
      <c r="Y251" s="208" t="s">
        <v>147</v>
      </c>
      <c r="Z251" s="11"/>
      <c r="AA251" s="207"/>
      <c r="AB251" s="207"/>
      <c r="AC251" s="3"/>
      <c r="AD251" s="207"/>
      <c r="AE251" s="226">
        <f t="shared" si="102"/>
        <v>0</v>
      </c>
      <c r="AF251" s="11"/>
      <c r="AG251" s="3"/>
      <c r="AH251" s="359"/>
      <c r="AI251" s="96"/>
      <c r="AJ251" s="94"/>
      <c r="AK251" s="214"/>
      <c r="AL251" s="213"/>
      <c r="AM251" s="82"/>
      <c r="AN251" s="213"/>
      <c r="AO251" s="82"/>
      <c r="AP251" s="213"/>
      <c r="AQ251" s="82"/>
      <c r="AR251" s="13">
        <f t="shared" si="103"/>
        <v>2.51E-5</v>
      </c>
      <c r="AS251" s="13">
        <f t="shared" si="104"/>
        <v>0</v>
      </c>
      <c r="AT251" s="13"/>
      <c r="AU251" s="160">
        <v>256</v>
      </c>
      <c r="AV251" s="191">
        <f t="shared" si="117"/>
        <v>1.5500000000000001E-5</v>
      </c>
      <c r="AW251" s="160">
        <f t="shared" si="105"/>
        <v>0</v>
      </c>
      <c r="AX251" s="219">
        <f t="shared" si="106"/>
        <v>2.51E-5</v>
      </c>
      <c r="AY251" s="13">
        <f t="shared" si="109"/>
        <v>0</v>
      </c>
      <c r="AZ251" s="160">
        <v>256</v>
      </c>
      <c r="BA251" s="77">
        <f t="shared" si="118"/>
        <v>1.4099999999999999E-5</v>
      </c>
      <c r="BB251" s="192">
        <f t="shared" si="107"/>
        <v>0</v>
      </c>
      <c r="BC251" s="219">
        <f t="shared" si="110"/>
        <v>2.51E-5</v>
      </c>
      <c r="BD251" s="13">
        <f t="shared" si="111"/>
        <v>0</v>
      </c>
      <c r="BE251" s="160">
        <v>256</v>
      </c>
      <c r="BF251" s="77">
        <f t="shared" si="119"/>
        <v>1.4099999999999999E-5</v>
      </c>
      <c r="BG251" s="192">
        <f t="shared" si="108"/>
        <v>0</v>
      </c>
      <c r="BI251" s="120"/>
      <c r="BJ251" s="120"/>
      <c r="BK251" s="160"/>
      <c r="BL251" s="160"/>
      <c r="BM251" s="161" t="str">
        <f t="shared" si="121"/>
        <v/>
      </c>
      <c r="BN251" s="161" t="str">
        <f t="shared" si="116"/>
        <v/>
      </c>
      <c r="BO251" s="161" t="str">
        <f t="shared" si="122"/>
        <v/>
      </c>
      <c r="BP251" s="161" t="str">
        <f t="shared" si="112"/>
        <v/>
      </c>
      <c r="BQ251" s="161" t="str">
        <f t="shared" si="127"/>
        <v/>
      </c>
      <c r="BR251" s="161" t="str">
        <f t="shared" si="124"/>
        <v/>
      </c>
      <c r="BS251" s="161" t="str">
        <f t="shared" si="113"/>
        <v/>
      </c>
      <c r="BT251" s="161" t="str">
        <f t="shared" si="114"/>
        <v/>
      </c>
      <c r="BU251" s="161" t="str">
        <f t="shared" si="125"/>
        <v/>
      </c>
      <c r="BV251" s="161" t="str">
        <f t="shared" si="115"/>
        <v/>
      </c>
      <c r="BW251" s="161" t="str">
        <f t="shared" si="126"/>
        <v/>
      </c>
      <c r="BX251" s="161" t="str">
        <f t="shared" si="120"/>
        <v/>
      </c>
      <c r="BY251" s="148"/>
      <c r="BZ251" s="148"/>
      <c r="CA251" s="148"/>
      <c r="CB251" s="148" t="s">
        <v>149</v>
      </c>
      <c r="CC251" s="148"/>
    </row>
    <row r="252" spans="1:81" ht="14.25" customHeight="1" thickBot="1">
      <c r="A252" s="190">
        <v>242</v>
      </c>
      <c r="B252" s="196"/>
      <c r="C252" s="180"/>
      <c r="D252" s="136"/>
      <c r="E252" s="91" t="s">
        <v>29</v>
      </c>
      <c r="F252" s="187"/>
      <c r="G252" s="188"/>
      <c r="H252" s="188"/>
      <c r="I252" s="188"/>
      <c r="J252" s="188"/>
      <c r="K252" s="18">
        <f t="shared" ref="K252:K315" si="128">SUM(F252:J252)</f>
        <v>0</v>
      </c>
      <c r="L252" s="187"/>
      <c r="M252" s="118"/>
      <c r="N252" s="336"/>
      <c r="O252" s="342" t="s">
        <v>65</v>
      </c>
      <c r="P252" s="187"/>
      <c r="Q252" s="188"/>
      <c r="R252" s="188"/>
      <c r="S252" s="119"/>
      <c r="T252" s="188"/>
      <c r="U252" s="211">
        <f t="shared" ref="U252:U315" si="129">SUM(P252:T252)</f>
        <v>0</v>
      </c>
      <c r="V252" s="279"/>
      <c r="W252" s="280"/>
      <c r="X252" s="351"/>
      <c r="Y252" s="209" t="s">
        <v>85</v>
      </c>
      <c r="Z252" s="71"/>
      <c r="AA252" s="321"/>
      <c r="AB252" s="321"/>
      <c r="AC252" s="322"/>
      <c r="AD252" s="188"/>
      <c r="AE252" s="18">
        <f t="shared" ref="AE252:AE315" si="130">SUM(Z252:AD252)</f>
        <v>0</v>
      </c>
      <c r="AF252" s="71"/>
      <c r="AG252" s="322"/>
      <c r="AH252" s="360"/>
      <c r="AI252" s="97"/>
      <c r="AJ252" s="194"/>
      <c r="AK252" s="193"/>
      <c r="AL252" s="205"/>
      <c r="AM252" s="197"/>
      <c r="AN252" s="205"/>
      <c r="AO252" s="197"/>
      <c r="AP252" s="205"/>
      <c r="AQ252" s="197"/>
      <c r="AR252" s="13">
        <f t="shared" ref="AR252:AR315" si="131">K252+ROW()*0.0000001</f>
        <v>2.5199999999999999E-5</v>
      </c>
      <c r="AS252" s="13">
        <f t="shared" ref="AS252:AS315" si="132">B252</f>
        <v>0</v>
      </c>
      <c r="AT252" s="13"/>
      <c r="AU252" s="160">
        <v>257</v>
      </c>
      <c r="AV252" s="191">
        <f t="shared" si="117"/>
        <v>1.5399999999999998E-5</v>
      </c>
      <c r="AW252" s="160">
        <f t="shared" ref="AW252:AW315" si="133">IFERROR(VLOOKUP(AV252,الترتيب1,2,0),"")</f>
        <v>0</v>
      </c>
      <c r="AX252" s="219">
        <f t="shared" ref="AX252:AX315" si="134">U252+ROW()*0.0000001</f>
        <v>2.5199999999999999E-5</v>
      </c>
      <c r="AY252" s="13">
        <f t="shared" si="109"/>
        <v>0</v>
      </c>
      <c r="AZ252" s="160">
        <v>257</v>
      </c>
      <c r="BA252" s="77">
        <f t="shared" si="118"/>
        <v>1.4E-5</v>
      </c>
      <c r="BB252" s="192">
        <f t="shared" ref="BB252:BB315" si="135">IFERROR(VLOOKUP(BA252,الترتيب2,2,0),"")</f>
        <v>0</v>
      </c>
      <c r="BC252" s="219">
        <f t="shared" si="110"/>
        <v>2.5199999999999999E-5</v>
      </c>
      <c r="BD252" s="13">
        <f t="shared" si="111"/>
        <v>0</v>
      </c>
      <c r="BE252" s="160">
        <v>257</v>
      </c>
      <c r="BF252" s="77">
        <f t="shared" si="119"/>
        <v>1.4E-5</v>
      </c>
      <c r="BG252" s="192">
        <f t="shared" ref="BG252:BG315" si="136">IFERROR(VLOOKUP(BF252,الترتيب3,2,0),"")</f>
        <v>0</v>
      </c>
      <c r="BI252" s="120"/>
      <c r="BJ252" s="120"/>
      <c r="BK252" s="160"/>
      <c r="BL252" s="160"/>
      <c r="BM252" s="161" t="str">
        <f t="shared" si="121"/>
        <v/>
      </c>
      <c r="BN252" s="161" t="str">
        <f t="shared" si="116"/>
        <v/>
      </c>
      <c r="BO252" s="161" t="str">
        <f t="shared" si="122"/>
        <v/>
      </c>
      <c r="BP252" s="161" t="str">
        <f t="shared" si="112"/>
        <v/>
      </c>
      <c r="BQ252" s="161" t="str">
        <f t="shared" si="127"/>
        <v/>
      </c>
      <c r="BR252" s="161" t="str">
        <f t="shared" si="124"/>
        <v/>
      </c>
      <c r="BS252" s="161" t="str">
        <f t="shared" si="113"/>
        <v/>
      </c>
      <c r="BT252" s="161" t="str">
        <f t="shared" si="114"/>
        <v/>
      </c>
      <c r="BU252" s="161" t="str">
        <f t="shared" si="125"/>
        <v/>
      </c>
      <c r="BV252" s="161" t="str">
        <f t="shared" si="115"/>
        <v/>
      </c>
      <c r="BW252" s="161" t="str">
        <f t="shared" si="126"/>
        <v/>
      </c>
      <c r="BX252" s="161" t="str">
        <f t="shared" si="120"/>
        <v/>
      </c>
      <c r="BY252" s="148"/>
      <c r="BZ252" s="148"/>
      <c r="CA252" s="148"/>
      <c r="CB252" s="148" t="s">
        <v>149</v>
      </c>
      <c r="CC252" s="148"/>
    </row>
    <row r="253" spans="1:81" ht="14.25" customHeight="1" thickBot="1">
      <c r="A253" s="190">
        <v>243</v>
      </c>
      <c r="B253" s="78"/>
      <c r="C253" s="181"/>
      <c r="D253" s="86"/>
      <c r="E253" s="92" t="s">
        <v>29</v>
      </c>
      <c r="F253" s="88"/>
      <c r="G253" s="93"/>
      <c r="H253" s="93"/>
      <c r="I253" s="93"/>
      <c r="J253" s="93"/>
      <c r="K253" s="81">
        <f t="shared" si="128"/>
        <v>0</v>
      </c>
      <c r="L253" s="88"/>
      <c r="M253" s="85"/>
      <c r="N253" s="337"/>
      <c r="O253" s="343" t="s">
        <v>65</v>
      </c>
      <c r="P253" s="88"/>
      <c r="Q253" s="93"/>
      <c r="R253" s="93"/>
      <c r="S253" s="89"/>
      <c r="T253" s="93"/>
      <c r="U253" s="212">
        <f t="shared" si="129"/>
        <v>0</v>
      </c>
      <c r="V253" s="281"/>
      <c r="W253" s="282"/>
      <c r="X253" s="352"/>
      <c r="Y253" s="210" t="s">
        <v>85</v>
      </c>
      <c r="Z253" s="72"/>
      <c r="AA253" s="323"/>
      <c r="AB253" s="323"/>
      <c r="AC253" s="324"/>
      <c r="AD253" s="93"/>
      <c r="AE253" s="81">
        <f t="shared" si="130"/>
        <v>0</v>
      </c>
      <c r="AF253" s="72"/>
      <c r="AG253" s="324"/>
      <c r="AH253" s="361"/>
      <c r="AI253" s="98"/>
      <c r="AJ253" s="95"/>
      <c r="AK253" s="215"/>
      <c r="AL253" s="206"/>
      <c r="AM253" s="83"/>
      <c r="AN253" s="206"/>
      <c r="AO253" s="83"/>
      <c r="AP253" s="206"/>
      <c r="AQ253" s="83"/>
      <c r="AR253" s="13">
        <f t="shared" si="131"/>
        <v>2.5299999999999998E-5</v>
      </c>
      <c r="AS253" s="13">
        <f t="shared" si="132"/>
        <v>0</v>
      </c>
      <c r="AT253" s="13"/>
      <c r="AU253" s="160">
        <v>258</v>
      </c>
      <c r="AV253" s="191">
        <f t="shared" si="117"/>
        <v>1.5299999999999999E-5</v>
      </c>
      <c r="AW253" s="160">
        <f t="shared" si="133"/>
        <v>0</v>
      </c>
      <c r="AX253" s="219">
        <f t="shared" si="134"/>
        <v>2.5299999999999998E-5</v>
      </c>
      <c r="AY253" s="13">
        <f t="shared" ref="AY253:AY316" si="137">AS253</f>
        <v>0</v>
      </c>
      <c r="AZ253" s="160">
        <v>258</v>
      </c>
      <c r="BA253" s="77">
        <f t="shared" si="118"/>
        <v>1.3899999999999999E-5</v>
      </c>
      <c r="BB253" s="192">
        <f t="shared" si="135"/>
        <v>0</v>
      </c>
      <c r="BC253" s="219">
        <f t="shared" ref="BC253:BC316" si="138">AE253+ROW()*0.0000001</f>
        <v>2.5299999999999998E-5</v>
      </c>
      <c r="BD253" s="13">
        <f t="shared" ref="BD253:BD316" si="139">AY253</f>
        <v>0</v>
      </c>
      <c r="BE253" s="160">
        <v>258</v>
      </c>
      <c r="BF253" s="77">
        <f t="shared" si="119"/>
        <v>1.3899999999999999E-5</v>
      </c>
      <c r="BG253" s="192">
        <f t="shared" si="136"/>
        <v>0</v>
      </c>
      <c r="BI253" s="120"/>
      <c r="BJ253" s="120"/>
      <c r="BK253" s="160"/>
      <c r="BL253" s="160"/>
      <c r="BM253" s="161" t="str">
        <f t="shared" si="121"/>
        <v/>
      </c>
      <c r="BN253" s="161" t="str">
        <f t="shared" ref="BN253:BN316" si="140">MID($BK253,11,1)</f>
        <v/>
      </c>
      <c r="BO253" s="161" t="str">
        <f t="shared" si="122"/>
        <v/>
      </c>
      <c r="BP253" s="161" t="str">
        <f t="shared" ref="BP253:BP316" si="141">MID($BK253,9,1)</f>
        <v/>
      </c>
      <c r="BQ253" s="161" t="str">
        <f t="shared" ref="BQ253:BQ316" si="142">MID($BK253,8,1)</f>
        <v/>
      </c>
      <c r="BR253" s="161" t="str">
        <f t="shared" si="124"/>
        <v/>
      </c>
      <c r="BS253" s="161" t="str">
        <f t="shared" ref="BS253:BS316" si="143">MID($BK253,6,1)</f>
        <v/>
      </c>
      <c r="BT253" s="161" t="str">
        <f t="shared" ref="BT253:BT316" si="144">MID($BK253,5,1)</f>
        <v/>
      </c>
      <c r="BU253" s="161" t="str">
        <f t="shared" si="125"/>
        <v/>
      </c>
      <c r="BV253" s="161" t="str">
        <f t="shared" ref="BV253:BV316" si="145">MID($BK253,3,1)</f>
        <v/>
      </c>
      <c r="BW253" s="161" t="str">
        <f t="shared" si="126"/>
        <v/>
      </c>
      <c r="BX253" s="161" t="str">
        <f t="shared" si="120"/>
        <v/>
      </c>
      <c r="BY253" s="148"/>
      <c r="BZ253" s="148"/>
      <c r="CA253" s="148"/>
      <c r="CB253" s="148" t="s">
        <v>149</v>
      </c>
      <c r="CC253" s="148"/>
    </row>
    <row r="254" spans="1:81" ht="14.25" customHeight="1" thickBot="1">
      <c r="A254" s="190">
        <v>244</v>
      </c>
      <c r="B254" s="79"/>
      <c r="C254" s="179"/>
      <c r="D254" s="137"/>
      <c r="E254" s="198" t="s">
        <v>29</v>
      </c>
      <c r="F254" s="199"/>
      <c r="G254" s="200"/>
      <c r="H254" s="200"/>
      <c r="I254" s="200"/>
      <c r="J254" s="200"/>
      <c r="K254" s="201">
        <f t="shared" si="128"/>
        <v>0</v>
      </c>
      <c r="L254" s="189"/>
      <c r="M254" s="84"/>
      <c r="N254" s="335"/>
      <c r="O254" s="341" t="s">
        <v>65</v>
      </c>
      <c r="P254" s="189"/>
      <c r="Q254" s="326"/>
      <c r="R254" s="326"/>
      <c r="S254" s="87"/>
      <c r="T254" s="207"/>
      <c r="U254" s="225">
        <f t="shared" si="129"/>
        <v>0</v>
      </c>
      <c r="V254" s="277"/>
      <c r="W254" s="278"/>
      <c r="X254" s="350"/>
      <c r="Y254" s="208" t="s">
        <v>147</v>
      </c>
      <c r="Z254" s="11"/>
      <c r="AA254" s="207"/>
      <c r="AB254" s="207"/>
      <c r="AC254" s="3"/>
      <c r="AD254" s="207"/>
      <c r="AE254" s="226">
        <f t="shared" si="130"/>
        <v>0</v>
      </c>
      <c r="AF254" s="11"/>
      <c r="AG254" s="3"/>
      <c r="AH254" s="359"/>
      <c r="AI254" s="96"/>
      <c r="AJ254" s="94"/>
      <c r="AK254" s="214"/>
      <c r="AL254" s="213"/>
      <c r="AM254" s="82"/>
      <c r="AN254" s="213"/>
      <c r="AO254" s="82"/>
      <c r="AP254" s="213"/>
      <c r="AQ254" s="82"/>
      <c r="AR254" s="13">
        <f t="shared" si="131"/>
        <v>2.5399999999999997E-5</v>
      </c>
      <c r="AS254" s="13">
        <f t="shared" si="132"/>
        <v>0</v>
      </c>
      <c r="AT254" s="13"/>
      <c r="AU254" s="160">
        <v>259</v>
      </c>
      <c r="AV254" s="191">
        <f t="shared" si="117"/>
        <v>1.52E-5</v>
      </c>
      <c r="AW254" s="160">
        <f t="shared" si="133"/>
        <v>0</v>
      </c>
      <c r="AX254" s="219">
        <f t="shared" si="134"/>
        <v>2.5399999999999997E-5</v>
      </c>
      <c r="AY254" s="13">
        <f t="shared" si="137"/>
        <v>0</v>
      </c>
      <c r="AZ254" s="160">
        <v>259</v>
      </c>
      <c r="BA254" s="77">
        <f t="shared" si="118"/>
        <v>1.38E-5</v>
      </c>
      <c r="BB254" s="192">
        <f t="shared" si="135"/>
        <v>0</v>
      </c>
      <c r="BC254" s="219">
        <f t="shared" si="138"/>
        <v>2.5399999999999997E-5</v>
      </c>
      <c r="BD254" s="13">
        <f t="shared" si="139"/>
        <v>0</v>
      </c>
      <c r="BE254" s="160">
        <v>259</v>
      </c>
      <c r="BF254" s="77">
        <f t="shared" si="119"/>
        <v>1.38E-5</v>
      </c>
      <c r="BG254" s="192">
        <f t="shared" si="136"/>
        <v>0</v>
      </c>
      <c r="BI254" s="120"/>
      <c r="BJ254" s="120"/>
      <c r="BK254" s="160"/>
      <c r="BL254" s="160"/>
      <c r="BM254" s="161" t="str">
        <f t="shared" si="121"/>
        <v/>
      </c>
      <c r="BN254" s="161" t="str">
        <f t="shared" si="140"/>
        <v/>
      </c>
      <c r="BO254" s="161" t="str">
        <f t="shared" si="122"/>
        <v/>
      </c>
      <c r="BP254" s="161" t="str">
        <f t="shared" si="141"/>
        <v/>
      </c>
      <c r="BQ254" s="161" t="str">
        <f t="shared" si="142"/>
        <v/>
      </c>
      <c r="BR254" s="161" t="str">
        <f t="shared" si="124"/>
        <v/>
      </c>
      <c r="BS254" s="161" t="str">
        <f t="shared" si="143"/>
        <v/>
      </c>
      <c r="BT254" s="161" t="str">
        <f t="shared" si="144"/>
        <v/>
      </c>
      <c r="BU254" s="161" t="str">
        <f t="shared" si="125"/>
        <v/>
      </c>
      <c r="BV254" s="161" t="str">
        <f t="shared" si="145"/>
        <v/>
      </c>
      <c r="BW254" s="161" t="str">
        <f t="shared" si="126"/>
        <v/>
      </c>
      <c r="BX254" s="161" t="str">
        <f t="shared" si="120"/>
        <v/>
      </c>
      <c r="BY254" s="148"/>
      <c r="BZ254" s="148"/>
      <c r="CA254" s="148"/>
      <c r="CB254" s="148" t="s">
        <v>149</v>
      </c>
      <c r="CC254" s="148"/>
    </row>
    <row r="255" spans="1:81" ht="14.25" customHeight="1" thickBot="1">
      <c r="A255" s="190">
        <v>245</v>
      </c>
      <c r="B255" s="196"/>
      <c r="C255" s="180"/>
      <c r="D255" s="136"/>
      <c r="E255" s="91" t="s">
        <v>29</v>
      </c>
      <c r="F255" s="187"/>
      <c r="G255" s="188"/>
      <c r="H255" s="188"/>
      <c r="I255" s="188"/>
      <c r="J255" s="188"/>
      <c r="K255" s="18">
        <f t="shared" si="128"/>
        <v>0</v>
      </c>
      <c r="L255" s="187"/>
      <c r="M255" s="118"/>
      <c r="N255" s="336"/>
      <c r="O255" s="342" t="s">
        <v>65</v>
      </c>
      <c r="P255" s="187"/>
      <c r="Q255" s="188"/>
      <c r="R255" s="188"/>
      <c r="S255" s="119"/>
      <c r="T255" s="188"/>
      <c r="U255" s="211">
        <f t="shared" si="129"/>
        <v>0</v>
      </c>
      <c r="V255" s="279"/>
      <c r="W255" s="280"/>
      <c r="X255" s="351"/>
      <c r="Y255" s="209" t="s">
        <v>85</v>
      </c>
      <c r="Z255" s="71"/>
      <c r="AA255" s="321"/>
      <c r="AB255" s="321"/>
      <c r="AC255" s="322"/>
      <c r="AD255" s="188"/>
      <c r="AE255" s="18">
        <f t="shared" si="130"/>
        <v>0</v>
      </c>
      <c r="AF255" s="71"/>
      <c r="AG255" s="322"/>
      <c r="AH255" s="360"/>
      <c r="AI255" s="97"/>
      <c r="AJ255" s="194"/>
      <c r="AK255" s="193"/>
      <c r="AL255" s="205"/>
      <c r="AM255" s="197"/>
      <c r="AN255" s="205"/>
      <c r="AO255" s="197"/>
      <c r="AP255" s="205"/>
      <c r="AQ255" s="197"/>
      <c r="AR255" s="13">
        <f t="shared" si="131"/>
        <v>2.55E-5</v>
      </c>
      <c r="AS255" s="13">
        <f t="shared" si="132"/>
        <v>0</v>
      </c>
      <c r="AT255" s="13"/>
      <c r="AU255" s="160">
        <v>260</v>
      </c>
      <c r="AV255" s="191">
        <f t="shared" si="117"/>
        <v>1.5099999999999999E-5</v>
      </c>
      <c r="AW255" s="160">
        <f t="shared" si="133"/>
        <v>0</v>
      </c>
      <c r="AX255" s="219">
        <f t="shared" si="134"/>
        <v>2.55E-5</v>
      </c>
      <c r="AY255" s="13">
        <f t="shared" si="137"/>
        <v>0</v>
      </c>
      <c r="AZ255" s="160">
        <v>260</v>
      </c>
      <c r="BA255" s="77">
        <f t="shared" si="118"/>
        <v>1.3699999999999999E-5</v>
      </c>
      <c r="BB255" s="192">
        <f t="shared" si="135"/>
        <v>0</v>
      </c>
      <c r="BC255" s="219">
        <f t="shared" si="138"/>
        <v>2.55E-5</v>
      </c>
      <c r="BD255" s="13">
        <f t="shared" si="139"/>
        <v>0</v>
      </c>
      <c r="BE255" s="160">
        <v>260</v>
      </c>
      <c r="BF255" s="77">
        <f t="shared" si="119"/>
        <v>1.3699999999999999E-5</v>
      </c>
      <c r="BG255" s="192">
        <f t="shared" si="136"/>
        <v>0</v>
      </c>
      <c r="BI255" s="120"/>
      <c r="BJ255" s="120"/>
      <c r="BK255" s="160"/>
      <c r="BL255" s="160"/>
      <c r="BM255" s="161" t="str">
        <f t="shared" si="121"/>
        <v/>
      </c>
      <c r="BN255" s="161" t="str">
        <f t="shared" si="140"/>
        <v/>
      </c>
      <c r="BO255" s="161" t="str">
        <f t="shared" si="122"/>
        <v/>
      </c>
      <c r="BP255" s="161" t="str">
        <f t="shared" si="141"/>
        <v/>
      </c>
      <c r="BQ255" s="161" t="str">
        <f t="shared" si="142"/>
        <v/>
      </c>
      <c r="BR255" s="161" t="str">
        <f t="shared" si="124"/>
        <v/>
      </c>
      <c r="BS255" s="161" t="str">
        <f t="shared" si="143"/>
        <v/>
      </c>
      <c r="BT255" s="161" t="str">
        <f t="shared" si="144"/>
        <v/>
      </c>
      <c r="BU255" s="161" t="str">
        <f t="shared" si="125"/>
        <v/>
      </c>
      <c r="BV255" s="161" t="str">
        <f t="shared" si="145"/>
        <v/>
      </c>
      <c r="BW255" s="161" t="str">
        <f t="shared" si="126"/>
        <v/>
      </c>
      <c r="BX255" s="161" t="str">
        <f t="shared" si="120"/>
        <v/>
      </c>
      <c r="BY255" s="148"/>
      <c r="BZ255" s="148"/>
      <c r="CA255" s="148"/>
      <c r="CB255" s="148" t="s">
        <v>149</v>
      </c>
      <c r="CC255" s="148"/>
    </row>
    <row r="256" spans="1:81" ht="14.25" customHeight="1" thickBot="1">
      <c r="A256" s="190">
        <v>246</v>
      </c>
      <c r="B256" s="78"/>
      <c r="C256" s="181"/>
      <c r="D256" s="86"/>
      <c r="E256" s="92" t="s">
        <v>29</v>
      </c>
      <c r="F256" s="88"/>
      <c r="G256" s="93"/>
      <c r="H256" s="93"/>
      <c r="I256" s="93"/>
      <c r="J256" s="93"/>
      <c r="K256" s="81">
        <f t="shared" si="128"/>
        <v>0</v>
      </c>
      <c r="L256" s="88"/>
      <c r="M256" s="85"/>
      <c r="N256" s="337"/>
      <c r="O256" s="343" t="s">
        <v>65</v>
      </c>
      <c r="P256" s="88"/>
      <c r="Q256" s="93"/>
      <c r="R256" s="93"/>
      <c r="S256" s="89"/>
      <c r="T256" s="93"/>
      <c r="U256" s="212">
        <f t="shared" si="129"/>
        <v>0</v>
      </c>
      <c r="V256" s="281"/>
      <c r="W256" s="282"/>
      <c r="X256" s="352"/>
      <c r="Y256" s="210" t="s">
        <v>85</v>
      </c>
      <c r="Z256" s="72"/>
      <c r="AA256" s="323"/>
      <c r="AB256" s="323"/>
      <c r="AC256" s="324"/>
      <c r="AD256" s="93"/>
      <c r="AE256" s="81">
        <f t="shared" si="130"/>
        <v>0</v>
      </c>
      <c r="AF256" s="72"/>
      <c r="AG256" s="324"/>
      <c r="AH256" s="361"/>
      <c r="AI256" s="98"/>
      <c r="AJ256" s="95"/>
      <c r="AK256" s="215"/>
      <c r="AL256" s="206"/>
      <c r="AM256" s="83"/>
      <c r="AN256" s="206"/>
      <c r="AO256" s="83"/>
      <c r="AP256" s="206"/>
      <c r="AQ256" s="83"/>
      <c r="AR256" s="13">
        <f t="shared" si="131"/>
        <v>2.5599999999999999E-5</v>
      </c>
      <c r="AS256" s="13">
        <f t="shared" si="132"/>
        <v>0</v>
      </c>
      <c r="AT256" s="13"/>
      <c r="AU256" s="160">
        <v>261</v>
      </c>
      <c r="AV256" s="191">
        <f t="shared" si="117"/>
        <v>1.4999999999999999E-5</v>
      </c>
      <c r="AW256" s="160">
        <f t="shared" si="133"/>
        <v>0</v>
      </c>
      <c r="AX256" s="219">
        <f t="shared" si="134"/>
        <v>2.5599999999999999E-5</v>
      </c>
      <c r="AY256" s="13">
        <f t="shared" si="137"/>
        <v>0</v>
      </c>
      <c r="AZ256" s="160">
        <v>261</v>
      </c>
      <c r="BA256" s="77">
        <f t="shared" si="118"/>
        <v>1.3599999999999999E-5</v>
      </c>
      <c r="BB256" s="192">
        <f t="shared" si="135"/>
        <v>0</v>
      </c>
      <c r="BC256" s="219">
        <f t="shared" si="138"/>
        <v>2.5599999999999999E-5</v>
      </c>
      <c r="BD256" s="13">
        <f t="shared" si="139"/>
        <v>0</v>
      </c>
      <c r="BE256" s="160">
        <v>261</v>
      </c>
      <c r="BF256" s="77">
        <f t="shared" si="119"/>
        <v>1.3599999999999999E-5</v>
      </c>
      <c r="BG256" s="192">
        <f t="shared" si="136"/>
        <v>0</v>
      </c>
      <c r="BI256" s="120"/>
      <c r="BJ256" s="120"/>
      <c r="BK256" s="160"/>
      <c r="BL256" s="160"/>
      <c r="BM256" s="161" t="str">
        <f t="shared" si="121"/>
        <v/>
      </c>
      <c r="BN256" s="161" t="str">
        <f t="shared" si="140"/>
        <v/>
      </c>
      <c r="BO256" s="161" t="str">
        <f t="shared" si="122"/>
        <v/>
      </c>
      <c r="BP256" s="161" t="str">
        <f t="shared" si="141"/>
        <v/>
      </c>
      <c r="BQ256" s="161" t="str">
        <f t="shared" si="142"/>
        <v/>
      </c>
      <c r="BR256" s="161" t="str">
        <f t="shared" si="124"/>
        <v/>
      </c>
      <c r="BS256" s="161" t="str">
        <f t="shared" si="143"/>
        <v/>
      </c>
      <c r="BT256" s="161" t="str">
        <f t="shared" si="144"/>
        <v/>
      </c>
      <c r="BU256" s="161" t="str">
        <f t="shared" si="125"/>
        <v/>
      </c>
      <c r="BV256" s="161" t="str">
        <f t="shared" si="145"/>
        <v/>
      </c>
      <c r="BW256" s="161" t="str">
        <f t="shared" si="126"/>
        <v/>
      </c>
      <c r="BX256" s="161" t="str">
        <f t="shared" si="120"/>
        <v/>
      </c>
      <c r="BY256" s="148"/>
      <c r="BZ256" s="148"/>
      <c r="CA256" s="148"/>
      <c r="CB256" s="148" t="s">
        <v>149</v>
      </c>
      <c r="CC256" s="148"/>
    </row>
    <row r="257" spans="1:81" ht="14.25" customHeight="1" thickBot="1">
      <c r="A257" s="190">
        <v>247</v>
      </c>
      <c r="B257" s="79"/>
      <c r="C257" s="179"/>
      <c r="D257" s="137"/>
      <c r="E257" s="198" t="s">
        <v>29</v>
      </c>
      <c r="F257" s="199"/>
      <c r="G257" s="200"/>
      <c r="H257" s="200"/>
      <c r="I257" s="200"/>
      <c r="J257" s="200"/>
      <c r="K257" s="201">
        <f t="shared" si="128"/>
        <v>0</v>
      </c>
      <c r="L257" s="189"/>
      <c r="M257" s="84"/>
      <c r="N257" s="335"/>
      <c r="O257" s="341" t="s">
        <v>65</v>
      </c>
      <c r="P257" s="189"/>
      <c r="Q257" s="326"/>
      <c r="R257" s="326"/>
      <c r="S257" s="87"/>
      <c r="T257" s="207"/>
      <c r="U257" s="225">
        <f t="shared" si="129"/>
        <v>0</v>
      </c>
      <c r="V257" s="277"/>
      <c r="W257" s="278"/>
      <c r="X257" s="350"/>
      <c r="Y257" s="208" t="s">
        <v>147</v>
      </c>
      <c r="Z257" s="11"/>
      <c r="AA257" s="207"/>
      <c r="AB257" s="207"/>
      <c r="AC257" s="3"/>
      <c r="AD257" s="207"/>
      <c r="AE257" s="226">
        <f t="shared" si="130"/>
        <v>0</v>
      </c>
      <c r="AF257" s="11"/>
      <c r="AG257" s="3"/>
      <c r="AH257" s="359"/>
      <c r="AI257" s="96"/>
      <c r="AJ257" s="94"/>
      <c r="AK257" s="214"/>
      <c r="AL257" s="213"/>
      <c r="AM257" s="82"/>
      <c r="AN257" s="213"/>
      <c r="AO257" s="82"/>
      <c r="AP257" s="213"/>
      <c r="AQ257" s="82"/>
      <c r="AR257" s="13">
        <f t="shared" si="131"/>
        <v>2.5699999999999998E-5</v>
      </c>
      <c r="AS257" s="13">
        <f t="shared" si="132"/>
        <v>0</v>
      </c>
      <c r="AT257" s="13"/>
      <c r="AU257" s="160">
        <v>262</v>
      </c>
      <c r="AV257" s="191">
        <f t="shared" si="117"/>
        <v>1.49E-5</v>
      </c>
      <c r="AW257" s="160">
        <f t="shared" si="133"/>
        <v>0</v>
      </c>
      <c r="AX257" s="219">
        <f t="shared" si="134"/>
        <v>2.5699999999999998E-5</v>
      </c>
      <c r="AY257" s="13">
        <f t="shared" si="137"/>
        <v>0</v>
      </c>
      <c r="AZ257" s="160">
        <v>262</v>
      </c>
      <c r="BA257" s="77">
        <f t="shared" si="118"/>
        <v>1.3499999999999999E-5</v>
      </c>
      <c r="BB257" s="192">
        <f t="shared" si="135"/>
        <v>0</v>
      </c>
      <c r="BC257" s="219">
        <f t="shared" si="138"/>
        <v>2.5699999999999998E-5</v>
      </c>
      <c r="BD257" s="13">
        <f t="shared" si="139"/>
        <v>0</v>
      </c>
      <c r="BE257" s="160">
        <v>262</v>
      </c>
      <c r="BF257" s="77">
        <f t="shared" si="119"/>
        <v>1.3499999999999999E-5</v>
      </c>
      <c r="BG257" s="192">
        <f t="shared" si="136"/>
        <v>0</v>
      </c>
      <c r="BI257" s="120"/>
      <c r="BJ257" s="120"/>
      <c r="BK257" s="160"/>
      <c r="BL257" s="160"/>
      <c r="BM257" s="161" t="str">
        <f t="shared" si="121"/>
        <v/>
      </c>
      <c r="BN257" s="161" t="str">
        <f t="shared" si="140"/>
        <v/>
      </c>
      <c r="BO257" s="161" t="str">
        <f t="shared" si="122"/>
        <v/>
      </c>
      <c r="BP257" s="161" t="str">
        <f t="shared" si="141"/>
        <v/>
      </c>
      <c r="BQ257" s="161" t="str">
        <f t="shared" si="142"/>
        <v/>
      </c>
      <c r="BR257" s="161" t="str">
        <f t="shared" si="124"/>
        <v/>
      </c>
      <c r="BS257" s="161" t="str">
        <f t="shared" si="143"/>
        <v/>
      </c>
      <c r="BT257" s="161" t="str">
        <f t="shared" si="144"/>
        <v/>
      </c>
      <c r="BU257" s="161" t="str">
        <f t="shared" si="125"/>
        <v/>
      </c>
      <c r="BV257" s="161" t="str">
        <f t="shared" si="145"/>
        <v/>
      </c>
      <c r="BW257" s="161" t="str">
        <f t="shared" si="126"/>
        <v/>
      </c>
      <c r="BX257" s="161" t="str">
        <f t="shared" si="120"/>
        <v/>
      </c>
      <c r="BY257" s="148"/>
      <c r="BZ257" s="148"/>
      <c r="CA257" s="148"/>
      <c r="CB257" s="148" t="s">
        <v>149</v>
      </c>
      <c r="CC257" s="148"/>
    </row>
    <row r="258" spans="1:81" ht="14.25" customHeight="1" thickBot="1">
      <c r="A258" s="190">
        <v>248</v>
      </c>
      <c r="B258" s="196"/>
      <c r="C258" s="180"/>
      <c r="D258" s="136"/>
      <c r="E258" s="91" t="s">
        <v>29</v>
      </c>
      <c r="F258" s="187"/>
      <c r="G258" s="188"/>
      <c r="H258" s="188"/>
      <c r="I258" s="188"/>
      <c r="J258" s="188"/>
      <c r="K258" s="18">
        <f t="shared" si="128"/>
        <v>0</v>
      </c>
      <c r="L258" s="187"/>
      <c r="M258" s="118"/>
      <c r="N258" s="336"/>
      <c r="O258" s="342" t="s">
        <v>65</v>
      </c>
      <c r="P258" s="187"/>
      <c r="Q258" s="188"/>
      <c r="R258" s="188"/>
      <c r="S258" s="119"/>
      <c r="T258" s="188"/>
      <c r="U258" s="211">
        <f t="shared" si="129"/>
        <v>0</v>
      </c>
      <c r="V258" s="279"/>
      <c r="W258" s="280"/>
      <c r="X258" s="351"/>
      <c r="Y258" s="209" t="s">
        <v>85</v>
      </c>
      <c r="Z258" s="71"/>
      <c r="AA258" s="321"/>
      <c r="AB258" s="321"/>
      <c r="AC258" s="322"/>
      <c r="AD258" s="188"/>
      <c r="AE258" s="18">
        <f t="shared" si="130"/>
        <v>0</v>
      </c>
      <c r="AF258" s="71"/>
      <c r="AG258" s="322"/>
      <c r="AH258" s="360"/>
      <c r="AI258" s="97"/>
      <c r="AJ258" s="194"/>
      <c r="AK258" s="193"/>
      <c r="AL258" s="205"/>
      <c r="AM258" s="197"/>
      <c r="AN258" s="205"/>
      <c r="AO258" s="197"/>
      <c r="AP258" s="205"/>
      <c r="AQ258" s="197"/>
      <c r="AR258" s="13">
        <f t="shared" si="131"/>
        <v>2.58E-5</v>
      </c>
      <c r="AS258" s="13">
        <f t="shared" si="132"/>
        <v>0</v>
      </c>
      <c r="AT258" s="13"/>
      <c r="AU258" s="160">
        <v>263</v>
      </c>
      <c r="AV258" s="191">
        <f t="shared" si="117"/>
        <v>1.4799999999999999E-5</v>
      </c>
      <c r="AW258" s="160">
        <f t="shared" si="133"/>
        <v>0</v>
      </c>
      <c r="AX258" s="219">
        <f t="shared" si="134"/>
        <v>2.58E-5</v>
      </c>
      <c r="AY258" s="13">
        <f t="shared" si="137"/>
        <v>0</v>
      </c>
      <c r="AZ258" s="160">
        <v>263</v>
      </c>
      <c r="BA258" s="77">
        <f t="shared" si="118"/>
        <v>1.3399999999999999E-5</v>
      </c>
      <c r="BB258" s="192">
        <f t="shared" si="135"/>
        <v>0</v>
      </c>
      <c r="BC258" s="219">
        <f t="shared" si="138"/>
        <v>2.58E-5</v>
      </c>
      <c r="BD258" s="13">
        <f t="shared" si="139"/>
        <v>0</v>
      </c>
      <c r="BE258" s="160">
        <v>263</v>
      </c>
      <c r="BF258" s="77">
        <f t="shared" si="119"/>
        <v>1.3399999999999999E-5</v>
      </c>
      <c r="BG258" s="192">
        <f t="shared" si="136"/>
        <v>0</v>
      </c>
      <c r="BI258" s="120"/>
      <c r="BJ258" s="120"/>
      <c r="BK258" s="160"/>
      <c r="BL258" s="160"/>
      <c r="BM258" s="161" t="str">
        <f t="shared" si="121"/>
        <v/>
      </c>
      <c r="BN258" s="161" t="str">
        <f t="shared" si="140"/>
        <v/>
      </c>
      <c r="BO258" s="161" t="str">
        <f t="shared" si="122"/>
        <v/>
      </c>
      <c r="BP258" s="161" t="str">
        <f t="shared" si="141"/>
        <v/>
      </c>
      <c r="BQ258" s="161" t="str">
        <f t="shared" si="142"/>
        <v/>
      </c>
      <c r="BR258" s="161" t="str">
        <f t="shared" si="124"/>
        <v/>
      </c>
      <c r="BS258" s="161" t="str">
        <f t="shared" si="143"/>
        <v/>
      </c>
      <c r="BT258" s="161" t="str">
        <f t="shared" si="144"/>
        <v/>
      </c>
      <c r="BU258" s="161" t="str">
        <f t="shared" si="125"/>
        <v/>
      </c>
      <c r="BV258" s="161" t="str">
        <f t="shared" si="145"/>
        <v/>
      </c>
      <c r="BW258" s="161" t="str">
        <f t="shared" si="126"/>
        <v/>
      </c>
      <c r="BX258" s="161" t="str">
        <f t="shared" si="120"/>
        <v/>
      </c>
      <c r="BY258" s="148"/>
      <c r="BZ258" s="148"/>
      <c r="CA258" s="148"/>
      <c r="CB258" s="148" t="s">
        <v>149</v>
      </c>
      <c r="CC258" s="148"/>
    </row>
    <row r="259" spans="1:81" ht="14.25" customHeight="1" thickBot="1">
      <c r="A259" s="190">
        <v>249</v>
      </c>
      <c r="B259" s="78"/>
      <c r="C259" s="181"/>
      <c r="D259" s="86"/>
      <c r="E259" s="92" t="s">
        <v>29</v>
      </c>
      <c r="F259" s="88"/>
      <c r="G259" s="93"/>
      <c r="H259" s="93"/>
      <c r="I259" s="93"/>
      <c r="J259" s="93"/>
      <c r="K259" s="81">
        <f t="shared" si="128"/>
        <v>0</v>
      </c>
      <c r="L259" s="88"/>
      <c r="M259" s="85"/>
      <c r="N259" s="337"/>
      <c r="O259" s="343" t="s">
        <v>65</v>
      </c>
      <c r="P259" s="88"/>
      <c r="Q259" s="93"/>
      <c r="R259" s="93"/>
      <c r="S259" s="89"/>
      <c r="T259" s="93"/>
      <c r="U259" s="212">
        <f t="shared" si="129"/>
        <v>0</v>
      </c>
      <c r="V259" s="281"/>
      <c r="W259" s="282"/>
      <c r="X259" s="352"/>
      <c r="Y259" s="210" t="s">
        <v>85</v>
      </c>
      <c r="Z259" s="72"/>
      <c r="AA259" s="323"/>
      <c r="AB259" s="323"/>
      <c r="AC259" s="324"/>
      <c r="AD259" s="93"/>
      <c r="AE259" s="81">
        <f t="shared" si="130"/>
        <v>0</v>
      </c>
      <c r="AF259" s="72"/>
      <c r="AG259" s="324"/>
      <c r="AH259" s="361"/>
      <c r="AI259" s="98"/>
      <c r="AJ259" s="95"/>
      <c r="AK259" s="215"/>
      <c r="AL259" s="206"/>
      <c r="AM259" s="83"/>
      <c r="AN259" s="206"/>
      <c r="AO259" s="83"/>
      <c r="AP259" s="206"/>
      <c r="AQ259" s="83"/>
      <c r="AR259" s="13">
        <f t="shared" si="131"/>
        <v>2.5899999999999999E-5</v>
      </c>
      <c r="AS259" s="13">
        <f t="shared" si="132"/>
        <v>0</v>
      </c>
      <c r="AT259" s="13"/>
      <c r="AU259" s="160">
        <v>264</v>
      </c>
      <c r="AV259" s="191">
        <f t="shared" si="117"/>
        <v>1.47E-5</v>
      </c>
      <c r="AW259" s="160">
        <f t="shared" si="133"/>
        <v>0</v>
      </c>
      <c r="AX259" s="219">
        <f t="shared" si="134"/>
        <v>2.5899999999999999E-5</v>
      </c>
      <c r="AY259" s="13">
        <f t="shared" si="137"/>
        <v>0</v>
      </c>
      <c r="AZ259" s="160">
        <v>264</v>
      </c>
      <c r="BA259" s="77">
        <f t="shared" si="118"/>
        <v>1.33E-5</v>
      </c>
      <c r="BB259" s="192">
        <f t="shared" si="135"/>
        <v>0</v>
      </c>
      <c r="BC259" s="219">
        <f t="shared" si="138"/>
        <v>2.5899999999999999E-5</v>
      </c>
      <c r="BD259" s="13">
        <f t="shared" si="139"/>
        <v>0</v>
      </c>
      <c r="BE259" s="160">
        <v>264</v>
      </c>
      <c r="BF259" s="77">
        <f t="shared" si="119"/>
        <v>1.33E-5</v>
      </c>
      <c r="BG259" s="192">
        <f t="shared" si="136"/>
        <v>0</v>
      </c>
      <c r="BI259" s="120"/>
      <c r="BJ259" s="120"/>
      <c r="BK259" s="160"/>
      <c r="BL259" s="160"/>
      <c r="BM259" s="161" t="str">
        <f t="shared" si="121"/>
        <v/>
      </c>
      <c r="BN259" s="161" t="str">
        <f t="shared" si="140"/>
        <v/>
      </c>
      <c r="BO259" s="161" t="str">
        <f t="shared" si="122"/>
        <v/>
      </c>
      <c r="BP259" s="161" t="str">
        <f t="shared" si="141"/>
        <v/>
      </c>
      <c r="BQ259" s="161" t="str">
        <f t="shared" si="142"/>
        <v/>
      </c>
      <c r="BR259" s="161" t="str">
        <f t="shared" si="124"/>
        <v/>
      </c>
      <c r="BS259" s="161" t="str">
        <f t="shared" si="143"/>
        <v/>
      </c>
      <c r="BT259" s="161" t="str">
        <f t="shared" si="144"/>
        <v/>
      </c>
      <c r="BU259" s="161" t="str">
        <f t="shared" si="125"/>
        <v/>
      </c>
      <c r="BV259" s="161" t="str">
        <f t="shared" si="145"/>
        <v/>
      </c>
      <c r="BW259" s="161" t="str">
        <f t="shared" si="126"/>
        <v/>
      </c>
      <c r="BX259" s="161" t="str">
        <f t="shared" si="120"/>
        <v/>
      </c>
      <c r="BY259" s="148"/>
      <c r="BZ259" s="148"/>
      <c r="CA259" s="148"/>
      <c r="CB259" s="148" t="s">
        <v>149</v>
      </c>
      <c r="CC259" s="148"/>
    </row>
    <row r="260" spans="1:81" ht="14.25" customHeight="1" thickBot="1">
      <c r="A260" s="190">
        <v>250</v>
      </c>
      <c r="B260" s="79"/>
      <c r="C260" s="179"/>
      <c r="D260" s="137"/>
      <c r="E260" s="198" t="s">
        <v>29</v>
      </c>
      <c r="F260" s="199"/>
      <c r="G260" s="200"/>
      <c r="H260" s="200"/>
      <c r="I260" s="200"/>
      <c r="J260" s="200"/>
      <c r="K260" s="201">
        <f t="shared" si="128"/>
        <v>0</v>
      </c>
      <c r="L260" s="189"/>
      <c r="M260" s="84"/>
      <c r="N260" s="335"/>
      <c r="O260" s="341" t="s">
        <v>65</v>
      </c>
      <c r="P260" s="189"/>
      <c r="Q260" s="326"/>
      <c r="R260" s="326"/>
      <c r="S260" s="87"/>
      <c r="T260" s="207"/>
      <c r="U260" s="225">
        <f t="shared" si="129"/>
        <v>0</v>
      </c>
      <c r="V260" s="277"/>
      <c r="W260" s="278"/>
      <c r="X260" s="350"/>
      <c r="Y260" s="208" t="s">
        <v>147</v>
      </c>
      <c r="Z260" s="11"/>
      <c r="AA260" s="207"/>
      <c r="AB260" s="207"/>
      <c r="AC260" s="3"/>
      <c r="AD260" s="207"/>
      <c r="AE260" s="226">
        <f t="shared" si="130"/>
        <v>0</v>
      </c>
      <c r="AF260" s="11"/>
      <c r="AG260" s="3"/>
      <c r="AH260" s="359"/>
      <c r="AI260" s="96"/>
      <c r="AJ260" s="94"/>
      <c r="AK260" s="214"/>
      <c r="AL260" s="213"/>
      <c r="AM260" s="82"/>
      <c r="AN260" s="213"/>
      <c r="AO260" s="82"/>
      <c r="AP260" s="213"/>
      <c r="AQ260" s="82"/>
      <c r="AR260" s="13">
        <f t="shared" si="131"/>
        <v>2.5999999999999998E-5</v>
      </c>
      <c r="AS260" s="13">
        <f t="shared" si="132"/>
        <v>0</v>
      </c>
      <c r="AT260" s="13"/>
      <c r="AU260" s="160">
        <v>265</v>
      </c>
      <c r="AV260" s="191">
        <f t="shared" si="117"/>
        <v>1.4599999999999999E-5</v>
      </c>
      <c r="AW260" s="160">
        <f t="shared" si="133"/>
        <v>0</v>
      </c>
      <c r="AX260" s="219">
        <f t="shared" si="134"/>
        <v>2.5999999999999998E-5</v>
      </c>
      <c r="AY260" s="13">
        <f t="shared" si="137"/>
        <v>0</v>
      </c>
      <c r="AZ260" s="160">
        <v>265</v>
      </c>
      <c r="BA260" s="77">
        <f t="shared" si="118"/>
        <v>1.3199999999999999E-5</v>
      </c>
      <c r="BB260" s="192">
        <f t="shared" si="135"/>
        <v>0</v>
      </c>
      <c r="BC260" s="219">
        <f t="shared" si="138"/>
        <v>2.5999999999999998E-5</v>
      </c>
      <c r="BD260" s="13">
        <f t="shared" si="139"/>
        <v>0</v>
      </c>
      <c r="BE260" s="160">
        <v>265</v>
      </c>
      <c r="BF260" s="77">
        <f t="shared" si="119"/>
        <v>1.3199999999999999E-5</v>
      </c>
      <c r="BG260" s="192">
        <f t="shared" si="136"/>
        <v>0</v>
      </c>
      <c r="BI260" s="120"/>
      <c r="BJ260" s="120"/>
      <c r="BK260" s="160"/>
      <c r="BL260" s="160"/>
      <c r="BM260" s="161" t="str">
        <f t="shared" si="121"/>
        <v/>
      </c>
      <c r="BN260" s="161" t="str">
        <f t="shared" si="140"/>
        <v/>
      </c>
      <c r="BO260" s="161" t="str">
        <f t="shared" si="122"/>
        <v/>
      </c>
      <c r="BP260" s="161" t="str">
        <f t="shared" si="141"/>
        <v/>
      </c>
      <c r="BQ260" s="161" t="str">
        <f t="shared" si="142"/>
        <v/>
      </c>
      <c r="BR260" s="161" t="str">
        <f t="shared" si="124"/>
        <v/>
      </c>
      <c r="BS260" s="161" t="str">
        <f t="shared" si="143"/>
        <v/>
      </c>
      <c r="BT260" s="161" t="str">
        <f t="shared" si="144"/>
        <v/>
      </c>
      <c r="BU260" s="161" t="str">
        <f t="shared" si="125"/>
        <v/>
      </c>
      <c r="BV260" s="161" t="str">
        <f t="shared" si="145"/>
        <v/>
      </c>
      <c r="BW260" s="161" t="str">
        <f t="shared" si="126"/>
        <v/>
      </c>
      <c r="BX260" s="161" t="str">
        <f t="shared" si="120"/>
        <v/>
      </c>
      <c r="BY260" s="148"/>
      <c r="BZ260" s="148"/>
      <c r="CA260" s="148"/>
      <c r="CB260" s="148" t="s">
        <v>149</v>
      </c>
      <c r="CC260" s="148"/>
    </row>
    <row r="261" spans="1:81" ht="14.25" customHeight="1" thickBot="1">
      <c r="A261" s="190">
        <v>251</v>
      </c>
      <c r="B261" s="196"/>
      <c r="C261" s="180"/>
      <c r="D261" s="136"/>
      <c r="E261" s="91" t="s">
        <v>29</v>
      </c>
      <c r="F261" s="187"/>
      <c r="G261" s="188"/>
      <c r="H261" s="188"/>
      <c r="I261" s="188"/>
      <c r="J261" s="188"/>
      <c r="K261" s="18">
        <f t="shared" si="128"/>
        <v>0</v>
      </c>
      <c r="L261" s="187"/>
      <c r="M261" s="118"/>
      <c r="N261" s="336"/>
      <c r="O261" s="342" t="s">
        <v>65</v>
      </c>
      <c r="P261" s="187"/>
      <c r="Q261" s="188"/>
      <c r="R261" s="188"/>
      <c r="S261" s="119"/>
      <c r="T261" s="188"/>
      <c r="U261" s="211">
        <f t="shared" si="129"/>
        <v>0</v>
      </c>
      <c r="V261" s="279"/>
      <c r="W261" s="280"/>
      <c r="X261" s="351"/>
      <c r="Y261" s="209" t="s">
        <v>85</v>
      </c>
      <c r="Z261" s="71"/>
      <c r="AA261" s="321"/>
      <c r="AB261" s="321"/>
      <c r="AC261" s="322"/>
      <c r="AD261" s="188"/>
      <c r="AE261" s="18">
        <f t="shared" si="130"/>
        <v>0</v>
      </c>
      <c r="AF261" s="71"/>
      <c r="AG261" s="322"/>
      <c r="AH261" s="360"/>
      <c r="AI261" s="97"/>
      <c r="AJ261" s="194"/>
      <c r="AK261" s="193"/>
      <c r="AL261" s="205"/>
      <c r="AM261" s="197"/>
      <c r="AN261" s="205"/>
      <c r="AO261" s="197"/>
      <c r="AP261" s="205"/>
      <c r="AQ261" s="197"/>
      <c r="AR261" s="13">
        <f t="shared" si="131"/>
        <v>2.6099999999999997E-5</v>
      </c>
      <c r="AS261" s="13">
        <f t="shared" si="132"/>
        <v>0</v>
      </c>
      <c r="AT261" s="13"/>
      <c r="AU261" s="160">
        <v>266</v>
      </c>
      <c r="AV261" s="191">
        <f t="shared" si="117"/>
        <v>1.45E-5</v>
      </c>
      <c r="AW261" s="160">
        <f t="shared" si="133"/>
        <v>0</v>
      </c>
      <c r="AX261" s="219">
        <f t="shared" si="134"/>
        <v>2.6099999999999997E-5</v>
      </c>
      <c r="AY261" s="13">
        <f t="shared" si="137"/>
        <v>0</v>
      </c>
      <c r="AZ261" s="160">
        <v>266</v>
      </c>
      <c r="BA261" s="77">
        <f t="shared" si="118"/>
        <v>1.31E-5</v>
      </c>
      <c r="BB261" s="192">
        <f t="shared" si="135"/>
        <v>0</v>
      </c>
      <c r="BC261" s="219">
        <f t="shared" si="138"/>
        <v>2.6099999999999997E-5</v>
      </c>
      <c r="BD261" s="13">
        <f t="shared" si="139"/>
        <v>0</v>
      </c>
      <c r="BE261" s="160">
        <v>266</v>
      </c>
      <c r="BF261" s="77">
        <f t="shared" si="119"/>
        <v>1.31E-5</v>
      </c>
      <c r="BG261" s="192">
        <f t="shared" si="136"/>
        <v>0</v>
      </c>
      <c r="BI261" s="120"/>
      <c r="BJ261" s="120"/>
      <c r="BK261" s="160"/>
      <c r="BL261" s="160"/>
      <c r="BM261" s="161" t="str">
        <f t="shared" si="121"/>
        <v/>
      </c>
      <c r="BN261" s="161" t="str">
        <f t="shared" si="140"/>
        <v/>
      </c>
      <c r="BO261" s="161" t="str">
        <f t="shared" si="122"/>
        <v/>
      </c>
      <c r="BP261" s="161" t="str">
        <f t="shared" si="141"/>
        <v/>
      </c>
      <c r="BQ261" s="161" t="str">
        <f t="shared" si="142"/>
        <v/>
      </c>
      <c r="BR261" s="161" t="str">
        <f t="shared" si="124"/>
        <v/>
      </c>
      <c r="BS261" s="161" t="str">
        <f t="shared" si="143"/>
        <v/>
      </c>
      <c r="BT261" s="161" t="str">
        <f t="shared" si="144"/>
        <v/>
      </c>
      <c r="BU261" s="161" t="str">
        <f t="shared" si="125"/>
        <v/>
      </c>
      <c r="BV261" s="161" t="str">
        <f t="shared" si="145"/>
        <v/>
      </c>
      <c r="BW261" s="161" t="str">
        <f t="shared" si="126"/>
        <v/>
      </c>
      <c r="BX261" s="161" t="str">
        <f t="shared" si="120"/>
        <v/>
      </c>
      <c r="BY261" s="148"/>
      <c r="BZ261" s="148"/>
      <c r="CA261" s="148"/>
      <c r="CB261" s="148" t="s">
        <v>149</v>
      </c>
      <c r="CC261" s="148"/>
    </row>
    <row r="262" spans="1:81" ht="14.25" customHeight="1" thickBot="1">
      <c r="A262" s="190">
        <v>252</v>
      </c>
      <c r="B262" s="78"/>
      <c r="C262" s="181"/>
      <c r="D262" s="86"/>
      <c r="E262" s="92" t="s">
        <v>29</v>
      </c>
      <c r="F262" s="88"/>
      <c r="G262" s="93"/>
      <c r="H262" s="93"/>
      <c r="I262" s="93"/>
      <c r="J262" s="93"/>
      <c r="K262" s="81">
        <f t="shared" si="128"/>
        <v>0</v>
      </c>
      <c r="L262" s="88"/>
      <c r="M262" s="85"/>
      <c r="N262" s="337"/>
      <c r="O262" s="343" t="s">
        <v>65</v>
      </c>
      <c r="P262" s="88"/>
      <c r="Q262" s="93"/>
      <c r="R262" s="93"/>
      <c r="S262" s="89"/>
      <c r="T262" s="93"/>
      <c r="U262" s="212">
        <f t="shared" si="129"/>
        <v>0</v>
      </c>
      <c r="V262" s="281"/>
      <c r="W262" s="282"/>
      <c r="X262" s="352"/>
      <c r="Y262" s="210" t="s">
        <v>85</v>
      </c>
      <c r="Z262" s="72"/>
      <c r="AA262" s="323"/>
      <c r="AB262" s="323"/>
      <c r="AC262" s="324"/>
      <c r="AD262" s="93"/>
      <c r="AE262" s="81">
        <f t="shared" si="130"/>
        <v>0</v>
      </c>
      <c r="AF262" s="72"/>
      <c r="AG262" s="324"/>
      <c r="AH262" s="361"/>
      <c r="AI262" s="98"/>
      <c r="AJ262" s="95"/>
      <c r="AK262" s="215"/>
      <c r="AL262" s="206"/>
      <c r="AM262" s="83"/>
      <c r="AN262" s="206"/>
      <c r="AO262" s="83"/>
      <c r="AP262" s="206"/>
      <c r="AQ262" s="83"/>
      <c r="AR262" s="13">
        <f t="shared" si="131"/>
        <v>2.62E-5</v>
      </c>
      <c r="AS262" s="13">
        <f t="shared" si="132"/>
        <v>0</v>
      </c>
      <c r="AT262" s="13"/>
      <c r="AU262" s="160">
        <v>267</v>
      </c>
      <c r="AV262" s="191">
        <f t="shared" si="117"/>
        <v>1.4399999999999999E-5</v>
      </c>
      <c r="AW262" s="160">
        <f t="shared" si="133"/>
        <v>0</v>
      </c>
      <c r="AX262" s="219">
        <f t="shared" si="134"/>
        <v>2.62E-5</v>
      </c>
      <c r="AY262" s="13">
        <f t="shared" si="137"/>
        <v>0</v>
      </c>
      <c r="AZ262" s="160">
        <v>267</v>
      </c>
      <c r="BA262" s="77">
        <f t="shared" si="118"/>
        <v>1.2999999999999999E-5</v>
      </c>
      <c r="BB262" s="192">
        <f t="shared" si="135"/>
        <v>0</v>
      </c>
      <c r="BC262" s="219">
        <f t="shared" si="138"/>
        <v>2.62E-5</v>
      </c>
      <c r="BD262" s="13">
        <f t="shared" si="139"/>
        <v>0</v>
      </c>
      <c r="BE262" s="160">
        <v>267</v>
      </c>
      <c r="BF262" s="77">
        <f t="shared" si="119"/>
        <v>1.2999999999999999E-5</v>
      </c>
      <c r="BG262" s="192">
        <f t="shared" si="136"/>
        <v>0</v>
      </c>
      <c r="BI262" s="120"/>
      <c r="BJ262" s="120"/>
      <c r="BK262" s="160"/>
      <c r="BL262" s="160"/>
      <c r="BM262" s="161" t="str">
        <f t="shared" si="121"/>
        <v/>
      </c>
      <c r="BN262" s="161" t="str">
        <f t="shared" si="140"/>
        <v/>
      </c>
      <c r="BO262" s="161" t="str">
        <f t="shared" si="122"/>
        <v/>
      </c>
      <c r="BP262" s="161" t="str">
        <f t="shared" si="141"/>
        <v/>
      </c>
      <c r="BQ262" s="161" t="str">
        <f t="shared" si="142"/>
        <v/>
      </c>
      <c r="BR262" s="161" t="str">
        <f t="shared" si="124"/>
        <v/>
      </c>
      <c r="BS262" s="161" t="str">
        <f t="shared" si="143"/>
        <v/>
      </c>
      <c r="BT262" s="161" t="str">
        <f t="shared" si="144"/>
        <v/>
      </c>
      <c r="BU262" s="161" t="str">
        <f t="shared" si="125"/>
        <v/>
      </c>
      <c r="BV262" s="161" t="str">
        <f t="shared" si="145"/>
        <v/>
      </c>
      <c r="BW262" s="161" t="str">
        <f t="shared" si="126"/>
        <v/>
      </c>
      <c r="BX262" s="161" t="str">
        <f t="shared" si="120"/>
        <v/>
      </c>
      <c r="BY262" s="148"/>
      <c r="BZ262" s="148"/>
      <c r="CA262" s="148"/>
      <c r="CB262" s="148" t="s">
        <v>149</v>
      </c>
      <c r="CC262" s="148"/>
    </row>
    <row r="263" spans="1:81" ht="14.25" customHeight="1" thickBot="1">
      <c r="A263" s="190">
        <v>253</v>
      </c>
      <c r="B263" s="79"/>
      <c r="C263" s="179"/>
      <c r="D263" s="137"/>
      <c r="E263" s="198" t="s">
        <v>29</v>
      </c>
      <c r="F263" s="199"/>
      <c r="G263" s="200"/>
      <c r="H263" s="200"/>
      <c r="I263" s="200"/>
      <c r="J263" s="200"/>
      <c r="K263" s="201">
        <f t="shared" si="128"/>
        <v>0</v>
      </c>
      <c r="L263" s="189"/>
      <c r="M263" s="84"/>
      <c r="N263" s="335"/>
      <c r="O263" s="341" t="s">
        <v>65</v>
      </c>
      <c r="P263" s="189"/>
      <c r="Q263" s="326"/>
      <c r="R263" s="326"/>
      <c r="S263" s="87"/>
      <c r="T263" s="207"/>
      <c r="U263" s="225">
        <f t="shared" si="129"/>
        <v>0</v>
      </c>
      <c r="V263" s="277"/>
      <c r="W263" s="278"/>
      <c r="X263" s="350"/>
      <c r="Y263" s="208" t="s">
        <v>147</v>
      </c>
      <c r="Z263" s="11"/>
      <c r="AA263" s="207"/>
      <c r="AB263" s="207"/>
      <c r="AC263" s="3"/>
      <c r="AD263" s="207"/>
      <c r="AE263" s="226">
        <f t="shared" si="130"/>
        <v>0</v>
      </c>
      <c r="AF263" s="11"/>
      <c r="AG263" s="3"/>
      <c r="AH263" s="359"/>
      <c r="AI263" s="96"/>
      <c r="AJ263" s="94"/>
      <c r="AK263" s="214"/>
      <c r="AL263" s="213"/>
      <c r="AM263" s="82"/>
      <c r="AN263" s="213"/>
      <c r="AO263" s="82"/>
      <c r="AP263" s="213"/>
      <c r="AQ263" s="82"/>
      <c r="AR263" s="13">
        <f t="shared" si="131"/>
        <v>2.6299999999999999E-5</v>
      </c>
      <c r="AS263" s="13">
        <f t="shared" si="132"/>
        <v>0</v>
      </c>
      <c r="AT263" s="13"/>
      <c r="AU263" s="160">
        <v>268</v>
      </c>
      <c r="AV263" s="191">
        <f t="shared" si="117"/>
        <v>1.4299999999999999E-5</v>
      </c>
      <c r="AW263" s="160">
        <f t="shared" si="133"/>
        <v>0</v>
      </c>
      <c r="AX263" s="219">
        <f t="shared" si="134"/>
        <v>2.6299999999999999E-5</v>
      </c>
      <c r="AY263" s="13">
        <f t="shared" si="137"/>
        <v>0</v>
      </c>
      <c r="AZ263" s="160">
        <v>268</v>
      </c>
      <c r="BA263" s="77">
        <f t="shared" si="118"/>
        <v>1.29E-5</v>
      </c>
      <c r="BB263" s="192">
        <f t="shared" si="135"/>
        <v>0</v>
      </c>
      <c r="BC263" s="219">
        <f t="shared" si="138"/>
        <v>2.6299999999999999E-5</v>
      </c>
      <c r="BD263" s="13">
        <f t="shared" si="139"/>
        <v>0</v>
      </c>
      <c r="BE263" s="160">
        <v>268</v>
      </c>
      <c r="BF263" s="77">
        <f t="shared" si="119"/>
        <v>1.29E-5</v>
      </c>
      <c r="BG263" s="192">
        <f t="shared" si="136"/>
        <v>0</v>
      </c>
      <c r="BI263" s="120"/>
      <c r="BJ263" s="120"/>
      <c r="BK263" s="160"/>
      <c r="BL263" s="160"/>
      <c r="BM263" s="161" t="str">
        <f t="shared" si="121"/>
        <v/>
      </c>
      <c r="BN263" s="161" t="str">
        <f t="shared" si="140"/>
        <v/>
      </c>
      <c r="BO263" s="161" t="str">
        <f t="shared" si="122"/>
        <v/>
      </c>
      <c r="BP263" s="161" t="str">
        <f t="shared" si="141"/>
        <v/>
      </c>
      <c r="BQ263" s="161" t="str">
        <f t="shared" si="142"/>
        <v/>
      </c>
      <c r="BR263" s="161" t="str">
        <f t="shared" si="124"/>
        <v/>
      </c>
      <c r="BS263" s="161" t="str">
        <f t="shared" si="143"/>
        <v/>
      </c>
      <c r="BT263" s="161" t="str">
        <f t="shared" si="144"/>
        <v/>
      </c>
      <c r="BU263" s="161" t="str">
        <f t="shared" si="125"/>
        <v/>
      </c>
      <c r="BV263" s="161" t="str">
        <f t="shared" si="145"/>
        <v/>
      </c>
      <c r="BW263" s="161" t="str">
        <f t="shared" si="126"/>
        <v/>
      </c>
      <c r="BX263" s="161" t="str">
        <f t="shared" si="120"/>
        <v/>
      </c>
      <c r="BY263" s="148"/>
      <c r="BZ263" s="148"/>
      <c r="CA263" s="148"/>
      <c r="CB263" s="148" t="s">
        <v>149</v>
      </c>
      <c r="CC263" s="148"/>
    </row>
    <row r="264" spans="1:81" ht="14.25" customHeight="1" thickBot="1">
      <c r="A264" s="190">
        <v>254</v>
      </c>
      <c r="B264" s="196"/>
      <c r="C264" s="180"/>
      <c r="D264" s="136"/>
      <c r="E264" s="91" t="s">
        <v>29</v>
      </c>
      <c r="F264" s="187"/>
      <c r="G264" s="188"/>
      <c r="H264" s="188"/>
      <c r="I264" s="188"/>
      <c r="J264" s="188"/>
      <c r="K264" s="18">
        <f t="shared" si="128"/>
        <v>0</v>
      </c>
      <c r="L264" s="187"/>
      <c r="M264" s="118"/>
      <c r="N264" s="336"/>
      <c r="O264" s="342" t="s">
        <v>65</v>
      </c>
      <c r="P264" s="187"/>
      <c r="Q264" s="188"/>
      <c r="R264" s="188"/>
      <c r="S264" s="119"/>
      <c r="T264" s="188"/>
      <c r="U264" s="211">
        <f t="shared" si="129"/>
        <v>0</v>
      </c>
      <c r="V264" s="279"/>
      <c r="W264" s="280"/>
      <c r="X264" s="351"/>
      <c r="Y264" s="209" t="s">
        <v>85</v>
      </c>
      <c r="Z264" s="71"/>
      <c r="AA264" s="321"/>
      <c r="AB264" s="321"/>
      <c r="AC264" s="322"/>
      <c r="AD264" s="188"/>
      <c r="AE264" s="18">
        <f t="shared" si="130"/>
        <v>0</v>
      </c>
      <c r="AF264" s="71"/>
      <c r="AG264" s="322"/>
      <c r="AH264" s="360"/>
      <c r="AI264" s="97"/>
      <c r="AJ264" s="194"/>
      <c r="AK264" s="193"/>
      <c r="AL264" s="205"/>
      <c r="AM264" s="197"/>
      <c r="AN264" s="205"/>
      <c r="AO264" s="197"/>
      <c r="AP264" s="205"/>
      <c r="AQ264" s="197"/>
      <c r="AR264" s="13">
        <f t="shared" si="131"/>
        <v>2.6399999999999998E-5</v>
      </c>
      <c r="AS264" s="13">
        <f t="shared" si="132"/>
        <v>0</v>
      </c>
      <c r="AT264" s="13"/>
      <c r="AU264" s="160">
        <v>269</v>
      </c>
      <c r="AV264" s="191">
        <f t="shared" si="117"/>
        <v>1.42E-5</v>
      </c>
      <c r="AW264" s="160">
        <f t="shared" si="133"/>
        <v>0</v>
      </c>
      <c r="AX264" s="219">
        <f t="shared" si="134"/>
        <v>2.6399999999999998E-5</v>
      </c>
      <c r="AY264" s="13">
        <f t="shared" si="137"/>
        <v>0</v>
      </c>
      <c r="AZ264" s="160">
        <v>269</v>
      </c>
      <c r="BA264" s="77">
        <f t="shared" si="118"/>
        <v>1.2799999999999999E-5</v>
      </c>
      <c r="BB264" s="192">
        <f t="shared" si="135"/>
        <v>0</v>
      </c>
      <c r="BC264" s="219">
        <f t="shared" si="138"/>
        <v>2.6399999999999998E-5</v>
      </c>
      <c r="BD264" s="13">
        <f t="shared" si="139"/>
        <v>0</v>
      </c>
      <c r="BE264" s="160">
        <v>269</v>
      </c>
      <c r="BF264" s="77">
        <f t="shared" si="119"/>
        <v>1.2799999999999999E-5</v>
      </c>
      <c r="BG264" s="192">
        <f t="shared" si="136"/>
        <v>0</v>
      </c>
      <c r="BI264" s="120"/>
      <c r="BJ264" s="120"/>
      <c r="BK264" s="160"/>
      <c r="BL264" s="160"/>
      <c r="BM264" s="161" t="str">
        <f t="shared" si="121"/>
        <v/>
      </c>
      <c r="BN264" s="161" t="str">
        <f t="shared" si="140"/>
        <v/>
      </c>
      <c r="BO264" s="161" t="str">
        <f t="shared" si="122"/>
        <v/>
      </c>
      <c r="BP264" s="161" t="str">
        <f t="shared" si="141"/>
        <v/>
      </c>
      <c r="BQ264" s="161" t="str">
        <f t="shared" si="142"/>
        <v/>
      </c>
      <c r="BR264" s="161" t="str">
        <f t="shared" si="124"/>
        <v/>
      </c>
      <c r="BS264" s="161" t="str">
        <f t="shared" si="143"/>
        <v/>
      </c>
      <c r="BT264" s="161" t="str">
        <f t="shared" si="144"/>
        <v/>
      </c>
      <c r="BU264" s="161" t="str">
        <f t="shared" si="125"/>
        <v/>
      </c>
      <c r="BV264" s="161" t="str">
        <f t="shared" si="145"/>
        <v/>
      </c>
      <c r="BW264" s="161" t="str">
        <f t="shared" si="126"/>
        <v/>
      </c>
      <c r="BX264" s="161" t="str">
        <f t="shared" si="120"/>
        <v/>
      </c>
      <c r="BY264" s="148"/>
      <c r="BZ264" s="148"/>
      <c r="CA264" s="148"/>
      <c r="CB264" s="148" t="s">
        <v>149</v>
      </c>
      <c r="CC264" s="148"/>
    </row>
    <row r="265" spans="1:81" ht="14.25" customHeight="1" thickBot="1">
      <c r="A265" s="190">
        <v>255</v>
      </c>
      <c r="B265" s="78"/>
      <c r="C265" s="181"/>
      <c r="D265" s="86"/>
      <c r="E265" s="92" t="s">
        <v>29</v>
      </c>
      <c r="F265" s="88"/>
      <c r="G265" s="93"/>
      <c r="H265" s="93"/>
      <c r="I265" s="93"/>
      <c r="J265" s="93"/>
      <c r="K265" s="81">
        <f t="shared" si="128"/>
        <v>0</v>
      </c>
      <c r="L265" s="88"/>
      <c r="M265" s="85"/>
      <c r="N265" s="337"/>
      <c r="O265" s="343" t="s">
        <v>65</v>
      </c>
      <c r="P265" s="88"/>
      <c r="Q265" s="93"/>
      <c r="R265" s="93"/>
      <c r="S265" s="89"/>
      <c r="T265" s="93"/>
      <c r="U265" s="212">
        <f t="shared" si="129"/>
        <v>0</v>
      </c>
      <c r="V265" s="281"/>
      <c r="W265" s="282"/>
      <c r="X265" s="352"/>
      <c r="Y265" s="210" t="s">
        <v>85</v>
      </c>
      <c r="Z265" s="72"/>
      <c r="AA265" s="323"/>
      <c r="AB265" s="323"/>
      <c r="AC265" s="324"/>
      <c r="AD265" s="93"/>
      <c r="AE265" s="81">
        <f t="shared" si="130"/>
        <v>0</v>
      </c>
      <c r="AF265" s="72"/>
      <c r="AG265" s="324"/>
      <c r="AH265" s="361"/>
      <c r="AI265" s="98"/>
      <c r="AJ265" s="95"/>
      <c r="AK265" s="215"/>
      <c r="AL265" s="206"/>
      <c r="AM265" s="83"/>
      <c r="AN265" s="206"/>
      <c r="AO265" s="83"/>
      <c r="AP265" s="206"/>
      <c r="AQ265" s="83"/>
      <c r="AR265" s="13">
        <f t="shared" si="131"/>
        <v>2.65E-5</v>
      </c>
      <c r="AS265" s="13">
        <f t="shared" si="132"/>
        <v>0</v>
      </c>
      <c r="AT265" s="13"/>
      <c r="AU265" s="160">
        <v>270</v>
      </c>
      <c r="AV265" s="191">
        <f t="shared" si="117"/>
        <v>1.4099999999999999E-5</v>
      </c>
      <c r="AW265" s="160">
        <f t="shared" si="133"/>
        <v>0</v>
      </c>
      <c r="AX265" s="219">
        <f t="shared" si="134"/>
        <v>2.65E-5</v>
      </c>
      <c r="AY265" s="13">
        <f t="shared" si="137"/>
        <v>0</v>
      </c>
      <c r="AZ265" s="160">
        <v>270</v>
      </c>
      <c r="BA265" s="77">
        <f t="shared" si="118"/>
        <v>1.2699999999999999E-5</v>
      </c>
      <c r="BB265" s="192">
        <f t="shared" si="135"/>
        <v>0</v>
      </c>
      <c r="BC265" s="219">
        <f t="shared" si="138"/>
        <v>2.65E-5</v>
      </c>
      <c r="BD265" s="13">
        <f t="shared" si="139"/>
        <v>0</v>
      </c>
      <c r="BE265" s="160">
        <v>270</v>
      </c>
      <c r="BF265" s="77">
        <f t="shared" si="119"/>
        <v>1.2699999999999999E-5</v>
      </c>
      <c r="BG265" s="192">
        <f t="shared" si="136"/>
        <v>0</v>
      </c>
      <c r="BI265" s="120"/>
      <c r="BJ265" s="120"/>
      <c r="BK265" s="160"/>
      <c r="BL265" s="160"/>
      <c r="BM265" s="161" t="str">
        <f t="shared" si="121"/>
        <v/>
      </c>
      <c r="BN265" s="161" t="str">
        <f t="shared" si="140"/>
        <v/>
      </c>
      <c r="BO265" s="161" t="str">
        <f t="shared" si="122"/>
        <v/>
      </c>
      <c r="BP265" s="161" t="str">
        <f t="shared" si="141"/>
        <v/>
      </c>
      <c r="BQ265" s="161" t="str">
        <f t="shared" si="142"/>
        <v/>
      </c>
      <c r="BR265" s="161" t="str">
        <f t="shared" si="124"/>
        <v/>
      </c>
      <c r="BS265" s="161" t="str">
        <f t="shared" si="143"/>
        <v/>
      </c>
      <c r="BT265" s="161" t="str">
        <f t="shared" si="144"/>
        <v/>
      </c>
      <c r="BU265" s="161" t="str">
        <f t="shared" si="125"/>
        <v/>
      </c>
      <c r="BV265" s="161" t="str">
        <f t="shared" si="145"/>
        <v/>
      </c>
      <c r="BW265" s="161" t="str">
        <f t="shared" si="126"/>
        <v/>
      </c>
      <c r="BX265" s="161" t="str">
        <f t="shared" si="120"/>
        <v/>
      </c>
      <c r="BY265" s="148"/>
      <c r="BZ265" s="148"/>
      <c r="CA265" s="148"/>
      <c r="CB265" s="148" t="s">
        <v>149</v>
      </c>
      <c r="CC265" s="148"/>
    </row>
    <row r="266" spans="1:81" ht="14.25" customHeight="1" thickBot="1">
      <c r="A266" s="190">
        <v>256</v>
      </c>
      <c r="B266" s="79"/>
      <c r="C266" s="179"/>
      <c r="D266" s="137"/>
      <c r="E266" s="198" t="s">
        <v>29</v>
      </c>
      <c r="F266" s="199"/>
      <c r="G266" s="200"/>
      <c r="H266" s="200"/>
      <c r="I266" s="200"/>
      <c r="J266" s="200"/>
      <c r="K266" s="201">
        <f t="shared" si="128"/>
        <v>0</v>
      </c>
      <c r="L266" s="189"/>
      <c r="M266" s="84"/>
      <c r="N266" s="335"/>
      <c r="O266" s="341" t="s">
        <v>65</v>
      </c>
      <c r="P266" s="189"/>
      <c r="Q266" s="326"/>
      <c r="R266" s="326"/>
      <c r="S266" s="87"/>
      <c r="T266" s="207"/>
      <c r="U266" s="225">
        <f t="shared" si="129"/>
        <v>0</v>
      </c>
      <c r="V266" s="277"/>
      <c r="W266" s="278"/>
      <c r="X266" s="350"/>
      <c r="Y266" s="208" t="s">
        <v>147</v>
      </c>
      <c r="Z266" s="11"/>
      <c r="AA266" s="207"/>
      <c r="AB266" s="207"/>
      <c r="AC266" s="3"/>
      <c r="AD266" s="207"/>
      <c r="AE266" s="226">
        <f t="shared" si="130"/>
        <v>0</v>
      </c>
      <c r="AF266" s="11"/>
      <c r="AG266" s="3"/>
      <c r="AH266" s="359"/>
      <c r="AI266" s="96"/>
      <c r="AJ266" s="94"/>
      <c r="AK266" s="214"/>
      <c r="AL266" s="213"/>
      <c r="AM266" s="82"/>
      <c r="AN266" s="213"/>
      <c r="AO266" s="82"/>
      <c r="AP266" s="213"/>
      <c r="AQ266" s="82"/>
      <c r="AR266" s="13">
        <f t="shared" si="131"/>
        <v>2.6599999999999999E-5</v>
      </c>
      <c r="AS266" s="13">
        <f t="shared" si="132"/>
        <v>0</v>
      </c>
      <c r="AT266" s="13"/>
      <c r="AU266" s="160">
        <v>271</v>
      </c>
      <c r="AV266" s="191">
        <f t="shared" si="117"/>
        <v>1.4E-5</v>
      </c>
      <c r="AW266" s="160">
        <f t="shared" si="133"/>
        <v>0</v>
      </c>
      <c r="AX266" s="219">
        <f t="shared" si="134"/>
        <v>2.6599999999999999E-5</v>
      </c>
      <c r="AY266" s="13">
        <f t="shared" si="137"/>
        <v>0</v>
      </c>
      <c r="AZ266" s="160">
        <v>271</v>
      </c>
      <c r="BA266" s="77">
        <f t="shared" si="118"/>
        <v>1.26E-5</v>
      </c>
      <c r="BB266" s="192">
        <f t="shared" si="135"/>
        <v>0</v>
      </c>
      <c r="BC266" s="219">
        <f t="shared" si="138"/>
        <v>2.6599999999999999E-5</v>
      </c>
      <c r="BD266" s="13">
        <f t="shared" si="139"/>
        <v>0</v>
      </c>
      <c r="BE266" s="160">
        <v>271</v>
      </c>
      <c r="BF266" s="77">
        <f t="shared" si="119"/>
        <v>1.26E-5</v>
      </c>
      <c r="BG266" s="192">
        <f t="shared" si="136"/>
        <v>0</v>
      </c>
      <c r="BI266" s="120"/>
      <c r="BJ266" s="120"/>
      <c r="BK266" s="160"/>
      <c r="BL266" s="160"/>
      <c r="BM266" s="161" t="str">
        <f t="shared" si="121"/>
        <v/>
      </c>
      <c r="BN266" s="161" t="str">
        <f t="shared" si="140"/>
        <v/>
      </c>
      <c r="BO266" s="161" t="str">
        <f t="shared" si="122"/>
        <v/>
      </c>
      <c r="BP266" s="161" t="str">
        <f t="shared" si="141"/>
        <v/>
      </c>
      <c r="BQ266" s="161" t="str">
        <f t="shared" si="142"/>
        <v/>
      </c>
      <c r="BR266" s="161" t="str">
        <f t="shared" si="124"/>
        <v/>
      </c>
      <c r="BS266" s="161" t="str">
        <f t="shared" si="143"/>
        <v/>
      </c>
      <c r="BT266" s="161" t="str">
        <f t="shared" si="144"/>
        <v/>
      </c>
      <c r="BU266" s="161" t="str">
        <f t="shared" si="125"/>
        <v/>
      </c>
      <c r="BV266" s="161" t="str">
        <f t="shared" si="145"/>
        <v/>
      </c>
      <c r="BW266" s="161" t="str">
        <f t="shared" si="126"/>
        <v/>
      </c>
      <c r="BX266" s="161" t="str">
        <f t="shared" si="120"/>
        <v/>
      </c>
      <c r="BY266" s="148"/>
      <c r="BZ266" s="148"/>
      <c r="CA266" s="148"/>
      <c r="CB266" s="148" t="s">
        <v>149</v>
      </c>
      <c r="CC266" s="148"/>
    </row>
    <row r="267" spans="1:81" ht="14.25" customHeight="1" thickBot="1">
      <c r="A267" s="190">
        <v>257</v>
      </c>
      <c r="B267" s="196"/>
      <c r="C267" s="180"/>
      <c r="D267" s="136"/>
      <c r="E267" s="91" t="s">
        <v>29</v>
      </c>
      <c r="F267" s="187"/>
      <c r="G267" s="188"/>
      <c r="H267" s="188"/>
      <c r="I267" s="188"/>
      <c r="J267" s="188"/>
      <c r="K267" s="18">
        <f t="shared" si="128"/>
        <v>0</v>
      </c>
      <c r="L267" s="187"/>
      <c r="M267" s="118"/>
      <c r="N267" s="336"/>
      <c r="O267" s="342" t="s">
        <v>65</v>
      </c>
      <c r="P267" s="187"/>
      <c r="Q267" s="188"/>
      <c r="R267" s="188"/>
      <c r="S267" s="119"/>
      <c r="T267" s="188"/>
      <c r="U267" s="211">
        <f t="shared" si="129"/>
        <v>0</v>
      </c>
      <c r="V267" s="279"/>
      <c r="W267" s="280"/>
      <c r="X267" s="351"/>
      <c r="Y267" s="209" t="s">
        <v>85</v>
      </c>
      <c r="Z267" s="71"/>
      <c r="AA267" s="321"/>
      <c r="AB267" s="321"/>
      <c r="AC267" s="322"/>
      <c r="AD267" s="188"/>
      <c r="AE267" s="18">
        <f t="shared" si="130"/>
        <v>0</v>
      </c>
      <c r="AF267" s="71"/>
      <c r="AG267" s="322"/>
      <c r="AH267" s="360"/>
      <c r="AI267" s="97"/>
      <c r="AJ267" s="194"/>
      <c r="AK267" s="193"/>
      <c r="AL267" s="205"/>
      <c r="AM267" s="197"/>
      <c r="AN267" s="205"/>
      <c r="AO267" s="197"/>
      <c r="AP267" s="205"/>
      <c r="AQ267" s="197"/>
      <c r="AR267" s="13">
        <f t="shared" si="131"/>
        <v>2.6699999999999998E-5</v>
      </c>
      <c r="AS267" s="13">
        <f t="shared" si="132"/>
        <v>0</v>
      </c>
      <c r="AT267" s="13"/>
      <c r="AU267" s="160">
        <v>272</v>
      </c>
      <c r="AV267" s="191">
        <f t="shared" ref="AV267:AV330" si="146">IFERROR(LARGE($AR$11:$AR$396,AU267),"")</f>
        <v>1.3899999999999999E-5</v>
      </c>
      <c r="AW267" s="160">
        <f t="shared" si="133"/>
        <v>0</v>
      </c>
      <c r="AX267" s="219">
        <f t="shared" si="134"/>
        <v>2.6699999999999998E-5</v>
      </c>
      <c r="AY267" s="13">
        <f t="shared" si="137"/>
        <v>0</v>
      </c>
      <c r="AZ267" s="160">
        <v>272</v>
      </c>
      <c r="BA267" s="77">
        <f t="shared" ref="BA267:BA330" si="147">IFERROR(LARGE($AX$11:$AX$396,AZ267),"")</f>
        <v>1.2499999999999999E-5</v>
      </c>
      <c r="BB267" s="192">
        <f t="shared" si="135"/>
        <v>0</v>
      </c>
      <c r="BC267" s="219">
        <f t="shared" si="138"/>
        <v>2.6699999999999998E-5</v>
      </c>
      <c r="BD267" s="13">
        <f t="shared" si="139"/>
        <v>0</v>
      </c>
      <c r="BE267" s="160">
        <v>272</v>
      </c>
      <c r="BF267" s="77">
        <f t="shared" ref="BF267:BF330" si="148">IFERROR(LARGE($BC$11:$BC$396,BE267),"")</f>
        <v>1.2499999999999999E-5</v>
      </c>
      <c r="BG267" s="192">
        <f t="shared" si="136"/>
        <v>0</v>
      </c>
      <c r="BI267" s="120"/>
      <c r="BJ267" s="120"/>
      <c r="BK267" s="160"/>
      <c r="BL267" s="160"/>
      <c r="BM267" s="161" t="str">
        <f t="shared" si="121"/>
        <v/>
      </c>
      <c r="BN267" s="161" t="str">
        <f t="shared" si="140"/>
        <v/>
      </c>
      <c r="BO267" s="161" t="str">
        <f t="shared" si="122"/>
        <v/>
      </c>
      <c r="BP267" s="161" t="str">
        <f t="shared" si="141"/>
        <v/>
      </c>
      <c r="BQ267" s="161" t="str">
        <f t="shared" si="142"/>
        <v/>
      </c>
      <c r="BR267" s="161" t="str">
        <f t="shared" si="124"/>
        <v/>
      </c>
      <c r="BS267" s="161" t="str">
        <f t="shared" si="143"/>
        <v/>
      </c>
      <c r="BT267" s="161" t="str">
        <f t="shared" si="144"/>
        <v/>
      </c>
      <c r="BU267" s="161" t="str">
        <f t="shared" si="125"/>
        <v/>
      </c>
      <c r="BV267" s="161" t="str">
        <f t="shared" si="145"/>
        <v/>
      </c>
      <c r="BW267" s="161" t="str">
        <f t="shared" si="126"/>
        <v/>
      </c>
      <c r="BX267" s="161" t="str">
        <f t="shared" ref="BX267:BX295" si="149">MID($BK267,1,1)</f>
        <v/>
      </c>
      <c r="BY267" s="148"/>
      <c r="BZ267" s="148"/>
      <c r="CA267" s="148"/>
      <c r="CB267" s="148" t="s">
        <v>149</v>
      </c>
      <c r="CC267" s="148"/>
    </row>
    <row r="268" spans="1:81" ht="14.25" customHeight="1" thickBot="1">
      <c r="A268" s="190">
        <v>258</v>
      </c>
      <c r="B268" s="78"/>
      <c r="C268" s="181"/>
      <c r="D268" s="86"/>
      <c r="E268" s="92" t="s">
        <v>29</v>
      </c>
      <c r="F268" s="88"/>
      <c r="G268" s="93"/>
      <c r="H268" s="93"/>
      <c r="I268" s="93"/>
      <c r="J268" s="93"/>
      <c r="K268" s="81">
        <f t="shared" si="128"/>
        <v>0</v>
      </c>
      <c r="L268" s="88"/>
      <c r="M268" s="85"/>
      <c r="N268" s="337"/>
      <c r="O268" s="343" t="s">
        <v>65</v>
      </c>
      <c r="P268" s="88"/>
      <c r="Q268" s="93"/>
      <c r="R268" s="93"/>
      <c r="S268" s="89"/>
      <c r="T268" s="93"/>
      <c r="U268" s="212">
        <f t="shared" si="129"/>
        <v>0</v>
      </c>
      <c r="V268" s="281"/>
      <c r="W268" s="282"/>
      <c r="X268" s="352"/>
      <c r="Y268" s="210" t="s">
        <v>85</v>
      </c>
      <c r="Z268" s="72"/>
      <c r="AA268" s="323"/>
      <c r="AB268" s="323"/>
      <c r="AC268" s="324"/>
      <c r="AD268" s="93"/>
      <c r="AE268" s="81">
        <f t="shared" si="130"/>
        <v>0</v>
      </c>
      <c r="AF268" s="72"/>
      <c r="AG268" s="324"/>
      <c r="AH268" s="361"/>
      <c r="AI268" s="98"/>
      <c r="AJ268" s="95"/>
      <c r="AK268" s="215"/>
      <c r="AL268" s="206"/>
      <c r="AM268" s="83"/>
      <c r="AN268" s="206"/>
      <c r="AO268" s="83"/>
      <c r="AP268" s="206"/>
      <c r="AQ268" s="83"/>
      <c r="AR268" s="13">
        <f t="shared" si="131"/>
        <v>2.6799999999999998E-5</v>
      </c>
      <c r="AS268" s="13">
        <f t="shared" si="132"/>
        <v>0</v>
      </c>
      <c r="AT268" s="13"/>
      <c r="AU268" s="160">
        <v>273</v>
      </c>
      <c r="AV268" s="191">
        <f t="shared" si="146"/>
        <v>1.38E-5</v>
      </c>
      <c r="AW268" s="160">
        <f t="shared" si="133"/>
        <v>0</v>
      </c>
      <c r="AX268" s="219">
        <f t="shared" si="134"/>
        <v>2.6799999999999998E-5</v>
      </c>
      <c r="AY268" s="13">
        <f t="shared" si="137"/>
        <v>0</v>
      </c>
      <c r="AZ268" s="160">
        <v>273</v>
      </c>
      <c r="BA268" s="77">
        <f t="shared" si="147"/>
        <v>1.24E-5</v>
      </c>
      <c r="BB268" s="192">
        <f t="shared" si="135"/>
        <v>0</v>
      </c>
      <c r="BC268" s="219">
        <f t="shared" si="138"/>
        <v>2.6799999999999998E-5</v>
      </c>
      <c r="BD268" s="13">
        <f t="shared" si="139"/>
        <v>0</v>
      </c>
      <c r="BE268" s="160">
        <v>273</v>
      </c>
      <c r="BF268" s="77">
        <f t="shared" si="148"/>
        <v>1.24E-5</v>
      </c>
      <c r="BG268" s="192">
        <f t="shared" si="136"/>
        <v>0</v>
      </c>
      <c r="BI268" s="120"/>
      <c r="BJ268" s="120"/>
      <c r="BK268" s="160"/>
      <c r="BL268" s="160"/>
      <c r="BM268" s="161" t="str">
        <f t="shared" ref="BM268:BM331" si="150">MID($BK268,12,1)</f>
        <v/>
      </c>
      <c r="BN268" s="161" t="str">
        <f t="shared" si="140"/>
        <v/>
      </c>
      <c r="BO268" s="161" t="str">
        <f t="shared" ref="BO268:BO295" si="151">MID($BK268,10,1)</f>
        <v/>
      </c>
      <c r="BP268" s="161" t="str">
        <f t="shared" si="141"/>
        <v/>
      </c>
      <c r="BQ268" s="161" t="str">
        <f t="shared" si="142"/>
        <v/>
      </c>
      <c r="BR268" s="161" t="str">
        <f t="shared" ref="BR268:BR330" si="152">MID($BK268,7,1)</f>
        <v/>
      </c>
      <c r="BS268" s="161" t="str">
        <f t="shared" si="143"/>
        <v/>
      </c>
      <c r="BT268" s="161" t="str">
        <f t="shared" si="144"/>
        <v/>
      </c>
      <c r="BU268" s="161" t="str">
        <f t="shared" ref="BU268:BU331" si="153">MID($BK268,4,1)</f>
        <v/>
      </c>
      <c r="BV268" s="161" t="str">
        <f t="shared" si="145"/>
        <v/>
      </c>
      <c r="BW268" s="161" t="str">
        <f t="shared" ref="BW268:BW308" si="154">MID($BK268,2,1)</f>
        <v/>
      </c>
      <c r="BX268" s="161" t="str">
        <f t="shared" si="149"/>
        <v/>
      </c>
      <c r="BY268" s="148"/>
      <c r="BZ268" s="148"/>
      <c r="CA268" s="148"/>
      <c r="CB268" s="148" t="s">
        <v>149</v>
      </c>
      <c r="CC268" s="148"/>
    </row>
    <row r="269" spans="1:81" ht="14.25" customHeight="1" thickBot="1">
      <c r="A269" s="190">
        <v>259</v>
      </c>
      <c r="B269" s="79"/>
      <c r="C269" s="179"/>
      <c r="D269" s="137"/>
      <c r="E269" s="198" t="s">
        <v>29</v>
      </c>
      <c r="F269" s="199"/>
      <c r="G269" s="200"/>
      <c r="H269" s="200"/>
      <c r="I269" s="200"/>
      <c r="J269" s="200"/>
      <c r="K269" s="201">
        <f t="shared" si="128"/>
        <v>0</v>
      </c>
      <c r="L269" s="189"/>
      <c r="M269" s="84"/>
      <c r="N269" s="335"/>
      <c r="O269" s="341" t="s">
        <v>65</v>
      </c>
      <c r="P269" s="189"/>
      <c r="Q269" s="326"/>
      <c r="R269" s="326"/>
      <c r="S269" s="87"/>
      <c r="T269" s="207"/>
      <c r="U269" s="225">
        <f t="shared" si="129"/>
        <v>0</v>
      </c>
      <c r="V269" s="277"/>
      <c r="W269" s="278"/>
      <c r="X269" s="350"/>
      <c r="Y269" s="208" t="s">
        <v>147</v>
      </c>
      <c r="Z269" s="11"/>
      <c r="AA269" s="207"/>
      <c r="AB269" s="207"/>
      <c r="AC269" s="3"/>
      <c r="AD269" s="207"/>
      <c r="AE269" s="226">
        <f t="shared" si="130"/>
        <v>0</v>
      </c>
      <c r="AF269" s="11"/>
      <c r="AG269" s="3"/>
      <c r="AH269" s="359"/>
      <c r="AI269" s="96"/>
      <c r="AJ269" s="94"/>
      <c r="AK269" s="214"/>
      <c r="AL269" s="213"/>
      <c r="AM269" s="82"/>
      <c r="AN269" s="213"/>
      <c r="AO269" s="82"/>
      <c r="AP269" s="213"/>
      <c r="AQ269" s="82"/>
      <c r="AR269" s="13">
        <f t="shared" si="131"/>
        <v>2.69E-5</v>
      </c>
      <c r="AS269" s="13">
        <f t="shared" si="132"/>
        <v>0</v>
      </c>
      <c r="AT269" s="13"/>
      <c r="AU269" s="160">
        <v>274</v>
      </c>
      <c r="AV269" s="191">
        <f t="shared" si="146"/>
        <v>1.3699999999999999E-5</v>
      </c>
      <c r="AW269" s="160">
        <f t="shared" si="133"/>
        <v>0</v>
      </c>
      <c r="AX269" s="219">
        <f t="shared" si="134"/>
        <v>2.69E-5</v>
      </c>
      <c r="AY269" s="13">
        <f t="shared" si="137"/>
        <v>0</v>
      </c>
      <c r="AZ269" s="160">
        <v>274</v>
      </c>
      <c r="BA269" s="77">
        <f t="shared" si="147"/>
        <v>1.2299999999999999E-5</v>
      </c>
      <c r="BB269" s="192">
        <f t="shared" si="135"/>
        <v>0</v>
      </c>
      <c r="BC269" s="219">
        <f t="shared" si="138"/>
        <v>2.69E-5</v>
      </c>
      <c r="BD269" s="13">
        <f t="shared" si="139"/>
        <v>0</v>
      </c>
      <c r="BE269" s="160">
        <v>274</v>
      </c>
      <c r="BF269" s="77">
        <f t="shared" si="148"/>
        <v>1.2299999999999999E-5</v>
      </c>
      <c r="BG269" s="192">
        <f t="shared" si="136"/>
        <v>0</v>
      </c>
      <c r="BI269" s="120"/>
      <c r="BJ269" s="120"/>
      <c r="BK269" s="160"/>
      <c r="BL269" s="160"/>
      <c r="BM269" s="161" t="str">
        <f t="shared" si="150"/>
        <v/>
      </c>
      <c r="BN269" s="161" t="str">
        <f t="shared" si="140"/>
        <v/>
      </c>
      <c r="BO269" s="161" t="str">
        <f t="shared" si="151"/>
        <v/>
      </c>
      <c r="BP269" s="161" t="str">
        <f t="shared" si="141"/>
        <v/>
      </c>
      <c r="BQ269" s="161" t="str">
        <f t="shared" si="142"/>
        <v/>
      </c>
      <c r="BR269" s="161" t="str">
        <f t="shared" si="152"/>
        <v/>
      </c>
      <c r="BS269" s="161" t="str">
        <f t="shared" si="143"/>
        <v/>
      </c>
      <c r="BT269" s="161" t="str">
        <f t="shared" si="144"/>
        <v/>
      </c>
      <c r="BU269" s="161" t="str">
        <f t="shared" si="153"/>
        <v/>
      </c>
      <c r="BV269" s="161" t="str">
        <f t="shared" si="145"/>
        <v/>
      </c>
      <c r="BW269" s="161" t="str">
        <f t="shared" si="154"/>
        <v/>
      </c>
      <c r="BX269" s="161" t="str">
        <f t="shared" si="149"/>
        <v/>
      </c>
      <c r="BY269" s="148"/>
      <c r="BZ269" s="148"/>
      <c r="CA269" s="148"/>
      <c r="CB269" s="148" t="s">
        <v>149</v>
      </c>
      <c r="CC269" s="148"/>
    </row>
    <row r="270" spans="1:81" ht="14.25" customHeight="1" thickBot="1">
      <c r="A270" s="190">
        <v>260</v>
      </c>
      <c r="B270" s="196"/>
      <c r="C270" s="180"/>
      <c r="D270" s="136"/>
      <c r="E270" s="91" t="s">
        <v>29</v>
      </c>
      <c r="F270" s="187"/>
      <c r="G270" s="188"/>
      <c r="H270" s="188"/>
      <c r="I270" s="188"/>
      <c r="J270" s="188"/>
      <c r="K270" s="18">
        <f t="shared" si="128"/>
        <v>0</v>
      </c>
      <c r="L270" s="187"/>
      <c r="M270" s="118"/>
      <c r="N270" s="336"/>
      <c r="O270" s="342" t="s">
        <v>65</v>
      </c>
      <c r="P270" s="187"/>
      <c r="Q270" s="188"/>
      <c r="R270" s="188"/>
      <c r="S270" s="119"/>
      <c r="T270" s="188"/>
      <c r="U270" s="211">
        <f t="shared" si="129"/>
        <v>0</v>
      </c>
      <c r="V270" s="279"/>
      <c r="W270" s="280"/>
      <c r="X270" s="351"/>
      <c r="Y270" s="209" t="s">
        <v>85</v>
      </c>
      <c r="Z270" s="71"/>
      <c r="AA270" s="321"/>
      <c r="AB270" s="321"/>
      <c r="AC270" s="322"/>
      <c r="AD270" s="188"/>
      <c r="AE270" s="18">
        <f t="shared" si="130"/>
        <v>0</v>
      </c>
      <c r="AF270" s="71"/>
      <c r="AG270" s="322"/>
      <c r="AH270" s="360"/>
      <c r="AI270" s="97"/>
      <c r="AJ270" s="194"/>
      <c r="AK270" s="193"/>
      <c r="AL270" s="205"/>
      <c r="AM270" s="197"/>
      <c r="AN270" s="205"/>
      <c r="AO270" s="197"/>
      <c r="AP270" s="205"/>
      <c r="AQ270" s="197"/>
      <c r="AR270" s="13">
        <f t="shared" si="131"/>
        <v>2.6999999999999999E-5</v>
      </c>
      <c r="AS270" s="13">
        <f t="shared" si="132"/>
        <v>0</v>
      </c>
      <c r="AT270" s="13"/>
      <c r="AU270" s="160">
        <v>275</v>
      </c>
      <c r="AV270" s="191">
        <f t="shared" si="146"/>
        <v>1.3599999999999999E-5</v>
      </c>
      <c r="AW270" s="160">
        <f t="shared" si="133"/>
        <v>0</v>
      </c>
      <c r="AX270" s="219">
        <f t="shared" si="134"/>
        <v>2.6999999999999999E-5</v>
      </c>
      <c r="AY270" s="13">
        <f t="shared" si="137"/>
        <v>0</v>
      </c>
      <c r="AZ270" s="160">
        <v>275</v>
      </c>
      <c r="BA270" s="77">
        <f t="shared" si="147"/>
        <v>1.22E-5</v>
      </c>
      <c r="BB270" s="192">
        <f t="shared" si="135"/>
        <v>0</v>
      </c>
      <c r="BC270" s="219">
        <f t="shared" si="138"/>
        <v>2.6999999999999999E-5</v>
      </c>
      <c r="BD270" s="13">
        <f t="shared" si="139"/>
        <v>0</v>
      </c>
      <c r="BE270" s="160">
        <v>275</v>
      </c>
      <c r="BF270" s="77">
        <f t="shared" si="148"/>
        <v>1.22E-5</v>
      </c>
      <c r="BG270" s="192">
        <f t="shared" si="136"/>
        <v>0</v>
      </c>
      <c r="BI270" s="120"/>
      <c r="BJ270" s="120"/>
      <c r="BK270" s="160"/>
      <c r="BL270" s="160"/>
      <c r="BM270" s="161" t="str">
        <f t="shared" si="150"/>
        <v/>
      </c>
      <c r="BN270" s="161" t="str">
        <f t="shared" si="140"/>
        <v/>
      </c>
      <c r="BO270" s="161" t="str">
        <f t="shared" si="151"/>
        <v/>
      </c>
      <c r="BP270" s="161" t="str">
        <f t="shared" si="141"/>
        <v/>
      </c>
      <c r="BQ270" s="161" t="str">
        <f t="shared" si="142"/>
        <v/>
      </c>
      <c r="BR270" s="161" t="str">
        <f t="shared" si="152"/>
        <v/>
      </c>
      <c r="BS270" s="161" t="str">
        <f t="shared" si="143"/>
        <v/>
      </c>
      <c r="BT270" s="161" t="str">
        <f t="shared" si="144"/>
        <v/>
      </c>
      <c r="BU270" s="161" t="str">
        <f t="shared" si="153"/>
        <v/>
      </c>
      <c r="BV270" s="161" t="str">
        <f t="shared" si="145"/>
        <v/>
      </c>
      <c r="BW270" s="161" t="str">
        <f t="shared" si="154"/>
        <v/>
      </c>
      <c r="BX270" s="161" t="str">
        <f t="shared" si="149"/>
        <v/>
      </c>
      <c r="BY270" s="148"/>
      <c r="BZ270" s="148"/>
      <c r="CA270" s="148"/>
      <c r="CB270" s="148" t="s">
        <v>149</v>
      </c>
      <c r="CC270" s="148"/>
    </row>
    <row r="271" spans="1:81" ht="14.25" customHeight="1" thickBot="1">
      <c r="A271" s="190">
        <v>261</v>
      </c>
      <c r="B271" s="78"/>
      <c r="C271" s="181"/>
      <c r="D271" s="86"/>
      <c r="E271" s="92" t="s">
        <v>29</v>
      </c>
      <c r="F271" s="88"/>
      <c r="G271" s="93"/>
      <c r="H271" s="93"/>
      <c r="I271" s="93"/>
      <c r="J271" s="93"/>
      <c r="K271" s="81">
        <f t="shared" si="128"/>
        <v>0</v>
      </c>
      <c r="L271" s="88"/>
      <c r="M271" s="85"/>
      <c r="N271" s="337"/>
      <c r="O271" s="343" t="s">
        <v>65</v>
      </c>
      <c r="P271" s="88"/>
      <c r="Q271" s="93"/>
      <c r="R271" s="93"/>
      <c r="S271" s="89"/>
      <c r="T271" s="93"/>
      <c r="U271" s="212">
        <f t="shared" si="129"/>
        <v>0</v>
      </c>
      <c r="V271" s="281"/>
      <c r="W271" s="282"/>
      <c r="X271" s="352"/>
      <c r="Y271" s="210" t="s">
        <v>85</v>
      </c>
      <c r="Z271" s="72"/>
      <c r="AA271" s="323"/>
      <c r="AB271" s="323"/>
      <c r="AC271" s="324"/>
      <c r="AD271" s="93"/>
      <c r="AE271" s="81">
        <f t="shared" si="130"/>
        <v>0</v>
      </c>
      <c r="AF271" s="72"/>
      <c r="AG271" s="324"/>
      <c r="AH271" s="361"/>
      <c r="AI271" s="98"/>
      <c r="AJ271" s="95"/>
      <c r="AK271" s="215"/>
      <c r="AL271" s="206"/>
      <c r="AM271" s="83"/>
      <c r="AN271" s="206"/>
      <c r="AO271" s="83"/>
      <c r="AP271" s="206"/>
      <c r="AQ271" s="83"/>
      <c r="AR271" s="13">
        <f t="shared" si="131"/>
        <v>2.7099999999999998E-5</v>
      </c>
      <c r="AS271" s="13">
        <f t="shared" si="132"/>
        <v>0</v>
      </c>
      <c r="AT271" s="13"/>
      <c r="AU271" s="160">
        <v>276</v>
      </c>
      <c r="AV271" s="191">
        <f t="shared" si="146"/>
        <v>1.3499999999999999E-5</v>
      </c>
      <c r="AW271" s="160">
        <f t="shared" si="133"/>
        <v>0</v>
      </c>
      <c r="AX271" s="219">
        <f t="shared" si="134"/>
        <v>2.7099999999999998E-5</v>
      </c>
      <c r="AY271" s="13">
        <f t="shared" si="137"/>
        <v>0</v>
      </c>
      <c r="AZ271" s="160">
        <v>276</v>
      </c>
      <c r="BA271" s="77">
        <f t="shared" si="147"/>
        <v>1.2099999999999999E-5</v>
      </c>
      <c r="BB271" s="192">
        <f t="shared" si="135"/>
        <v>0</v>
      </c>
      <c r="BC271" s="219">
        <f t="shared" si="138"/>
        <v>2.7099999999999998E-5</v>
      </c>
      <c r="BD271" s="13">
        <f t="shared" si="139"/>
        <v>0</v>
      </c>
      <c r="BE271" s="160">
        <v>276</v>
      </c>
      <c r="BF271" s="77">
        <f t="shared" si="148"/>
        <v>1.2099999999999999E-5</v>
      </c>
      <c r="BG271" s="192">
        <f t="shared" si="136"/>
        <v>0</v>
      </c>
      <c r="BI271" s="120"/>
      <c r="BJ271" s="120"/>
      <c r="BK271" s="160"/>
      <c r="BL271" s="160"/>
      <c r="BM271" s="161" t="str">
        <f t="shared" si="150"/>
        <v/>
      </c>
      <c r="BN271" s="161" t="str">
        <f t="shared" si="140"/>
        <v/>
      </c>
      <c r="BO271" s="161" t="str">
        <f t="shared" si="151"/>
        <v/>
      </c>
      <c r="BP271" s="161" t="str">
        <f t="shared" si="141"/>
        <v/>
      </c>
      <c r="BQ271" s="161" t="str">
        <f t="shared" si="142"/>
        <v/>
      </c>
      <c r="BR271" s="161" t="str">
        <f t="shared" si="152"/>
        <v/>
      </c>
      <c r="BS271" s="161" t="str">
        <f t="shared" si="143"/>
        <v/>
      </c>
      <c r="BT271" s="161" t="str">
        <f t="shared" si="144"/>
        <v/>
      </c>
      <c r="BU271" s="161" t="str">
        <f t="shared" si="153"/>
        <v/>
      </c>
      <c r="BV271" s="161" t="str">
        <f t="shared" si="145"/>
        <v/>
      </c>
      <c r="BW271" s="161" t="str">
        <f t="shared" si="154"/>
        <v/>
      </c>
      <c r="BX271" s="161" t="str">
        <f t="shared" si="149"/>
        <v/>
      </c>
      <c r="BY271" s="148"/>
      <c r="BZ271" s="148"/>
      <c r="CA271" s="148"/>
      <c r="CB271" s="148" t="s">
        <v>149</v>
      </c>
      <c r="CC271" s="148"/>
    </row>
    <row r="272" spans="1:81" ht="14.25" customHeight="1" thickBot="1">
      <c r="A272" s="190">
        <v>262</v>
      </c>
      <c r="B272" s="79"/>
      <c r="C272" s="179"/>
      <c r="D272" s="137"/>
      <c r="E272" s="198" t="s">
        <v>29</v>
      </c>
      <c r="F272" s="199"/>
      <c r="G272" s="200"/>
      <c r="H272" s="200"/>
      <c r="I272" s="200"/>
      <c r="J272" s="200"/>
      <c r="K272" s="201">
        <f t="shared" si="128"/>
        <v>0</v>
      </c>
      <c r="L272" s="189"/>
      <c r="M272" s="84"/>
      <c r="N272" s="335"/>
      <c r="O272" s="341" t="s">
        <v>65</v>
      </c>
      <c r="P272" s="189"/>
      <c r="Q272" s="326"/>
      <c r="R272" s="326"/>
      <c r="S272" s="87"/>
      <c r="T272" s="207"/>
      <c r="U272" s="225">
        <f t="shared" si="129"/>
        <v>0</v>
      </c>
      <c r="V272" s="277"/>
      <c r="W272" s="278"/>
      <c r="X272" s="350"/>
      <c r="Y272" s="208" t="s">
        <v>147</v>
      </c>
      <c r="Z272" s="11"/>
      <c r="AA272" s="207"/>
      <c r="AB272" s="207"/>
      <c r="AC272" s="3"/>
      <c r="AD272" s="207"/>
      <c r="AE272" s="226">
        <f t="shared" si="130"/>
        <v>0</v>
      </c>
      <c r="AF272" s="11"/>
      <c r="AG272" s="3"/>
      <c r="AH272" s="359"/>
      <c r="AI272" s="96"/>
      <c r="AJ272" s="94"/>
      <c r="AK272" s="214"/>
      <c r="AL272" s="213"/>
      <c r="AM272" s="82"/>
      <c r="AN272" s="213"/>
      <c r="AO272" s="82"/>
      <c r="AP272" s="213"/>
      <c r="AQ272" s="82"/>
      <c r="AR272" s="13">
        <f t="shared" si="131"/>
        <v>2.7199999999999997E-5</v>
      </c>
      <c r="AS272" s="13">
        <f t="shared" si="132"/>
        <v>0</v>
      </c>
      <c r="AT272" s="13"/>
      <c r="AU272" s="160">
        <v>277</v>
      </c>
      <c r="AV272" s="191">
        <f t="shared" si="146"/>
        <v>1.3399999999999999E-5</v>
      </c>
      <c r="AW272" s="160">
        <f t="shared" si="133"/>
        <v>0</v>
      </c>
      <c r="AX272" s="219">
        <f t="shared" si="134"/>
        <v>2.7199999999999997E-5</v>
      </c>
      <c r="AY272" s="13">
        <f t="shared" si="137"/>
        <v>0</v>
      </c>
      <c r="AZ272" s="160">
        <v>277</v>
      </c>
      <c r="BA272" s="77">
        <f t="shared" si="147"/>
        <v>1.2E-5</v>
      </c>
      <c r="BB272" s="192">
        <f t="shared" si="135"/>
        <v>0</v>
      </c>
      <c r="BC272" s="219">
        <f t="shared" si="138"/>
        <v>2.7199999999999997E-5</v>
      </c>
      <c r="BD272" s="13">
        <f t="shared" si="139"/>
        <v>0</v>
      </c>
      <c r="BE272" s="160">
        <v>277</v>
      </c>
      <c r="BF272" s="77">
        <f t="shared" si="148"/>
        <v>1.2E-5</v>
      </c>
      <c r="BG272" s="192">
        <f t="shared" si="136"/>
        <v>0</v>
      </c>
      <c r="BI272" s="120"/>
      <c r="BJ272" s="120"/>
      <c r="BK272" s="160"/>
      <c r="BL272" s="160"/>
      <c r="BM272" s="161" t="str">
        <f t="shared" si="150"/>
        <v/>
      </c>
      <c r="BN272" s="161" t="str">
        <f t="shared" si="140"/>
        <v/>
      </c>
      <c r="BO272" s="161" t="str">
        <f t="shared" si="151"/>
        <v/>
      </c>
      <c r="BP272" s="161" t="str">
        <f t="shared" si="141"/>
        <v/>
      </c>
      <c r="BQ272" s="161" t="str">
        <f t="shared" si="142"/>
        <v/>
      </c>
      <c r="BR272" s="161" t="str">
        <f t="shared" si="152"/>
        <v/>
      </c>
      <c r="BS272" s="161" t="str">
        <f t="shared" si="143"/>
        <v/>
      </c>
      <c r="BT272" s="161" t="str">
        <f t="shared" si="144"/>
        <v/>
      </c>
      <c r="BU272" s="161" t="str">
        <f t="shared" si="153"/>
        <v/>
      </c>
      <c r="BV272" s="161" t="str">
        <f t="shared" si="145"/>
        <v/>
      </c>
      <c r="BW272" s="161" t="str">
        <f t="shared" si="154"/>
        <v/>
      </c>
      <c r="BX272" s="161" t="str">
        <f t="shared" si="149"/>
        <v/>
      </c>
      <c r="BY272" s="148"/>
      <c r="BZ272" s="148"/>
      <c r="CA272" s="148"/>
      <c r="CB272" s="148" t="s">
        <v>149</v>
      </c>
      <c r="CC272" s="148"/>
    </row>
    <row r="273" spans="1:81" ht="14.25" customHeight="1" thickBot="1">
      <c r="A273" s="190">
        <v>263</v>
      </c>
      <c r="B273" s="196"/>
      <c r="C273" s="180"/>
      <c r="D273" s="136"/>
      <c r="E273" s="91" t="s">
        <v>29</v>
      </c>
      <c r="F273" s="187"/>
      <c r="G273" s="188"/>
      <c r="H273" s="188"/>
      <c r="I273" s="188"/>
      <c r="J273" s="188"/>
      <c r="K273" s="18">
        <f t="shared" si="128"/>
        <v>0</v>
      </c>
      <c r="L273" s="187"/>
      <c r="M273" s="118"/>
      <c r="N273" s="336"/>
      <c r="O273" s="342" t="s">
        <v>65</v>
      </c>
      <c r="P273" s="187"/>
      <c r="Q273" s="188"/>
      <c r="R273" s="188"/>
      <c r="S273" s="119"/>
      <c r="T273" s="188"/>
      <c r="U273" s="211">
        <f t="shared" si="129"/>
        <v>0</v>
      </c>
      <c r="V273" s="279"/>
      <c r="W273" s="280"/>
      <c r="X273" s="351"/>
      <c r="Y273" s="209" t="s">
        <v>85</v>
      </c>
      <c r="Z273" s="71"/>
      <c r="AA273" s="321"/>
      <c r="AB273" s="321"/>
      <c r="AC273" s="322"/>
      <c r="AD273" s="188"/>
      <c r="AE273" s="18">
        <f t="shared" si="130"/>
        <v>0</v>
      </c>
      <c r="AF273" s="71"/>
      <c r="AG273" s="322"/>
      <c r="AH273" s="360"/>
      <c r="AI273" s="97"/>
      <c r="AJ273" s="194"/>
      <c r="AK273" s="193"/>
      <c r="AL273" s="205"/>
      <c r="AM273" s="197"/>
      <c r="AN273" s="205"/>
      <c r="AO273" s="197"/>
      <c r="AP273" s="205"/>
      <c r="AQ273" s="197"/>
      <c r="AR273" s="13">
        <f t="shared" si="131"/>
        <v>2.73E-5</v>
      </c>
      <c r="AS273" s="13">
        <f t="shared" si="132"/>
        <v>0</v>
      </c>
      <c r="AT273" s="13"/>
      <c r="AU273" s="160">
        <v>278</v>
      </c>
      <c r="AV273" s="191">
        <f t="shared" si="146"/>
        <v>1.33E-5</v>
      </c>
      <c r="AW273" s="160">
        <f t="shared" si="133"/>
        <v>0</v>
      </c>
      <c r="AX273" s="219">
        <f t="shared" si="134"/>
        <v>2.73E-5</v>
      </c>
      <c r="AY273" s="13">
        <f t="shared" si="137"/>
        <v>0</v>
      </c>
      <c r="AZ273" s="160">
        <v>278</v>
      </c>
      <c r="BA273" s="77">
        <f t="shared" si="147"/>
        <v>1.19E-5</v>
      </c>
      <c r="BB273" s="192">
        <f t="shared" si="135"/>
        <v>0</v>
      </c>
      <c r="BC273" s="219">
        <f t="shared" si="138"/>
        <v>2.73E-5</v>
      </c>
      <c r="BD273" s="13">
        <f t="shared" si="139"/>
        <v>0</v>
      </c>
      <c r="BE273" s="160">
        <v>278</v>
      </c>
      <c r="BF273" s="77">
        <f t="shared" si="148"/>
        <v>1.19E-5</v>
      </c>
      <c r="BG273" s="192">
        <f t="shared" si="136"/>
        <v>0</v>
      </c>
      <c r="BI273" s="120"/>
      <c r="BJ273" s="120"/>
      <c r="BK273" s="160"/>
      <c r="BL273" s="160"/>
      <c r="BM273" s="161" t="str">
        <f t="shared" si="150"/>
        <v/>
      </c>
      <c r="BN273" s="161" t="str">
        <f t="shared" si="140"/>
        <v/>
      </c>
      <c r="BO273" s="161" t="str">
        <f t="shared" si="151"/>
        <v/>
      </c>
      <c r="BP273" s="161" t="str">
        <f t="shared" si="141"/>
        <v/>
      </c>
      <c r="BQ273" s="161" t="str">
        <f t="shared" si="142"/>
        <v/>
      </c>
      <c r="BR273" s="161" t="str">
        <f t="shared" si="152"/>
        <v/>
      </c>
      <c r="BS273" s="161" t="str">
        <f t="shared" si="143"/>
        <v/>
      </c>
      <c r="BT273" s="161" t="str">
        <f t="shared" si="144"/>
        <v/>
      </c>
      <c r="BU273" s="161" t="str">
        <f t="shared" si="153"/>
        <v/>
      </c>
      <c r="BV273" s="161" t="str">
        <f t="shared" si="145"/>
        <v/>
      </c>
      <c r="BW273" s="161" t="str">
        <f t="shared" si="154"/>
        <v/>
      </c>
      <c r="BX273" s="161" t="str">
        <f t="shared" si="149"/>
        <v/>
      </c>
      <c r="BY273" s="148"/>
      <c r="BZ273" s="148"/>
      <c r="CA273" s="148"/>
      <c r="CB273" s="148" t="s">
        <v>149</v>
      </c>
      <c r="CC273" s="148"/>
    </row>
    <row r="274" spans="1:81" ht="14.25" customHeight="1" thickBot="1">
      <c r="A274" s="190">
        <v>264</v>
      </c>
      <c r="B274" s="78"/>
      <c r="C274" s="181"/>
      <c r="D274" s="86"/>
      <c r="E274" s="92" t="s">
        <v>29</v>
      </c>
      <c r="F274" s="88"/>
      <c r="G274" s="93"/>
      <c r="H274" s="93"/>
      <c r="I274" s="93"/>
      <c r="J274" s="93"/>
      <c r="K274" s="81">
        <f t="shared" si="128"/>
        <v>0</v>
      </c>
      <c r="L274" s="88"/>
      <c r="M274" s="85"/>
      <c r="N274" s="337"/>
      <c r="O274" s="343" t="s">
        <v>65</v>
      </c>
      <c r="P274" s="88"/>
      <c r="Q274" s="93"/>
      <c r="R274" s="93"/>
      <c r="S274" s="89"/>
      <c r="T274" s="93"/>
      <c r="U274" s="212">
        <f t="shared" si="129"/>
        <v>0</v>
      </c>
      <c r="V274" s="281"/>
      <c r="W274" s="282"/>
      <c r="X274" s="352"/>
      <c r="Y274" s="210" t="s">
        <v>85</v>
      </c>
      <c r="Z274" s="72"/>
      <c r="AA274" s="323"/>
      <c r="AB274" s="323"/>
      <c r="AC274" s="324"/>
      <c r="AD274" s="93"/>
      <c r="AE274" s="81">
        <f t="shared" si="130"/>
        <v>0</v>
      </c>
      <c r="AF274" s="72"/>
      <c r="AG274" s="324"/>
      <c r="AH274" s="361"/>
      <c r="AI274" s="98"/>
      <c r="AJ274" s="95"/>
      <c r="AK274" s="215"/>
      <c r="AL274" s="206"/>
      <c r="AM274" s="83"/>
      <c r="AN274" s="206"/>
      <c r="AO274" s="83"/>
      <c r="AP274" s="206"/>
      <c r="AQ274" s="83"/>
      <c r="AR274" s="13">
        <f t="shared" si="131"/>
        <v>2.7399999999999999E-5</v>
      </c>
      <c r="AS274" s="13">
        <f t="shared" si="132"/>
        <v>0</v>
      </c>
      <c r="AT274" s="13"/>
      <c r="AU274" s="160">
        <v>279</v>
      </c>
      <c r="AV274" s="191">
        <f t="shared" si="146"/>
        <v>1.3199999999999999E-5</v>
      </c>
      <c r="AW274" s="160">
        <f t="shared" si="133"/>
        <v>0</v>
      </c>
      <c r="AX274" s="219">
        <f t="shared" si="134"/>
        <v>2.7399999999999999E-5</v>
      </c>
      <c r="AY274" s="13">
        <f t="shared" si="137"/>
        <v>0</v>
      </c>
      <c r="AZ274" s="160">
        <v>279</v>
      </c>
      <c r="BA274" s="77">
        <f t="shared" si="147"/>
        <v>1.1799999999999999E-5</v>
      </c>
      <c r="BB274" s="192">
        <f t="shared" si="135"/>
        <v>0</v>
      </c>
      <c r="BC274" s="219">
        <f t="shared" si="138"/>
        <v>2.7399999999999999E-5</v>
      </c>
      <c r="BD274" s="13">
        <f t="shared" si="139"/>
        <v>0</v>
      </c>
      <c r="BE274" s="160">
        <v>279</v>
      </c>
      <c r="BF274" s="77">
        <f t="shared" si="148"/>
        <v>1.1799999999999999E-5</v>
      </c>
      <c r="BG274" s="192">
        <f t="shared" si="136"/>
        <v>0</v>
      </c>
      <c r="BI274" s="120"/>
      <c r="BJ274" s="120"/>
      <c r="BK274" s="160"/>
      <c r="BL274" s="160"/>
      <c r="BM274" s="161" t="str">
        <f t="shared" si="150"/>
        <v/>
      </c>
      <c r="BN274" s="161" t="str">
        <f t="shared" si="140"/>
        <v/>
      </c>
      <c r="BO274" s="161" t="str">
        <f t="shared" si="151"/>
        <v/>
      </c>
      <c r="BP274" s="161" t="str">
        <f t="shared" si="141"/>
        <v/>
      </c>
      <c r="BQ274" s="161" t="str">
        <f t="shared" si="142"/>
        <v/>
      </c>
      <c r="BR274" s="161" t="str">
        <f t="shared" si="152"/>
        <v/>
      </c>
      <c r="BS274" s="161" t="str">
        <f t="shared" si="143"/>
        <v/>
      </c>
      <c r="BT274" s="161" t="str">
        <f t="shared" si="144"/>
        <v/>
      </c>
      <c r="BU274" s="161" t="str">
        <f t="shared" si="153"/>
        <v/>
      </c>
      <c r="BV274" s="161" t="str">
        <f t="shared" si="145"/>
        <v/>
      </c>
      <c r="BW274" s="161" t="str">
        <f t="shared" si="154"/>
        <v/>
      </c>
      <c r="BX274" s="161" t="str">
        <f t="shared" si="149"/>
        <v/>
      </c>
      <c r="BY274" s="148"/>
      <c r="BZ274" s="148"/>
      <c r="CA274" s="148"/>
      <c r="CB274" s="148" t="s">
        <v>149</v>
      </c>
      <c r="CC274" s="148"/>
    </row>
    <row r="275" spans="1:81" ht="14.25" customHeight="1" thickBot="1">
      <c r="A275" s="190">
        <v>265</v>
      </c>
      <c r="B275" s="79"/>
      <c r="C275" s="179"/>
      <c r="D275" s="137"/>
      <c r="E275" s="198" t="s">
        <v>29</v>
      </c>
      <c r="F275" s="199"/>
      <c r="G275" s="200"/>
      <c r="H275" s="200"/>
      <c r="I275" s="200"/>
      <c r="J275" s="200"/>
      <c r="K275" s="201">
        <f t="shared" si="128"/>
        <v>0</v>
      </c>
      <c r="L275" s="189"/>
      <c r="M275" s="84"/>
      <c r="N275" s="335"/>
      <c r="O275" s="341" t="s">
        <v>65</v>
      </c>
      <c r="P275" s="189"/>
      <c r="Q275" s="326"/>
      <c r="R275" s="326"/>
      <c r="S275" s="87"/>
      <c r="T275" s="207"/>
      <c r="U275" s="225">
        <f t="shared" si="129"/>
        <v>0</v>
      </c>
      <c r="V275" s="277"/>
      <c r="W275" s="278"/>
      <c r="X275" s="350"/>
      <c r="Y275" s="208" t="s">
        <v>147</v>
      </c>
      <c r="Z275" s="11"/>
      <c r="AA275" s="207"/>
      <c r="AB275" s="207"/>
      <c r="AC275" s="3"/>
      <c r="AD275" s="207"/>
      <c r="AE275" s="226">
        <f t="shared" si="130"/>
        <v>0</v>
      </c>
      <c r="AF275" s="11"/>
      <c r="AG275" s="3"/>
      <c r="AH275" s="359"/>
      <c r="AI275" s="96"/>
      <c r="AJ275" s="94"/>
      <c r="AK275" s="214"/>
      <c r="AL275" s="213"/>
      <c r="AM275" s="82"/>
      <c r="AN275" s="213"/>
      <c r="AO275" s="82"/>
      <c r="AP275" s="213"/>
      <c r="AQ275" s="82"/>
      <c r="AR275" s="13">
        <f t="shared" si="131"/>
        <v>2.7499999999999998E-5</v>
      </c>
      <c r="AS275" s="13">
        <f t="shared" si="132"/>
        <v>0</v>
      </c>
      <c r="AT275" s="13"/>
      <c r="AU275" s="160">
        <v>280</v>
      </c>
      <c r="AV275" s="191">
        <f t="shared" si="146"/>
        <v>1.31E-5</v>
      </c>
      <c r="AW275" s="160">
        <f t="shared" si="133"/>
        <v>0</v>
      </c>
      <c r="AX275" s="219">
        <f t="shared" si="134"/>
        <v>2.7499999999999998E-5</v>
      </c>
      <c r="AY275" s="13">
        <f t="shared" si="137"/>
        <v>0</v>
      </c>
      <c r="AZ275" s="160">
        <v>280</v>
      </c>
      <c r="BA275" s="77">
        <f t="shared" si="147"/>
        <v>1.17E-5</v>
      </c>
      <c r="BB275" s="192">
        <f t="shared" si="135"/>
        <v>0</v>
      </c>
      <c r="BC275" s="219">
        <f t="shared" si="138"/>
        <v>2.7499999999999998E-5</v>
      </c>
      <c r="BD275" s="13">
        <f t="shared" si="139"/>
        <v>0</v>
      </c>
      <c r="BE275" s="160">
        <v>280</v>
      </c>
      <c r="BF275" s="77">
        <f t="shared" si="148"/>
        <v>1.17E-5</v>
      </c>
      <c r="BG275" s="192">
        <f t="shared" si="136"/>
        <v>0</v>
      </c>
      <c r="BI275" s="120"/>
      <c r="BJ275" s="120"/>
      <c r="BK275" s="160"/>
      <c r="BL275" s="160"/>
      <c r="BM275" s="161" t="str">
        <f t="shared" si="150"/>
        <v/>
      </c>
      <c r="BN275" s="161" t="str">
        <f t="shared" si="140"/>
        <v/>
      </c>
      <c r="BO275" s="161" t="str">
        <f t="shared" si="151"/>
        <v/>
      </c>
      <c r="BP275" s="161" t="str">
        <f t="shared" si="141"/>
        <v/>
      </c>
      <c r="BQ275" s="161" t="str">
        <f t="shared" si="142"/>
        <v/>
      </c>
      <c r="BR275" s="161" t="str">
        <f t="shared" si="152"/>
        <v/>
      </c>
      <c r="BS275" s="161" t="str">
        <f t="shared" si="143"/>
        <v/>
      </c>
      <c r="BT275" s="161" t="str">
        <f t="shared" si="144"/>
        <v/>
      </c>
      <c r="BU275" s="161" t="str">
        <f t="shared" si="153"/>
        <v/>
      </c>
      <c r="BV275" s="161" t="str">
        <f t="shared" si="145"/>
        <v/>
      </c>
      <c r="BW275" s="161" t="str">
        <f t="shared" si="154"/>
        <v/>
      </c>
      <c r="BX275" s="161" t="str">
        <f t="shared" si="149"/>
        <v/>
      </c>
      <c r="BY275" s="148"/>
      <c r="BZ275" s="148"/>
      <c r="CA275" s="148"/>
      <c r="CB275" s="148" t="s">
        <v>149</v>
      </c>
      <c r="CC275" s="148"/>
    </row>
    <row r="276" spans="1:81" ht="14.25" customHeight="1" thickBot="1">
      <c r="A276" s="190">
        <v>266</v>
      </c>
      <c r="B276" s="196"/>
      <c r="C276" s="180"/>
      <c r="D276" s="136"/>
      <c r="E276" s="91" t="s">
        <v>29</v>
      </c>
      <c r="F276" s="187"/>
      <c r="G276" s="188"/>
      <c r="H276" s="188"/>
      <c r="I276" s="188"/>
      <c r="J276" s="188"/>
      <c r="K276" s="18">
        <f t="shared" si="128"/>
        <v>0</v>
      </c>
      <c r="L276" s="187"/>
      <c r="M276" s="118"/>
      <c r="N276" s="336"/>
      <c r="O276" s="342" t="s">
        <v>65</v>
      </c>
      <c r="P276" s="187"/>
      <c r="Q276" s="188"/>
      <c r="R276" s="188"/>
      <c r="S276" s="119"/>
      <c r="T276" s="188"/>
      <c r="U276" s="211">
        <f t="shared" si="129"/>
        <v>0</v>
      </c>
      <c r="V276" s="279"/>
      <c r="W276" s="280"/>
      <c r="X276" s="351"/>
      <c r="Y276" s="209" t="s">
        <v>85</v>
      </c>
      <c r="Z276" s="71"/>
      <c r="AA276" s="321"/>
      <c r="AB276" s="321"/>
      <c r="AC276" s="322"/>
      <c r="AD276" s="188"/>
      <c r="AE276" s="18">
        <f t="shared" si="130"/>
        <v>0</v>
      </c>
      <c r="AF276" s="71"/>
      <c r="AG276" s="322"/>
      <c r="AH276" s="360"/>
      <c r="AI276" s="97"/>
      <c r="AJ276" s="194"/>
      <c r="AK276" s="193"/>
      <c r="AL276" s="205"/>
      <c r="AM276" s="197"/>
      <c r="AN276" s="205"/>
      <c r="AO276" s="197"/>
      <c r="AP276" s="205"/>
      <c r="AQ276" s="197"/>
      <c r="AR276" s="13">
        <f t="shared" si="131"/>
        <v>2.76E-5</v>
      </c>
      <c r="AS276" s="13">
        <f t="shared" si="132"/>
        <v>0</v>
      </c>
      <c r="AT276" s="13"/>
      <c r="AU276" s="160">
        <v>281</v>
      </c>
      <c r="AV276" s="191">
        <f t="shared" si="146"/>
        <v>1.2999999999999999E-5</v>
      </c>
      <c r="AW276" s="160">
        <f t="shared" si="133"/>
        <v>0</v>
      </c>
      <c r="AX276" s="219">
        <f t="shared" si="134"/>
        <v>2.76E-5</v>
      </c>
      <c r="AY276" s="13">
        <f t="shared" si="137"/>
        <v>0</v>
      </c>
      <c r="AZ276" s="160">
        <v>281</v>
      </c>
      <c r="BA276" s="77">
        <f t="shared" si="147"/>
        <v>1.1599999999999999E-5</v>
      </c>
      <c r="BB276" s="192">
        <f t="shared" si="135"/>
        <v>0</v>
      </c>
      <c r="BC276" s="219">
        <f t="shared" si="138"/>
        <v>2.76E-5</v>
      </c>
      <c r="BD276" s="13">
        <f t="shared" si="139"/>
        <v>0</v>
      </c>
      <c r="BE276" s="160">
        <v>281</v>
      </c>
      <c r="BF276" s="77">
        <f t="shared" si="148"/>
        <v>1.1599999999999999E-5</v>
      </c>
      <c r="BG276" s="192">
        <f t="shared" si="136"/>
        <v>0</v>
      </c>
      <c r="BI276" s="120"/>
      <c r="BJ276" s="120"/>
      <c r="BK276" s="160"/>
      <c r="BL276" s="160"/>
      <c r="BM276" s="161" t="str">
        <f t="shared" si="150"/>
        <v/>
      </c>
      <c r="BN276" s="161" t="str">
        <f t="shared" si="140"/>
        <v/>
      </c>
      <c r="BO276" s="161" t="str">
        <f t="shared" si="151"/>
        <v/>
      </c>
      <c r="BP276" s="161" t="str">
        <f t="shared" si="141"/>
        <v/>
      </c>
      <c r="BQ276" s="161" t="str">
        <f t="shared" si="142"/>
        <v/>
      </c>
      <c r="BR276" s="161" t="str">
        <f t="shared" si="152"/>
        <v/>
      </c>
      <c r="BS276" s="161" t="str">
        <f t="shared" si="143"/>
        <v/>
      </c>
      <c r="BT276" s="161" t="str">
        <f t="shared" si="144"/>
        <v/>
      </c>
      <c r="BU276" s="161" t="str">
        <f t="shared" si="153"/>
        <v/>
      </c>
      <c r="BV276" s="161" t="str">
        <f t="shared" si="145"/>
        <v/>
      </c>
      <c r="BW276" s="161" t="str">
        <f t="shared" si="154"/>
        <v/>
      </c>
      <c r="BX276" s="161" t="str">
        <f t="shared" si="149"/>
        <v/>
      </c>
      <c r="BY276" s="148"/>
      <c r="BZ276" s="148"/>
      <c r="CA276" s="148"/>
      <c r="CB276" s="148" t="s">
        <v>149</v>
      </c>
      <c r="CC276" s="148"/>
    </row>
    <row r="277" spans="1:81" ht="14.25" customHeight="1" thickBot="1">
      <c r="A277" s="190">
        <v>267</v>
      </c>
      <c r="B277" s="78"/>
      <c r="C277" s="181"/>
      <c r="D277" s="86"/>
      <c r="E277" s="92" t="s">
        <v>29</v>
      </c>
      <c r="F277" s="88"/>
      <c r="G277" s="93"/>
      <c r="H277" s="93"/>
      <c r="I277" s="93"/>
      <c r="J277" s="93"/>
      <c r="K277" s="81">
        <f t="shared" si="128"/>
        <v>0</v>
      </c>
      <c r="L277" s="88"/>
      <c r="M277" s="85"/>
      <c r="N277" s="337"/>
      <c r="O277" s="343" t="s">
        <v>65</v>
      </c>
      <c r="P277" s="88"/>
      <c r="Q277" s="93"/>
      <c r="R277" s="93"/>
      <c r="S277" s="89"/>
      <c r="T277" s="93"/>
      <c r="U277" s="212">
        <f t="shared" si="129"/>
        <v>0</v>
      </c>
      <c r="V277" s="281"/>
      <c r="W277" s="282"/>
      <c r="X277" s="352"/>
      <c r="Y277" s="210" t="s">
        <v>85</v>
      </c>
      <c r="Z277" s="72"/>
      <c r="AA277" s="323"/>
      <c r="AB277" s="323"/>
      <c r="AC277" s="324"/>
      <c r="AD277" s="93"/>
      <c r="AE277" s="81">
        <f t="shared" si="130"/>
        <v>0</v>
      </c>
      <c r="AF277" s="72"/>
      <c r="AG277" s="324"/>
      <c r="AH277" s="361"/>
      <c r="AI277" s="98"/>
      <c r="AJ277" s="95"/>
      <c r="AK277" s="215"/>
      <c r="AL277" s="206"/>
      <c r="AM277" s="83"/>
      <c r="AN277" s="206"/>
      <c r="AO277" s="83"/>
      <c r="AP277" s="206"/>
      <c r="AQ277" s="83"/>
      <c r="AR277" s="13">
        <f t="shared" si="131"/>
        <v>2.7699999999999999E-5</v>
      </c>
      <c r="AS277" s="13">
        <f t="shared" si="132"/>
        <v>0</v>
      </c>
      <c r="AT277" s="13"/>
      <c r="AU277" s="160">
        <v>282</v>
      </c>
      <c r="AV277" s="191">
        <f t="shared" si="146"/>
        <v>1.29E-5</v>
      </c>
      <c r="AW277" s="160">
        <f t="shared" si="133"/>
        <v>0</v>
      </c>
      <c r="AX277" s="219">
        <f t="shared" si="134"/>
        <v>2.7699999999999999E-5</v>
      </c>
      <c r="AY277" s="13">
        <f t="shared" si="137"/>
        <v>0</v>
      </c>
      <c r="AZ277" s="160">
        <v>282</v>
      </c>
      <c r="BA277" s="77">
        <f t="shared" si="147"/>
        <v>1.15E-5</v>
      </c>
      <c r="BB277" s="192">
        <f t="shared" si="135"/>
        <v>0</v>
      </c>
      <c r="BC277" s="219">
        <f t="shared" si="138"/>
        <v>2.7699999999999999E-5</v>
      </c>
      <c r="BD277" s="13">
        <f t="shared" si="139"/>
        <v>0</v>
      </c>
      <c r="BE277" s="160">
        <v>282</v>
      </c>
      <c r="BF277" s="77">
        <f t="shared" si="148"/>
        <v>1.15E-5</v>
      </c>
      <c r="BG277" s="192">
        <f t="shared" si="136"/>
        <v>0</v>
      </c>
      <c r="BI277" s="120"/>
      <c r="BJ277" s="120"/>
      <c r="BK277" s="160"/>
      <c r="BL277" s="160"/>
      <c r="BM277" s="161" t="str">
        <f t="shared" si="150"/>
        <v/>
      </c>
      <c r="BN277" s="161" t="str">
        <f t="shared" si="140"/>
        <v/>
      </c>
      <c r="BO277" s="161" t="str">
        <f t="shared" si="151"/>
        <v/>
      </c>
      <c r="BP277" s="161" t="str">
        <f t="shared" si="141"/>
        <v/>
      </c>
      <c r="BQ277" s="161" t="str">
        <f t="shared" si="142"/>
        <v/>
      </c>
      <c r="BR277" s="161" t="str">
        <f t="shared" si="152"/>
        <v/>
      </c>
      <c r="BS277" s="161" t="str">
        <f t="shared" si="143"/>
        <v/>
      </c>
      <c r="BT277" s="161" t="str">
        <f t="shared" si="144"/>
        <v/>
      </c>
      <c r="BU277" s="161" t="str">
        <f t="shared" si="153"/>
        <v/>
      </c>
      <c r="BV277" s="161" t="str">
        <f t="shared" si="145"/>
        <v/>
      </c>
      <c r="BW277" s="161" t="str">
        <f t="shared" si="154"/>
        <v/>
      </c>
      <c r="BX277" s="161" t="str">
        <f t="shared" si="149"/>
        <v/>
      </c>
      <c r="BY277" s="148"/>
      <c r="BZ277" s="148"/>
      <c r="CA277" s="148"/>
      <c r="CB277" s="148" t="s">
        <v>149</v>
      </c>
      <c r="CC277" s="148"/>
    </row>
    <row r="278" spans="1:81" ht="14.25" customHeight="1" thickBot="1">
      <c r="A278" s="190">
        <v>268</v>
      </c>
      <c r="B278" s="79"/>
      <c r="C278" s="179"/>
      <c r="D278" s="137"/>
      <c r="E278" s="198" t="s">
        <v>29</v>
      </c>
      <c r="F278" s="199"/>
      <c r="G278" s="200"/>
      <c r="H278" s="200"/>
      <c r="I278" s="200"/>
      <c r="J278" s="200"/>
      <c r="K278" s="201">
        <f t="shared" si="128"/>
        <v>0</v>
      </c>
      <c r="L278" s="189"/>
      <c r="M278" s="84"/>
      <c r="N278" s="335"/>
      <c r="O278" s="341" t="s">
        <v>65</v>
      </c>
      <c r="P278" s="189"/>
      <c r="Q278" s="326"/>
      <c r="R278" s="326"/>
      <c r="S278" s="87"/>
      <c r="T278" s="207"/>
      <c r="U278" s="225">
        <f t="shared" si="129"/>
        <v>0</v>
      </c>
      <c r="V278" s="277"/>
      <c r="W278" s="278"/>
      <c r="X278" s="350"/>
      <c r="Y278" s="208" t="s">
        <v>147</v>
      </c>
      <c r="Z278" s="11"/>
      <c r="AA278" s="207"/>
      <c r="AB278" s="207"/>
      <c r="AC278" s="3"/>
      <c r="AD278" s="207"/>
      <c r="AE278" s="226">
        <f t="shared" si="130"/>
        <v>0</v>
      </c>
      <c r="AF278" s="11"/>
      <c r="AG278" s="3"/>
      <c r="AH278" s="359"/>
      <c r="AI278" s="96"/>
      <c r="AJ278" s="94"/>
      <c r="AK278" s="214"/>
      <c r="AL278" s="213"/>
      <c r="AM278" s="82"/>
      <c r="AN278" s="213"/>
      <c r="AO278" s="82"/>
      <c r="AP278" s="213"/>
      <c r="AQ278" s="82"/>
      <c r="AR278" s="13">
        <f t="shared" si="131"/>
        <v>2.7799999999999998E-5</v>
      </c>
      <c r="AS278" s="13">
        <f t="shared" si="132"/>
        <v>0</v>
      </c>
      <c r="AT278" s="13"/>
      <c r="AU278" s="160">
        <v>283</v>
      </c>
      <c r="AV278" s="191">
        <f t="shared" si="146"/>
        <v>1.2799999999999999E-5</v>
      </c>
      <c r="AW278" s="160">
        <f t="shared" si="133"/>
        <v>0</v>
      </c>
      <c r="AX278" s="219">
        <f t="shared" si="134"/>
        <v>2.7799999999999998E-5</v>
      </c>
      <c r="AY278" s="13">
        <f t="shared" si="137"/>
        <v>0</v>
      </c>
      <c r="AZ278" s="160">
        <v>283</v>
      </c>
      <c r="BA278" s="77">
        <f t="shared" si="147"/>
        <v>1.1399999999999999E-5</v>
      </c>
      <c r="BB278" s="192">
        <f t="shared" si="135"/>
        <v>0</v>
      </c>
      <c r="BC278" s="219">
        <f t="shared" si="138"/>
        <v>2.7799999999999998E-5</v>
      </c>
      <c r="BD278" s="13">
        <f t="shared" si="139"/>
        <v>0</v>
      </c>
      <c r="BE278" s="160">
        <v>283</v>
      </c>
      <c r="BF278" s="77">
        <f t="shared" si="148"/>
        <v>1.1399999999999999E-5</v>
      </c>
      <c r="BG278" s="192">
        <f t="shared" si="136"/>
        <v>0</v>
      </c>
      <c r="BI278" s="120"/>
      <c r="BJ278" s="120"/>
      <c r="BK278" s="160"/>
      <c r="BL278" s="160"/>
      <c r="BM278" s="161" t="str">
        <f t="shared" si="150"/>
        <v/>
      </c>
      <c r="BN278" s="161" t="str">
        <f t="shared" si="140"/>
        <v/>
      </c>
      <c r="BO278" s="161" t="str">
        <f t="shared" si="151"/>
        <v/>
      </c>
      <c r="BP278" s="161" t="str">
        <f t="shared" si="141"/>
        <v/>
      </c>
      <c r="BQ278" s="161" t="str">
        <f t="shared" si="142"/>
        <v/>
      </c>
      <c r="BR278" s="161" t="str">
        <f t="shared" si="152"/>
        <v/>
      </c>
      <c r="BS278" s="161" t="str">
        <f t="shared" si="143"/>
        <v/>
      </c>
      <c r="BT278" s="161" t="str">
        <f t="shared" si="144"/>
        <v/>
      </c>
      <c r="BU278" s="161" t="str">
        <f t="shared" si="153"/>
        <v/>
      </c>
      <c r="BV278" s="161" t="str">
        <f t="shared" si="145"/>
        <v/>
      </c>
      <c r="BW278" s="161" t="str">
        <f t="shared" si="154"/>
        <v/>
      </c>
      <c r="BX278" s="161" t="str">
        <f t="shared" si="149"/>
        <v/>
      </c>
      <c r="BY278" s="148"/>
      <c r="BZ278" s="148"/>
      <c r="CA278" s="148"/>
      <c r="CB278" s="148" t="s">
        <v>149</v>
      </c>
      <c r="CC278" s="148"/>
    </row>
    <row r="279" spans="1:81" ht="14.25" customHeight="1" thickBot="1">
      <c r="A279" s="190">
        <v>269</v>
      </c>
      <c r="B279" s="196"/>
      <c r="C279" s="180"/>
      <c r="D279" s="136"/>
      <c r="E279" s="91" t="s">
        <v>29</v>
      </c>
      <c r="F279" s="187"/>
      <c r="G279" s="188"/>
      <c r="H279" s="188"/>
      <c r="I279" s="188"/>
      <c r="J279" s="188"/>
      <c r="K279" s="18">
        <f t="shared" si="128"/>
        <v>0</v>
      </c>
      <c r="L279" s="187"/>
      <c r="M279" s="118"/>
      <c r="N279" s="336"/>
      <c r="O279" s="342" t="s">
        <v>65</v>
      </c>
      <c r="P279" s="187"/>
      <c r="Q279" s="188"/>
      <c r="R279" s="188"/>
      <c r="S279" s="119"/>
      <c r="T279" s="188"/>
      <c r="U279" s="211">
        <f t="shared" si="129"/>
        <v>0</v>
      </c>
      <c r="V279" s="279"/>
      <c r="W279" s="280"/>
      <c r="X279" s="351"/>
      <c r="Y279" s="209" t="s">
        <v>85</v>
      </c>
      <c r="Z279" s="71"/>
      <c r="AA279" s="321"/>
      <c r="AB279" s="321"/>
      <c r="AC279" s="322"/>
      <c r="AD279" s="188"/>
      <c r="AE279" s="18">
        <f t="shared" si="130"/>
        <v>0</v>
      </c>
      <c r="AF279" s="71"/>
      <c r="AG279" s="322"/>
      <c r="AH279" s="360"/>
      <c r="AI279" s="97"/>
      <c r="AJ279" s="194"/>
      <c r="AK279" s="193"/>
      <c r="AL279" s="205"/>
      <c r="AM279" s="197"/>
      <c r="AN279" s="205"/>
      <c r="AO279" s="197"/>
      <c r="AP279" s="205"/>
      <c r="AQ279" s="197"/>
      <c r="AR279" s="13">
        <f t="shared" si="131"/>
        <v>2.7899999999999997E-5</v>
      </c>
      <c r="AS279" s="13">
        <f t="shared" si="132"/>
        <v>0</v>
      </c>
      <c r="AT279" s="13"/>
      <c r="AU279" s="160">
        <v>284</v>
      </c>
      <c r="AV279" s="191">
        <f t="shared" si="146"/>
        <v>1.2699999999999999E-5</v>
      </c>
      <c r="AW279" s="160">
        <f t="shared" si="133"/>
        <v>0</v>
      </c>
      <c r="AX279" s="219">
        <f t="shared" si="134"/>
        <v>2.7899999999999997E-5</v>
      </c>
      <c r="AY279" s="13">
        <f t="shared" si="137"/>
        <v>0</v>
      </c>
      <c r="AZ279" s="160">
        <v>284</v>
      </c>
      <c r="BA279" s="77">
        <f t="shared" si="147"/>
        <v>1.13E-5</v>
      </c>
      <c r="BB279" s="192">
        <f t="shared" si="135"/>
        <v>0</v>
      </c>
      <c r="BC279" s="219">
        <f t="shared" si="138"/>
        <v>2.7899999999999997E-5</v>
      </c>
      <c r="BD279" s="13">
        <f t="shared" si="139"/>
        <v>0</v>
      </c>
      <c r="BE279" s="160">
        <v>284</v>
      </c>
      <c r="BF279" s="77">
        <f t="shared" si="148"/>
        <v>1.13E-5</v>
      </c>
      <c r="BG279" s="192">
        <f t="shared" si="136"/>
        <v>0</v>
      </c>
      <c r="BI279" s="120"/>
      <c r="BJ279" s="120"/>
      <c r="BK279" s="160"/>
      <c r="BL279" s="160"/>
      <c r="BM279" s="161" t="str">
        <f t="shared" si="150"/>
        <v/>
      </c>
      <c r="BN279" s="161" t="str">
        <f t="shared" si="140"/>
        <v/>
      </c>
      <c r="BO279" s="161" t="str">
        <f t="shared" si="151"/>
        <v/>
      </c>
      <c r="BP279" s="161" t="str">
        <f t="shared" si="141"/>
        <v/>
      </c>
      <c r="BQ279" s="161" t="str">
        <f t="shared" si="142"/>
        <v/>
      </c>
      <c r="BR279" s="161" t="str">
        <f t="shared" si="152"/>
        <v/>
      </c>
      <c r="BS279" s="161" t="str">
        <f t="shared" si="143"/>
        <v/>
      </c>
      <c r="BT279" s="161" t="str">
        <f t="shared" si="144"/>
        <v/>
      </c>
      <c r="BU279" s="161" t="str">
        <f t="shared" si="153"/>
        <v/>
      </c>
      <c r="BV279" s="161" t="str">
        <f t="shared" si="145"/>
        <v/>
      </c>
      <c r="BW279" s="161" t="str">
        <f t="shared" si="154"/>
        <v/>
      </c>
      <c r="BX279" s="161" t="str">
        <f t="shared" si="149"/>
        <v/>
      </c>
      <c r="BY279" s="148"/>
      <c r="BZ279" s="148"/>
      <c r="CA279" s="148"/>
      <c r="CB279" s="148" t="s">
        <v>149</v>
      </c>
      <c r="CC279" s="148"/>
    </row>
    <row r="280" spans="1:81" ht="14.25" customHeight="1" thickBot="1">
      <c r="A280" s="190">
        <v>270</v>
      </c>
      <c r="B280" s="78"/>
      <c r="C280" s="181"/>
      <c r="D280" s="86"/>
      <c r="E280" s="92" t="s">
        <v>29</v>
      </c>
      <c r="F280" s="88"/>
      <c r="G280" s="93"/>
      <c r="H280" s="93"/>
      <c r="I280" s="93"/>
      <c r="J280" s="93"/>
      <c r="K280" s="81">
        <f t="shared" si="128"/>
        <v>0</v>
      </c>
      <c r="L280" s="88"/>
      <c r="M280" s="85"/>
      <c r="N280" s="337"/>
      <c r="O280" s="343" t="s">
        <v>65</v>
      </c>
      <c r="P280" s="88"/>
      <c r="Q280" s="93"/>
      <c r="R280" s="93"/>
      <c r="S280" s="89"/>
      <c r="T280" s="93"/>
      <c r="U280" s="212">
        <f t="shared" si="129"/>
        <v>0</v>
      </c>
      <c r="V280" s="281"/>
      <c r="W280" s="282"/>
      <c r="X280" s="352"/>
      <c r="Y280" s="210" t="s">
        <v>85</v>
      </c>
      <c r="Z280" s="72"/>
      <c r="AA280" s="323"/>
      <c r="AB280" s="323"/>
      <c r="AC280" s="324"/>
      <c r="AD280" s="93"/>
      <c r="AE280" s="81">
        <f t="shared" si="130"/>
        <v>0</v>
      </c>
      <c r="AF280" s="72"/>
      <c r="AG280" s="324"/>
      <c r="AH280" s="361"/>
      <c r="AI280" s="98"/>
      <c r="AJ280" s="95"/>
      <c r="AK280" s="215"/>
      <c r="AL280" s="206"/>
      <c r="AM280" s="83"/>
      <c r="AN280" s="206"/>
      <c r="AO280" s="83"/>
      <c r="AP280" s="206"/>
      <c r="AQ280" s="83"/>
      <c r="AR280" s="13">
        <f t="shared" si="131"/>
        <v>2.8E-5</v>
      </c>
      <c r="AS280" s="13">
        <f t="shared" si="132"/>
        <v>0</v>
      </c>
      <c r="AT280" s="13"/>
      <c r="AU280" s="160">
        <v>285</v>
      </c>
      <c r="AV280" s="191">
        <f t="shared" si="146"/>
        <v>1.26E-5</v>
      </c>
      <c r="AW280" s="160">
        <f t="shared" si="133"/>
        <v>0</v>
      </c>
      <c r="AX280" s="219">
        <f t="shared" si="134"/>
        <v>2.8E-5</v>
      </c>
      <c r="AY280" s="13">
        <f t="shared" si="137"/>
        <v>0</v>
      </c>
      <c r="AZ280" s="160">
        <v>285</v>
      </c>
      <c r="BA280" s="77">
        <f t="shared" si="147"/>
        <v>1.1199999999999999E-5</v>
      </c>
      <c r="BB280" s="192">
        <f t="shared" si="135"/>
        <v>0</v>
      </c>
      <c r="BC280" s="219">
        <f t="shared" si="138"/>
        <v>2.8E-5</v>
      </c>
      <c r="BD280" s="13">
        <f t="shared" si="139"/>
        <v>0</v>
      </c>
      <c r="BE280" s="160">
        <v>285</v>
      </c>
      <c r="BF280" s="77">
        <f t="shared" si="148"/>
        <v>1.1199999999999999E-5</v>
      </c>
      <c r="BG280" s="192">
        <f t="shared" si="136"/>
        <v>0</v>
      </c>
      <c r="BI280" s="120"/>
      <c r="BJ280" s="120"/>
      <c r="BK280" s="160"/>
      <c r="BL280" s="160"/>
      <c r="BM280" s="161" t="str">
        <f t="shared" si="150"/>
        <v/>
      </c>
      <c r="BN280" s="161" t="str">
        <f t="shared" si="140"/>
        <v/>
      </c>
      <c r="BO280" s="161" t="str">
        <f t="shared" si="151"/>
        <v/>
      </c>
      <c r="BP280" s="161" t="str">
        <f t="shared" si="141"/>
        <v/>
      </c>
      <c r="BQ280" s="161" t="str">
        <f t="shared" si="142"/>
        <v/>
      </c>
      <c r="BR280" s="161" t="str">
        <f t="shared" si="152"/>
        <v/>
      </c>
      <c r="BS280" s="161" t="str">
        <f t="shared" si="143"/>
        <v/>
      </c>
      <c r="BT280" s="161" t="str">
        <f t="shared" si="144"/>
        <v/>
      </c>
      <c r="BU280" s="161" t="str">
        <f t="shared" si="153"/>
        <v/>
      </c>
      <c r="BV280" s="161" t="str">
        <f t="shared" si="145"/>
        <v/>
      </c>
      <c r="BW280" s="161" t="str">
        <f t="shared" si="154"/>
        <v/>
      </c>
      <c r="BX280" s="161" t="str">
        <f t="shared" si="149"/>
        <v/>
      </c>
      <c r="BY280" s="148"/>
      <c r="BZ280" s="148"/>
      <c r="CA280" s="148"/>
      <c r="CB280" s="148" t="s">
        <v>149</v>
      </c>
      <c r="CC280" s="148"/>
    </row>
    <row r="281" spans="1:81" ht="14.25" customHeight="1" thickBot="1">
      <c r="A281" s="190">
        <v>271</v>
      </c>
      <c r="B281" s="79"/>
      <c r="C281" s="179"/>
      <c r="D281" s="137"/>
      <c r="E281" s="198" t="s">
        <v>29</v>
      </c>
      <c r="F281" s="199"/>
      <c r="G281" s="200"/>
      <c r="H281" s="200"/>
      <c r="I281" s="200"/>
      <c r="J281" s="200"/>
      <c r="K281" s="201">
        <f t="shared" si="128"/>
        <v>0</v>
      </c>
      <c r="L281" s="189"/>
      <c r="M281" s="84"/>
      <c r="N281" s="335"/>
      <c r="O281" s="341" t="s">
        <v>65</v>
      </c>
      <c r="P281" s="189"/>
      <c r="Q281" s="326"/>
      <c r="R281" s="326"/>
      <c r="S281" s="87"/>
      <c r="T281" s="207"/>
      <c r="U281" s="225">
        <f t="shared" si="129"/>
        <v>0</v>
      </c>
      <c r="V281" s="277"/>
      <c r="W281" s="278"/>
      <c r="X281" s="350"/>
      <c r="Y281" s="208" t="s">
        <v>147</v>
      </c>
      <c r="Z281" s="11"/>
      <c r="AA281" s="207"/>
      <c r="AB281" s="207"/>
      <c r="AC281" s="3"/>
      <c r="AD281" s="207"/>
      <c r="AE281" s="226">
        <f t="shared" si="130"/>
        <v>0</v>
      </c>
      <c r="AF281" s="11"/>
      <c r="AG281" s="3"/>
      <c r="AH281" s="359"/>
      <c r="AI281" s="96"/>
      <c r="AJ281" s="94"/>
      <c r="AK281" s="214"/>
      <c r="AL281" s="213"/>
      <c r="AM281" s="82"/>
      <c r="AN281" s="213"/>
      <c r="AO281" s="82"/>
      <c r="AP281" s="213"/>
      <c r="AQ281" s="82"/>
      <c r="AR281" s="13">
        <f t="shared" si="131"/>
        <v>2.8099999999999999E-5</v>
      </c>
      <c r="AS281" s="13">
        <f t="shared" si="132"/>
        <v>0</v>
      </c>
      <c r="AT281" s="13"/>
      <c r="AU281" s="160">
        <v>286</v>
      </c>
      <c r="AV281" s="191">
        <f t="shared" si="146"/>
        <v>1.2499999999999999E-5</v>
      </c>
      <c r="AW281" s="160">
        <f t="shared" si="133"/>
        <v>0</v>
      </c>
      <c r="AX281" s="219">
        <f t="shared" si="134"/>
        <v>2.8099999999999999E-5</v>
      </c>
      <c r="AY281" s="13">
        <f t="shared" si="137"/>
        <v>0</v>
      </c>
      <c r="AZ281" s="160">
        <v>286</v>
      </c>
      <c r="BA281" s="77">
        <f t="shared" si="147"/>
        <v>1.1099999999999999E-5</v>
      </c>
      <c r="BB281" s="192">
        <f t="shared" si="135"/>
        <v>0</v>
      </c>
      <c r="BC281" s="219">
        <f t="shared" si="138"/>
        <v>2.8099999999999999E-5</v>
      </c>
      <c r="BD281" s="13">
        <f t="shared" si="139"/>
        <v>0</v>
      </c>
      <c r="BE281" s="160">
        <v>286</v>
      </c>
      <c r="BF281" s="77">
        <f t="shared" si="148"/>
        <v>1.1099999999999999E-5</v>
      </c>
      <c r="BG281" s="192">
        <f t="shared" si="136"/>
        <v>0</v>
      </c>
      <c r="BI281" s="120"/>
      <c r="BJ281" s="120"/>
      <c r="BK281" s="160"/>
      <c r="BL281" s="160"/>
      <c r="BM281" s="161" t="str">
        <f t="shared" si="150"/>
        <v/>
      </c>
      <c r="BN281" s="161" t="str">
        <f t="shared" si="140"/>
        <v/>
      </c>
      <c r="BO281" s="161" t="str">
        <f t="shared" si="151"/>
        <v/>
      </c>
      <c r="BP281" s="161" t="str">
        <f t="shared" si="141"/>
        <v/>
      </c>
      <c r="BQ281" s="161" t="str">
        <f t="shared" si="142"/>
        <v/>
      </c>
      <c r="BR281" s="161" t="str">
        <f t="shared" si="152"/>
        <v/>
      </c>
      <c r="BS281" s="161" t="str">
        <f t="shared" si="143"/>
        <v/>
      </c>
      <c r="BT281" s="161" t="str">
        <f t="shared" si="144"/>
        <v/>
      </c>
      <c r="BU281" s="161" t="str">
        <f t="shared" si="153"/>
        <v/>
      </c>
      <c r="BV281" s="161" t="str">
        <f t="shared" si="145"/>
        <v/>
      </c>
      <c r="BW281" s="161" t="str">
        <f t="shared" si="154"/>
        <v/>
      </c>
      <c r="BX281" s="161" t="str">
        <f t="shared" si="149"/>
        <v/>
      </c>
      <c r="BY281" s="148"/>
      <c r="BZ281" s="148"/>
      <c r="CA281" s="148"/>
      <c r="CB281" s="148" t="s">
        <v>149</v>
      </c>
      <c r="CC281" s="148"/>
    </row>
    <row r="282" spans="1:81" ht="14.25" customHeight="1" thickBot="1">
      <c r="A282" s="190">
        <v>272</v>
      </c>
      <c r="B282" s="196"/>
      <c r="C282" s="180"/>
      <c r="D282" s="136"/>
      <c r="E282" s="91" t="s">
        <v>29</v>
      </c>
      <c r="F282" s="187"/>
      <c r="G282" s="188"/>
      <c r="H282" s="188"/>
      <c r="I282" s="188"/>
      <c r="J282" s="188"/>
      <c r="K282" s="18">
        <f t="shared" si="128"/>
        <v>0</v>
      </c>
      <c r="L282" s="187"/>
      <c r="M282" s="118"/>
      <c r="N282" s="336"/>
      <c r="O282" s="342" t="s">
        <v>65</v>
      </c>
      <c r="P282" s="187"/>
      <c r="Q282" s="188"/>
      <c r="R282" s="188"/>
      <c r="S282" s="119"/>
      <c r="T282" s="188"/>
      <c r="U282" s="211">
        <f t="shared" si="129"/>
        <v>0</v>
      </c>
      <c r="V282" s="279"/>
      <c r="W282" s="280"/>
      <c r="X282" s="351"/>
      <c r="Y282" s="209" t="s">
        <v>85</v>
      </c>
      <c r="Z282" s="71"/>
      <c r="AA282" s="321"/>
      <c r="AB282" s="321"/>
      <c r="AC282" s="322"/>
      <c r="AD282" s="188"/>
      <c r="AE282" s="18">
        <f t="shared" si="130"/>
        <v>0</v>
      </c>
      <c r="AF282" s="71"/>
      <c r="AG282" s="322"/>
      <c r="AH282" s="360"/>
      <c r="AI282" s="97"/>
      <c r="AJ282" s="194"/>
      <c r="AK282" s="193"/>
      <c r="AL282" s="205"/>
      <c r="AM282" s="197"/>
      <c r="AN282" s="205"/>
      <c r="AO282" s="197"/>
      <c r="AP282" s="205"/>
      <c r="AQ282" s="197"/>
      <c r="AR282" s="13">
        <f t="shared" si="131"/>
        <v>2.8199999999999998E-5</v>
      </c>
      <c r="AS282" s="13">
        <f t="shared" si="132"/>
        <v>0</v>
      </c>
      <c r="AT282" s="13"/>
      <c r="AU282" s="160">
        <v>287</v>
      </c>
      <c r="AV282" s="191">
        <f t="shared" si="146"/>
        <v>1.24E-5</v>
      </c>
      <c r="AW282" s="160">
        <f t="shared" si="133"/>
        <v>0</v>
      </c>
      <c r="AX282" s="219">
        <f t="shared" si="134"/>
        <v>2.8199999999999998E-5</v>
      </c>
      <c r="AY282" s="13">
        <f t="shared" si="137"/>
        <v>0</v>
      </c>
      <c r="AZ282" s="160">
        <v>287</v>
      </c>
      <c r="BA282" s="77">
        <f t="shared" si="147"/>
        <v>1.1E-5</v>
      </c>
      <c r="BB282" s="192">
        <f t="shared" si="135"/>
        <v>0</v>
      </c>
      <c r="BC282" s="219">
        <f t="shared" si="138"/>
        <v>2.8199999999999998E-5</v>
      </c>
      <c r="BD282" s="13">
        <f t="shared" si="139"/>
        <v>0</v>
      </c>
      <c r="BE282" s="160">
        <v>287</v>
      </c>
      <c r="BF282" s="77">
        <f t="shared" si="148"/>
        <v>1.1E-5</v>
      </c>
      <c r="BG282" s="192">
        <f t="shared" si="136"/>
        <v>0</v>
      </c>
      <c r="BI282" s="120"/>
      <c r="BJ282" s="120"/>
      <c r="BK282" s="160"/>
      <c r="BL282" s="160"/>
      <c r="BM282" s="161" t="str">
        <f t="shared" si="150"/>
        <v/>
      </c>
      <c r="BN282" s="161" t="str">
        <f t="shared" si="140"/>
        <v/>
      </c>
      <c r="BO282" s="161" t="str">
        <f t="shared" si="151"/>
        <v/>
      </c>
      <c r="BP282" s="161" t="str">
        <f t="shared" si="141"/>
        <v/>
      </c>
      <c r="BQ282" s="161" t="str">
        <f t="shared" si="142"/>
        <v/>
      </c>
      <c r="BR282" s="161" t="str">
        <f t="shared" si="152"/>
        <v/>
      </c>
      <c r="BS282" s="161" t="str">
        <f t="shared" si="143"/>
        <v/>
      </c>
      <c r="BT282" s="161" t="str">
        <f t="shared" si="144"/>
        <v/>
      </c>
      <c r="BU282" s="161" t="str">
        <f t="shared" si="153"/>
        <v/>
      </c>
      <c r="BV282" s="161" t="str">
        <f t="shared" si="145"/>
        <v/>
      </c>
      <c r="BW282" s="161" t="str">
        <f t="shared" si="154"/>
        <v/>
      </c>
      <c r="BX282" s="161" t="str">
        <f t="shared" si="149"/>
        <v/>
      </c>
      <c r="BY282" s="148"/>
      <c r="BZ282" s="148"/>
      <c r="CA282" s="148"/>
      <c r="CB282" s="148" t="s">
        <v>149</v>
      </c>
      <c r="CC282" s="148"/>
    </row>
    <row r="283" spans="1:81" ht="14.25" customHeight="1" thickBot="1">
      <c r="A283" s="190">
        <v>273</v>
      </c>
      <c r="B283" s="78"/>
      <c r="C283" s="181"/>
      <c r="D283" s="86"/>
      <c r="E283" s="92" t="s">
        <v>29</v>
      </c>
      <c r="F283" s="88"/>
      <c r="G283" s="93"/>
      <c r="H283" s="93"/>
      <c r="I283" s="93"/>
      <c r="J283" s="93"/>
      <c r="K283" s="81">
        <f t="shared" si="128"/>
        <v>0</v>
      </c>
      <c r="L283" s="88"/>
      <c r="M283" s="85"/>
      <c r="N283" s="337"/>
      <c r="O283" s="343" t="s">
        <v>65</v>
      </c>
      <c r="P283" s="88"/>
      <c r="Q283" s="93"/>
      <c r="R283" s="93"/>
      <c r="S283" s="89"/>
      <c r="T283" s="93"/>
      <c r="U283" s="212">
        <f t="shared" si="129"/>
        <v>0</v>
      </c>
      <c r="V283" s="281"/>
      <c r="W283" s="282"/>
      <c r="X283" s="352"/>
      <c r="Y283" s="210" t="s">
        <v>85</v>
      </c>
      <c r="Z283" s="72"/>
      <c r="AA283" s="323"/>
      <c r="AB283" s="323"/>
      <c r="AC283" s="324"/>
      <c r="AD283" s="93"/>
      <c r="AE283" s="81">
        <f t="shared" si="130"/>
        <v>0</v>
      </c>
      <c r="AF283" s="72"/>
      <c r="AG283" s="324"/>
      <c r="AH283" s="361"/>
      <c r="AI283" s="98"/>
      <c r="AJ283" s="95"/>
      <c r="AK283" s="215"/>
      <c r="AL283" s="206"/>
      <c r="AM283" s="83"/>
      <c r="AN283" s="206"/>
      <c r="AO283" s="83"/>
      <c r="AP283" s="206"/>
      <c r="AQ283" s="83"/>
      <c r="AR283" s="13">
        <f t="shared" si="131"/>
        <v>2.83E-5</v>
      </c>
      <c r="AS283" s="13">
        <f t="shared" si="132"/>
        <v>0</v>
      </c>
      <c r="AT283" s="13"/>
      <c r="AU283" s="160">
        <v>288</v>
      </c>
      <c r="AV283" s="191">
        <f t="shared" si="146"/>
        <v>1.2299999999999999E-5</v>
      </c>
      <c r="AW283" s="160">
        <f t="shared" si="133"/>
        <v>0</v>
      </c>
      <c r="AX283" s="219">
        <f t="shared" si="134"/>
        <v>2.83E-5</v>
      </c>
      <c r="AY283" s="13">
        <f t="shared" si="137"/>
        <v>0</v>
      </c>
      <c r="AZ283" s="160">
        <v>288</v>
      </c>
      <c r="BA283" s="77">
        <f t="shared" si="147"/>
        <v>1.0899999999999999E-5</v>
      </c>
      <c r="BB283" s="192">
        <f t="shared" si="135"/>
        <v>0</v>
      </c>
      <c r="BC283" s="219">
        <f t="shared" si="138"/>
        <v>2.83E-5</v>
      </c>
      <c r="BD283" s="13">
        <f t="shared" si="139"/>
        <v>0</v>
      </c>
      <c r="BE283" s="160">
        <v>288</v>
      </c>
      <c r="BF283" s="77">
        <f t="shared" si="148"/>
        <v>1.0899999999999999E-5</v>
      </c>
      <c r="BG283" s="192">
        <f t="shared" si="136"/>
        <v>0</v>
      </c>
      <c r="BI283" s="120"/>
      <c r="BJ283" s="120"/>
      <c r="BK283" s="160"/>
      <c r="BL283" s="160"/>
      <c r="BM283" s="161" t="str">
        <f t="shared" si="150"/>
        <v/>
      </c>
      <c r="BN283" s="161" t="str">
        <f t="shared" si="140"/>
        <v/>
      </c>
      <c r="BO283" s="161" t="str">
        <f t="shared" si="151"/>
        <v/>
      </c>
      <c r="BP283" s="161" t="str">
        <f t="shared" si="141"/>
        <v/>
      </c>
      <c r="BQ283" s="161" t="str">
        <f t="shared" si="142"/>
        <v/>
      </c>
      <c r="BR283" s="161" t="str">
        <f t="shared" si="152"/>
        <v/>
      </c>
      <c r="BS283" s="161" t="str">
        <f t="shared" si="143"/>
        <v/>
      </c>
      <c r="BT283" s="161" t="str">
        <f t="shared" si="144"/>
        <v/>
      </c>
      <c r="BU283" s="161" t="str">
        <f t="shared" si="153"/>
        <v/>
      </c>
      <c r="BV283" s="161" t="str">
        <f t="shared" si="145"/>
        <v/>
      </c>
      <c r="BW283" s="161" t="str">
        <f t="shared" si="154"/>
        <v/>
      </c>
      <c r="BX283" s="161" t="str">
        <f t="shared" si="149"/>
        <v/>
      </c>
      <c r="BY283" s="148"/>
      <c r="BZ283" s="148"/>
      <c r="CA283" s="148"/>
      <c r="CB283" s="148" t="s">
        <v>149</v>
      </c>
      <c r="CC283" s="148"/>
    </row>
    <row r="284" spans="1:81" ht="14.25" customHeight="1" thickBot="1">
      <c r="A284" s="190">
        <v>274</v>
      </c>
      <c r="B284" s="79"/>
      <c r="C284" s="179"/>
      <c r="D284" s="137"/>
      <c r="E284" s="198" t="s">
        <v>29</v>
      </c>
      <c r="F284" s="199"/>
      <c r="G284" s="200"/>
      <c r="H284" s="200"/>
      <c r="I284" s="200"/>
      <c r="J284" s="200"/>
      <c r="K284" s="201">
        <f t="shared" si="128"/>
        <v>0</v>
      </c>
      <c r="L284" s="189"/>
      <c r="M284" s="84"/>
      <c r="N284" s="335"/>
      <c r="O284" s="341" t="s">
        <v>65</v>
      </c>
      <c r="P284" s="189"/>
      <c r="Q284" s="326"/>
      <c r="R284" s="326"/>
      <c r="S284" s="87"/>
      <c r="T284" s="207"/>
      <c r="U284" s="225">
        <f t="shared" si="129"/>
        <v>0</v>
      </c>
      <c r="V284" s="277"/>
      <c r="W284" s="278"/>
      <c r="X284" s="350"/>
      <c r="Y284" s="208" t="s">
        <v>147</v>
      </c>
      <c r="Z284" s="11"/>
      <c r="AA284" s="207"/>
      <c r="AB284" s="207"/>
      <c r="AC284" s="3"/>
      <c r="AD284" s="207"/>
      <c r="AE284" s="226">
        <f t="shared" si="130"/>
        <v>0</v>
      </c>
      <c r="AF284" s="11"/>
      <c r="AG284" s="3"/>
      <c r="AH284" s="359"/>
      <c r="AI284" s="96"/>
      <c r="AJ284" s="94"/>
      <c r="AK284" s="214"/>
      <c r="AL284" s="213"/>
      <c r="AM284" s="82"/>
      <c r="AN284" s="213"/>
      <c r="AO284" s="82"/>
      <c r="AP284" s="213"/>
      <c r="AQ284" s="82"/>
      <c r="AR284" s="13">
        <f t="shared" si="131"/>
        <v>2.8399999999999999E-5</v>
      </c>
      <c r="AS284" s="13">
        <f t="shared" si="132"/>
        <v>0</v>
      </c>
      <c r="AT284" s="13"/>
      <c r="AU284" s="160">
        <v>289</v>
      </c>
      <c r="AV284" s="191">
        <f t="shared" si="146"/>
        <v>1.22E-5</v>
      </c>
      <c r="AW284" s="160">
        <f t="shared" si="133"/>
        <v>0</v>
      </c>
      <c r="AX284" s="219">
        <f t="shared" si="134"/>
        <v>2.8399999999999999E-5</v>
      </c>
      <c r="AY284" s="13">
        <f t="shared" si="137"/>
        <v>0</v>
      </c>
      <c r="AZ284" s="160">
        <v>289</v>
      </c>
      <c r="BA284" s="77">
        <f t="shared" si="147"/>
        <v>1.08E-5</v>
      </c>
      <c r="BB284" s="192">
        <f t="shared" si="135"/>
        <v>0</v>
      </c>
      <c r="BC284" s="219">
        <f t="shared" si="138"/>
        <v>2.8399999999999999E-5</v>
      </c>
      <c r="BD284" s="13">
        <f t="shared" si="139"/>
        <v>0</v>
      </c>
      <c r="BE284" s="160">
        <v>289</v>
      </c>
      <c r="BF284" s="77">
        <f t="shared" si="148"/>
        <v>1.08E-5</v>
      </c>
      <c r="BG284" s="192">
        <f t="shared" si="136"/>
        <v>0</v>
      </c>
      <c r="BI284" s="120"/>
      <c r="BJ284" s="120"/>
      <c r="BK284" s="160"/>
      <c r="BL284" s="160"/>
      <c r="BM284" s="161" t="str">
        <f t="shared" si="150"/>
        <v/>
      </c>
      <c r="BN284" s="161" t="str">
        <f t="shared" si="140"/>
        <v/>
      </c>
      <c r="BO284" s="161" t="str">
        <f t="shared" si="151"/>
        <v/>
      </c>
      <c r="BP284" s="161" t="str">
        <f t="shared" si="141"/>
        <v/>
      </c>
      <c r="BQ284" s="161" t="str">
        <f t="shared" si="142"/>
        <v/>
      </c>
      <c r="BR284" s="161" t="str">
        <f t="shared" si="152"/>
        <v/>
      </c>
      <c r="BS284" s="161" t="str">
        <f t="shared" si="143"/>
        <v/>
      </c>
      <c r="BT284" s="161" t="str">
        <f t="shared" si="144"/>
        <v/>
      </c>
      <c r="BU284" s="161" t="str">
        <f t="shared" si="153"/>
        <v/>
      </c>
      <c r="BV284" s="161" t="str">
        <f t="shared" si="145"/>
        <v/>
      </c>
      <c r="BW284" s="161" t="str">
        <f t="shared" si="154"/>
        <v/>
      </c>
      <c r="BX284" s="161" t="str">
        <f t="shared" si="149"/>
        <v/>
      </c>
      <c r="BY284" s="148"/>
      <c r="BZ284" s="148"/>
      <c r="CA284" s="148"/>
      <c r="CB284" s="148" t="s">
        <v>149</v>
      </c>
      <c r="CC284" s="148"/>
    </row>
    <row r="285" spans="1:81" ht="14.25" customHeight="1" thickBot="1">
      <c r="A285" s="190">
        <v>275</v>
      </c>
      <c r="B285" s="196"/>
      <c r="C285" s="180"/>
      <c r="D285" s="136"/>
      <c r="E285" s="91" t="s">
        <v>29</v>
      </c>
      <c r="F285" s="187"/>
      <c r="G285" s="188"/>
      <c r="H285" s="188"/>
      <c r="I285" s="188"/>
      <c r="J285" s="188"/>
      <c r="K285" s="18">
        <f t="shared" si="128"/>
        <v>0</v>
      </c>
      <c r="L285" s="187"/>
      <c r="M285" s="118"/>
      <c r="N285" s="336"/>
      <c r="O285" s="342" t="s">
        <v>65</v>
      </c>
      <c r="P285" s="187"/>
      <c r="Q285" s="188"/>
      <c r="R285" s="188"/>
      <c r="S285" s="119"/>
      <c r="T285" s="188"/>
      <c r="U285" s="211">
        <f t="shared" si="129"/>
        <v>0</v>
      </c>
      <c r="V285" s="279"/>
      <c r="W285" s="280"/>
      <c r="X285" s="351"/>
      <c r="Y285" s="209" t="s">
        <v>85</v>
      </c>
      <c r="Z285" s="71"/>
      <c r="AA285" s="321"/>
      <c r="AB285" s="321"/>
      <c r="AC285" s="322"/>
      <c r="AD285" s="188"/>
      <c r="AE285" s="18">
        <f t="shared" si="130"/>
        <v>0</v>
      </c>
      <c r="AF285" s="71"/>
      <c r="AG285" s="322"/>
      <c r="AH285" s="360"/>
      <c r="AI285" s="97"/>
      <c r="AJ285" s="194"/>
      <c r="AK285" s="193"/>
      <c r="AL285" s="205"/>
      <c r="AM285" s="197"/>
      <c r="AN285" s="205"/>
      <c r="AO285" s="197"/>
      <c r="AP285" s="205"/>
      <c r="AQ285" s="197"/>
      <c r="AR285" s="13">
        <f t="shared" si="131"/>
        <v>2.8499999999999998E-5</v>
      </c>
      <c r="AS285" s="13">
        <f t="shared" si="132"/>
        <v>0</v>
      </c>
      <c r="AT285" s="13"/>
      <c r="AU285" s="160">
        <v>290</v>
      </c>
      <c r="AV285" s="191">
        <f t="shared" si="146"/>
        <v>1.2099999999999999E-5</v>
      </c>
      <c r="AW285" s="160">
        <f t="shared" si="133"/>
        <v>0</v>
      </c>
      <c r="AX285" s="219">
        <f t="shared" si="134"/>
        <v>2.8499999999999998E-5</v>
      </c>
      <c r="AY285" s="13">
        <f t="shared" si="137"/>
        <v>0</v>
      </c>
      <c r="AZ285" s="160">
        <v>290</v>
      </c>
      <c r="BA285" s="77">
        <f t="shared" si="147"/>
        <v>1.0699999999999999E-5</v>
      </c>
      <c r="BB285" s="192">
        <f t="shared" si="135"/>
        <v>0</v>
      </c>
      <c r="BC285" s="219">
        <f t="shared" si="138"/>
        <v>2.8499999999999998E-5</v>
      </c>
      <c r="BD285" s="13">
        <f t="shared" si="139"/>
        <v>0</v>
      </c>
      <c r="BE285" s="160">
        <v>290</v>
      </c>
      <c r="BF285" s="77">
        <f t="shared" si="148"/>
        <v>1.0699999999999999E-5</v>
      </c>
      <c r="BG285" s="192">
        <f t="shared" si="136"/>
        <v>0</v>
      </c>
      <c r="BI285" s="120"/>
      <c r="BJ285" s="120"/>
      <c r="BK285" s="160"/>
      <c r="BL285" s="160"/>
      <c r="BM285" s="161" t="str">
        <f t="shared" si="150"/>
        <v/>
      </c>
      <c r="BN285" s="161" t="str">
        <f t="shared" si="140"/>
        <v/>
      </c>
      <c r="BO285" s="161" t="str">
        <f t="shared" si="151"/>
        <v/>
      </c>
      <c r="BP285" s="161" t="str">
        <f t="shared" si="141"/>
        <v/>
      </c>
      <c r="BQ285" s="161" t="str">
        <f t="shared" si="142"/>
        <v/>
      </c>
      <c r="BR285" s="161" t="str">
        <f t="shared" si="152"/>
        <v/>
      </c>
      <c r="BS285" s="161" t="str">
        <f t="shared" si="143"/>
        <v/>
      </c>
      <c r="BT285" s="161" t="str">
        <f t="shared" si="144"/>
        <v/>
      </c>
      <c r="BU285" s="161" t="str">
        <f t="shared" si="153"/>
        <v/>
      </c>
      <c r="BV285" s="161" t="str">
        <f t="shared" si="145"/>
        <v/>
      </c>
      <c r="BW285" s="161" t="str">
        <f t="shared" si="154"/>
        <v/>
      </c>
      <c r="BX285" s="161" t="str">
        <f t="shared" si="149"/>
        <v/>
      </c>
      <c r="BY285" s="148"/>
      <c r="BZ285" s="148"/>
      <c r="CA285" s="148"/>
      <c r="CB285" s="148" t="s">
        <v>149</v>
      </c>
      <c r="CC285" s="148"/>
    </row>
    <row r="286" spans="1:81" ht="14.25" customHeight="1" thickBot="1">
      <c r="A286" s="190">
        <v>276</v>
      </c>
      <c r="B286" s="78"/>
      <c r="C286" s="181"/>
      <c r="D286" s="86"/>
      <c r="E286" s="92" t="s">
        <v>29</v>
      </c>
      <c r="F286" s="88"/>
      <c r="G286" s="93"/>
      <c r="H286" s="93"/>
      <c r="I286" s="93"/>
      <c r="J286" s="93"/>
      <c r="K286" s="81">
        <f t="shared" si="128"/>
        <v>0</v>
      </c>
      <c r="L286" s="88"/>
      <c r="M286" s="85"/>
      <c r="N286" s="337"/>
      <c r="O286" s="343" t="s">
        <v>65</v>
      </c>
      <c r="P286" s="88"/>
      <c r="Q286" s="93"/>
      <c r="R286" s="93"/>
      <c r="S286" s="89"/>
      <c r="T286" s="93"/>
      <c r="U286" s="212">
        <f t="shared" si="129"/>
        <v>0</v>
      </c>
      <c r="V286" s="281"/>
      <c r="W286" s="282"/>
      <c r="X286" s="352"/>
      <c r="Y286" s="210" t="s">
        <v>85</v>
      </c>
      <c r="Z286" s="72"/>
      <c r="AA286" s="323"/>
      <c r="AB286" s="323"/>
      <c r="AC286" s="324"/>
      <c r="AD286" s="93"/>
      <c r="AE286" s="81">
        <f t="shared" si="130"/>
        <v>0</v>
      </c>
      <c r="AF286" s="72"/>
      <c r="AG286" s="324"/>
      <c r="AH286" s="361"/>
      <c r="AI286" s="98"/>
      <c r="AJ286" s="95"/>
      <c r="AK286" s="215"/>
      <c r="AL286" s="206"/>
      <c r="AM286" s="83"/>
      <c r="AN286" s="206"/>
      <c r="AO286" s="83"/>
      <c r="AP286" s="206"/>
      <c r="AQ286" s="83"/>
      <c r="AR286" s="13">
        <f t="shared" si="131"/>
        <v>2.8599999999999997E-5</v>
      </c>
      <c r="AS286" s="13">
        <f t="shared" si="132"/>
        <v>0</v>
      </c>
      <c r="AT286" s="13"/>
      <c r="AU286" s="160">
        <v>291</v>
      </c>
      <c r="AV286" s="191">
        <f t="shared" si="146"/>
        <v>1.2E-5</v>
      </c>
      <c r="AW286" s="160">
        <f t="shared" si="133"/>
        <v>0</v>
      </c>
      <c r="AX286" s="219">
        <f t="shared" si="134"/>
        <v>2.8599999999999997E-5</v>
      </c>
      <c r="AY286" s="13">
        <f t="shared" si="137"/>
        <v>0</v>
      </c>
      <c r="AZ286" s="160">
        <v>291</v>
      </c>
      <c r="BA286" s="77">
        <f t="shared" si="147"/>
        <v>1.06E-5</v>
      </c>
      <c r="BB286" s="192">
        <f t="shared" si="135"/>
        <v>0</v>
      </c>
      <c r="BC286" s="219">
        <f t="shared" si="138"/>
        <v>2.8599999999999997E-5</v>
      </c>
      <c r="BD286" s="13">
        <f t="shared" si="139"/>
        <v>0</v>
      </c>
      <c r="BE286" s="160">
        <v>291</v>
      </c>
      <c r="BF286" s="77">
        <f t="shared" si="148"/>
        <v>1.06E-5</v>
      </c>
      <c r="BG286" s="192">
        <f t="shared" si="136"/>
        <v>0</v>
      </c>
      <c r="BI286" s="120"/>
      <c r="BJ286" s="120"/>
      <c r="BK286" s="160"/>
      <c r="BL286" s="160"/>
      <c r="BM286" s="161" t="str">
        <f t="shared" si="150"/>
        <v/>
      </c>
      <c r="BN286" s="161" t="str">
        <f t="shared" si="140"/>
        <v/>
      </c>
      <c r="BO286" s="161" t="str">
        <f t="shared" si="151"/>
        <v/>
      </c>
      <c r="BP286" s="161" t="str">
        <f t="shared" si="141"/>
        <v/>
      </c>
      <c r="BQ286" s="161" t="str">
        <f t="shared" si="142"/>
        <v/>
      </c>
      <c r="BR286" s="161" t="str">
        <f t="shared" si="152"/>
        <v/>
      </c>
      <c r="BS286" s="161" t="str">
        <f t="shared" si="143"/>
        <v/>
      </c>
      <c r="BT286" s="161" t="str">
        <f t="shared" si="144"/>
        <v/>
      </c>
      <c r="BU286" s="161" t="str">
        <f t="shared" si="153"/>
        <v/>
      </c>
      <c r="BV286" s="161" t="str">
        <f t="shared" si="145"/>
        <v/>
      </c>
      <c r="BW286" s="161" t="str">
        <f t="shared" si="154"/>
        <v/>
      </c>
      <c r="BX286" s="161" t="str">
        <f t="shared" si="149"/>
        <v/>
      </c>
      <c r="BY286" s="148"/>
      <c r="BZ286" s="148"/>
      <c r="CA286" s="148"/>
      <c r="CB286" s="148" t="s">
        <v>149</v>
      </c>
      <c r="CC286" s="148"/>
    </row>
    <row r="287" spans="1:81" ht="14.25" customHeight="1" thickBot="1">
      <c r="A287" s="190">
        <v>277</v>
      </c>
      <c r="B287" s="79"/>
      <c r="C287" s="179"/>
      <c r="D287" s="137"/>
      <c r="E287" s="198" t="s">
        <v>29</v>
      </c>
      <c r="F287" s="199"/>
      <c r="G287" s="200"/>
      <c r="H287" s="200"/>
      <c r="I287" s="200"/>
      <c r="J287" s="200"/>
      <c r="K287" s="201">
        <f t="shared" si="128"/>
        <v>0</v>
      </c>
      <c r="L287" s="189"/>
      <c r="M287" s="84"/>
      <c r="N287" s="335"/>
      <c r="O287" s="341" t="s">
        <v>65</v>
      </c>
      <c r="P287" s="189"/>
      <c r="Q287" s="326"/>
      <c r="R287" s="326"/>
      <c r="S287" s="87"/>
      <c r="T287" s="207"/>
      <c r="U287" s="225">
        <f t="shared" si="129"/>
        <v>0</v>
      </c>
      <c r="V287" s="277"/>
      <c r="W287" s="278"/>
      <c r="X287" s="350"/>
      <c r="Y287" s="208" t="s">
        <v>147</v>
      </c>
      <c r="Z287" s="11"/>
      <c r="AA287" s="207"/>
      <c r="AB287" s="207"/>
      <c r="AC287" s="3"/>
      <c r="AD287" s="207"/>
      <c r="AE287" s="226">
        <f t="shared" si="130"/>
        <v>0</v>
      </c>
      <c r="AF287" s="11"/>
      <c r="AG287" s="3"/>
      <c r="AH287" s="359"/>
      <c r="AI287" s="96"/>
      <c r="AJ287" s="94"/>
      <c r="AK287" s="214"/>
      <c r="AL287" s="213"/>
      <c r="AM287" s="82"/>
      <c r="AN287" s="213"/>
      <c r="AO287" s="82"/>
      <c r="AP287" s="213"/>
      <c r="AQ287" s="82"/>
      <c r="AR287" s="13">
        <f t="shared" si="131"/>
        <v>2.87E-5</v>
      </c>
      <c r="AS287" s="13">
        <f t="shared" si="132"/>
        <v>0</v>
      </c>
      <c r="AT287" s="13"/>
      <c r="AU287" s="160">
        <v>292</v>
      </c>
      <c r="AV287" s="191">
        <f t="shared" si="146"/>
        <v>1.19E-5</v>
      </c>
      <c r="AW287" s="160">
        <f t="shared" si="133"/>
        <v>0</v>
      </c>
      <c r="AX287" s="219">
        <f t="shared" si="134"/>
        <v>2.87E-5</v>
      </c>
      <c r="AY287" s="13">
        <f t="shared" si="137"/>
        <v>0</v>
      </c>
      <c r="AZ287" s="160">
        <v>292</v>
      </c>
      <c r="BA287" s="77">
        <f t="shared" si="147"/>
        <v>1.0499999999999999E-5</v>
      </c>
      <c r="BB287" s="192">
        <f t="shared" si="135"/>
        <v>0</v>
      </c>
      <c r="BC287" s="219">
        <f t="shared" si="138"/>
        <v>2.87E-5</v>
      </c>
      <c r="BD287" s="13">
        <f t="shared" si="139"/>
        <v>0</v>
      </c>
      <c r="BE287" s="160">
        <v>292</v>
      </c>
      <c r="BF287" s="77">
        <f t="shared" si="148"/>
        <v>1.0499999999999999E-5</v>
      </c>
      <c r="BG287" s="192">
        <f t="shared" si="136"/>
        <v>0</v>
      </c>
      <c r="BI287" s="120"/>
      <c r="BJ287" s="120"/>
      <c r="BK287" s="160"/>
      <c r="BL287" s="160"/>
      <c r="BM287" s="161" t="str">
        <f t="shared" si="150"/>
        <v/>
      </c>
      <c r="BN287" s="161" t="str">
        <f t="shared" si="140"/>
        <v/>
      </c>
      <c r="BO287" s="161" t="str">
        <f t="shared" si="151"/>
        <v/>
      </c>
      <c r="BP287" s="161" t="str">
        <f t="shared" si="141"/>
        <v/>
      </c>
      <c r="BQ287" s="161" t="str">
        <f t="shared" si="142"/>
        <v/>
      </c>
      <c r="BR287" s="161" t="str">
        <f t="shared" si="152"/>
        <v/>
      </c>
      <c r="BS287" s="161" t="str">
        <f t="shared" si="143"/>
        <v/>
      </c>
      <c r="BT287" s="161" t="str">
        <f t="shared" si="144"/>
        <v/>
      </c>
      <c r="BU287" s="161" t="str">
        <f t="shared" si="153"/>
        <v/>
      </c>
      <c r="BV287" s="161" t="str">
        <f t="shared" si="145"/>
        <v/>
      </c>
      <c r="BW287" s="161" t="str">
        <f t="shared" si="154"/>
        <v/>
      </c>
      <c r="BX287" s="161" t="str">
        <f t="shared" si="149"/>
        <v/>
      </c>
      <c r="BY287" s="148"/>
      <c r="BZ287" s="148"/>
      <c r="CA287" s="148"/>
      <c r="CB287" s="148" t="s">
        <v>149</v>
      </c>
      <c r="CC287" s="148"/>
    </row>
    <row r="288" spans="1:81" ht="14.25" customHeight="1" thickBot="1">
      <c r="A288" s="190">
        <v>278</v>
      </c>
      <c r="B288" s="196"/>
      <c r="C288" s="180"/>
      <c r="D288" s="136"/>
      <c r="E288" s="91" t="s">
        <v>29</v>
      </c>
      <c r="F288" s="187"/>
      <c r="G288" s="188"/>
      <c r="H288" s="188"/>
      <c r="I288" s="188"/>
      <c r="J288" s="188"/>
      <c r="K288" s="18">
        <f t="shared" si="128"/>
        <v>0</v>
      </c>
      <c r="L288" s="187"/>
      <c r="M288" s="118"/>
      <c r="N288" s="336"/>
      <c r="O288" s="342" t="s">
        <v>65</v>
      </c>
      <c r="P288" s="187"/>
      <c r="Q288" s="188"/>
      <c r="R288" s="188"/>
      <c r="S288" s="119"/>
      <c r="T288" s="188"/>
      <c r="U288" s="211">
        <f t="shared" si="129"/>
        <v>0</v>
      </c>
      <c r="V288" s="279"/>
      <c r="W288" s="280"/>
      <c r="X288" s="351"/>
      <c r="Y288" s="209" t="s">
        <v>85</v>
      </c>
      <c r="Z288" s="71"/>
      <c r="AA288" s="321"/>
      <c r="AB288" s="321"/>
      <c r="AC288" s="322"/>
      <c r="AD288" s="188"/>
      <c r="AE288" s="18">
        <f t="shared" si="130"/>
        <v>0</v>
      </c>
      <c r="AF288" s="71"/>
      <c r="AG288" s="322"/>
      <c r="AH288" s="360"/>
      <c r="AI288" s="97"/>
      <c r="AJ288" s="194"/>
      <c r="AK288" s="193"/>
      <c r="AL288" s="205"/>
      <c r="AM288" s="197"/>
      <c r="AN288" s="205"/>
      <c r="AO288" s="197"/>
      <c r="AP288" s="205"/>
      <c r="AQ288" s="197"/>
      <c r="AR288" s="13">
        <f t="shared" si="131"/>
        <v>2.8799999999999999E-5</v>
      </c>
      <c r="AS288" s="13">
        <f t="shared" si="132"/>
        <v>0</v>
      </c>
      <c r="AT288" s="13"/>
      <c r="AU288" s="160">
        <v>293</v>
      </c>
      <c r="AV288" s="191">
        <f t="shared" si="146"/>
        <v>1.1799999999999999E-5</v>
      </c>
      <c r="AW288" s="160">
        <f t="shared" si="133"/>
        <v>0</v>
      </c>
      <c r="AX288" s="219">
        <f t="shared" si="134"/>
        <v>2.8799999999999999E-5</v>
      </c>
      <c r="AY288" s="13">
        <f t="shared" si="137"/>
        <v>0</v>
      </c>
      <c r="AZ288" s="160">
        <v>293</v>
      </c>
      <c r="BA288" s="77">
        <f t="shared" si="147"/>
        <v>1.0399999999999999E-5</v>
      </c>
      <c r="BB288" s="192">
        <f t="shared" si="135"/>
        <v>0</v>
      </c>
      <c r="BC288" s="219">
        <f t="shared" si="138"/>
        <v>2.8799999999999999E-5</v>
      </c>
      <c r="BD288" s="13">
        <f t="shared" si="139"/>
        <v>0</v>
      </c>
      <c r="BE288" s="160">
        <v>293</v>
      </c>
      <c r="BF288" s="77">
        <f t="shared" si="148"/>
        <v>1.0399999999999999E-5</v>
      </c>
      <c r="BG288" s="192">
        <f t="shared" si="136"/>
        <v>0</v>
      </c>
      <c r="BI288" s="120"/>
      <c r="BJ288" s="120"/>
      <c r="BK288" s="160"/>
      <c r="BL288" s="160"/>
      <c r="BM288" s="161" t="str">
        <f t="shared" si="150"/>
        <v/>
      </c>
      <c r="BN288" s="161" t="str">
        <f t="shared" si="140"/>
        <v/>
      </c>
      <c r="BO288" s="161" t="str">
        <f t="shared" si="151"/>
        <v/>
      </c>
      <c r="BP288" s="161" t="str">
        <f t="shared" si="141"/>
        <v/>
      </c>
      <c r="BQ288" s="161" t="str">
        <f t="shared" si="142"/>
        <v/>
      </c>
      <c r="BR288" s="161" t="str">
        <f t="shared" si="152"/>
        <v/>
      </c>
      <c r="BS288" s="161" t="str">
        <f t="shared" si="143"/>
        <v/>
      </c>
      <c r="BT288" s="161" t="str">
        <f t="shared" si="144"/>
        <v/>
      </c>
      <c r="BU288" s="161" t="str">
        <f t="shared" si="153"/>
        <v/>
      </c>
      <c r="BV288" s="161" t="str">
        <f t="shared" si="145"/>
        <v/>
      </c>
      <c r="BW288" s="161" t="str">
        <f t="shared" si="154"/>
        <v/>
      </c>
      <c r="BX288" s="161" t="str">
        <f t="shared" si="149"/>
        <v/>
      </c>
      <c r="BY288" s="148"/>
      <c r="BZ288" s="148"/>
      <c r="CA288" s="148"/>
      <c r="CB288" s="148" t="s">
        <v>149</v>
      </c>
      <c r="CC288" s="148"/>
    </row>
    <row r="289" spans="1:81" ht="14.25" customHeight="1" thickBot="1">
      <c r="A289" s="190">
        <v>279</v>
      </c>
      <c r="B289" s="78"/>
      <c r="C289" s="181"/>
      <c r="D289" s="86"/>
      <c r="E289" s="92" t="s">
        <v>29</v>
      </c>
      <c r="F289" s="88"/>
      <c r="G289" s="93"/>
      <c r="H289" s="93"/>
      <c r="I289" s="93"/>
      <c r="J289" s="93"/>
      <c r="K289" s="81">
        <f t="shared" si="128"/>
        <v>0</v>
      </c>
      <c r="L289" s="88"/>
      <c r="M289" s="85"/>
      <c r="N289" s="337"/>
      <c r="O289" s="343" t="s">
        <v>65</v>
      </c>
      <c r="P289" s="88"/>
      <c r="Q289" s="93"/>
      <c r="R289" s="93"/>
      <c r="S289" s="89"/>
      <c r="T289" s="93"/>
      <c r="U289" s="212">
        <f t="shared" si="129"/>
        <v>0</v>
      </c>
      <c r="V289" s="281"/>
      <c r="W289" s="282"/>
      <c r="X289" s="352"/>
      <c r="Y289" s="210" t="s">
        <v>85</v>
      </c>
      <c r="Z289" s="72"/>
      <c r="AA289" s="323"/>
      <c r="AB289" s="323"/>
      <c r="AC289" s="324"/>
      <c r="AD289" s="93"/>
      <c r="AE289" s="81">
        <f t="shared" si="130"/>
        <v>0</v>
      </c>
      <c r="AF289" s="72"/>
      <c r="AG289" s="324"/>
      <c r="AH289" s="361"/>
      <c r="AI289" s="98"/>
      <c r="AJ289" s="95"/>
      <c r="AK289" s="215"/>
      <c r="AL289" s="206"/>
      <c r="AM289" s="83"/>
      <c r="AN289" s="206"/>
      <c r="AO289" s="83"/>
      <c r="AP289" s="206"/>
      <c r="AQ289" s="83"/>
      <c r="AR289" s="13">
        <f t="shared" si="131"/>
        <v>2.8899999999999998E-5</v>
      </c>
      <c r="AS289" s="13">
        <f t="shared" si="132"/>
        <v>0</v>
      </c>
      <c r="AT289" s="13"/>
      <c r="AU289" s="160">
        <v>294</v>
      </c>
      <c r="AV289" s="191">
        <f t="shared" si="146"/>
        <v>1.17E-5</v>
      </c>
      <c r="AW289" s="160">
        <f t="shared" si="133"/>
        <v>0</v>
      </c>
      <c r="AX289" s="219">
        <f t="shared" si="134"/>
        <v>2.8899999999999998E-5</v>
      </c>
      <c r="AY289" s="13">
        <f t="shared" si="137"/>
        <v>0</v>
      </c>
      <c r="AZ289" s="160">
        <v>294</v>
      </c>
      <c r="BA289" s="77">
        <f t="shared" si="147"/>
        <v>1.03E-5</v>
      </c>
      <c r="BB289" s="192">
        <f t="shared" si="135"/>
        <v>0</v>
      </c>
      <c r="BC289" s="219">
        <f t="shared" si="138"/>
        <v>2.8899999999999998E-5</v>
      </c>
      <c r="BD289" s="13">
        <f t="shared" si="139"/>
        <v>0</v>
      </c>
      <c r="BE289" s="160">
        <v>294</v>
      </c>
      <c r="BF289" s="77">
        <f t="shared" si="148"/>
        <v>1.03E-5</v>
      </c>
      <c r="BG289" s="192">
        <f t="shared" si="136"/>
        <v>0</v>
      </c>
      <c r="BI289" s="120"/>
      <c r="BJ289" s="120"/>
      <c r="BK289" s="160"/>
      <c r="BL289" s="160"/>
      <c r="BM289" s="161" t="str">
        <f t="shared" si="150"/>
        <v/>
      </c>
      <c r="BN289" s="161" t="str">
        <f t="shared" si="140"/>
        <v/>
      </c>
      <c r="BO289" s="161" t="str">
        <f t="shared" si="151"/>
        <v/>
      </c>
      <c r="BP289" s="161" t="str">
        <f t="shared" si="141"/>
        <v/>
      </c>
      <c r="BQ289" s="161" t="str">
        <f t="shared" si="142"/>
        <v/>
      </c>
      <c r="BR289" s="161" t="str">
        <f t="shared" si="152"/>
        <v/>
      </c>
      <c r="BS289" s="161" t="str">
        <f t="shared" si="143"/>
        <v/>
      </c>
      <c r="BT289" s="161" t="str">
        <f t="shared" si="144"/>
        <v/>
      </c>
      <c r="BU289" s="161" t="str">
        <f t="shared" si="153"/>
        <v/>
      </c>
      <c r="BV289" s="161" t="str">
        <f t="shared" si="145"/>
        <v/>
      </c>
      <c r="BW289" s="161" t="str">
        <f t="shared" si="154"/>
        <v/>
      </c>
      <c r="BX289" s="161" t="str">
        <f t="shared" si="149"/>
        <v/>
      </c>
      <c r="BY289" s="148"/>
      <c r="BZ289" s="148"/>
      <c r="CA289" s="148"/>
      <c r="CB289" s="148" t="s">
        <v>149</v>
      </c>
      <c r="CC289" s="148"/>
    </row>
    <row r="290" spans="1:81" ht="14.25" customHeight="1" thickBot="1">
      <c r="A290" s="190">
        <v>280</v>
      </c>
      <c r="B290" s="79"/>
      <c r="C290" s="179"/>
      <c r="D290" s="137"/>
      <c r="E290" s="198" t="s">
        <v>29</v>
      </c>
      <c r="F290" s="199"/>
      <c r="G290" s="200"/>
      <c r="H290" s="200"/>
      <c r="I290" s="200"/>
      <c r="J290" s="200"/>
      <c r="K290" s="201">
        <f t="shared" si="128"/>
        <v>0</v>
      </c>
      <c r="L290" s="189"/>
      <c r="M290" s="84"/>
      <c r="N290" s="335"/>
      <c r="O290" s="341" t="s">
        <v>65</v>
      </c>
      <c r="P290" s="189"/>
      <c r="Q290" s="326"/>
      <c r="R290" s="326"/>
      <c r="S290" s="87"/>
      <c r="T290" s="207"/>
      <c r="U290" s="225">
        <f t="shared" si="129"/>
        <v>0</v>
      </c>
      <c r="V290" s="277"/>
      <c r="W290" s="278"/>
      <c r="X290" s="350"/>
      <c r="Y290" s="208" t="s">
        <v>147</v>
      </c>
      <c r="Z290" s="11"/>
      <c r="AA290" s="207"/>
      <c r="AB290" s="207"/>
      <c r="AC290" s="3"/>
      <c r="AD290" s="207"/>
      <c r="AE290" s="226">
        <f t="shared" si="130"/>
        <v>0</v>
      </c>
      <c r="AF290" s="11"/>
      <c r="AG290" s="3"/>
      <c r="AH290" s="359"/>
      <c r="AI290" s="96"/>
      <c r="AJ290" s="94"/>
      <c r="AK290" s="214"/>
      <c r="AL290" s="213"/>
      <c r="AM290" s="82"/>
      <c r="AN290" s="213"/>
      <c r="AO290" s="82"/>
      <c r="AP290" s="213"/>
      <c r="AQ290" s="82"/>
      <c r="AR290" s="13">
        <f t="shared" si="131"/>
        <v>2.9E-5</v>
      </c>
      <c r="AS290" s="13">
        <f t="shared" si="132"/>
        <v>0</v>
      </c>
      <c r="AT290" s="13"/>
      <c r="AU290" s="160">
        <v>295</v>
      </c>
      <c r="AV290" s="191">
        <f t="shared" si="146"/>
        <v>1.1599999999999999E-5</v>
      </c>
      <c r="AW290" s="160">
        <f t="shared" si="133"/>
        <v>0</v>
      </c>
      <c r="AX290" s="219">
        <f t="shared" si="134"/>
        <v>2.9E-5</v>
      </c>
      <c r="AY290" s="13">
        <f t="shared" si="137"/>
        <v>0</v>
      </c>
      <c r="AZ290" s="160">
        <v>295</v>
      </c>
      <c r="BA290" s="77">
        <f t="shared" si="147"/>
        <v>1.0199999999999999E-5</v>
      </c>
      <c r="BB290" s="192">
        <f t="shared" si="135"/>
        <v>0</v>
      </c>
      <c r="BC290" s="219">
        <f t="shared" si="138"/>
        <v>2.9E-5</v>
      </c>
      <c r="BD290" s="13">
        <f t="shared" si="139"/>
        <v>0</v>
      </c>
      <c r="BE290" s="160">
        <v>295</v>
      </c>
      <c r="BF290" s="77">
        <f t="shared" si="148"/>
        <v>1.0199999999999999E-5</v>
      </c>
      <c r="BG290" s="192">
        <f t="shared" si="136"/>
        <v>0</v>
      </c>
      <c r="BI290" s="120"/>
      <c r="BJ290" s="120"/>
      <c r="BK290" s="160"/>
      <c r="BL290" s="160"/>
      <c r="BM290" s="161" t="str">
        <f t="shared" si="150"/>
        <v/>
      </c>
      <c r="BN290" s="161" t="str">
        <f t="shared" si="140"/>
        <v/>
      </c>
      <c r="BO290" s="161" t="str">
        <f t="shared" si="151"/>
        <v/>
      </c>
      <c r="BP290" s="161" t="str">
        <f t="shared" si="141"/>
        <v/>
      </c>
      <c r="BQ290" s="161" t="str">
        <f t="shared" si="142"/>
        <v/>
      </c>
      <c r="BR290" s="161" t="str">
        <f t="shared" si="152"/>
        <v/>
      </c>
      <c r="BS290" s="161" t="str">
        <f t="shared" si="143"/>
        <v/>
      </c>
      <c r="BT290" s="161" t="str">
        <f t="shared" si="144"/>
        <v/>
      </c>
      <c r="BU290" s="161" t="str">
        <f t="shared" si="153"/>
        <v/>
      </c>
      <c r="BV290" s="161" t="str">
        <f t="shared" si="145"/>
        <v/>
      </c>
      <c r="BW290" s="161" t="str">
        <f t="shared" si="154"/>
        <v/>
      </c>
      <c r="BX290" s="161" t="str">
        <f t="shared" si="149"/>
        <v/>
      </c>
      <c r="BY290" s="148"/>
      <c r="BZ290" s="148"/>
      <c r="CA290" s="148"/>
      <c r="CB290" s="148" t="s">
        <v>149</v>
      </c>
      <c r="CC290" s="148"/>
    </row>
    <row r="291" spans="1:81" ht="14.25" customHeight="1" thickBot="1">
      <c r="A291" s="190">
        <v>281</v>
      </c>
      <c r="B291" s="196"/>
      <c r="C291" s="180"/>
      <c r="D291" s="136"/>
      <c r="E291" s="91" t="s">
        <v>29</v>
      </c>
      <c r="F291" s="187"/>
      <c r="G291" s="188"/>
      <c r="H291" s="188"/>
      <c r="I291" s="188"/>
      <c r="J291" s="188"/>
      <c r="K291" s="18">
        <f t="shared" si="128"/>
        <v>0</v>
      </c>
      <c r="L291" s="187"/>
      <c r="M291" s="118"/>
      <c r="N291" s="336"/>
      <c r="O291" s="342" t="s">
        <v>65</v>
      </c>
      <c r="P291" s="187"/>
      <c r="Q291" s="188"/>
      <c r="R291" s="188"/>
      <c r="S291" s="119"/>
      <c r="T291" s="188"/>
      <c r="U291" s="211">
        <f t="shared" si="129"/>
        <v>0</v>
      </c>
      <c r="V291" s="279"/>
      <c r="W291" s="280"/>
      <c r="X291" s="351"/>
      <c r="Y291" s="209" t="s">
        <v>85</v>
      </c>
      <c r="Z291" s="71"/>
      <c r="AA291" s="321"/>
      <c r="AB291" s="321"/>
      <c r="AC291" s="322"/>
      <c r="AD291" s="188"/>
      <c r="AE291" s="18">
        <f t="shared" si="130"/>
        <v>0</v>
      </c>
      <c r="AF291" s="71"/>
      <c r="AG291" s="322"/>
      <c r="AH291" s="360"/>
      <c r="AI291" s="97"/>
      <c r="AJ291" s="194"/>
      <c r="AK291" s="193"/>
      <c r="AL291" s="205"/>
      <c r="AM291" s="197"/>
      <c r="AN291" s="205"/>
      <c r="AO291" s="197"/>
      <c r="AP291" s="205"/>
      <c r="AQ291" s="197"/>
      <c r="AR291" s="13">
        <f t="shared" si="131"/>
        <v>2.9099999999999999E-5</v>
      </c>
      <c r="AS291" s="13">
        <f t="shared" si="132"/>
        <v>0</v>
      </c>
      <c r="AT291" s="13"/>
      <c r="AU291" s="160">
        <v>296</v>
      </c>
      <c r="AV291" s="191">
        <f t="shared" si="146"/>
        <v>1.15E-5</v>
      </c>
      <c r="AW291" s="160">
        <f t="shared" si="133"/>
        <v>0</v>
      </c>
      <c r="AX291" s="219">
        <f t="shared" si="134"/>
        <v>2.9099999999999999E-5</v>
      </c>
      <c r="AY291" s="13">
        <f t="shared" si="137"/>
        <v>0</v>
      </c>
      <c r="AZ291" s="160">
        <v>296</v>
      </c>
      <c r="BA291" s="77">
        <f t="shared" si="147"/>
        <v>1.01E-5</v>
      </c>
      <c r="BB291" s="192">
        <f t="shared" si="135"/>
        <v>0</v>
      </c>
      <c r="BC291" s="219">
        <f t="shared" si="138"/>
        <v>2.9099999999999999E-5</v>
      </c>
      <c r="BD291" s="13">
        <f t="shared" si="139"/>
        <v>0</v>
      </c>
      <c r="BE291" s="160">
        <v>296</v>
      </c>
      <c r="BF291" s="77">
        <f t="shared" si="148"/>
        <v>1.01E-5</v>
      </c>
      <c r="BG291" s="192">
        <f t="shared" si="136"/>
        <v>0</v>
      </c>
      <c r="BI291" s="120"/>
      <c r="BJ291" s="120"/>
      <c r="BK291" s="160"/>
      <c r="BL291" s="160"/>
      <c r="BM291" s="161" t="str">
        <f t="shared" si="150"/>
        <v/>
      </c>
      <c r="BN291" s="161" t="str">
        <f t="shared" si="140"/>
        <v/>
      </c>
      <c r="BO291" s="161" t="str">
        <f t="shared" si="151"/>
        <v/>
      </c>
      <c r="BP291" s="161" t="str">
        <f t="shared" si="141"/>
        <v/>
      </c>
      <c r="BQ291" s="161" t="str">
        <f t="shared" si="142"/>
        <v/>
      </c>
      <c r="BR291" s="161" t="str">
        <f t="shared" si="152"/>
        <v/>
      </c>
      <c r="BS291" s="161" t="str">
        <f t="shared" si="143"/>
        <v/>
      </c>
      <c r="BT291" s="161" t="str">
        <f t="shared" si="144"/>
        <v/>
      </c>
      <c r="BU291" s="161" t="str">
        <f t="shared" si="153"/>
        <v/>
      </c>
      <c r="BV291" s="161" t="str">
        <f t="shared" si="145"/>
        <v/>
      </c>
      <c r="BW291" s="161" t="str">
        <f t="shared" si="154"/>
        <v/>
      </c>
      <c r="BX291" s="161" t="str">
        <f t="shared" si="149"/>
        <v/>
      </c>
      <c r="BY291" s="148"/>
      <c r="BZ291" s="148"/>
      <c r="CA291" s="148"/>
      <c r="CB291" s="148" t="s">
        <v>149</v>
      </c>
      <c r="CC291" s="148"/>
    </row>
    <row r="292" spans="1:81" ht="14.25" customHeight="1" thickBot="1">
      <c r="A292" s="190">
        <v>282</v>
      </c>
      <c r="B292" s="78"/>
      <c r="C292" s="181"/>
      <c r="D292" s="86"/>
      <c r="E292" s="92" t="s">
        <v>29</v>
      </c>
      <c r="F292" s="88"/>
      <c r="G292" s="93"/>
      <c r="H292" s="93"/>
      <c r="I292" s="93"/>
      <c r="J292" s="93"/>
      <c r="K292" s="81">
        <f t="shared" si="128"/>
        <v>0</v>
      </c>
      <c r="L292" s="88"/>
      <c r="M292" s="85"/>
      <c r="N292" s="337"/>
      <c r="O292" s="343" t="s">
        <v>65</v>
      </c>
      <c r="P292" s="88"/>
      <c r="Q292" s="93"/>
      <c r="R292" s="93"/>
      <c r="S292" s="89"/>
      <c r="T292" s="93"/>
      <c r="U292" s="212">
        <f t="shared" si="129"/>
        <v>0</v>
      </c>
      <c r="V292" s="281"/>
      <c r="W292" s="282"/>
      <c r="X292" s="352"/>
      <c r="Y292" s="210" t="s">
        <v>85</v>
      </c>
      <c r="Z292" s="72"/>
      <c r="AA292" s="323"/>
      <c r="AB292" s="323"/>
      <c r="AC292" s="324"/>
      <c r="AD292" s="93"/>
      <c r="AE292" s="81">
        <f t="shared" si="130"/>
        <v>0</v>
      </c>
      <c r="AF292" s="72"/>
      <c r="AG292" s="324"/>
      <c r="AH292" s="361"/>
      <c r="AI292" s="98"/>
      <c r="AJ292" s="95"/>
      <c r="AK292" s="215"/>
      <c r="AL292" s="206"/>
      <c r="AM292" s="83"/>
      <c r="AN292" s="206"/>
      <c r="AO292" s="83"/>
      <c r="AP292" s="206"/>
      <c r="AQ292" s="83"/>
      <c r="AR292" s="13">
        <f t="shared" si="131"/>
        <v>2.9199999999999998E-5</v>
      </c>
      <c r="AS292" s="13">
        <f t="shared" si="132"/>
        <v>0</v>
      </c>
      <c r="AT292" s="13"/>
      <c r="AU292" s="160">
        <v>297</v>
      </c>
      <c r="AV292" s="191">
        <f t="shared" si="146"/>
        <v>1.1399999999999999E-5</v>
      </c>
      <c r="AW292" s="160">
        <f t="shared" si="133"/>
        <v>0</v>
      </c>
      <c r="AX292" s="219">
        <f t="shared" si="134"/>
        <v>2.9199999999999998E-5</v>
      </c>
      <c r="AY292" s="13">
        <f t="shared" si="137"/>
        <v>0</v>
      </c>
      <c r="AZ292" s="160">
        <v>297</v>
      </c>
      <c r="BA292" s="77">
        <f t="shared" si="147"/>
        <v>9.9999999999999991E-6</v>
      </c>
      <c r="BB292" s="192">
        <f t="shared" si="135"/>
        <v>0</v>
      </c>
      <c r="BC292" s="219">
        <f t="shared" si="138"/>
        <v>2.9199999999999998E-5</v>
      </c>
      <c r="BD292" s="13">
        <f t="shared" si="139"/>
        <v>0</v>
      </c>
      <c r="BE292" s="160">
        <v>297</v>
      </c>
      <c r="BF292" s="77">
        <f t="shared" si="148"/>
        <v>9.9999999999999991E-6</v>
      </c>
      <c r="BG292" s="192">
        <f t="shared" si="136"/>
        <v>0</v>
      </c>
      <c r="BI292" s="120"/>
      <c r="BJ292" s="120"/>
      <c r="BK292" s="160"/>
      <c r="BL292" s="160"/>
      <c r="BM292" s="161" t="str">
        <f t="shared" si="150"/>
        <v/>
      </c>
      <c r="BN292" s="161" t="str">
        <f t="shared" si="140"/>
        <v/>
      </c>
      <c r="BO292" s="161" t="str">
        <f t="shared" si="151"/>
        <v/>
      </c>
      <c r="BP292" s="161" t="str">
        <f t="shared" si="141"/>
        <v/>
      </c>
      <c r="BQ292" s="161" t="str">
        <f t="shared" si="142"/>
        <v/>
      </c>
      <c r="BR292" s="161" t="str">
        <f t="shared" si="152"/>
        <v/>
      </c>
      <c r="BS292" s="161" t="str">
        <f t="shared" si="143"/>
        <v/>
      </c>
      <c r="BT292" s="161" t="str">
        <f t="shared" si="144"/>
        <v/>
      </c>
      <c r="BU292" s="161" t="str">
        <f t="shared" si="153"/>
        <v/>
      </c>
      <c r="BV292" s="161" t="str">
        <f t="shared" si="145"/>
        <v/>
      </c>
      <c r="BW292" s="161" t="str">
        <f t="shared" si="154"/>
        <v/>
      </c>
      <c r="BX292" s="161" t="str">
        <f t="shared" si="149"/>
        <v/>
      </c>
      <c r="BY292" s="148"/>
      <c r="BZ292" s="148"/>
      <c r="CA292" s="148"/>
      <c r="CB292" s="148" t="s">
        <v>149</v>
      </c>
      <c r="CC292" s="148"/>
    </row>
    <row r="293" spans="1:81" ht="14.25" customHeight="1" thickBot="1">
      <c r="A293" s="190">
        <v>283</v>
      </c>
      <c r="B293" s="79"/>
      <c r="C293" s="179"/>
      <c r="D293" s="137"/>
      <c r="E293" s="198" t="s">
        <v>29</v>
      </c>
      <c r="F293" s="199"/>
      <c r="G293" s="200"/>
      <c r="H293" s="200"/>
      <c r="I293" s="200"/>
      <c r="J293" s="200"/>
      <c r="K293" s="201">
        <f t="shared" si="128"/>
        <v>0</v>
      </c>
      <c r="L293" s="189"/>
      <c r="M293" s="84"/>
      <c r="N293" s="335"/>
      <c r="O293" s="341" t="s">
        <v>65</v>
      </c>
      <c r="P293" s="189"/>
      <c r="Q293" s="326"/>
      <c r="R293" s="326"/>
      <c r="S293" s="87"/>
      <c r="T293" s="207"/>
      <c r="U293" s="225">
        <f t="shared" si="129"/>
        <v>0</v>
      </c>
      <c r="V293" s="277"/>
      <c r="W293" s="278"/>
      <c r="X293" s="350"/>
      <c r="Y293" s="208" t="s">
        <v>147</v>
      </c>
      <c r="Z293" s="11"/>
      <c r="AA293" s="207"/>
      <c r="AB293" s="207"/>
      <c r="AC293" s="3"/>
      <c r="AD293" s="207"/>
      <c r="AE293" s="226">
        <f t="shared" si="130"/>
        <v>0</v>
      </c>
      <c r="AF293" s="11"/>
      <c r="AG293" s="3"/>
      <c r="AH293" s="359"/>
      <c r="AI293" s="96"/>
      <c r="AJ293" s="94"/>
      <c r="AK293" s="214"/>
      <c r="AL293" s="213"/>
      <c r="AM293" s="82"/>
      <c r="AN293" s="213"/>
      <c r="AO293" s="82"/>
      <c r="AP293" s="213"/>
      <c r="AQ293" s="82"/>
      <c r="AR293" s="13">
        <f t="shared" si="131"/>
        <v>2.9299999999999997E-5</v>
      </c>
      <c r="AS293" s="13">
        <f t="shared" si="132"/>
        <v>0</v>
      </c>
      <c r="AT293" s="13"/>
      <c r="AU293" s="160">
        <v>298</v>
      </c>
      <c r="AV293" s="191">
        <f t="shared" si="146"/>
        <v>1.13E-5</v>
      </c>
      <c r="AW293" s="160">
        <f t="shared" si="133"/>
        <v>0</v>
      </c>
      <c r="AX293" s="219">
        <f t="shared" si="134"/>
        <v>2.9299999999999997E-5</v>
      </c>
      <c r="AY293" s="13">
        <f t="shared" si="137"/>
        <v>0</v>
      </c>
      <c r="AZ293" s="160">
        <v>298</v>
      </c>
      <c r="BA293" s="77">
        <f t="shared" si="147"/>
        <v>9.9000000000000001E-6</v>
      </c>
      <c r="BB293" s="192">
        <f t="shared" si="135"/>
        <v>0</v>
      </c>
      <c r="BC293" s="219">
        <f t="shared" si="138"/>
        <v>2.9299999999999997E-5</v>
      </c>
      <c r="BD293" s="13">
        <f t="shared" si="139"/>
        <v>0</v>
      </c>
      <c r="BE293" s="160">
        <v>298</v>
      </c>
      <c r="BF293" s="77">
        <f t="shared" si="148"/>
        <v>9.9000000000000001E-6</v>
      </c>
      <c r="BG293" s="192">
        <f t="shared" si="136"/>
        <v>0</v>
      </c>
      <c r="BI293" s="120"/>
      <c r="BJ293" s="120"/>
      <c r="BK293" s="160"/>
      <c r="BL293" s="160"/>
      <c r="BM293" s="161" t="str">
        <f t="shared" si="150"/>
        <v/>
      </c>
      <c r="BN293" s="161" t="str">
        <f t="shared" si="140"/>
        <v/>
      </c>
      <c r="BO293" s="161" t="str">
        <f t="shared" si="151"/>
        <v/>
      </c>
      <c r="BP293" s="161" t="str">
        <f t="shared" si="141"/>
        <v/>
      </c>
      <c r="BQ293" s="161" t="str">
        <f t="shared" si="142"/>
        <v/>
      </c>
      <c r="BR293" s="161" t="str">
        <f t="shared" si="152"/>
        <v/>
      </c>
      <c r="BS293" s="161" t="str">
        <f t="shared" si="143"/>
        <v/>
      </c>
      <c r="BT293" s="161" t="str">
        <f t="shared" si="144"/>
        <v/>
      </c>
      <c r="BU293" s="161" t="str">
        <f t="shared" si="153"/>
        <v/>
      </c>
      <c r="BV293" s="161" t="str">
        <f t="shared" si="145"/>
        <v/>
      </c>
      <c r="BW293" s="161" t="str">
        <f t="shared" si="154"/>
        <v/>
      </c>
      <c r="BX293" s="161" t="str">
        <f t="shared" si="149"/>
        <v/>
      </c>
      <c r="BY293" s="148"/>
      <c r="BZ293" s="148"/>
      <c r="CA293" s="148"/>
      <c r="CB293" s="148" t="s">
        <v>149</v>
      </c>
      <c r="CC293" s="148"/>
    </row>
    <row r="294" spans="1:81" ht="14.25" customHeight="1" thickBot="1">
      <c r="A294" s="190">
        <v>284</v>
      </c>
      <c r="B294" s="196"/>
      <c r="C294" s="180"/>
      <c r="D294" s="136"/>
      <c r="E294" s="91" t="s">
        <v>29</v>
      </c>
      <c r="F294" s="187"/>
      <c r="G294" s="188"/>
      <c r="H294" s="188"/>
      <c r="I294" s="188"/>
      <c r="J294" s="188"/>
      <c r="K294" s="18">
        <f t="shared" si="128"/>
        <v>0</v>
      </c>
      <c r="L294" s="187"/>
      <c r="M294" s="118"/>
      <c r="N294" s="336"/>
      <c r="O294" s="342" t="s">
        <v>65</v>
      </c>
      <c r="P294" s="187"/>
      <c r="Q294" s="188"/>
      <c r="R294" s="188"/>
      <c r="S294" s="119"/>
      <c r="T294" s="188"/>
      <c r="U294" s="211">
        <f t="shared" si="129"/>
        <v>0</v>
      </c>
      <c r="V294" s="279"/>
      <c r="W294" s="280"/>
      <c r="X294" s="351"/>
      <c r="Y294" s="209" t="s">
        <v>85</v>
      </c>
      <c r="Z294" s="71"/>
      <c r="AA294" s="321"/>
      <c r="AB294" s="321"/>
      <c r="AC294" s="322"/>
      <c r="AD294" s="188"/>
      <c r="AE294" s="18">
        <f t="shared" si="130"/>
        <v>0</v>
      </c>
      <c r="AF294" s="71"/>
      <c r="AG294" s="322"/>
      <c r="AH294" s="360"/>
      <c r="AI294" s="97"/>
      <c r="AJ294" s="194"/>
      <c r="AK294" s="193"/>
      <c r="AL294" s="205"/>
      <c r="AM294" s="197"/>
      <c r="AN294" s="205"/>
      <c r="AO294" s="197"/>
      <c r="AP294" s="205"/>
      <c r="AQ294" s="197"/>
      <c r="AR294" s="13">
        <f t="shared" si="131"/>
        <v>2.94E-5</v>
      </c>
      <c r="AS294" s="13">
        <f t="shared" si="132"/>
        <v>0</v>
      </c>
      <c r="AT294" s="13"/>
      <c r="AU294" s="160">
        <v>299</v>
      </c>
      <c r="AV294" s="191">
        <f t="shared" si="146"/>
        <v>1.1199999999999999E-5</v>
      </c>
      <c r="AW294" s="160">
        <f t="shared" si="133"/>
        <v>0</v>
      </c>
      <c r="AX294" s="219">
        <f t="shared" si="134"/>
        <v>2.94E-5</v>
      </c>
      <c r="AY294" s="13">
        <f t="shared" si="137"/>
        <v>0</v>
      </c>
      <c r="AZ294" s="160">
        <v>299</v>
      </c>
      <c r="BA294" s="77">
        <f t="shared" si="147"/>
        <v>9.7999999999999993E-6</v>
      </c>
      <c r="BB294" s="192">
        <f t="shared" si="135"/>
        <v>0</v>
      </c>
      <c r="BC294" s="219">
        <f t="shared" si="138"/>
        <v>2.94E-5</v>
      </c>
      <c r="BD294" s="13">
        <f t="shared" si="139"/>
        <v>0</v>
      </c>
      <c r="BE294" s="160">
        <v>299</v>
      </c>
      <c r="BF294" s="77">
        <f t="shared" si="148"/>
        <v>9.7999999999999993E-6</v>
      </c>
      <c r="BG294" s="192">
        <f t="shared" si="136"/>
        <v>0</v>
      </c>
      <c r="BI294" s="120"/>
      <c r="BJ294" s="120"/>
      <c r="BK294" s="160"/>
      <c r="BL294" s="160"/>
      <c r="BM294" s="161" t="str">
        <f t="shared" si="150"/>
        <v/>
      </c>
      <c r="BN294" s="161" t="str">
        <f t="shared" si="140"/>
        <v/>
      </c>
      <c r="BO294" s="161" t="str">
        <f t="shared" si="151"/>
        <v/>
      </c>
      <c r="BP294" s="161" t="str">
        <f t="shared" si="141"/>
        <v/>
      </c>
      <c r="BQ294" s="161" t="str">
        <f t="shared" si="142"/>
        <v/>
      </c>
      <c r="BR294" s="161" t="str">
        <f t="shared" si="152"/>
        <v/>
      </c>
      <c r="BS294" s="161" t="str">
        <f t="shared" si="143"/>
        <v/>
      </c>
      <c r="BT294" s="161" t="str">
        <f t="shared" si="144"/>
        <v/>
      </c>
      <c r="BU294" s="161" t="str">
        <f t="shared" si="153"/>
        <v/>
      </c>
      <c r="BV294" s="161" t="str">
        <f t="shared" si="145"/>
        <v/>
      </c>
      <c r="BW294" s="161" t="str">
        <f t="shared" si="154"/>
        <v/>
      </c>
      <c r="BX294" s="161" t="str">
        <f t="shared" si="149"/>
        <v/>
      </c>
      <c r="BY294" s="148"/>
      <c r="BZ294" s="148"/>
      <c r="CA294" s="148"/>
      <c r="CB294" s="148" t="s">
        <v>149</v>
      </c>
      <c r="CC294" s="148"/>
    </row>
    <row r="295" spans="1:81" ht="14.25" customHeight="1" thickBot="1">
      <c r="A295" s="190">
        <v>285</v>
      </c>
      <c r="B295" s="78"/>
      <c r="C295" s="181"/>
      <c r="D295" s="86"/>
      <c r="E295" s="92" t="s">
        <v>29</v>
      </c>
      <c r="F295" s="88"/>
      <c r="G295" s="93"/>
      <c r="H295" s="93"/>
      <c r="I295" s="93"/>
      <c r="J295" s="93"/>
      <c r="K295" s="81">
        <f t="shared" si="128"/>
        <v>0</v>
      </c>
      <c r="L295" s="88"/>
      <c r="M295" s="85"/>
      <c r="N295" s="337"/>
      <c r="O295" s="343" t="s">
        <v>65</v>
      </c>
      <c r="P295" s="88"/>
      <c r="Q295" s="93"/>
      <c r="R295" s="93"/>
      <c r="S295" s="89"/>
      <c r="T295" s="93"/>
      <c r="U295" s="212">
        <f t="shared" si="129"/>
        <v>0</v>
      </c>
      <c r="V295" s="281"/>
      <c r="W295" s="282"/>
      <c r="X295" s="352"/>
      <c r="Y295" s="210" t="s">
        <v>85</v>
      </c>
      <c r="Z295" s="72"/>
      <c r="AA295" s="323"/>
      <c r="AB295" s="323"/>
      <c r="AC295" s="324"/>
      <c r="AD295" s="93"/>
      <c r="AE295" s="81">
        <f t="shared" si="130"/>
        <v>0</v>
      </c>
      <c r="AF295" s="72"/>
      <c r="AG295" s="324"/>
      <c r="AH295" s="361"/>
      <c r="AI295" s="98"/>
      <c r="AJ295" s="95"/>
      <c r="AK295" s="215"/>
      <c r="AL295" s="206"/>
      <c r="AM295" s="83"/>
      <c r="AN295" s="206"/>
      <c r="AO295" s="83"/>
      <c r="AP295" s="206"/>
      <c r="AQ295" s="83"/>
      <c r="AR295" s="13">
        <f t="shared" si="131"/>
        <v>2.9499999999999999E-5</v>
      </c>
      <c r="AS295" s="13">
        <f t="shared" si="132"/>
        <v>0</v>
      </c>
      <c r="AT295" s="13"/>
      <c r="AU295" s="160">
        <v>300</v>
      </c>
      <c r="AV295" s="191">
        <f t="shared" si="146"/>
        <v>1.1099999999999999E-5</v>
      </c>
      <c r="AW295" s="160">
        <f t="shared" si="133"/>
        <v>0</v>
      </c>
      <c r="AX295" s="219">
        <f t="shared" si="134"/>
        <v>2.9499999999999999E-5</v>
      </c>
      <c r="AY295" s="13">
        <f t="shared" si="137"/>
        <v>0</v>
      </c>
      <c r="AZ295" s="160">
        <v>300</v>
      </c>
      <c r="BA295" s="77">
        <f t="shared" si="147"/>
        <v>9.7000000000000003E-6</v>
      </c>
      <c r="BB295" s="192">
        <f t="shared" si="135"/>
        <v>0</v>
      </c>
      <c r="BC295" s="219">
        <f t="shared" si="138"/>
        <v>2.9499999999999999E-5</v>
      </c>
      <c r="BD295" s="13">
        <f t="shared" si="139"/>
        <v>0</v>
      </c>
      <c r="BE295" s="160">
        <v>300</v>
      </c>
      <c r="BF295" s="77">
        <f t="shared" si="148"/>
        <v>9.7000000000000003E-6</v>
      </c>
      <c r="BG295" s="192">
        <f t="shared" si="136"/>
        <v>0</v>
      </c>
      <c r="BI295" s="120"/>
      <c r="BJ295" s="120"/>
      <c r="BK295" s="160"/>
      <c r="BL295" s="160"/>
      <c r="BM295" s="161" t="str">
        <f t="shared" si="150"/>
        <v/>
      </c>
      <c r="BN295" s="161" t="str">
        <f t="shared" si="140"/>
        <v/>
      </c>
      <c r="BO295" s="161" t="str">
        <f t="shared" si="151"/>
        <v/>
      </c>
      <c r="BP295" s="161" t="str">
        <f t="shared" si="141"/>
        <v/>
      </c>
      <c r="BQ295" s="161" t="str">
        <f t="shared" si="142"/>
        <v/>
      </c>
      <c r="BR295" s="161" t="str">
        <f t="shared" si="152"/>
        <v/>
      </c>
      <c r="BS295" s="161" t="str">
        <f t="shared" si="143"/>
        <v/>
      </c>
      <c r="BT295" s="161" t="str">
        <f t="shared" si="144"/>
        <v/>
      </c>
      <c r="BU295" s="161" t="str">
        <f t="shared" si="153"/>
        <v/>
      </c>
      <c r="BV295" s="161" t="str">
        <f t="shared" si="145"/>
        <v/>
      </c>
      <c r="BW295" s="161" t="str">
        <f t="shared" si="154"/>
        <v/>
      </c>
      <c r="BX295" s="161" t="str">
        <f t="shared" si="149"/>
        <v/>
      </c>
      <c r="BY295" s="148"/>
      <c r="BZ295" s="148"/>
      <c r="CA295" s="148"/>
      <c r="CB295" s="148" t="s">
        <v>149</v>
      </c>
      <c r="CC295" s="148"/>
    </row>
    <row r="296" spans="1:81" ht="14.25" customHeight="1" thickBot="1">
      <c r="A296" s="190">
        <v>286</v>
      </c>
      <c r="B296" s="79"/>
      <c r="C296" s="179"/>
      <c r="D296" s="137"/>
      <c r="E296" s="198" t="s">
        <v>29</v>
      </c>
      <c r="F296" s="199"/>
      <c r="G296" s="200"/>
      <c r="H296" s="200"/>
      <c r="I296" s="200"/>
      <c r="J296" s="200"/>
      <c r="K296" s="201">
        <f t="shared" si="128"/>
        <v>0</v>
      </c>
      <c r="L296" s="189"/>
      <c r="M296" s="84"/>
      <c r="N296" s="335"/>
      <c r="O296" s="341" t="s">
        <v>65</v>
      </c>
      <c r="P296" s="189"/>
      <c r="Q296" s="326"/>
      <c r="R296" s="326"/>
      <c r="S296" s="87"/>
      <c r="T296" s="207"/>
      <c r="U296" s="225">
        <f t="shared" si="129"/>
        <v>0</v>
      </c>
      <c r="V296" s="277"/>
      <c r="W296" s="278"/>
      <c r="X296" s="350"/>
      <c r="Y296" s="208" t="s">
        <v>147</v>
      </c>
      <c r="Z296" s="11"/>
      <c r="AA296" s="207"/>
      <c r="AB296" s="207"/>
      <c r="AC296" s="3"/>
      <c r="AD296" s="207"/>
      <c r="AE296" s="226">
        <f t="shared" si="130"/>
        <v>0</v>
      </c>
      <c r="AF296" s="11"/>
      <c r="AG296" s="3"/>
      <c r="AH296" s="359"/>
      <c r="AI296" s="96"/>
      <c r="AJ296" s="94"/>
      <c r="AK296" s="214"/>
      <c r="AL296" s="213"/>
      <c r="AM296" s="82"/>
      <c r="AN296" s="213"/>
      <c r="AO296" s="82"/>
      <c r="AP296" s="213"/>
      <c r="AQ296" s="82"/>
      <c r="AR296" s="13">
        <f t="shared" si="131"/>
        <v>2.9599999999999998E-5</v>
      </c>
      <c r="AS296" s="13">
        <f t="shared" si="132"/>
        <v>0</v>
      </c>
      <c r="AT296" s="13"/>
      <c r="AU296" s="160">
        <v>301</v>
      </c>
      <c r="AV296" s="191">
        <f t="shared" si="146"/>
        <v>1.1E-5</v>
      </c>
      <c r="AW296" s="160">
        <f t="shared" si="133"/>
        <v>0</v>
      </c>
      <c r="AX296" s="219">
        <f t="shared" si="134"/>
        <v>2.9599999999999998E-5</v>
      </c>
      <c r="AY296" s="13">
        <f t="shared" si="137"/>
        <v>0</v>
      </c>
      <c r="AZ296" s="160">
        <v>301</v>
      </c>
      <c r="BA296" s="77">
        <f t="shared" si="147"/>
        <v>9.5999999999999996E-6</v>
      </c>
      <c r="BB296" s="192">
        <f t="shared" si="135"/>
        <v>0</v>
      </c>
      <c r="BC296" s="219">
        <f t="shared" si="138"/>
        <v>2.9599999999999998E-5</v>
      </c>
      <c r="BD296" s="13">
        <f t="shared" si="139"/>
        <v>0</v>
      </c>
      <c r="BE296" s="160">
        <v>301</v>
      </c>
      <c r="BF296" s="77">
        <f t="shared" si="148"/>
        <v>9.5999999999999996E-6</v>
      </c>
      <c r="BG296" s="192">
        <f t="shared" si="136"/>
        <v>0</v>
      </c>
      <c r="BI296" s="120"/>
      <c r="BJ296" s="120"/>
      <c r="BK296" s="160"/>
      <c r="BL296" s="160"/>
      <c r="BM296" s="161" t="str">
        <f t="shared" si="150"/>
        <v/>
      </c>
      <c r="BN296" s="161" t="str">
        <f t="shared" si="140"/>
        <v/>
      </c>
      <c r="BO296" s="161" t="str">
        <f t="shared" ref="BO296:BO316" si="155">MID($BK296,10,1)</f>
        <v/>
      </c>
      <c r="BP296" s="161" t="str">
        <f t="shared" si="141"/>
        <v/>
      </c>
      <c r="BQ296" s="161" t="str">
        <f t="shared" si="142"/>
        <v/>
      </c>
      <c r="BR296" s="161" t="str">
        <f t="shared" si="152"/>
        <v/>
      </c>
      <c r="BS296" s="161" t="str">
        <f t="shared" si="143"/>
        <v/>
      </c>
      <c r="BT296" s="161" t="str">
        <f t="shared" si="144"/>
        <v/>
      </c>
      <c r="BU296" s="161" t="str">
        <f t="shared" si="153"/>
        <v/>
      </c>
      <c r="BV296" s="161" t="str">
        <f t="shared" si="145"/>
        <v/>
      </c>
      <c r="BW296" s="161" t="str">
        <f t="shared" si="154"/>
        <v/>
      </c>
      <c r="BX296" s="161" t="str">
        <f t="shared" ref="BX296:BX316" si="156">MID($BK296,1,1)</f>
        <v/>
      </c>
      <c r="BY296" s="148"/>
      <c r="BZ296" s="148"/>
      <c r="CA296" s="148"/>
      <c r="CB296" s="148" t="s">
        <v>149</v>
      </c>
      <c r="CC296" s="148"/>
    </row>
    <row r="297" spans="1:81" ht="14.25" customHeight="1" thickBot="1">
      <c r="A297" s="190">
        <v>287</v>
      </c>
      <c r="B297" s="196"/>
      <c r="C297" s="180"/>
      <c r="D297" s="136"/>
      <c r="E297" s="91" t="s">
        <v>29</v>
      </c>
      <c r="F297" s="187"/>
      <c r="G297" s="188"/>
      <c r="H297" s="188"/>
      <c r="I297" s="188"/>
      <c r="J297" s="188"/>
      <c r="K297" s="18">
        <f t="shared" si="128"/>
        <v>0</v>
      </c>
      <c r="L297" s="187"/>
      <c r="M297" s="118"/>
      <c r="N297" s="336"/>
      <c r="O297" s="342" t="s">
        <v>65</v>
      </c>
      <c r="P297" s="187"/>
      <c r="Q297" s="188"/>
      <c r="R297" s="188"/>
      <c r="S297" s="119"/>
      <c r="T297" s="188"/>
      <c r="U297" s="211">
        <f t="shared" si="129"/>
        <v>0</v>
      </c>
      <c r="V297" s="279"/>
      <c r="W297" s="280"/>
      <c r="X297" s="351"/>
      <c r="Y297" s="209" t="s">
        <v>85</v>
      </c>
      <c r="Z297" s="71"/>
      <c r="AA297" s="321"/>
      <c r="AB297" s="321"/>
      <c r="AC297" s="322"/>
      <c r="AD297" s="188"/>
      <c r="AE297" s="18">
        <f t="shared" si="130"/>
        <v>0</v>
      </c>
      <c r="AF297" s="71"/>
      <c r="AG297" s="322"/>
      <c r="AH297" s="360"/>
      <c r="AI297" s="97"/>
      <c r="AJ297" s="194"/>
      <c r="AK297" s="193"/>
      <c r="AL297" s="205"/>
      <c r="AM297" s="197"/>
      <c r="AN297" s="205"/>
      <c r="AO297" s="197"/>
      <c r="AP297" s="205"/>
      <c r="AQ297" s="197"/>
      <c r="AR297" s="13">
        <f t="shared" si="131"/>
        <v>2.97E-5</v>
      </c>
      <c r="AS297" s="13">
        <f t="shared" si="132"/>
        <v>0</v>
      </c>
      <c r="AT297" s="13"/>
      <c r="AU297" s="160">
        <v>302</v>
      </c>
      <c r="AV297" s="191">
        <f t="shared" si="146"/>
        <v>1.0899999999999999E-5</v>
      </c>
      <c r="AW297" s="160">
        <f t="shared" si="133"/>
        <v>0</v>
      </c>
      <c r="AX297" s="219">
        <f t="shared" si="134"/>
        <v>2.97E-5</v>
      </c>
      <c r="AY297" s="13">
        <f t="shared" si="137"/>
        <v>0</v>
      </c>
      <c r="AZ297" s="160">
        <v>302</v>
      </c>
      <c r="BA297" s="77">
        <f t="shared" si="147"/>
        <v>9.4999999999999988E-6</v>
      </c>
      <c r="BB297" s="192">
        <f t="shared" si="135"/>
        <v>0</v>
      </c>
      <c r="BC297" s="219">
        <f t="shared" si="138"/>
        <v>2.97E-5</v>
      </c>
      <c r="BD297" s="13">
        <f t="shared" si="139"/>
        <v>0</v>
      </c>
      <c r="BE297" s="160">
        <v>302</v>
      </c>
      <c r="BF297" s="77">
        <f t="shared" si="148"/>
        <v>9.4999999999999988E-6</v>
      </c>
      <c r="BG297" s="192">
        <f t="shared" si="136"/>
        <v>0</v>
      </c>
      <c r="BI297" s="120"/>
      <c r="BJ297" s="120"/>
      <c r="BK297" s="160"/>
      <c r="BL297" s="160"/>
      <c r="BM297" s="161" t="str">
        <f t="shared" si="150"/>
        <v/>
      </c>
      <c r="BN297" s="161" t="str">
        <f t="shared" si="140"/>
        <v/>
      </c>
      <c r="BO297" s="161" t="str">
        <f t="shared" si="155"/>
        <v/>
      </c>
      <c r="BP297" s="161" t="str">
        <f t="shared" si="141"/>
        <v/>
      </c>
      <c r="BQ297" s="161" t="str">
        <f t="shared" si="142"/>
        <v/>
      </c>
      <c r="BR297" s="161" t="str">
        <f t="shared" si="152"/>
        <v/>
      </c>
      <c r="BS297" s="161" t="str">
        <f t="shared" si="143"/>
        <v/>
      </c>
      <c r="BT297" s="161" t="str">
        <f t="shared" si="144"/>
        <v/>
      </c>
      <c r="BU297" s="161" t="str">
        <f t="shared" si="153"/>
        <v/>
      </c>
      <c r="BV297" s="161" t="str">
        <f t="shared" si="145"/>
        <v/>
      </c>
      <c r="BW297" s="161" t="str">
        <f t="shared" si="154"/>
        <v/>
      </c>
      <c r="BX297" s="161" t="str">
        <f t="shared" si="156"/>
        <v/>
      </c>
      <c r="BY297" s="148"/>
      <c r="BZ297" s="148"/>
      <c r="CA297" s="148"/>
      <c r="CB297" s="148" t="s">
        <v>149</v>
      </c>
      <c r="CC297" s="148"/>
    </row>
    <row r="298" spans="1:81" ht="14.25" customHeight="1" thickBot="1">
      <c r="A298" s="190">
        <v>288</v>
      </c>
      <c r="B298" s="78"/>
      <c r="C298" s="181"/>
      <c r="D298" s="86"/>
      <c r="E298" s="92" t="s">
        <v>29</v>
      </c>
      <c r="F298" s="88"/>
      <c r="G298" s="93"/>
      <c r="H298" s="93"/>
      <c r="I298" s="93"/>
      <c r="J298" s="93"/>
      <c r="K298" s="81">
        <f t="shared" si="128"/>
        <v>0</v>
      </c>
      <c r="L298" s="88"/>
      <c r="M298" s="85"/>
      <c r="N298" s="337"/>
      <c r="O298" s="343" t="s">
        <v>65</v>
      </c>
      <c r="P298" s="88"/>
      <c r="Q298" s="93"/>
      <c r="R298" s="93"/>
      <c r="S298" s="89"/>
      <c r="T298" s="93"/>
      <c r="U298" s="212">
        <f t="shared" si="129"/>
        <v>0</v>
      </c>
      <c r="V298" s="281"/>
      <c r="W298" s="282"/>
      <c r="X298" s="352"/>
      <c r="Y298" s="210" t="s">
        <v>85</v>
      </c>
      <c r="Z298" s="72"/>
      <c r="AA298" s="323"/>
      <c r="AB298" s="323"/>
      <c r="AC298" s="324"/>
      <c r="AD298" s="93"/>
      <c r="AE298" s="81">
        <f t="shared" si="130"/>
        <v>0</v>
      </c>
      <c r="AF298" s="72"/>
      <c r="AG298" s="324"/>
      <c r="AH298" s="361"/>
      <c r="AI298" s="98"/>
      <c r="AJ298" s="95"/>
      <c r="AK298" s="215"/>
      <c r="AL298" s="206"/>
      <c r="AM298" s="83"/>
      <c r="AN298" s="206"/>
      <c r="AO298" s="83"/>
      <c r="AP298" s="206"/>
      <c r="AQ298" s="83"/>
      <c r="AR298" s="13">
        <f t="shared" si="131"/>
        <v>2.9799999999999999E-5</v>
      </c>
      <c r="AS298" s="13">
        <f t="shared" si="132"/>
        <v>0</v>
      </c>
      <c r="AT298" s="13"/>
      <c r="AU298" s="160">
        <v>303</v>
      </c>
      <c r="AV298" s="191">
        <f t="shared" si="146"/>
        <v>1.08E-5</v>
      </c>
      <c r="AW298" s="160">
        <f t="shared" si="133"/>
        <v>0</v>
      </c>
      <c r="AX298" s="219">
        <f t="shared" si="134"/>
        <v>2.9799999999999999E-5</v>
      </c>
      <c r="AY298" s="13">
        <f t="shared" si="137"/>
        <v>0</v>
      </c>
      <c r="AZ298" s="160">
        <v>303</v>
      </c>
      <c r="BA298" s="77">
        <f t="shared" si="147"/>
        <v>9.3999999999999998E-6</v>
      </c>
      <c r="BB298" s="192">
        <f t="shared" si="135"/>
        <v>0</v>
      </c>
      <c r="BC298" s="219">
        <f t="shared" si="138"/>
        <v>2.9799999999999999E-5</v>
      </c>
      <c r="BD298" s="13">
        <f t="shared" si="139"/>
        <v>0</v>
      </c>
      <c r="BE298" s="160">
        <v>303</v>
      </c>
      <c r="BF298" s="77">
        <f t="shared" si="148"/>
        <v>9.3999999999999998E-6</v>
      </c>
      <c r="BG298" s="192">
        <f t="shared" si="136"/>
        <v>0</v>
      </c>
      <c r="BI298" s="120"/>
      <c r="BJ298" s="120"/>
      <c r="BK298" s="160"/>
      <c r="BL298" s="160"/>
      <c r="BM298" s="161" t="str">
        <f t="shared" si="150"/>
        <v/>
      </c>
      <c r="BN298" s="161" t="str">
        <f t="shared" si="140"/>
        <v/>
      </c>
      <c r="BO298" s="161" t="str">
        <f t="shared" si="155"/>
        <v/>
      </c>
      <c r="BP298" s="161" t="str">
        <f t="shared" si="141"/>
        <v/>
      </c>
      <c r="BQ298" s="161" t="str">
        <f t="shared" si="142"/>
        <v/>
      </c>
      <c r="BR298" s="161" t="str">
        <f t="shared" si="152"/>
        <v/>
      </c>
      <c r="BS298" s="161" t="str">
        <f t="shared" si="143"/>
        <v/>
      </c>
      <c r="BT298" s="161" t="str">
        <f t="shared" si="144"/>
        <v/>
      </c>
      <c r="BU298" s="161" t="str">
        <f t="shared" si="153"/>
        <v/>
      </c>
      <c r="BV298" s="161" t="str">
        <f t="shared" si="145"/>
        <v/>
      </c>
      <c r="BW298" s="161" t="str">
        <f t="shared" si="154"/>
        <v/>
      </c>
      <c r="BX298" s="161" t="str">
        <f t="shared" si="156"/>
        <v/>
      </c>
      <c r="BY298" s="148"/>
      <c r="BZ298" s="148"/>
      <c r="CA298" s="148"/>
      <c r="CB298" s="148" t="s">
        <v>149</v>
      </c>
      <c r="CC298" s="148"/>
    </row>
    <row r="299" spans="1:81" ht="14.25" customHeight="1" thickBot="1">
      <c r="A299" s="190">
        <v>289</v>
      </c>
      <c r="B299" s="79"/>
      <c r="C299" s="179"/>
      <c r="D299" s="137"/>
      <c r="E299" s="198" t="s">
        <v>29</v>
      </c>
      <c r="F299" s="199"/>
      <c r="G299" s="200"/>
      <c r="H299" s="200"/>
      <c r="I299" s="200"/>
      <c r="J299" s="200"/>
      <c r="K299" s="201">
        <f t="shared" si="128"/>
        <v>0</v>
      </c>
      <c r="L299" s="189"/>
      <c r="M299" s="84"/>
      <c r="N299" s="335"/>
      <c r="O299" s="341" t="s">
        <v>65</v>
      </c>
      <c r="P299" s="189"/>
      <c r="Q299" s="326"/>
      <c r="R299" s="326"/>
      <c r="S299" s="87"/>
      <c r="T299" s="207"/>
      <c r="U299" s="225">
        <f t="shared" si="129"/>
        <v>0</v>
      </c>
      <c r="V299" s="277"/>
      <c r="W299" s="278"/>
      <c r="X299" s="350"/>
      <c r="Y299" s="208" t="s">
        <v>147</v>
      </c>
      <c r="Z299" s="11"/>
      <c r="AA299" s="207"/>
      <c r="AB299" s="207"/>
      <c r="AC299" s="3"/>
      <c r="AD299" s="207"/>
      <c r="AE299" s="226">
        <f t="shared" si="130"/>
        <v>0</v>
      </c>
      <c r="AF299" s="11"/>
      <c r="AG299" s="3"/>
      <c r="AH299" s="359"/>
      <c r="AI299" s="96"/>
      <c r="AJ299" s="94"/>
      <c r="AK299" s="214"/>
      <c r="AL299" s="213"/>
      <c r="AM299" s="82"/>
      <c r="AN299" s="213"/>
      <c r="AO299" s="82"/>
      <c r="AP299" s="213"/>
      <c r="AQ299" s="82"/>
      <c r="AR299" s="13">
        <f t="shared" si="131"/>
        <v>2.9899999999999998E-5</v>
      </c>
      <c r="AS299" s="13">
        <f t="shared" si="132"/>
        <v>0</v>
      </c>
      <c r="AT299" s="13"/>
      <c r="AU299" s="160">
        <v>304</v>
      </c>
      <c r="AV299" s="191">
        <f t="shared" si="146"/>
        <v>1.0699999999999999E-5</v>
      </c>
      <c r="AW299" s="160">
        <f t="shared" si="133"/>
        <v>0</v>
      </c>
      <c r="AX299" s="219">
        <f t="shared" si="134"/>
        <v>2.9899999999999998E-5</v>
      </c>
      <c r="AY299" s="13">
        <f t="shared" si="137"/>
        <v>0</v>
      </c>
      <c r="AZ299" s="160">
        <v>304</v>
      </c>
      <c r="BA299" s="77">
        <f t="shared" si="147"/>
        <v>9.299999999999999E-6</v>
      </c>
      <c r="BB299" s="192">
        <f t="shared" si="135"/>
        <v>0</v>
      </c>
      <c r="BC299" s="219">
        <f t="shared" si="138"/>
        <v>2.9899999999999998E-5</v>
      </c>
      <c r="BD299" s="13">
        <f t="shared" si="139"/>
        <v>0</v>
      </c>
      <c r="BE299" s="160">
        <v>304</v>
      </c>
      <c r="BF299" s="77">
        <f t="shared" si="148"/>
        <v>9.299999999999999E-6</v>
      </c>
      <c r="BG299" s="192">
        <f t="shared" si="136"/>
        <v>0</v>
      </c>
      <c r="BI299" s="120"/>
      <c r="BJ299" s="120"/>
      <c r="BK299" s="160"/>
      <c r="BL299" s="160"/>
      <c r="BM299" s="161" t="str">
        <f t="shared" si="150"/>
        <v/>
      </c>
      <c r="BN299" s="161" t="str">
        <f t="shared" si="140"/>
        <v/>
      </c>
      <c r="BO299" s="161" t="str">
        <f t="shared" si="155"/>
        <v/>
      </c>
      <c r="BP299" s="161" t="str">
        <f t="shared" si="141"/>
        <v/>
      </c>
      <c r="BQ299" s="161" t="str">
        <f t="shared" si="142"/>
        <v/>
      </c>
      <c r="BR299" s="161" t="str">
        <f t="shared" si="152"/>
        <v/>
      </c>
      <c r="BS299" s="161" t="str">
        <f t="shared" si="143"/>
        <v/>
      </c>
      <c r="BT299" s="161" t="str">
        <f t="shared" si="144"/>
        <v/>
      </c>
      <c r="BU299" s="161" t="str">
        <f t="shared" si="153"/>
        <v/>
      </c>
      <c r="BV299" s="161" t="str">
        <f t="shared" si="145"/>
        <v/>
      </c>
      <c r="BW299" s="161" t="str">
        <f t="shared" si="154"/>
        <v/>
      </c>
      <c r="BX299" s="161" t="str">
        <f t="shared" si="156"/>
        <v/>
      </c>
      <c r="BY299" s="148"/>
      <c r="BZ299" s="148"/>
      <c r="CA299" s="148"/>
      <c r="CB299" s="148" t="s">
        <v>149</v>
      </c>
      <c r="CC299" s="148"/>
    </row>
    <row r="300" spans="1:81" ht="14.25" customHeight="1" thickBot="1">
      <c r="A300" s="190">
        <v>290</v>
      </c>
      <c r="B300" s="196"/>
      <c r="C300" s="180"/>
      <c r="D300" s="136"/>
      <c r="E300" s="91" t="s">
        <v>29</v>
      </c>
      <c r="F300" s="187"/>
      <c r="G300" s="188"/>
      <c r="H300" s="188"/>
      <c r="I300" s="188"/>
      <c r="J300" s="188"/>
      <c r="K300" s="18">
        <f t="shared" si="128"/>
        <v>0</v>
      </c>
      <c r="L300" s="187"/>
      <c r="M300" s="118"/>
      <c r="N300" s="336"/>
      <c r="O300" s="342" t="s">
        <v>65</v>
      </c>
      <c r="P300" s="187"/>
      <c r="Q300" s="188"/>
      <c r="R300" s="188"/>
      <c r="S300" s="119"/>
      <c r="T300" s="188"/>
      <c r="U300" s="211">
        <f t="shared" si="129"/>
        <v>0</v>
      </c>
      <c r="V300" s="279"/>
      <c r="W300" s="280"/>
      <c r="X300" s="351"/>
      <c r="Y300" s="209" t="s">
        <v>85</v>
      </c>
      <c r="Z300" s="71"/>
      <c r="AA300" s="321"/>
      <c r="AB300" s="321"/>
      <c r="AC300" s="322"/>
      <c r="AD300" s="188"/>
      <c r="AE300" s="18">
        <f t="shared" si="130"/>
        <v>0</v>
      </c>
      <c r="AF300" s="71"/>
      <c r="AG300" s="322"/>
      <c r="AH300" s="360"/>
      <c r="AI300" s="97"/>
      <c r="AJ300" s="194"/>
      <c r="AK300" s="193"/>
      <c r="AL300" s="205"/>
      <c r="AM300" s="197"/>
      <c r="AN300" s="205"/>
      <c r="AO300" s="197"/>
      <c r="AP300" s="205"/>
      <c r="AQ300" s="197"/>
      <c r="AR300" s="13">
        <f t="shared" si="131"/>
        <v>2.9999999999999997E-5</v>
      </c>
      <c r="AS300" s="13">
        <f t="shared" si="132"/>
        <v>0</v>
      </c>
      <c r="AT300" s="13"/>
      <c r="AU300" s="160">
        <v>305</v>
      </c>
      <c r="AV300" s="191">
        <f t="shared" si="146"/>
        <v>1.06E-5</v>
      </c>
      <c r="AW300" s="160">
        <f t="shared" si="133"/>
        <v>0</v>
      </c>
      <c r="AX300" s="219">
        <f t="shared" si="134"/>
        <v>2.9999999999999997E-5</v>
      </c>
      <c r="AY300" s="13">
        <f t="shared" si="137"/>
        <v>0</v>
      </c>
      <c r="AZ300" s="160">
        <v>305</v>
      </c>
      <c r="BA300" s="77">
        <f t="shared" si="147"/>
        <v>9.2E-6</v>
      </c>
      <c r="BB300" s="192">
        <f t="shared" si="135"/>
        <v>0</v>
      </c>
      <c r="BC300" s="219">
        <f t="shared" si="138"/>
        <v>2.9999999999999997E-5</v>
      </c>
      <c r="BD300" s="13">
        <f t="shared" si="139"/>
        <v>0</v>
      </c>
      <c r="BE300" s="160">
        <v>305</v>
      </c>
      <c r="BF300" s="77">
        <f t="shared" si="148"/>
        <v>9.2E-6</v>
      </c>
      <c r="BG300" s="192">
        <f t="shared" si="136"/>
        <v>0</v>
      </c>
      <c r="BI300" s="120"/>
      <c r="BJ300" s="120"/>
      <c r="BK300" s="160"/>
      <c r="BL300" s="160"/>
      <c r="BM300" s="161" t="str">
        <f t="shared" si="150"/>
        <v/>
      </c>
      <c r="BN300" s="161" t="str">
        <f t="shared" si="140"/>
        <v/>
      </c>
      <c r="BO300" s="161" t="str">
        <f t="shared" si="155"/>
        <v/>
      </c>
      <c r="BP300" s="161" t="str">
        <f t="shared" si="141"/>
        <v/>
      </c>
      <c r="BQ300" s="161" t="str">
        <f t="shared" si="142"/>
        <v/>
      </c>
      <c r="BR300" s="161" t="str">
        <f t="shared" si="152"/>
        <v/>
      </c>
      <c r="BS300" s="161" t="str">
        <f t="shared" si="143"/>
        <v/>
      </c>
      <c r="BT300" s="161" t="str">
        <f t="shared" si="144"/>
        <v/>
      </c>
      <c r="BU300" s="161" t="str">
        <f t="shared" si="153"/>
        <v/>
      </c>
      <c r="BV300" s="161" t="str">
        <f t="shared" si="145"/>
        <v/>
      </c>
      <c r="BW300" s="161" t="str">
        <f t="shared" si="154"/>
        <v/>
      </c>
      <c r="BX300" s="161" t="str">
        <f t="shared" si="156"/>
        <v/>
      </c>
      <c r="BY300" s="148"/>
      <c r="BZ300" s="148"/>
      <c r="CA300" s="148"/>
      <c r="CB300" s="148" t="s">
        <v>149</v>
      </c>
      <c r="CC300" s="148"/>
    </row>
    <row r="301" spans="1:81" ht="14.25" customHeight="1" thickBot="1">
      <c r="A301" s="190">
        <v>291</v>
      </c>
      <c r="B301" s="78"/>
      <c r="C301" s="181"/>
      <c r="D301" s="86"/>
      <c r="E301" s="92" t="s">
        <v>29</v>
      </c>
      <c r="F301" s="88"/>
      <c r="G301" s="93"/>
      <c r="H301" s="93"/>
      <c r="I301" s="93"/>
      <c r="J301" s="93"/>
      <c r="K301" s="81">
        <f t="shared" si="128"/>
        <v>0</v>
      </c>
      <c r="L301" s="88"/>
      <c r="M301" s="85"/>
      <c r="N301" s="337"/>
      <c r="O301" s="343" t="s">
        <v>65</v>
      </c>
      <c r="P301" s="88"/>
      <c r="Q301" s="93"/>
      <c r="R301" s="93"/>
      <c r="S301" s="89"/>
      <c r="T301" s="93"/>
      <c r="U301" s="212">
        <f t="shared" si="129"/>
        <v>0</v>
      </c>
      <c r="V301" s="281"/>
      <c r="W301" s="282"/>
      <c r="X301" s="352"/>
      <c r="Y301" s="210" t="s">
        <v>85</v>
      </c>
      <c r="Z301" s="72"/>
      <c r="AA301" s="323"/>
      <c r="AB301" s="323"/>
      <c r="AC301" s="324"/>
      <c r="AD301" s="93"/>
      <c r="AE301" s="81">
        <f t="shared" si="130"/>
        <v>0</v>
      </c>
      <c r="AF301" s="72"/>
      <c r="AG301" s="324"/>
      <c r="AH301" s="361"/>
      <c r="AI301" s="98"/>
      <c r="AJ301" s="95"/>
      <c r="AK301" s="215"/>
      <c r="AL301" s="206"/>
      <c r="AM301" s="83"/>
      <c r="AN301" s="206"/>
      <c r="AO301" s="83"/>
      <c r="AP301" s="206"/>
      <c r="AQ301" s="83"/>
      <c r="AR301" s="13">
        <f t="shared" si="131"/>
        <v>3.01E-5</v>
      </c>
      <c r="AS301" s="13">
        <f t="shared" si="132"/>
        <v>0</v>
      </c>
      <c r="AT301" s="13"/>
      <c r="AU301" s="160">
        <v>306</v>
      </c>
      <c r="AV301" s="191">
        <f t="shared" si="146"/>
        <v>1.0499999999999999E-5</v>
      </c>
      <c r="AW301" s="160">
        <f t="shared" si="133"/>
        <v>0</v>
      </c>
      <c r="AX301" s="219">
        <f t="shared" si="134"/>
        <v>3.01E-5</v>
      </c>
      <c r="AY301" s="13">
        <f t="shared" si="137"/>
        <v>0</v>
      </c>
      <c r="AZ301" s="160">
        <v>306</v>
      </c>
      <c r="BA301" s="77">
        <f t="shared" si="147"/>
        <v>9.0999999999999993E-6</v>
      </c>
      <c r="BB301" s="192">
        <f t="shared" si="135"/>
        <v>0</v>
      </c>
      <c r="BC301" s="219">
        <f t="shared" si="138"/>
        <v>3.01E-5</v>
      </c>
      <c r="BD301" s="13">
        <f t="shared" si="139"/>
        <v>0</v>
      </c>
      <c r="BE301" s="160">
        <v>306</v>
      </c>
      <c r="BF301" s="77">
        <f t="shared" si="148"/>
        <v>9.0999999999999993E-6</v>
      </c>
      <c r="BG301" s="192">
        <f t="shared" si="136"/>
        <v>0</v>
      </c>
      <c r="BI301" s="120"/>
      <c r="BJ301" s="120"/>
      <c r="BK301" s="160"/>
      <c r="BL301" s="160"/>
      <c r="BM301" s="161" t="str">
        <f t="shared" si="150"/>
        <v/>
      </c>
      <c r="BN301" s="161" t="str">
        <f t="shared" si="140"/>
        <v/>
      </c>
      <c r="BO301" s="161" t="str">
        <f t="shared" si="155"/>
        <v/>
      </c>
      <c r="BP301" s="161" t="str">
        <f t="shared" si="141"/>
        <v/>
      </c>
      <c r="BQ301" s="161" t="str">
        <f t="shared" si="142"/>
        <v/>
      </c>
      <c r="BR301" s="161" t="str">
        <f t="shared" si="152"/>
        <v/>
      </c>
      <c r="BS301" s="161" t="str">
        <f t="shared" si="143"/>
        <v/>
      </c>
      <c r="BT301" s="161" t="str">
        <f t="shared" si="144"/>
        <v/>
      </c>
      <c r="BU301" s="161" t="str">
        <f t="shared" si="153"/>
        <v/>
      </c>
      <c r="BV301" s="161" t="str">
        <f t="shared" si="145"/>
        <v/>
      </c>
      <c r="BW301" s="161" t="str">
        <f t="shared" si="154"/>
        <v/>
      </c>
      <c r="BX301" s="161" t="str">
        <f t="shared" si="156"/>
        <v/>
      </c>
      <c r="BY301" s="148"/>
      <c r="BZ301" s="148"/>
      <c r="CA301" s="148"/>
      <c r="CB301" s="148" t="s">
        <v>149</v>
      </c>
      <c r="CC301" s="148"/>
    </row>
    <row r="302" spans="1:81" ht="14.25" customHeight="1" thickBot="1">
      <c r="A302" s="190">
        <v>292</v>
      </c>
      <c r="B302" s="79"/>
      <c r="C302" s="179"/>
      <c r="D302" s="137"/>
      <c r="E302" s="198" t="s">
        <v>29</v>
      </c>
      <c r="F302" s="199"/>
      <c r="G302" s="200"/>
      <c r="H302" s="200"/>
      <c r="I302" s="200"/>
      <c r="J302" s="200"/>
      <c r="K302" s="201">
        <f t="shared" si="128"/>
        <v>0</v>
      </c>
      <c r="L302" s="189"/>
      <c r="M302" s="84"/>
      <c r="N302" s="335"/>
      <c r="O302" s="341" t="s">
        <v>65</v>
      </c>
      <c r="P302" s="189"/>
      <c r="Q302" s="326"/>
      <c r="R302" s="326"/>
      <c r="S302" s="87"/>
      <c r="T302" s="207"/>
      <c r="U302" s="225">
        <f t="shared" si="129"/>
        <v>0</v>
      </c>
      <c r="V302" s="277"/>
      <c r="W302" s="278"/>
      <c r="X302" s="350"/>
      <c r="Y302" s="208" t="s">
        <v>147</v>
      </c>
      <c r="Z302" s="11"/>
      <c r="AA302" s="207"/>
      <c r="AB302" s="207"/>
      <c r="AC302" s="3"/>
      <c r="AD302" s="207"/>
      <c r="AE302" s="226">
        <f t="shared" si="130"/>
        <v>0</v>
      </c>
      <c r="AF302" s="11"/>
      <c r="AG302" s="3"/>
      <c r="AH302" s="359"/>
      <c r="AI302" s="96"/>
      <c r="AJ302" s="94"/>
      <c r="AK302" s="214"/>
      <c r="AL302" s="213"/>
      <c r="AM302" s="82"/>
      <c r="AN302" s="213"/>
      <c r="AO302" s="82"/>
      <c r="AP302" s="213"/>
      <c r="AQ302" s="82"/>
      <c r="AR302" s="13">
        <f t="shared" si="131"/>
        <v>3.0199999999999999E-5</v>
      </c>
      <c r="AS302" s="13">
        <f t="shared" si="132"/>
        <v>0</v>
      </c>
      <c r="AT302" s="13"/>
      <c r="AU302" s="160">
        <v>307</v>
      </c>
      <c r="AV302" s="191">
        <f t="shared" si="146"/>
        <v>1.0399999999999999E-5</v>
      </c>
      <c r="AW302" s="160">
        <f t="shared" si="133"/>
        <v>0</v>
      </c>
      <c r="AX302" s="219">
        <f t="shared" si="134"/>
        <v>3.0199999999999999E-5</v>
      </c>
      <c r="AY302" s="13">
        <f t="shared" si="137"/>
        <v>0</v>
      </c>
      <c r="AZ302" s="160">
        <v>307</v>
      </c>
      <c r="BA302" s="77">
        <f t="shared" si="147"/>
        <v>9.0000000000000002E-6</v>
      </c>
      <c r="BB302" s="192">
        <f t="shared" si="135"/>
        <v>0</v>
      </c>
      <c r="BC302" s="219">
        <f t="shared" si="138"/>
        <v>3.0199999999999999E-5</v>
      </c>
      <c r="BD302" s="13">
        <f t="shared" si="139"/>
        <v>0</v>
      </c>
      <c r="BE302" s="160">
        <v>307</v>
      </c>
      <c r="BF302" s="77">
        <f t="shared" si="148"/>
        <v>9.0000000000000002E-6</v>
      </c>
      <c r="BG302" s="192">
        <f t="shared" si="136"/>
        <v>0</v>
      </c>
      <c r="BI302" s="120"/>
      <c r="BJ302" s="120"/>
      <c r="BK302" s="160"/>
      <c r="BL302" s="160"/>
      <c r="BM302" s="161" t="str">
        <f t="shared" si="150"/>
        <v/>
      </c>
      <c r="BN302" s="161" t="str">
        <f t="shared" si="140"/>
        <v/>
      </c>
      <c r="BO302" s="161" t="str">
        <f t="shared" si="155"/>
        <v/>
      </c>
      <c r="BP302" s="161" t="str">
        <f t="shared" si="141"/>
        <v/>
      </c>
      <c r="BQ302" s="161" t="str">
        <f t="shared" si="142"/>
        <v/>
      </c>
      <c r="BR302" s="161" t="str">
        <f t="shared" si="152"/>
        <v/>
      </c>
      <c r="BS302" s="161" t="str">
        <f t="shared" si="143"/>
        <v/>
      </c>
      <c r="BT302" s="161" t="str">
        <f t="shared" si="144"/>
        <v/>
      </c>
      <c r="BU302" s="161" t="str">
        <f t="shared" si="153"/>
        <v/>
      </c>
      <c r="BV302" s="161" t="str">
        <f t="shared" si="145"/>
        <v/>
      </c>
      <c r="BW302" s="161" t="str">
        <f t="shared" si="154"/>
        <v/>
      </c>
      <c r="BX302" s="161" t="str">
        <f t="shared" si="156"/>
        <v/>
      </c>
      <c r="BY302" s="148"/>
      <c r="BZ302" s="148"/>
      <c r="CA302" s="148"/>
      <c r="CB302" s="148" t="s">
        <v>149</v>
      </c>
      <c r="CC302" s="148"/>
    </row>
    <row r="303" spans="1:81" ht="14.25" customHeight="1" thickBot="1">
      <c r="A303" s="190">
        <v>293</v>
      </c>
      <c r="B303" s="196"/>
      <c r="C303" s="180"/>
      <c r="D303" s="136"/>
      <c r="E303" s="91" t="s">
        <v>29</v>
      </c>
      <c r="F303" s="187"/>
      <c r="G303" s="188"/>
      <c r="H303" s="188"/>
      <c r="I303" s="188"/>
      <c r="J303" s="188"/>
      <c r="K303" s="18">
        <f t="shared" si="128"/>
        <v>0</v>
      </c>
      <c r="L303" s="187"/>
      <c r="M303" s="118"/>
      <c r="N303" s="336"/>
      <c r="O303" s="342" t="s">
        <v>65</v>
      </c>
      <c r="P303" s="187"/>
      <c r="Q303" s="188"/>
      <c r="R303" s="188"/>
      <c r="S303" s="119"/>
      <c r="T303" s="188"/>
      <c r="U303" s="211">
        <f t="shared" si="129"/>
        <v>0</v>
      </c>
      <c r="V303" s="279"/>
      <c r="W303" s="280"/>
      <c r="X303" s="351"/>
      <c r="Y303" s="209" t="s">
        <v>85</v>
      </c>
      <c r="Z303" s="71"/>
      <c r="AA303" s="321"/>
      <c r="AB303" s="321"/>
      <c r="AC303" s="322"/>
      <c r="AD303" s="188"/>
      <c r="AE303" s="18">
        <f t="shared" si="130"/>
        <v>0</v>
      </c>
      <c r="AF303" s="71"/>
      <c r="AG303" s="322"/>
      <c r="AH303" s="360"/>
      <c r="AI303" s="97"/>
      <c r="AJ303" s="194"/>
      <c r="AK303" s="193"/>
      <c r="AL303" s="205"/>
      <c r="AM303" s="197"/>
      <c r="AN303" s="205"/>
      <c r="AO303" s="197"/>
      <c r="AP303" s="205"/>
      <c r="AQ303" s="197"/>
      <c r="AR303" s="13">
        <f t="shared" si="131"/>
        <v>3.0299999999999998E-5</v>
      </c>
      <c r="AS303" s="13">
        <f t="shared" si="132"/>
        <v>0</v>
      </c>
      <c r="AT303" s="13"/>
      <c r="AU303" s="160">
        <v>308</v>
      </c>
      <c r="AV303" s="191">
        <f t="shared" si="146"/>
        <v>1.03E-5</v>
      </c>
      <c r="AW303" s="160">
        <f t="shared" si="133"/>
        <v>0</v>
      </c>
      <c r="AX303" s="219">
        <f t="shared" si="134"/>
        <v>3.0299999999999998E-5</v>
      </c>
      <c r="AY303" s="13">
        <f t="shared" si="137"/>
        <v>0</v>
      </c>
      <c r="AZ303" s="160">
        <v>308</v>
      </c>
      <c r="BA303" s="77">
        <f t="shared" si="147"/>
        <v>8.8999999999999995E-6</v>
      </c>
      <c r="BB303" s="192">
        <f t="shared" si="135"/>
        <v>0</v>
      </c>
      <c r="BC303" s="219">
        <f t="shared" si="138"/>
        <v>3.0299999999999998E-5</v>
      </c>
      <c r="BD303" s="13">
        <f t="shared" si="139"/>
        <v>0</v>
      </c>
      <c r="BE303" s="160">
        <v>308</v>
      </c>
      <c r="BF303" s="77">
        <f t="shared" si="148"/>
        <v>8.8999999999999995E-6</v>
      </c>
      <c r="BG303" s="192">
        <f t="shared" si="136"/>
        <v>0</v>
      </c>
      <c r="BI303" s="120"/>
      <c r="BJ303" s="120"/>
      <c r="BK303" s="160"/>
      <c r="BL303" s="160"/>
      <c r="BM303" s="161" t="str">
        <f t="shared" si="150"/>
        <v/>
      </c>
      <c r="BN303" s="161" t="str">
        <f t="shared" si="140"/>
        <v/>
      </c>
      <c r="BO303" s="161" t="str">
        <f t="shared" si="155"/>
        <v/>
      </c>
      <c r="BP303" s="161" t="str">
        <f t="shared" si="141"/>
        <v/>
      </c>
      <c r="BQ303" s="161" t="str">
        <f t="shared" si="142"/>
        <v/>
      </c>
      <c r="BR303" s="161" t="str">
        <f t="shared" si="152"/>
        <v/>
      </c>
      <c r="BS303" s="161" t="str">
        <f t="shared" si="143"/>
        <v/>
      </c>
      <c r="BT303" s="161" t="str">
        <f t="shared" si="144"/>
        <v/>
      </c>
      <c r="BU303" s="161" t="str">
        <f t="shared" si="153"/>
        <v/>
      </c>
      <c r="BV303" s="161" t="str">
        <f t="shared" si="145"/>
        <v/>
      </c>
      <c r="BW303" s="161" t="str">
        <f t="shared" si="154"/>
        <v/>
      </c>
      <c r="BX303" s="161" t="str">
        <f t="shared" si="156"/>
        <v/>
      </c>
      <c r="BY303" s="148"/>
      <c r="BZ303" s="148"/>
      <c r="CA303" s="148"/>
      <c r="CB303" s="148" t="s">
        <v>149</v>
      </c>
      <c r="CC303" s="148"/>
    </row>
    <row r="304" spans="1:81" ht="14.25" customHeight="1" thickBot="1">
      <c r="A304" s="190">
        <v>294</v>
      </c>
      <c r="B304" s="78"/>
      <c r="C304" s="181"/>
      <c r="D304" s="86"/>
      <c r="E304" s="92" t="s">
        <v>29</v>
      </c>
      <c r="F304" s="88"/>
      <c r="G304" s="93"/>
      <c r="H304" s="93"/>
      <c r="I304" s="93"/>
      <c r="J304" s="93"/>
      <c r="K304" s="81">
        <f t="shared" si="128"/>
        <v>0</v>
      </c>
      <c r="L304" s="88"/>
      <c r="M304" s="85"/>
      <c r="N304" s="337"/>
      <c r="O304" s="343" t="s">
        <v>65</v>
      </c>
      <c r="P304" s="88"/>
      <c r="Q304" s="93"/>
      <c r="R304" s="93"/>
      <c r="S304" s="89"/>
      <c r="T304" s="93"/>
      <c r="U304" s="212">
        <f t="shared" si="129"/>
        <v>0</v>
      </c>
      <c r="V304" s="281"/>
      <c r="W304" s="282"/>
      <c r="X304" s="352"/>
      <c r="Y304" s="210" t="s">
        <v>85</v>
      </c>
      <c r="Z304" s="72"/>
      <c r="AA304" s="323"/>
      <c r="AB304" s="323"/>
      <c r="AC304" s="324"/>
      <c r="AD304" s="93"/>
      <c r="AE304" s="81">
        <f t="shared" si="130"/>
        <v>0</v>
      </c>
      <c r="AF304" s="72"/>
      <c r="AG304" s="324"/>
      <c r="AH304" s="361"/>
      <c r="AI304" s="98"/>
      <c r="AJ304" s="95"/>
      <c r="AK304" s="215"/>
      <c r="AL304" s="206"/>
      <c r="AM304" s="83"/>
      <c r="AN304" s="206"/>
      <c r="AO304" s="83"/>
      <c r="AP304" s="206"/>
      <c r="AQ304" s="83"/>
      <c r="AR304" s="13">
        <f t="shared" si="131"/>
        <v>3.04E-5</v>
      </c>
      <c r="AS304" s="13">
        <f t="shared" si="132"/>
        <v>0</v>
      </c>
      <c r="AT304" s="13"/>
      <c r="AU304" s="160">
        <v>309</v>
      </c>
      <c r="AV304" s="191">
        <f t="shared" si="146"/>
        <v>1.0199999999999999E-5</v>
      </c>
      <c r="AW304" s="160">
        <f t="shared" si="133"/>
        <v>0</v>
      </c>
      <c r="AX304" s="219">
        <f t="shared" si="134"/>
        <v>3.04E-5</v>
      </c>
      <c r="AY304" s="13">
        <f t="shared" si="137"/>
        <v>0</v>
      </c>
      <c r="AZ304" s="160">
        <v>309</v>
      </c>
      <c r="BA304" s="77">
        <f t="shared" si="147"/>
        <v>8.8000000000000004E-6</v>
      </c>
      <c r="BB304" s="192">
        <f t="shared" si="135"/>
        <v>0</v>
      </c>
      <c r="BC304" s="219">
        <f t="shared" si="138"/>
        <v>3.04E-5</v>
      </c>
      <c r="BD304" s="13">
        <f t="shared" si="139"/>
        <v>0</v>
      </c>
      <c r="BE304" s="160">
        <v>309</v>
      </c>
      <c r="BF304" s="77">
        <f t="shared" si="148"/>
        <v>8.8000000000000004E-6</v>
      </c>
      <c r="BG304" s="192">
        <f t="shared" si="136"/>
        <v>0</v>
      </c>
      <c r="BI304" s="120"/>
      <c r="BJ304" s="120"/>
      <c r="BK304" s="160"/>
      <c r="BL304" s="160"/>
      <c r="BM304" s="161" t="str">
        <f t="shared" si="150"/>
        <v/>
      </c>
      <c r="BN304" s="161" t="str">
        <f t="shared" si="140"/>
        <v/>
      </c>
      <c r="BO304" s="161" t="str">
        <f t="shared" si="155"/>
        <v/>
      </c>
      <c r="BP304" s="161" t="str">
        <f t="shared" si="141"/>
        <v/>
      </c>
      <c r="BQ304" s="161" t="str">
        <f t="shared" si="142"/>
        <v/>
      </c>
      <c r="BR304" s="161" t="str">
        <f t="shared" si="152"/>
        <v/>
      </c>
      <c r="BS304" s="161" t="str">
        <f t="shared" si="143"/>
        <v/>
      </c>
      <c r="BT304" s="161" t="str">
        <f t="shared" si="144"/>
        <v/>
      </c>
      <c r="BU304" s="161" t="str">
        <f t="shared" si="153"/>
        <v/>
      </c>
      <c r="BV304" s="161" t="str">
        <f t="shared" si="145"/>
        <v/>
      </c>
      <c r="BW304" s="161" t="str">
        <f t="shared" si="154"/>
        <v/>
      </c>
      <c r="BX304" s="161" t="str">
        <f t="shared" si="156"/>
        <v/>
      </c>
      <c r="BY304" s="148"/>
      <c r="BZ304" s="148"/>
      <c r="CA304" s="148"/>
      <c r="CB304" s="148" t="s">
        <v>149</v>
      </c>
      <c r="CC304" s="148"/>
    </row>
    <row r="305" spans="1:81" ht="14.25" customHeight="1" thickBot="1">
      <c r="A305" s="190">
        <v>295</v>
      </c>
      <c r="B305" s="79"/>
      <c r="C305" s="179"/>
      <c r="D305" s="137"/>
      <c r="E305" s="198" t="s">
        <v>29</v>
      </c>
      <c r="F305" s="199"/>
      <c r="G305" s="200"/>
      <c r="H305" s="200"/>
      <c r="I305" s="200"/>
      <c r="J305" s="200"/>
      <c r="K305" s="201">
        <f t="shared" si="128"/>
        <v>0</v>
      </c>
      <c r="L305" s="189"/>
      <c r="M305" s="84"/>
      <c r="N305" s="335"/>
      <c r="O305" s="341" t="s">
        <v>65</v>
      </c>
      <c r="P305" s="189"/>
      <c r="Q305" s="326"/>
      <c r="R305" s="326"/>
      <c r="S305" s="87"/>
      <c r="T305" s="207"/>
      <c r="U305" s="225">
        <f t="shared" si="129"/>
        <v>0</v>
      </c>
      <c r="V305" s="277"/>
      <c r="W305" s="278"/>
      <c r="X305" s="350"/>
      <c r="Y305" s="208" t="s">
        <v>147</v>
      </c>
      <c r="Z305" s="11"/>
      <c r="AA305" s="207"/>
      <c r="AB305" s="207"/>
      <c r="AC305" s="3"/>
      <c r="AD305" s="207"/>
      <c r="AE305" s="226">
        <f t="shared" si="130"/>
        <v>0</v>
      </c>
      <c r="AF305" s="11"/>
      <c r="AG305" s="3"/>
      <c r="AH305" s="359"/>
      <c r="AI305" s="96"/>
      <c r="AJ305" s="94"/>
      <c r="AK305" s="214"/>
      <c r="AL305" s="213"/>
      <c r="AM305" s="82"/>
      <c r="AN305" s="213"/>
      <c r="AO305" s="82"/>
      <c r="AP305" s="213"/>
      <c r="AQ305" s="82"/>
      <c r="AR305" s="13">
        <f t="shared" si="131"/>
        <v>3.0499999999999999E-5</v>
      </c>
      <c r="AS305" s="13">
        <f t="shared" si="132"/>
        <v>0</v>
      </c>
      <c r="AT305" s="13"/>
      <c r="AU305" s="160">
        <v>310</v>
      </c>
      <c r="AV305" s="191">
        <f t="shared" si="146"/>
        <v>1.01E-5</v>
      </c>
      <c r="AW305" s="160">
        <f t="shared" si="133"/>
        <v>0</v>
      </c>
      <c r="AX305" s="219">
        <f t="shared" si="134"/>
        <v>3.0499999999999999E-5</v>
      </c>
      <c r="AY305" s="13">
        <f t="shared" si="137"/>
        <v>0</v>
      </c>
      <c r="AZ305" s="160">
        <v>310</v>
      </c>
      <c r="BA305" s="77">
        <f t="shared" si="147"/>
        <v>8.6999999999999997E-6</v>
      </c>
      <c r="BB305" s="192">
        <f t="shared" si="135"/>
        <v>0</v>
      </c>
      <c r="BC305" s="219">
        <f t="shared" si="138"/>
        <v>3.0499999999999999E-5</v>
      </c>
      <c r="BD305" s="13">
        <f t="shared" si="139"/>
        <v>0</v>
      </c>
      <c r="BE305" s="160">
        <v>310</v>
      </c>
      <c r="BF305" s="77">
        <f t="shared" si="148"/>
        <v>8.6999999999999997E-6</v>
      </c>
      <c r="BG305" s="192">
        <f t="shared" si="136"/>
        <v>0</v>
      </c>
      <c r="BI305" s="120"/>
      <c r="BJ305" s="120"/>
      <c r="BK305" s="160"/>
      <c r="BL305" s="160"/>
      <c r="BM305" s="161" t="str">
        <f t="shared" si="150"/>
        <v/>
      </c>
      <c r="BN305" s="161" t="str">
        <f t="shared" si="140"/>
        <v/>
      </c>
      <c r="BO305" s="161" t="str">
        <f t="shared" si="155"/>
        <v/>
      </c>
      <c r="BP305" s="161" t="str">
        <f t="shared" si="141"/>
        <v/>
      </c>
      <c r="BQ305" s="161" t="str">
        <f t="shared" si="142"/>
        <v/>
      </c>
      <c r="BR305" s="161" t="str">
        <f t="shared" si="152"/>
        <v/>
      </c>
      <c r="BS305" s="161" t="str">
        <f t="shared" si="143"/>
        <v/>
      </c>
      <c r="BT305" s="161" t="str">
        <f t="shared" si="144"/>
        <v/>
      </c>
      <c r="BU305" s="161" t="str">
        <f t="shared" si="153"/>
        <v/>
      </c>
      <c r="BV305" s="161" t="str">
        <f t="shared" si="145"/>
        <v/>
      </c>
      <c r="BW305" s="161" t="str">
        <f t="shared" si="154"/>
        <v/>
      </c>
      <c r="BX305" s="161" t="str">
        <f t="shared" si="156"/>
        <v/>
      </c>
      <c r="BY305" s="148"/>
      <c r="BZ305" s="148"/>
      <c r="CA305" s="148"/>
      <c r="CB305" s="148" t="s">
        <v>149</v>
      </c>
      <c r="CC305" s="148"/>
    </row>
    <row r="306" spans="1:81" ht="14.25" customHeight="1" thickBot="1">
      <c r="A306" s="190">
        <v>296</v>
      </c>
      <c r="B306" s="196"/>
      <c r="C306" s="180"/>
      <c r="D306" s="136"/>
      <c r="E306" s="91" t="s">
        <v>29</v>
      </c>
      <c r="F306" s="187"/>
      <c r="G306" s="188"/>
      <c r="H306" s="188"/>
      <c r="I306" s="188"/>
      <c r="J306" s="188"/>
      <c r="K306" s="18">
        <f t="shared" si="128"/>
        <v>0</v>
      </c>
      <c r="L306" s="187"/>
      <c r="M306" s="118"/>
      <c r="N306" s="336"/>
      <c r="O306" s="342" t="s">
        <v>65</v>
      </c>
      <c r="P306" s="187"/>
      <c r="Q306" s="188"/>
      <c r="R306" s="188"/>
      <c r="S306" s="119"/>
      <c r="T306" s="188"/>
      <c r="U306" s="211">
        <f t="shared" si="129"/>
        <v>0</v>
      </c>
      <c r="V306" s="279"/>
      <c r="W306" s="280"/>
      <c r="X306" s="351"/>
      <c r="Y306" s="209" t="s">
        <v>85</v>
      </c>
      <c r="Z306" s="71"/>
      <c r="AA306" s="321"/>
      <c r="AB306" s="321"/>
      <c r="AC306" s="322"/>
      <c r="AD306" s="188"/>
      <c r="AE306" s="18">
        <f t="shared" si="130"/>
        <v>0</v>
      </c>
      <c r="AF306" s="71"/>
      <c r="AG306" s="322"/>
      <c r="AH306" s="360"/>
      <c r="AI306" s="97"/>
      <c r="AJ306" s="194"/>
      <c r="AK306" s="193"/>
      <c r="AL306" s="205"/>
      <c r="AM306" s="197"/>
      <c r="AN306" s="205"/>
      <c r="AO306" s="197"/>
      <c r="AP306" s="205"/>
      <c r="AQ306" s="197"/>
      <c r="AR306" s="13">
        <f t="shared" si="131"/>
        <v>3.0599999999999998E-5</v>
      </c>
      <c r="AS306" s="13">
        <f t="shared" si="132"/>
        <v>0</v>
      </c>
      <c r="AT306" s="13"/>
      <c r="AU306" s="160">
        <v>311</v>
      </c>
      <c r="AV306" s="191">
        <f t="shared" si="146"/>
        <v>9.9999999999999991E-6</v>
      </c>
      <c r="AW306" s="160">
        <f t="shared" si="133"/>
        <v>0</v>
      </c>
      <c r="AX306" s="219">
        <f t="shared" si="134"/>
        <v>3.0599999999999998E-5</v>
      </c>
      <c r="AY306" s="13">
        <f t="shared" si="137"/>
        <v>0</v>
      </c>
      <c r="AZ306" s="160">
        <v>311</v>
      </c>
      <c r="BA306" s="77">
        <f t="shared" si="147"/>
        <v>8.599999999999999E-6</v>
      </c>
      <c r="BB306" s="192">
        <f t="shared" si="135"/>
        <v>0</v>
      </c>
      <c r="BC306" s="219">
        <f t="shared" si="138"/>
        <v>3.0599999999999998E-5</v>
      </c>
      <c r="BD306" s="13">
        <f t="shared" si="139"/>
        <v>0</v>
      </c>
      <c r="BE306" s="160">
        <v>311</v>
      </c>
      <c r="BF306" s="77">
        <f t="shared" si="148"/>
        <v>8.599999999999999E-6</v>
      </c>
      <c r="BG306" s="192">
        <f t="shared" si="136"/>
        <v>0</v>
      </c>
      <c r="BI306" s="120"/>
      <c r="BJ306" s="120"/>
      <c r="BK306" s="160"/>
      <c r="BL306" s="160"/>
      <c r="BM306" s="161" t="str">
        <f t="shared" si="150"/>
        <v/>
      </c>
      <c r="BN306" s="161" t="str">
        <f t="shared" si="140"/>
        <v/>
      </c>
      <c r="BO306" s="161" t="str">
        <f t="shared" si="155"/>
        <v/>
      </c>
      <c r="BP306" s="161" t="str">
        <f t="shared" si="141"/>
        <v/>
      </c>
      <c r="BQ306" s="161" t="str">
        <f t="shared" si="142"/>
        <v/>
      </c>
      <c r="BR306" s="161" t="str">
        <f t="shared" si="152"/>
        <v/>
      </c>
      <c r="BS306" s="161" t="str">
        <f t="shared" si="143"/>
        <v/>
      </c>
      <c r="BT306" s="161" t="str">
        <f t="shared" si="144"/>
        <v/>
      </c>
      <c r="BU306" s="161" t="str">
        <f t="shared" si="153"/>
        <v/>
      </c>
      <c r="BV306" s="161" t="str">
        <f t="shared" si="145"/>
        <v/>
      </c>
      <c r="BW306" s="161" t="str">
        <f t="shared" si="154"/>
        <v/>
      </c>
      <c r="BX306" s="161" t="str">
        <f t="shared" si="156"/>
        <v/>
      </c>
      <c r="BY306" s="148"/>
      <c r="BZ306" s="148"/>
      <c r="CA306" s="148"/>
      <c r="CB306" s="148" t="s">
        <v>149</v>
      </c>
      <c r="CC306" s="148"/>
    </row>
    <row r="307" spans="1:81" ht="14.25" customHeight="1" thickBot="1">
      <c r="A307" s="190">
        <v>297</v>
      </c>
      <c r="B307" s="78"/>
      <c r="C307" s="181"/>
      <c r="D307" s="86"/>
      <c r="E307" s="92" t="s">
        <v>29</v>
      </c>
      <c r="F307" s="88"/>
      <c r="G307" s="93"/>
      <c r="H307" s="93"/>
      <c r="I307" s="93"/>
      <c r="J307" s="93"/>
      <c r="K307" s="81">
        <f t="shared" si="128"/>
        <v>0</v>
      </c>
      <c r="L307" s="88"/>
      <c r="M307" s="85"/>
      <c r="N307" s="337"/>
      <c r="O307" s="343" t="s">
        <v>65</v>
      </c>
      <c r="P307" s="88"/>
      <c r="Q307" s="93"/>
      <c r="R307" s="93"/>
      <c r="S307" s="89"/>
      <c r="T307" s="93"/>
      <c r="U307" s="212">
        <f t="shared" si="129"/>
        <v>0</v>
      </c>
      <c r="V307" s="281"/>
      <c r="W307" s="282"/>
      <c r="X307" s="352"/>
      <c r="Y307" s="210" t="s">
        <v>85</v>
      </c>
      <c r="Z307" s="72"/>
      <c r="AA307" s="323"/>
      <c r="AB307" s="323"/>
      <c r="AC307" s="324"/>
      <c r="AD307" s="93"/>
      <c r="AE307" s="81">
        <f t="shared" si="130"/>
        <v>0</v>
      </c>
      <c r="AF307" s="72"/>
      <c r="AG307" s="324"/>
      <c r="AH307" s="361"/>
      <c r="AI307" s="98"/>
      <c r="AJ307" s="95"/>
      <c r="AK307" s="215"/>
      <c r="AL307" s="206"/>
      <c r="AM307" s="83"/>
      <c r="AN307" s="206"/>
      <c r="AO307" s="83"/>
      <c r="AP307" s="206"/>
      <c r="AQ307" s="83"/>
      <c r="AR307" s="13">
        <f t="shared" si="131"/>
        <v>3.0700000000000001E-5</v>
      </c>
      <c r="AS307" s="13">
        <f t="shared" si="132"/>
        <v>0</v>
      </c>
      <c r="AT307" s="13"/>
      <c r="AU307" s="160">
        <v>312</v>
      </c>
      <c r="AV307" s="191">
        <f t="shared" si="146"/>
        <v>9.9000000000000001E-6</v>
      </c>
      <c r="AW307" s="160">
        <f t="shared" si="133"/>
        <v>0</v>
      </c>
      <c r="AX307" s="219">
        <f t="shared" si="134"/>
        <v>3.0700000000000001E-5</v>
      </c>
      <c r="AY307" s="13">
        <f t="shared" si="137"/>
        <v>0</v>
      </c>
      <c r="AZ307" s="160">
        <v>312</v>
      </c>
      <c r="BA307" s="77">
        <f t="shared" si="147"/>
        <v>8.4999999999999999E-6</v>
      </c>
      <c r="BB307" s="192">
        <f t="shared" si="135"/>
        <v>0</v>
      </c>
      <c r="BC307" s="219">
        <f t="shared" si="138"/>
        <v>3.0700000000000001E-5</v>
      </c>
      <c r="BD307" s="13">
        <f t="shared" si="139"/>
        <v>0</v>
      </c>
      <c r="BE307" s="160">
        <v>312</v>
      </c>
      <c r="BF307" s="77">
        <f t="shared" si="148"/>
        <v>8.4999999999999999E-6</v>
      </c>
      <c r="BG307" s="192">
        <f t="shared" si="136"/>
        <v>0</v>
      </c>
      <c r="BI307" s="120"/>
      <c r="BJ307" s="120"/>
      <c r="BK307" s="160"/>
      <c r="BL307" s="160"/>
      <c r="BM307" s="161" t="str">
        <f t="shared" si="150"/>
        <v/>
      </c>
      <c r="BN307" s="161" t="str">
        <f t="shared" si="140"/>
        <v/>
      </c>
      <c r="BO307" s="161" t="str">
        <f t="shared" si="155"/>
        <v/>
      </c>
      <c r="BP307" s="161" t="str">
        <f t="shared" si="141"/>
        <v/>
      </c>
      <c r="BQ307" s="161" t="str">
        <f t="shared" si="142"/>
        <v/>
      </c>
      <c r="BR307" s="161" t="str">
        <f t="shared" si="152"/>
        <v/>
      </c>
      <c r="BS307" s="161" t="str">
        <f t="shared" si="143"/>
        <v/>
      </c>
      <c r="BT307" s="161" t="str">
        <f t="shared" si="144"/>
        <v/>
      </c>
      <c r="BU307" s="161" t="str">
        <f t="shared" si="153"/>
        <v/>
      </c>
      <c r="BV307" s="161" t="str">
        <f t="shared" si="145"/>
        <v/>
      </c>
      <c r="BW307" s="161" t="str">
        <f t="shared" si="154"/>
        <v/>
      </c>
      <c r="BX307" s="161" t="str">
        <f t="shared" si="156"/>
        <v/>
      </c>
      <c r="BY307" s="148"/>
      <c r="BZ307" s="148"/>
      <c r="CA307" s="148"/>
      <c r="CB307" s="148" t="s">
        <v>149</v>
      </c>
      <c r="CC307" s="148"/>
    </row>
    <row r="308" spans="1:81" ht="14.25" customHeight="1" thickBot="1">
      <c r="A308" s="190">
        <v>298</v>
      </c>
      <c r="B308" s="79"/>
      <c r="C308" s="179"/>
      <c r="D308" s="137"/>
      <c r="E308" s="198" t="s">
        <v>29</v>
      </c>
      <c r="F308" s="199"/>
      <c r="G308" s="200"/>
      <c r="H308" s="200"/>
      <c r="I308" s="200"/>
      <c r="J308" s="200"/>
      <c r="K308" s="201">
        <f t="shared" si="128"/>
        <v>0</v>
      </c>
      <c r="L308" s="189"/>
      <c r="M308" s="84"/>
      <c r="N308" s="335"/>
      <c r="O308" s="341" t="s">
        <v>65</v>
      </c>
      <c r="P308" s="189"/>
      <c r="Q308" s="326"/>
      <c r="R308" s="326"/>
      <c r="S308" s="87"/>
      <c r="T308" s="207"/>
      <c r="U308" s="225">
        <f t="shared" si="129"/>
        <v>0</v>
      </c>
      <c r="V308" s="277"/>
      <c r="W308" s="278"/>
      <c r="X308" s="350"/>
      <c r="Y308" s="208" t="s">
        <v>147</v>
      </c>
      <c r="Z308" s="11"/>
      <c r="AA308" s="207"/>
      <c r="AB308" s="207"/>
      <c r="AC308" s="3"/>
      <c r="AD308" s="207"/>
      <c r="AE308" s="226">
        <f t="shared" si="130"/>
        <v>0</v>
      </c>
      <c r="AF308" s="11"/>
      <c r="AG308" s="3"/>
      <c r="AH308" s="359"/>
      <c r="AI308" s="96"/>
      <c r="AJ308" s="94"/>
      <c r="AK308" s="214"/>
      <c r="AL308" s="213"/>
      <c r="AM308" s="82"/>
      <c r="AN308" s="213"/>
      <c r="AO308" s="82"/>
      <c r="AP308" s="213"/>
      <c r="AQ308" s="82"/>
      <c r="AR308" s="13">
        <f t="shared" si="131"/>
        <v>3.0799999999999996E-5</v>
      </c>
      <c r="AS308" s="13">
        <f t="shared" si="132"/>
        <v>0</v>
      </c>
      <c r="AT308" s="13"/>
      <c r="AU308" s="160">
        <v>313</v>
      </c>
      <c r="AV308" s="191">
        <f t="shared" si="146"/>
        <v>9.7999999999999993E-6</v>
      </c>
      <c r="AW308" s="160">
        <f t="shared" si="133"/>
        <v>0</v>
      </c>
      <c r="AX308" s="219">
        <f t="shared" si="134"/>
        <v>3.0799999999999996E-5</v>
      </c>
      <c r="AY308" s="13">
        <f t="shared" si="137"/>
        <v>0</v>
      </c>
      <c r="AZ308" s="160">
        <v>313</v>
      </c>
      <c r="BA308" s="77">
        <f t="shared" si="147"/>
        <v>8.3999999999999992E-6</v>
      </c>
      <c r="BB308" s="192">
        <f t="shared" si="135"/>
        <v>0</v>
      </c>
      <c r="BC308" s="219">
        <f t="shared" si="138"/>
        <v>3.0799999999999996E-5</v>
      </c>
      <c r="BD308" s="13">
        <f t="shared" si="139"/>
        <v>0</v>
      </c>
      <c r="BE308" s="160">
        <v>313</v>
      </c>
      <c r="BF308" s="77">
        <f t="shared" si="148"/>
        <v>8.3999999999999992E-6</v>
      </c>
      <c r="BG308" s="192">
        <f t="shared" si="136"/>
        <v>0</v>
      </c>
      <c r="BI308" s="120"/>
      <c r="BJ308" s="120"/>
      <c r="BK308" s="160"/>
      <c r="BL308" s="160"/>
      <c r="BM308" s="161" t="str">
        <f t="shared" si="150"/>
        <v/>
      </c>
      <c r="BN308" s="161" t="str">
        <f t="shared" si="140"/>
        <v/>
      </c>
      <c r="BO308" s="161" t="str">
        <f t="shared" si="155"/>
        <v/>
      </c>
      <c r="BP308" s="161" t="str">
        <f t="shared" si="141"/>
        <v/>
      </c>
      <c r="BQ308" s="161" t="str">
        <f t="shared" si="142"/>
        <v/>
      </c>
      <c r="BR308" s="161" t="str">
        <f t="shared" si="152"/>
        <v/>
      </c>
      <c r="BS308" s="161" t="str">
        <f t="shared" si="143"/>
        <v/>
      </c>
      <c r="BT308" s="161" t="str">
        <f t="shared" si="144"/>
        <v/>
      </c>
      <c r="BU308" s="161" t="str">
        <f t="shared" si="153"/>
        <v/>
      </c>
      <c r="BV308" s="161" t="str">
        <f t="shared" si="145"/>
        <v/>
      </c>
      <c r="BW308" s="161" t="str">
        <f t="shared" si="154"/>
        <v/>
      </c>
      <c r="BX308" s="161" t="str">
        <f t="shared" si="156"/>
        <v/>
      </c>
      <c r="BY308" s="148"/>
      <c r="BZ308" s="148"/>
      <c r="CA308" s="148"/>
      <c r="CB308" s="148" t="s">
        <v>149</v>
      </c>
      <c r="CC308" s="148"/>
    </row>
    <row r="309" spans="1:81" ht="14.25" customHeight="1" thickBot="1">
      <c r="A309" s="190">
        <v>299</v>
      </c>
      <c r="B309" s="196"/>
      <c r="C309" s="180"/>
      <c r="D309" s="136"/>
      <c r="E309" s="91" t="s">
        <v>29</v>
      </c>
      <c r="F309" s="187"/>
      <c r="G309" s="188"/>
      <c r="H309" s="188"/>
      <c r="I309" s="188"/>
      <c r="J309" s="188"/>
      <c r="K309" s="18">
        <f t="shared" si="128"/>
        <v>0</v>
      </c>
      <c r="L309" s="187"/>
      <c r="M309" s="118"/>
      <c r="N309" s="336"/>
      <c r="O309" s="342" t="s">
        <v>65</v>
      </c>
      <c r="P309" s="187"/>
      <c r="Q309" s="188"/>
      <c r="R309" s="188"/>
      <c r="S309" s="119"/>
      <c r="T309" s="188"/>
      <c r="U309" s="211">
        <f t="shared" si="129"/>
        <v>0</v>
      </c>
      <c r="V309" s="279"/>
      <c r="W309" s="280"/>
      <c r="X309" s="351"/>
      <c r="Y309" s="209" t="s">
        <v>85</v>
      </c>
      <c r="Z309" s="71"/>
      <c r="AA309" s="321"/>
      <c r="AB309" s="321"/>
      <c r="AC309" s="322"/>
      <c r="AD309" s="188"/>
      <c r="AE309" s="18">
        <f t="shared" si="130"/>
        <v>0</v>
      </c>
      <c r="AF309" s="71"/>
      <c r="AG309" s="322"/>
      <c r="AH309" s="360"/>
      <c r="AI309" s="97"/>
      <c r="AJ309" s="194"/>
      <c r="AK309" s="193"/>
      <c r="AL309" s="205"/>
      <c r="AM309" s="197"/>
      <c r="AN309" s="205"/>
      <c r="AO309" s="197"/>
      <c r="AP309" s="205"/>
      <c r="AQ309" s="197"/>
      <c r="AR309" s="13">
        <f t="shared" si="131"/>
        <v>3.0899999999999999E-5</v>
      </c>
      <c r="AS309" s="13">
        <f t="shared" si="132"/>
        <v>0</v>
      </c>
      <c r="AT309" s="13"/>
      <c r="AU309" s="160">
        <v>314</v>
      </c>
      <c r="AV309" s="191">
        <f t="shared" si="146"/>
        <v>9.7000000000000003E-6</v>
      </c>
      <c r="AW309" s="160">
        <f t="shared" si="133"/>
        <v>0</v>
      </c>
      <c r="AX309" s="219">
        <f t="shared" si="134"/>
        <v>3.0899999999999999E-5</v>
      </c>
      <c r="AY309" s="13">
        <f t="shared" si="137"/>
        <v>0</v>
      </c>
      <c r="AZ309" s="160">
        <v>314</v>
      </c>
      <c r="BA309" s="77">
        <f t="shared" si="147"/>
        <v>8.3000000000000002E-6</v>
      </c>
      <c r="BB309" s="192">
        <f t="shared" si="135"/>
        <v>0</v>
      </c>
      <c r="BC309" s="219">
        <f t="shared" si="138"/>
        <v>3.0899999999999999E-5</v>
      </c>
      <c r="BD309" s="13">
        <f t="shared" si="139"/>
        <v>0</v>
      </c>
      <c r="BE309" s="160">
        <v>314</v>
      </c>
      <c r="BF309" s="77">
        <f t="shared" si="148"/>
        <v>8.3000000000000002E-6</v>
      </c>
      <c r="BG309" s="192">
        <f t="shared" si="136"/>
        <v>0</v>
      </c>
      <c r="BI309" s="120"/>
      <c r="BJ309" s="120"/>
      <c r="BK309" s="160"/>
      <c r="BL309" s="160"/>
      <c r="BM309" s="161" t="str">
        <f t="shared" si="150"/>
        <v/>
      </c>
      <c r="BN309" s="161" t="str">
        <f t="shared" si="140"/>
        <v/>
      </c>
      <c r="BO309" s="161" t="str">
        <f t="shared" si="155"/>
        <v/>
      </c>
      <c r="BP309" s="161" t="str">
        <f t="shared" si="141"/>
        <v/>
      </c>
      <c r="BQ309" s="161" t="str">
        <f t="shared" si="142"/>
        <v/>
      </c>
      <c r="BR309" s="161" t="str">
        <f t="shared" si="152"/>
        <v/>
      </c>
      <c r="BS309" s="161" t="str">
        <f t="shared" si="143"/>
        <v/>
      </c>
      <c r="BT309" s="161" t="str">
        <f t="shared" si="144"/>
        <v/>
      </c>
      <c r="BU309" s="161" t="str">
        <f t="shared" si="153"/>
        <v/>
      </c>
      <c r="BV309" s="161" t="str">
        <f t="shared" si="145"/>
        <v/>
      </c>
      <c r="BW309" s="161" t="str">
        <f t="shared" ref="BW309:BW316" si="157">MID($BK309,2,1)</f>
        <v/>
      </c>
      <c r="BX309" s="161" t="str">
        <f t="shared" si="156"/>
        <v/>
      </c>
      <c r="BY309" s="148"/>
      <c r="BZ309" s="148"/>
      <c r="CA309" s="148"/>
      <c r="CB309" s="148" t="s">
        <v>149</v>
      </c>
      <c r="CC309" s="148"/>
    </row>
    <row r="310" spans="1:81" ht="14.25" customHeight="1" thickBot="1">
      <c r="A310" s="190">
        <v>300</v>
      </c>
      <c r="B310" s="78"/>
      <c r="C310" s="181"/>
      <c r="D310" s="86"/>
      <c r="E310" s="92" t="s">
        <v>29</v>
      </c>
      <c r="F310" s="88"/>
      <c r="G310" s="93"/>
      <c r="H310" s="93"/>
      <c r="I310" s="93"/>
      <c r="J310" s="93"/>
      <c r="K310" s="81">
        <f t="shared" si="128"/>
        <v>0</v>
      </c>
      <c r="L310" s="88"/>
      <c r="M310" s="85"/>
      <c r="N310" s="337"/>
      <c r="O310" s="343" t="s">
        <v>65</v>
      </c>
      <c r="P310" s="88"/>
      <c r="Q310" s="93"/>
      <c r="R310" s="93"/>
      <c r="S310" s="89"/>
      <c r="T310" s="93"/>
      <c r="U310" s="212">
        <f t="shared" si="129"/>
        <v>0</v>
      </c>
      <c r="V310" s="281"/>
      <c r="W310" s="282"/>
      <c r="X310" s="352"/>
      <c r="Y310" s="210" t="s">
        <v>85</v>
      </c>
      <c r="Z310" s="72"/>
      <c r="AA310" s="323"/>
      <c r="AB310" s="323"/>
      <c r="AC310" s="324"/>
      <c r="AD310" s="93"/>
      <c r="AE310" s="81">
        <f t="shared" si="130"/>
        <v>0</v>
      </c>
      <c r="AF310" s="72"/>
      <c r="AG310" s="324"/>
      <c r="AH310" s="361"/>
      <c r="AI310" s="98"/>
      <c r="AJ310" s="95"/>
      <c r="AK310" s="215"/>
      <c r="AL310" s="206"/>
      <c r="AM310" s="83"/>
      <c r="AN310" s="206"/>
      <c r="AO310" s="83"/>
      <c r="AP310" s="206"/>
      <c r="AQ310" s="83"/>
      <c r="AR310" s="13">
        <f t="shared" si="131"/>
        <v>3.1000000000000001E-5</v>
      </c>
      <c r="AS310" s="13">
        <f t="shared" si="132"/>
        <v>0</v>
      </c>
      <c r="AT310" s="13"/>
      <c r="AU310" s="160">
        <v>315</v>
      </c>
      <c r="AV310" s="191">
        <f t="shared" si="146"/>
        <v>9.5999999999999996E-6</v>
      </c>
      <c r="AW310" s="160">
        <f t="shared" si="133"/>
        <v>0</v>
      </c>
      <c r="AX310" s="219">
        <f t="shared" si="134"/>
        <v>3.1000000000000001E-5</v>
      </c>
      <c r="AY310" s="13">
        <f t="shared" si="137"/>
        <v>0</v>
      </c>
      <c r="AZ310" s="160">
        <v>315</v>
      </c>
      <c r="BA310" s="77">
        <f t="shared" si="147"/>
        <v>8.1999999999999994E-6</v>
      </c>
      <c r="BB310" s="192">
        <f t="shared" si="135"/>
        <v>0</v>
      </c>
      <c r="BC310" s="219">
        <f t="shared" si="138"/>
        <v>3.1000000000000001E-5</v>
      </c>
      <c r="BD310" s="13">
        <f t="shared" si="139"/>
        <v>0</v>
      </c>
      <c r="BE310" s="160">
        <v>315</v>
      </c>
      <c r="BF310" s="77">
        <f t="shared" si="148"/>
        <v>8.1999999999999994E-6</v>
      </c>
      <c r="BG310" s="192">
        <f t="shared" si="136"/>
        <v>0</v>
      </c>
      <c r="BI310" s="120"/>
      <c r="BJ310" s="120"/>
      <c r="BK310" s="160"/>
      <c r="BL310" s="160"/>
      <c r="BM310" s="161" t="str">
        <f t="shared" si="150"/>
        <v/>
      </c>
      <c r="BN310" s="161" t="str">
        <f t="shared" si="140"/>
        <v/>
      </c>
      <c r="BO310" s="161" t="str">
        <f t="shared" si="155"/>
        <v/>
      </c>
      <c r="BP310" s="161" t="str">
        <f t="shared" si="141"/>
        <v/>
      </c>
      <c r="BQ310" s="161" t="str">
        <f t="shared" si="142"/>
        <v/>
      </c>
      <c r="BR310" s="161" t="str">
        <f t="shared" si="152"/>
        <v/>
      </c>
      <c r="BS310" s="161" t="str">
        <f t="shared" si="143"/>
        <v/>
      </c>
      <c r="BT310" s="161" t="str">
        <f t="shared" si="144"/>
        <v/>
      </c>
      <c r="BU310" s="161" t="str">
        <f t="shared" si="153"/>
        <v/>
      </c>
      <c r="BV310" s="161" t="str">
        <f t="shared" si="145"/>
        <v/>
      </c>
      <c r="BW310" s="161" t="str">
        <f t="shared" si="157"/>
        <v/>
      </c>
      <c r="BX310" s="161" t="str">
        <f t="shared" si="156"/>
        <v/>
      </c>
      <c r="BY310" s="148"/>
      <c r="BZ310" s="148"/>
      <c r="CA310" s="148"/>
      <c r="CB310" s="148" t="s">
        <v>149</v>
      </c>
      <c r="CC310" s="148"/>
    </row>
    <row r="311" spans="1:81" ht="14.25" customHeight="1" thickBot="1">
      <c r="A311" s="190">
        <v>301</v>
      </c>
      <c r="B311" s="79"/>
      <c r="C311" s="179"/>
      <c r="D311" s="137"/>
      <c r="E311" s="198" t="s">
        <v>29</v>
      </c>
      <c r="F311" s="199"/>
      <c r="G311" s="200"/>
      <c r="H311" s="200"/>
      <c r="I311" s="200"/>
      <c r="J311" s="200"/>
      <c r="K311" s="201">
        <f t="shared" si="128"/>
        <v>0</v>
      </c>
      <c r="L311" s="189"/>
      <c r="M311" s="84"/>
      <c r="N311" s="335"/>
      <c r="O311" s="341" t="s">
        <v>65</v>
      </c>
      <c r="P311" s="189"/>
      <c r="Q311" s="326"/>
      <c r="R311" s="326"/>
      <c r="S311" s="87"/>
      <c r="T311" s="207"/>
      <c r="U311" s="225">
        <f t="shared" si="129"/>
        <v>0</v>
      </c>
      <c r="V311" s="277"/>
      <c r="W311" s="278"/>
      <c r="X311" s="350"/>
      <c r="Y311" s="208" t="s">
        <v>147</v>
      </c>
      <c r="Z311" s="11"/>
      <c r="AA311" s="207"/>
      <c r="AB311" s="207"/>
      <c r="AC311" s="3"/>
      <c r="AD311" s="207"/>
      <c r="AE311" s="226">
        <f t="shared" si="130"/>
        <v>0</v>
      </c>
      <c r="AF311" s="11"/>
      <c r="AG311" s="3"/>
      <c r="AH311" s="359"/>
      <c r="AI311" s="96"/>
      <c r="AJ311" s="94"/>
      <c r="AK311" s="214"/>
      <c r="AL311" s="213"/>
      <c r="AM311" s="82"/>
      <c r="AN311" s="213"/>
      <c r="AO311" s="82"/>
      <c r="AP311" s="213"/>
      <c r="AQ311" s="82"/>
      <c r="AR311" s="13">
        <f t="shared" si="131"/>
        <v>3.1099999999999997E-5</v>
      </c>
      <c r="AS311" s="13">
        <f t="shared" si="132"/>
        <v>0</v>
      </c>
      <c r="AT311" s="13"/>
      <c r="AU311" s="160">
        <v>316</v>
      </c>
      <c r="AV311" s="191">
        <f t="shared" si="146"/>
        <v>9.4999999999999988E-6</v>
      </c>
      <c r="AW311" s="160">
        <f t="shared" si="133"/>
        <v>0</v>
      </c>
      <c r="AX311" s="219">
        <f t="shared" si="134"/>
        <v>3.1099999999999997E-5</v>
      </c>
      <c r="AY311" s="13">
        <f t="shared" si="137"/>
        <v>0</v>
      </c>
      <c r="AZ311" s="160">
        <v>316</v>
      </c>
      <c r="BA311" s="77">
        <f t="shared" si="147"/>
        <v>8.1000000000000004E-6</v>
      </c>
      <c r="BB311" s="192">
        <f t="shared" si="135"/>
        <v>0</v>
      </c>
      <c r="BC311" s="219">
        <f t="shared" si="138"/>
        <v>3.1099999999999997E-5</v>
      </c>
      <c r="BD311" s="13">
        <f t="shared" si="139"/>
        <v>0</v>
      </c>
      <c r="BE311" s="160">
        <v>316</v>
      </c>
      <c r="BF311" s="77">
        <f t="shared" si="148"/>
        <v>8.1000000000000004E-6</v>
      </c>
      <c r="BG311" s="192">
        <f t="shared" si="136"/>
        <v>0</v>
      </c>
      <c r="BI311" s="120"/>
      <c r="BJ311" s="120"/>
      <c r="BK311" s="160"/>
      <c r="BL311" s="160"/>
      <c r="BM311" s="161" t="str">
        <f t="shared" si="150"/>
        <v/>
      </c>
      <c r="BN311" s="161" t="str">
        <f t="shared" si="140"/>
        <v/>
      </c>
      <c r="BO311" s="161" t="str">
        <f t="shared" si="155"/>
        <v/>
      </c>
      <c r="BP311" s="161" t="str">
        <f t="shared" si="141"/>
        <v/>
      </c>
      <c r="BQ311" s="161" t="str">
        <f t="shared" si="142"/>
        <v/>
      </c>
      <c r="BR311" s="161" t="str">
        <f t="shared" si="152"/>
        <v/>
      </c>
      <c r="BS311" s="161" t="str">
        <f t="shared" si="143"/>
        <v/>
      </c>
      <c r="BT311" s="161" t="str">
        <f t="shared" si="144"/>
        <v/>
      </c>
      <c r="BU311" s="161" t="str">
        <f t="shared" si="153"/>
        <v/>
      </c>
      <c r="BV311" s="161" t="str">
        <f t="shared" si="145"/>
        <v/>
      </c>
      <c r="BW311" s="161" t="str">
        <f t="shared" si="157"/>
        <v/>
      </c>
      <c r="BX311" s="161" t="str">
        <f t="shared" si="156"/>
        <v/>
      </c>
      <c r="BY311" s="148"/>
      <c r="BZ311" s="148"/>
      <c r="CA311" s="148"/>
      <c r="CB311" s="148" t="s">
        <v>149</v>
      </c>
      <c r="CC311" s="148"/>
    </row>
    <row r="312" spans="1:81" ht="14.25" customHeight="1" thickBot="1">
      <c r="A312" s="190">
        <v>302</v>
      </c>
      <c r="B312" s="196"/>
      <c r="C312" s="180"/>
      <c r="D312" s="136"/>
      <c r="E312" s="91" t="s">
        <v>29</v>
      </c>
      <c r="F312" s="187"/>
      <c r="G312" s="188"/>
      <c r="H312" s="188"/>
      <c r="I312" s="188"/>
      <c r="J312" s="188"/>
      <c r="K312" s="18">
        <f t="shared" si="128"/>
        <v>0</v>
      </c>
      <c r="L312" s="187"/>
      <c r="M312" s="118"/>
      <c r="N312" s="336"/>
      <c r="O312" s="342" t="s">
        <v>65</v>
      </c>
      <c r="P312" s="187"/>
      <c r="Q312" s="188"/>
      <c r="R312" s="188"/>
      <c r="S312" s="119"/>
      <c r="T312" s="188"/>
      <c r="U312" s="211">
        <f t="shared" si="129"/>
        <v>0</v>
      </c>
      <c r="V312" s="279"/>
      <c r="W312" s="280"/>
      <c r="X312" s="351"/>
      <c r="Y312" s="209" t="s">
        <v>85</v>
      </c>
      <c r="Z312" s="71"/>
      <c r="AA312" s="321"/>
      <c r="AB312" s="321"/>
      <c r="AC312" s="322"/>
      <c r="AD312" s="188"/>
      <c r="AE312" s="18">
        <f t="shared" si="130"/>
        <v>0</v>
      </c>
      <c r="AF312" s="71"/>
      <c r="AG312" s="322"/>
      <c r="AH312" s="360"/>
      <c r="AI312" s="97"/>
      <c r="AJ312" s="194"/>
      <c r="AK312" s="193"/>
      <c r="AL312" s="205"/>
      <c r="AM312" s="197"/>
      <c r="AN312" s="205"/>
      <c r="AO312" s="197"/>
      <c r="AP312" s="205"/>
      <c r="AQ312" s="197"/>
      <c r="AR312" s="13">
        <f t="shared" si="131"/>
        <v>3.1199999999999999E-5</v>
      </c>
      <c r="AS312" s="13">
        <f t="shared" si="132"/>
        <v>0</v>
      </c>
      <c r="AT312" s="13"/>
      <c r="AU312" s="160">
        <v>317</v>
      </c>
      <c r="AV312" s="191">
        <f t="shared" si="146"/>
        <v>9.3999999999999998E-6</v>
      </c>
      <c r="AW312" s="160">
        <f t="shared" si="133"/>
        <v>0</v>
      </c>
      <c r="AX312" s="219">
        <f t="shared" si="134"/>
        <v>3.1199999999999999E-5</v>
      </c>
      <c r="AY312" s="13">
        <f t="shared" si="137"/>
        <v>0</v>
      </c>
      <c r="AZ312" s="160">
        <v>317</v>
      </c>
      <c r="BA312" s="77">
        <f t="shared" si="147"/>
        <v>7.9999999999999996E-6</v>
      </c>
      <c r="BB312" s="192">
        <f t="shared" si="135"/>
        <v>0</v>
      </c>
      <c r="BC312" s="219">
        <f t="shared" si="138"/>
        <v>3.1199999999999999E-5</v>
      </c>
      <c r="BD312" s="13">
        <f t="shared" si="139"/>
        <v>0</v>
      </c>
      <c r="BE312" s="160">
        <v>317</v>
      </c>
      <c r="BF312" s="77">
        <f t="shared" si="148"/>
        <v>7.9999999999999996E-6</v>
      </c>
      <c r="BG312" s="192">
        <f t="shared" si="136"/>
        <v>0</v>
      </c>
      <c r="BI312" s="120"/>
      <c r="BJ312" s="120"/>
      <c r="BK312" s="160"/>
      <c r="BL312" s="160"/>
      <c r="BM312" s="161" t="str">
        <f t="shared" si="150"/>
        <v/>
      </c>
      <c r="BN312" s="161" t="str">
        <f t="shared" si="140"/>
        <v/>
      </c>
      <c r="BO312" s="161" t="str">
        <f t="shared" si="155"/>
        <v/>
      </c>
      <c r="BP312" s="161" t="str">
        <f t="shared" si="141"/>
        <v/>
      </c>
      <c r="BQ312" s="161" t="str">
        <f t="shared" si="142"/>
        <v/>
      </c>
      <c r="BR312" s="161" t="str">
        <f t="shared" si="152"/>
        <v/>
      </c>
      <c r="BS312" s="161" t="str">
        <f t="shared" si="143"/>
        <v/>
      </c>
      <c r="BT312" s="161" t="str">
        <f t="shared" si="144"/>
        <v/>
      </c>
      <c r="BU312" s="161" t="str">
        <f t="shared" si="153"/>
        <v/>
      </c>
      <c r="BV312" s="161" t="str">
        <f t="shared" si="145"/>
        <v/>
      </c>
      <c r="BW312" s="161" t="str">
        <f t="shared" si="157"/>
        <v/>
      </c>
      <c r="BX312" s="161" t="str">
        <f t="shared" si="156"/>
        <v/>
      </c>
      <c r="BY312" s="148"/>
      <c r="BZ312" s="148"/>
      <c r="CA312" s="148"/>
      <c r="CB312" s="148" t="s">
        <v>149</v>
      </c>
      <c r="CC312" s="148"/>
    </row>
    <row r="313" spans="1:81" ht="14.25" customHeight="1" thickBot="1">
      <c r="A313" s="190">
        <v>303</v>
      </c>
      <c r="B313" s="78"/>
      <c r="C313" s="181"/>
      <c r="D313" s="86"/>
      <c r="E313" s="92" t="s">
        <v>29</v>
      </c>
      <c r="F313" s="88"/>
      <c r="G313" s="93"/>
      <c r="H313" s="93"/>
      <c r="I313" s="93"/>
      <c r="J313" s="93"/>
      <c r="K313" s="81">
        <f t="shared" si="128"/>
        <v>0</v>
      </c>
      <c r="L313" s="88"/>
      <c r="M313" s="85"/>
      <c r="N313" s="337"/>
      <c r="O313" s="343" t="s">
        <v>65</v>
      </c>
      <c r="P313" s="88"/>
      <c r="Q313" s="93"/>
      <c r="R313" s="93"/>
      <c r="S313" s="89"/>
      <c r="T313" s="93"/>
      <c r="U313" s="212">
        <f t="shared" si="129"/>
        <v>0</v>
      </c>
      <c r="V313" s="281"/>
      <c r="W313" s="282"/>
      <c r="X313" s="352"/>
      <c r="Y313" s="210" t="s">
        <v>85</v>
      </c>
      <c r="Z313" s="72"/>
      <c r="AA313" s="323"/>
      <c r="AB313" s="323"/>
      <c r="AC313" s="324"/>
      <c r="AD313" s="93"/>
      <c r="AE313" s="81">
        <f t="shared" si="130"/>
        <v>0</v>
      </c>
      <c r="AF313" s="72"/>
      <c r="AG313" s="324"/>
      <c r="AH313" s="361"/>
      <c r="AI313" s="98"/>
      <c r="AJ313" s="95"/>
      <c r="AK313" s="215"/>
      <c r="AL313" s="206"/>
      <c r="AM313" s="83"/>
      <c r="AN313" s="206"/>
      <c r="AO313" s="83"/>
      <c r="AP313" s="206"/>
      <c r="AQ313" s="83"/>
      <c r="AR313" s="13">
        <f t="shared" si="131"/>
        <v>3.1300000000000002E-5</v>
      </c>
      <c r="AS313" s="13">
        <f t="shared" si="132"/>
        <v>0</v>
      </c>
      <c r="AT313" s="13"/>
      <c r="AU313" s="160">
        <v>318</v>
      </c>
      <c r="AV313" s="191">
        <f t="shared" si="146"/>
        <v>9.299999999999999E-6</v>
      </c>
      <c r="AW313" s="160">
        <f t="shared" si="133"/>
        <v>0</v>
      </c>
      <c r="AX313" s="219">
        <f t="shared" si="134"/>
        <v>3.1300000000000002E-5</v>
      </c>
      <c r="AY313" s="13">
        <f t="shared" si="137"/>
        <v>0</v>
      </c>
      <c r="AZ313" s="160">
        <v>318</v>
      </c>
      <c r="BA313" s="77">
        <f t="shared" si="147"/>
        <v>7.8999999999999989E-6</v>
      </c>
      <c r="BB313" s="192">
        <f t="shared" si="135"/>
        <v>0</v>
      </c>
      <c r="BC313" s="219">
        <f t="shared" si="138"/>
        <v>3.1300000000000002E-5</v>
      </c>
      <c r="BD313" s="13">
        <f t="shared" si="139"/>
        <v>0</v>
      </c>
      <c r="BE313" s="160">
        <v>318</v>
      </c>
      <c r="BF313" s="77">
        <f t="shared" si="148"/>
        <v>7.8999999999999989E-6</v>
      </c>
      <c r="BG313" s="192">
        <f t="shared" si="136"/>
        <v>0</v>
      </c>
      <c r="BI313" s="120"/>
      <c r="BJ313" s="120"/>
      <c r="BK313" s="160"/>
      <c r="BL313" s="160"/>
      <c r="BM313" s="161" t="str">
        <f t="shared" si="150"/>
        <v/>
      </c>
      <c r="BN313" s="161" t="str">
        <f t="shared" si="140"/>
        <v/>
      </c>
      <c r="BO313" s="161" t="str">
        <f t="shared" si="155"/>
        <v/>
      </c>
      <c r="BP313" s="161" t="str">
        <f t="shared" si="141"/>
        <v/>
      </c>
      <c r="BQ313" s="161" t="str">
        <f t="shared" si="142"/>
        <v/>
      </c>
      <c r="BR313" s="161" t="str">
        <f t="shared" si="152"/>
        <v/>
      </c>
      <c r="BS313" s="161" t="str">
        <f t="shared" si="143"/>
        <v/>
      </c>
      <c r="BT313" s="161" t="str">
        <f t="shared" si="144"/>
        <v/>
      </c>
      <c r="BU313" s="161" t="str">
        <f t="shared" si="153"/>
        <v/>
      </c>
      <c r="BV313" s="161" t="str">
        <f t="shared" si="145"/>
        <v/>
      </c>
      <c r="BW313" s="161" t="str">
        <f t="shared" si="157"/>
        <v/>
      </c>
      <c r="BX313" s="161" t="str">
        <f t="shared" si="156"/>
        <v/>
      </c>
      <c r="BY313" s="148"/>
      <c r="BZ313" s="148"/>
      <c r="CA313" s="148"/>
      <c r="CB313" s="148" t="s">
        <v>149</v>
      </c>
      <c r="CC313" s="148"/>
    </row>
    <row r="314" spans="1:81" ht="14.25" customHeight="1" thickBot="1">
      <c r="A314" s="190">
        <v>304</v>
      </c>
      <c r="B314" s="79"/>
      <c r="C314" s="179"/>
      <c r="D314" s="137"/>
      <c r="E314" s="198" t="s">
        <v>29</v>
      </c>
      <c r="F314" s="199"/>
      <c r="G314" s="200"/>
      <c r="H314" s="200"/>
      <c r="I314" s="200"/>
      <c r="J314" s="200"/>
      <c r="K314" s="201">
        <f t="shared" si="128"/>
        <v>0</v>
      </c>
      <c r="L314" s="189"/>
      <c r="M314" s="84"/>
      <c r="N314" s="335"/>
      <c r="O314" s="341" t="s">
        <v>65</v>
      </c>
      <c r="P314" s="189"/>
      <c r="Q314" s="326"/>
      <c r="R314" s="326"/>
      <c r="S314" s="87"/>
      <c r="T314" s="207"/>
      <c r="U314" s="225">
        <f t="shared" si="129"/>
        <v>0</v>
      </c>
      <c r="V314" s="277"/>
      <c r="W314" s="278"/>
      <c r="X314" s="350"/>
      <c r="Y314" s="208" t="s">
        <v>147</v>
      </c>
      <c r="Z314" s="11"/>
      <c r="AA314" s="207"/>
      <c r="AB314" s="207"/>
      <c r="AC314" s="3"/>
      <c r="AD314" s="207"/>
      <c r="AE314" s="226">
        <f t="shared" si="130"/>
        <v>0</v>
      </c>
      <c r="AF314" s="11"/>
      <c r="AG314" s="3"/>
      <c r="AH314" s="359"/>
      <c r="AI314" s="96"/>
      <c r="AJ314" s="94"/>
      <c r="AK314" s="214"/>
      <c r="AL314" s="213"/>
      <c r="AM314" s="82"/>
      <c r="AN314" s="213"/>
      <c r="AO314" s="82"/>
      <c r="AP314" s="213"/>
      <c r="AQ314" s="82"/>
      <c r="AR314" s="13">
        <f t="shared" si="131"/>
        <v>3.1399999999999998E-5</v>
      </c>
      <c r="AS314" s="13">
        <f t="shared" si="132"/>
        <v>0</v>
      </c>
      <c r="AT314" s="13"/>
      <c r="AU314" s="160">
        <v>319</v>
      </c>
      <c r="AV314" s="191">
        <f t="shared" si="146"/>
        <v>9.2E-6</v>
      </c>
      <c r="AW314" s="160">
        <f t="shared" si="133"/>
        <v>0</v>
      </c>
      <c r="AX314" s="219">
        <f t="shared" si="134"/>
        <v>3.1399999999999998E-5</v>
      </c>
      <c r="AY314" s="13">
        <f t="shared" si="137"/>
        <v>0</v>
      </c>
      <c r="AZ314" s="160">
        <v>319</v>
      </c>
      <c r="BA314" s="77">
        <f t="shared" si="147"/>
        <v>7.7999999999999999E-6</v>
      </c>
      <c r="BB314" s="192">
        <f t="shared" si="135"/>
        <v>0</v>
      </c>
      <c r="BC314" s="219">
        <f t="shared" si="138"/>
        <v>3.1399999999999998E-5</v>
      </c>
      <c r="BD314" s="13">
        <f t="shared" si="139"/>
        <v>0</v>
      </c>
      <c r="BE314" s="160">
        <v>319</v>
      </c>
      <c r="BF314" s="77">
        <f t="shared" si="148"/>
        <v>7.7999999999999999E-6</v>
      </c>
      <c r="BG314" s="192">
        <f t="shared" si="136"/>
        <v>0</v>
      </c>
      <c r="BI314" s="120"/>
      <c r="BJ314" s="120"/>
      <c r="BK314" s="160"/>
      <c r="BL314" s="160"/>
      <c r="BM314" s="161" t="str">
        <f t="shared" si="150"/>
        <v/>
      </c>
      <c r="BN314" s="161" t="str">
        <f t="shared" si="140"/>
        <v/>
      </c>
      <c r="BO314" s="161" t="str">
        <f t="shared" si="155"/>
        <v/>
      </c>
      <c r="BP314" s="161" t="str">
        <f t="shared" si="141"/>
        <v/>
      </c>
      <c r="BQ314" s="161" t="str">
        <f t="shared" si="142"/>
        <v/>
      </c>
      <c r="BR314" s="161" t="str">
        <f t="shared" si="152"/>
        <v/>
      </c>
      <c r="BS314" s="161" t="str">
        <f t="shared" si="143"/>
        <v/>
      </c>
      <c r="BT314" s="161" t="str">
        <f t="shared" si="144"/>
        <v/>
      </c>
      <c r="BU314" s="161" t="str">
        <f t="shared" si="153"/>
        <v/>
      </c>
      <c r="BV314" s="161" t="str">
        <f t="shared" si="145"/>
        <v/>
      </c>
      <c r="BW314" s="161" t="str">
        <f t="shared" si="157"/>
        <v/>
      </c>
      <c r="BX314" s="161" t="str">
        <f t="shared" si="156"/>
        <v/>
      </c>
      <c r="BY314" s="148"/>
      <c r="BZ314" s="148"/>
      <c r="CA314" s="148"/>
      <c r="CB314" s="148" t="s">
        <v>149</v>
      </c>
      <c r="CC314" s="148"/>
    </row>
    <row r="315" spans="1:81" ht="14.25" customHeight="1" thickBot="1">
      <c r="A315" s="190">
        <v>305</v>
      </c>
      <c r="B315" s="196"/>
      <c r="C315" s="180"/>
      <c r="D315" s="136"/>
      <c r="E315" s="91" t="s">
        <v>29</v>
      </c>
      <c r="F315" s="187"/>
      <c r="G315" s="188"/>
      <c r="H315" s="188"/>
      <c r="I315" s="188"/>
      <c r="J315" s="188"/>
      <c r="K315" s="18">
        <f t="shared" si="128"/>
        <v>0</v>
      </c>
      <c r="L315" s="187"/>
      <c r="M315" s="118"/>
      <c r="N315" s="336"/>
      <c r="O315" s="342" t="s">
        <v>65</v>
      </c>
      <c r="P315" s="187"/>
      <c r="Q315" s="188"/>
      <c r="R315" s="188"/>
      <c r="S315" s="119"/>
      <c r="T315" s="188"/>
      <c r="U315" s="211">
        <f t="shared" si="129"/>
        <v>0</v>
      </c>
      <c r="V315" s="279"/>
      <c r="W315" s="280"/>
      <c r="X315" s="351"/>
      <c r="Y315" s="209" t="s">
        <v>85</v>
      </c>
      <c r="Z315" s="71"/>
      <c r="AA315" s="321"/>
      <c r="AB315" s="321"/>
      <c r="AC315" s="322"/>
      <c r="AD315" s="188"/>
      <c r="AE315" s="18">
        <f t="shared" si="130"/>
        <v>0</v>
      </c>
      <c r="AF315" s="71"/>
      <c r="AG315" s="322"/>
      <c r="AH315" s="360"/>
      <c r="AI315" s="97"/>
      <c r="AJ315" s="194"/>
      <c r="AK315" s="193"/>
      <c r="AL315" s="205"/>
      <c r="AM315" s="197"/>
      <c r="AN315" s="205"/>
      <c r="AO315" s="197"/>
      <c r="AP315" s="205"/>
      <c r="AQ315" s="197"/>
      <c r="AR315" s="13">
        <f t="shared" si="131"/>
        <v>3.15E-5</v>
      </c>
      <c r="AS315" s="13">
        <f t="shared" si="132"/>
        <v>0</v>
      </c>
      <c r="AT315" s="13"/>
      <c r="AU315" s="160">
        <v>320</v>
      </c>
      <c r="AV315" s="191">
        <f t="shared" si="146"/>
        <v>9.0999999999999993E-6</v>
      </c>
      <c r="AW315" s="160">
        <f t="shared" si="133"/>
        <v>0</v>
      </c>
      <c r="AX315" s="219">
        <f t="shared" si="134"/>
        <v>3.15E-5</v>
      </c>
      <c r="AY315" s="13">
        <f t="shared" si="137"/>
        <v>0</v>
      </c>
      <c r="AZ315" s="160">
        <v>320</v>
      </c>
      <c r="BA315" s="77">
        <f t="shared" si="147"/>
        <v>7.6999999999999991E-6</v>
      </c>
      <c r="BB315" s="192">
        <f t="shared" si="135"/>
        <v>0</v>
      </c>
      <c r="BC315" s="219">
        <f t="shared" si="138"/>
        <v>3.15E-5</v>
      </c>
      <c r="BD315" s="13">
        <f t="shared" si="139"/>
        <v>0</v>
      </c>
      <c r="BE315" s="160">
        <v>320</v>
      </c>
      <c r="BF315" s="77">
        <f t="shared" si="148"/>
        <v>7.6999999999999991E-6</v>
      </c>
      <c r="BG315" s="192">
        <f t="shared" si="136"/>
        <v>0</v>
      </c>
      <c r="BI315" s="120"/>
      <c r="BJ315" s="120"/>
      <c r="BK315" s="160"/>
      <c r="BL315" s="160"/>
      <c r="BM315" s="161" t="str">
        <f t="shared" si="150"/>
        <v/>
      </c>
      <c r="BN315" s="161" t="str">
        <f t="shared" si="140"/>
        <v/>
      </c>
      <c r="BO315" s="161" t="str">
        <f t="shared" si="155"/>
        <v/>
      </c>
      <c r="BP315" s="161" t="str">
        <f t="shared" si="141"/>
        <v/>
      </c>
      <c r="BQ315" s="161" t="str">
        <f t="shared" si="142"/>
        <v/>
      </c>
      <c r="BR315" s="161" t="str">
        <f t="shared" si="152"/>
        <v/>
      </c>
      <c r="BS315" s="161" t="str">
        <f t="shared" si="143"/>
        <v/>
      </c>
      <c r="BT315" s="161" t="str">
        <f t="shared" si="144"/>
        <v/>
      </c>
      <c r="BU315" s="161" t="str">
        <f t="shared" si="153"/>
        <v/>
      </c>
      <c r="BV315" s="161" t="str">
        <f t="shared" si="145"/>
        <v/>
      </c>
      <c r="BW315" s="161" t="str">
        <f t="shared" si="157"/>
        <v/>
      </c>
      <c r="BX315" s="161" t="str">
        <f t="shared" si="156"/>
        <v/>
      </c>
      <c r="BY315" s="148"/>
      <c r="BZ315" s="148"/>
      <c r="CA315" s="148"/>
      <c r="CB315" s="148" t="s">
        <v>149</v>
      </c>
      <c r="CC315" s="148"/>
    </row>
    <row r="316" spans="1:81" ht="14.25" customHeight="1" thickBot="1">
      <c r="A316" s="190">
        <v>306</v>
      </c>
      <c r="B316" s="78"/>
      <c r="C316" s="181"/>
      <c r="D316" s="86"/>
      <c r="E316" s="92" t="s">
        <v>29</v>
      </c>
      <c r="F316" s="88"/>
      <c r="G316" s="93"/>
      <c r="H316" s="93"/>
      <c r="I316" s="93"/>
      <c r="J316" s="93"/>
      <c r="K316" s="81">
        <f t="shared" ref="K316:K379" si="158">SUM(F316:J316)</f>
        <v>0</v>
      </c>
      <c r="L316" s="88"/>
      <c r="M316" s="85"/>
      <c r="N316" s="337"/>
      <c r="O316" s="343" t="s">
        <v>65</v>
      </c>
      <c r="P316" s="88"/>
      <c r="Q316" s="93"/>
      <c r="R316" s="93"/>
      <c r="S316" s="89"/>
      <c r="T316" s="93"/>
      <c r="U316" s="212">
        <f t="shared" ref="U316:U379" si="159">SUM(P316:T316)</f>
        <v>0</v>
      </c>
      <c r="V316" s="281"/>
      <c r="W316" s="282"/>
      <c r="X316" s="352"/>
      <c r="Y316" s="210" t="s">
        <v>85</v>
      </c>
      <c r="Z316" s="72"/>
      <c r="AA316" s="323"/>
      <c r="AB316" s="323"/>
      <c r="AC316" s="324"/>
      <c r="AD316" s="93"/>
      <c r="AE316" s="81">
        <f t="shared" ref="AE316:AE379" si="160">SUM(Z316:AD316)</f>
        <v>0</v>
      </c>
      <c r="AF316" s="72"/>
      <c r="AG316" s="324"/>
      <c r="AH316" s="361"/>
      <c r="AI316" s="98"/>
      <c r="AJ316" s="95"/>
      <c r="AK316" s="215"/>
      <c r="AL316" s="206"/>
      <c r="AM316" s="83"/>
      <c r="AN316" s="206"/>
      <c r="AO316" s="83"/>
      <c r="AP316" s="206"/>
      <c r="AQ316" s="83"/>
      <c r="AR316" s="13">
        <f t="shared" ref="AR316:AR379" si="161">K316+ROW()*0.0000001</f>
        <v>3.1599999999999996E-5</v>
      </c>
      <c r="AS316" s="13">
        <f t="shared" ref="AS316:AS379" si="162">B316</f>
        <v>0</v>
      </c>
      <c r="AT316" s="13"/>
      <c r="AU316" s="160">
        <v>321</v>
      </c>
      <c r="AV316" s="191">
        <f t="shared" si="146"/>
        <v>9.0000000000000002E-6</v>
      </c>
      <c r="AW316" s="160">
        <f t="shared" ref="AW316:AW379" si="163">IFERROR(VLOOKUP(AV316,الترتيب1,2,0),"")</f>
        <v>0</v>
      </c>
      <c r="AX316" s="219">
        <f t="shared" ref="AX316:AX379" si="164">U316+ROW()*0.0000001</f>
        <v>3.1599999999999996E-5</v>
      </c>
      <c r="AY316" s="13">
        <f t="shared" si="137"/>
        <v>0</v>
      </c>
      <c r="AZ316" s="160">
        <v>321</v>
      </c>
      <c r="BA316" s="77">
        <f t="shared" si="147"/>
        <v>7.6000000000000001E-6</v>
      </c>
      <c r="BB316" s="192">
        <f t="shared" ref="BB316:BB379" si="165">IFERROR(VLOOKUP(BA316,الترتيب2,2,0),"")</f>
        <v>0</v>
      </c>
      <c r="BC316" s="219">
        <f t="shared" si="138"/>
        <v>3.1599999999999996E-5</v>
      </c>
      <c r="BD316" s="13">
        <f t="shared" si="139"/>
        <v>0</v>
      </c>
      <c r="BE316" s="160">
        <v>321</v>
      </c>
      <c r="BF316" s="77">
        <f t="shared" si="148"/>
        <v>7.6000000000000001E-6</v>
      </c>
      <c r="BG316" s="192">
        <f t="shared" ref="BG316:BG379" si="166">IFERROR(VLOOKUP(BF316,الترتيب3,2,0),"")</f>
        <v>0</v>
      </c>
      <c r="BI316" s="120"/>
      <c r="BJ316" s="120"/>
      <c r="BK316" s="160"/>
      <c r="BL316" s="160"/>
      <c r="BM316" s="161" t="str">
        <f t="shared" si="150"/>
        <v/>
      </c>
      <c r="BN316" s="161" t="str">
        <f t="shared" si="140"/>
        <v/>
      </c>
      <c r="BO316" s="161" t="str">
        <f t="shared" si="155"/>
        <v/>
      </c>
      <c r="BP316" s="161" t="str">
        <f t="shared" si="141"/>
        <v/>
      </c>
      <c r="BQ316" s="161" t="str">
        <f t="shared" si="142"/>
        <v/>
      </c>
      <c r="BR316" s="161" t="str">
        <f t="shared" si="152"/>
        <v/>
      </c>
      <c r="BS316" s="161" t="str">
        <f t="shared" si="143"/>
        <v/>
      </c>
      <c r="BT316" s="161" t="str">
        <f t="shared" si="144"/>
        <v/>
      </c>
      <c r="BU316" s="161" t="str">
        <f t="shared" si="153"/>
        <v/>
      </c>
      <c r="BV316" s="161" t="str">
        <f t="shared" si="145"/>
        <v/>
      </c>
      <c r="BW316" s="161" t="str">
        <f t="shared" si="157"/>
        <v/>
      </c>
      <c r="BX316" s="161" t="str">
        <f t="shared" si="156"/>
        <v/>
      </c>
      <c r="BY316" s="148"/>
      <c r="BZ316" s="148"/>
      <c r="CA316" s="148"/>
      <c r="CB316" s="148" t="s">
        <v>149</v>
      </c>
      <c r="CC316" s="148"/>
    </row>
    <row r="317" spans="1:81" ht="14.25" customHeight="1" thickBot="1">
      <c r="A317" s="190">
        <v>307</v>
      </c>
      <c r="B317" s="79"/>
      <c r="C317" s="179"/>
      <c r="D317" s="137"/>
      <c r="E317" s="198" t="s">
        <v>29</v>
      </c>
      <c r="F317" s="199"/>
      <c r="G317" s="200"/>
      <c r="H317" s="200"/>
      <c r="I317" s="200"/>
      <c r="J317" s="200"/>
      <c r="K317" s="201">
        <f t="shared" si="158"/>
        <v>0</v>
      </c>
      <c r="L317" s="189"/>
      <c r="M317" s="84"/>
      <c r="N317" s="335"/>
      <c r="O317" s="341" t="s">
        <v>65</v>
      </c>
      <c r="P317" s="189"/>
      <c r="Q317" s="326"/>
      <c r="R317" s="326"/>
      <c r="S317" s="87"/>
      <c r="T317" s="207"/>
      <c r="U317" s="225">
        <f t="shared" si="159"/>
        <v>0</v>
      </c>
      <c r="V317" s="277"/>
      <c r="W317" s="278"/>
      <c r="X317" s="350"/>
      <c r="Y317" s="208" t="s">
        <v>147</v>
      </c>
      <c r="Z317" s="11"/>
      <c r="AA317" s="207"/>
      <c r="AB317" s="207"/>
      <c r="AC317" s="3"/>
      <c r="AD317" s="207"/>
      <c r="AE317" s="226">
        <f t="shared" si="160"/>
        <v>0</v>
      </c>
      <c r="AF317" s="11"/>
      <c r="AG317" s="3"/>
      <c r="AH317" s="359"/>
      <c r="AI317" s="96"/>
      <c r="AJ317" s="94"/>
      <c r="AK317" s="214"/>
      <c r="AL317" s="213"/>
      <c r="AM317" s="82"/>
      <c r="AN317" s="213"/>
      <c r="AO317" s="82"/>
      <c r="AP317" s="213"/>
      <c r="AQ317" s="82"/>
      <c r="AR317" s="13">
        <f t="shared" si="161"/>
        <v>3.1699999999999998E-5</v>
      </c>
      <c r="AS317" s="13">
        <f t="shared" si="162"/>
        <v>0</v>
      </c>
      <c r="AT317" s="13"/>
      <c r="AU317" s="160">
        <v>322</v>
      </c>
      <c r="AV317" s="191">
        <f t="shared" si="146"/>
        <v>8.8999999999999995E-6</v>
      </c>
      <c r="AW317" s="160">
        <f t="shared" si="163"/>
        <v>0</v>
      </c>
      <c r="AX317" s="219">
        <f t="shared" si="164"/>
        <v>3.1699999999999998E-5</v>
      </c>
      <c r="AY317" s="13">
        <f t="shared" ref="AY317:AY380" si="167">AS317</f>
        <v>0</v>
      </c>
      <c r="AZ317" s="160">
        <v>322</v>
      </c>
      <c r="BA317" s="77">
        <f t="shared" si="147"/>
        <v>7.4999999999999993E-6</v>
      </c>
      <c r="BB317" s="192">
        <f t="shared" si="165"/>
        <v>0</v>
      </c>
      <c r="BC317" s="219">
        <f t="shared" ref="BC317:BC380" si="168">AE317+ROW()*0.0000001</f>
        <v>3.1699999999999998E-5</v>
      </c>
      <c r="BD317" s="13">
        <f t="shared" ref="BD317:BD380" si="169">AY317</f>
        <v>0</v>
      </c>
      <c r="BE317" s="160">
        <v>322</v>
      </c>
      <c r="BF317" s="77">
        <f t="shared" si="148"/>
        <v>7.4999999999999993E-6</v>
      </c>
      <c r="BG317" s="192">
        <f t="shared" si="166"/>
        <v>0</v>
      </c>
      <c r="BI317" s="120"/>
      <c r="BJ317" s="120"/>
      <c r="BK317" s="160"/>
      <c r="BL317" s="160"/>
      <c r="BM317" s="161" t="str">
        <f t="shared" si="150"/>
        <v/>
      </c>
      <c r="BN317" s="161" t="str">
        <f t="shared" ref="BN317:BN380" si="170">MID($BK317,11,1)</f>
        <v/>
      </c>
      <c r="BO317" s="161" t="str">
        <f t="shared" ref="BO317:BO380" si="171">MID($BK317,10,1)</f>
        <v/>
      </c>
      <c r="BP317" s="161" t="str">
        <f t="shared" ref="BP317:BP380" si="172">MID($BK317,9,1)</f>
        <v/>
      </c>
      <c r="BQ317" s="161" t="str">
        <f t="shared" ref="BQ317:BQ380" si="173">MID($BK317,8,1)</f>
        <v/>
      </c>
      <c r="BR317" s="161" t="str">
        <f t="shared" si="152"/>
        <v/>
      </c>
      <c r="BS317" s="161" t="str">
        <f t="shared" ref="BS317:BS380" si="174">MID($BK317,6,1)</f>
        <v/>
      </c>
      <c r="BT317" s="161" t="str">
        <f t="shared" ref="BT317:BT380" si="175">MID($BK317,5,1)</f>
        <v/>
      </c>
      <c r="BU317" s="161" t="str">
        <f t="shared" si="153"/>
        <v/>
      </c>
      <c r="BV317" s="161" t="str">
        <f t="shared" ref="BV317:BV380" si="176">MID($BK317,3,1)</f>
        <v/>
      </c>
      <c r="BW317" s="161" t="str">
        <f t="shared" ref="BW317:BW380" si="177">MID($BK317,2,1)</f>
        <v/>
      </c>
      <c r="BX317" s="161" t="str">
        <f t="shared" ref="BX317:BX380" si="178">MID($BK317,1,1)</f>
        <v/>
      </c>
      <c r="BY317" s="148"/>
      <c r="BZ317" s="148"/>
      <c r="CA317" s="148"/>
      <c r="CB317" s="148" t="s">
        <v>149</v>
      </c>
      <c r="CC317" s="148"/>
    </row>
    <row r="318" spans="1:81" ht="14.25" customHeight="1" thickBot="1">
      <c r="A318" s="190">
        <v>308</v>
      </c>
      <c r="B318" s="196"/>
      <c r="C318" s="180"/>
      <c r="D318" s="136"/>
      <c r="E318" s="91" t="s">
        <v>29</v>
      </c>
      <c r="F318" s="187"/>
      <c r="G318" s="188"/>
      <c r="H318" s="188"/>
      <c r="I318" s="188"/>
      <c r="J318" s="188"/>
      <c r="K318" s="18">
        <f t="shared" si="158"/>
        <v>0</v>
      </c>
      <c r="L318" s="187"/>
      <c r="M318" s="118"/>
      <c r="N318" s="336"/>
      <c r="O318" s="342" t="s">
        <v>65</v>
      </c>
      <c r="P318" s="187"/>
      <c r="Q318" s="188"/>
      <c r="R318" s="188"/>
      <c r="S318" s="119"/>
      <c r="T318" s="188"/>
      <c r="U318" s="211">
        <f t="shared" si="159"/>
        <v>0</v>
      </c>
      <c r="V318" s="279"/>
      <c r="W318" s="280"/>
      <c r="X318" s="351"/>
      <c r="Y318" s="209" t="s">
        <v>85</v>
      </c>
      <c r="Z318" s="71"/>
      <c r="AA318" s="321"/>
      <c r="AB318" s="321"/>
      <c r="AC318" s="322"/>
      <c r="AD318" s="188"/>
      <c r="AE318" s="18">
        <f t="shared" si="160"/>
        <v>0</v>
      </c>
      <c r="AF318" s="71"/>
      <c r="AG318" s="322"/>
      <c r="AH318" s="360"/>
      <c r="AI318" s="97"/>
      <c r="AJ318" s="194"/>
      <c r="AK318" s="193"/>
      <c r="AL318" s="205"/>
      <c r="AM318" s="197"/>
      <c r="AN318" s="205"/>
      <c r="AO318" s="197"/>
      <c r="AP318" s="205"/>
      <c r="AQ318" s="197"/>
      <c r="AR318" s="13">
        <f t="shared" si="161"/>
        <v>3.18E-5</v>
      </c>
      <c r="AS318" s="13">
        <f t="shared" si="162"/>
        <v>0</v>
      </c>
      <c r="AT318" s="13"/>
      <c r="AU318" s="160">
        <v>323</v>
      </c>
      <c r="AV318" s="191">
        <f t="shared" si="146"/>
        <v>8.8000000000000004E-6</v>
      </c>
      <c r="AW318" s="160">
        <f t="shared" si="163"/>
        <v>0</v>
      </c>
      <c r="AX318" s="219">
        <f t="shared" si="164"/>
        <v>3.18E-5</v>
      </c>
      <c r="AY318" s="13">
        <f t="shared" si="167"/>
        <v>0</v>
      </c>
      <c r="AZ318" s="160">
        <v>323</v>
      </c>
      <c r="BA318" s="77">
        <f t="shared" si="147"/>
        <v>7.3999999999999995E-6</v>
      </c>
      <c r="BB318" s="192">
        <f t="shared" si="165"/>
        <v>0</v>
      </c>
      <c r="BC318" s="219">
        <f t="shared" si="168"/>
        <v>3.18E-5</v>
      </c>
      <c r="BD318" s="13">
        <f t="shared" si="169"/>
        <v>0</v>
      </c>
      <c r="BE318" s="160">
        <v>323</v>
      </c>
      <c r="BF318" s="77">
        <f t="shared" si="148"/>
        <v>7.3999999999999995E-6</v>
      </c>
      <c r="BG318" s="192">
        <f t="shared" si="166"/>
        <v>0</v>
      </c>
      <c r="BI318" s="120"/>
      <c r="BJ318" s="120"/>
      <c r="BK318" s="160"/>
      <c r="BL318" s="160"/>
      <c r="BM318" s="161" t="str">
        <f t="shared" si="150"/>
        <v/>
      </c>
      <c r="BN318" s="161" t="str">
        <f t="shared" si="170"/>
        <v/>
      </c>
      <c r="BO318" s="161" t="str">
        <f t="shared" si="171"/>
        <v/>
      </c>
      <c r="BP318" s="161" t="str">
        <f t="shared" si="172"/>
        <v/>
      </c>
      <c r="BQ318" s="161" t="str">
        <f t="shared" si="173"/>
        <v/>
      </c>
      <c r="BR318" s="161" t="str">
        <f t="shared" si="152"/>
        <v/>
      </c>
      <c r="BS318" s="161" t="str">
        <f t="shared" si="174"/>
        <v/>
      </c>
      <c r="BT318" s="161" t="str">
        <f t="shared" si="175"/>
        <v/>
      </c>
      <c r="BU318" s="161" t="str">
        <f t="shared" si="153"/>
        <v/>
      </c>
      <c r="BV318" s="161" t="str">
        <f t="shared" si="176"/>
        <v/>
      </c>
      <c r="BW318" s="161" t="str">
        <f t="shared" si="177"/>
        <v/>
      </c>
      <c r="BX318" s="161" t="str">
        <f t="shared" si="178"/>
        <v/>
      </c>
      <c r="BY318" s="148"/>
      <c r="BZ318" s="148"/>
      <c r="CA318" s="148"/>
      <c r="CB318" s="148" t="s">
        <v>149</v>
      </c>
      <c r="CC318" s="148"/>
    </row>
    <row r="319" spans="1:81" ht="14.25" customHeight="1" thickBot="1">
      <c r="A319" s="190">
        <v>309</v>
      </c>
      <c r="B319" s="78"/>
      <c r="C319" s="181"/>
      <c r="D319" s="86"/>
      <c r="E319" s="92" t="s">
        <v>29</v>
      </c>
      <c r="F319" s="88"/>
      <c r="G319" s="93"/>
      <c r="H319" s="93"/>
      <c r="I319" s="93"/>
      <c r="J319" s="93"/>
      <c r="K319" s="81">
        <f t="shared" si="158"/>
        <v>0</v>
      </c>
      <c r="L319" s="88"/>
      <c r="M319" s="85"/>
      <c r="N319" s="337"/>
      <c r="O319" s="343" t="s">
        <v>65</v>
      </c>
      <c r="P319" s="88"/>
      <c r="Q319" s="93"/>
      <c r="R319" s="93"/>
      <c r="S319" s="89"/>
      <c r="T319" s="93"/>
      <c r="U319" s="212">
        <f t="shared" si="159"/>
        <v>0</v>
      </c>
      <c r="V319" s="281"/>
      <c r="W319" s="282"/>
      <c r="X319" s="352"/>
      <c r="Y319" s="210" t="s">
        <v>85</v>
      </c>
      <c r="Z319" s="72"/>
      <c r="AA319" s="323"/>
      <c r="AB319" s="323"/>
      <c r="AC319" s="324"/>
      <c r="AD319" s="93"/>
      <c r="AE319" s="81">
        <f t="shared" si="160"/>
        <v>0</v>
      </c>
      <c r="AF319" s="72"/>
      <c r="AG319" s="324"/>
      <c r="AH319" s="361"/>
      <c r="AI319" s="98"/>
      <c r="AJ319" s="95"/>
      <c r="AK319" s="215"/>
      <c r="AL319" s="206"/>
      <c r="AM319" s="83"/>
      <c r="AN319" s="206"/>
      <c r="AO319" s="83"/>
      <c r="AP319" s="206"/>
      <c r="AQ319" s="83"/>
      <c r="AR319" s="13">
        <f t="shared" si="161"/>
        <v>3.1899999999999996E-5</v>
      </c>
      <c r="AS319" s="13">
        <f t="shared" si="162"/>
        <v>0</v>
      </c>
      <c r="AT319" s="13"/>
      <c r="AU319" s="160">
        <v>324</v>
      </c>
      <c r="AV319" s="191">
        <f t="shared" si="146"/>
        <v>8.6999999999999997E-6</v>
      </c>
      <c r="AW319" s="160">
        <f t="shared" si="163"/>
        <v>0</v>
      </c>
      <c r="AX319" s="219">
        <f t="shared" si="164"/>
        <v>3.1899999999999996E-5</v>
      </c>
      <c r="AY319" s="13">
        <f t="shared" si="167"/>
        <v>0</v>
      </c>
      <c r="AZ319" s="160">
        <v>324</v>
      </c>
      <c r="BA319" s="77">
        <f t="shared" si="147"/>
        <v>7.2999999999999996E-6</v>
      </c>
      <c r="BB319" s="192">
        <f t="shared" si="165"/>
        <v>0</v>
      </c>
      <c r="BC319" s="219">
        <f t="shared" si="168"/>
        <v>3.1899999999999996E-5</v>
      </c>
      <c r="BD319" s="13">
        <f t="shared" si="169"/>
        <v>0</v>
      </c>
      <c r="BE319" s="160">
        <v>324</v>
      </c>
      <c r="BF319" s="77">
        <f t="shared" si="148"/>
        <v>7.2999999999999996E-6</v>
      </c>
      <c r="BG319" s="192">
        <f t="shared" si="166"/>
        <v>0</v>
      </c>
      <c r="BI319" s="120"/>
      <c r="BJ319" s="120"/>
      <c r="BK319" s="160"/>
      <c r="BL319" s="160"/>
      <c r="BM319" s="161" t="str">
        <f t="shared" si="150"/>
        <v/>
      </c>
      <c r="BN319" s="161" t="str">
        <f t="shared" si="170"/>
        <v/>
      </c>
      <c r="BO319" s="161" t="str">
        <f t="shared" si="171"/>
        <v/>
      </c>
      <c r="BP319" s="161" t="str">
        <f t="shared" si="172"/>
        <v/>
      </c>
      <c r="BQ319" s="161" t="str">
        <f t="shared" si="173"/>
        <v/>
      </c>
      <c r="BR319" s="161" t="str">
        <f t="shared" si="152"/>
        <v/>
      </c>
      <c r="BS319" s="161" t="str">
        <f t="shared" si="174"/>
        <v/>
      </c>
      <c r="BT319" s="161" t="str">
        <f t="shared" si="175"/>
        <v/>
      </c>
      <c r="BU319" s="161" t="str">
        <f t="shared" si="153"/>
        <v/>
      </c>
      <c r="BV319" s="161" t="str">
        <f t="shared" si="176"/>
        <v/>
      </c>
      <c r="BW319" s="161" t="str">
        <f t="shared" si="177"/>
        <v/>
      </c>
      <c r="BX319" s="161" t="str">
        <f t="shared" si="178"/>
        <v/>
      </c>
      <c r="BY319" s="148"/>
      <c r="BZ319" s="148"/>
      <c r="CA319" s="148"/>
      <c r="CB319" s="148" t="s">
        <v>149</v>
      </c>
      <c r="CC319" s="148"/>
    </row>
    <row r="320" spans="1:81" ht="14.25" customHeight="1" thickBot="1">
      <c r="A320" s="190">
        <v>310</v>
      </c>
      <c r="B320" s="79"/>
      <c r="C320" s="179"/>
      <c r="D320" s="137"/>
      <c r="E320" s="198" t="s">
        <v>29</v>
      </c>
      <c r="F320" s="199"/>
      <c r="G320" s="200"/>
      <c r="H320" s="200"/>
      <c r="I320" s="200"/>
      <c r="J320" s="200"/>
      <c r="K320" s="201">
        <f t="shared" si="158"/>
        <v>0</v>
      </c>
      <c r="L320" s="189"/>
      <c r="M320" s="84"/>
      <c r="N320" s="335"/>
      <c r="O320" s="341" t="s">
        <v>65</v>
      </c>
      <c r="P320" s="189"/>
      <c r="Q320" s="326"/>
      <c r="R320" s="326"/>
      <c r="S320" s="87"/>
      <c r="T320" s="207"/>
      <c r="U320" s="225">
        <f t="shared" si="159"/>
        <v>0</v>
      </c>
      <c r="V320" s="277"/>
      <c r="W320" s="278"/>
      <c r="X320" s="350"/>
      <c r="Y320" s="208" t="s">
        <v>147</v>
      </c>
      <c r="Z320" s="11"/>
      <c r="AA320" s="207"/>
      <c r="AB320" s="207"/>
      <c r="AC320" s="3"/>
      <c r="AD320" s="207"/>
      <c r="AE320" s="226">
        <f t="shared" si="160"/>
        <v>0</v>
      </c>
      <c r="AF320" s="11"/>
      <c r="AG320" s="3"/>
      <c r="AH320" s="359"/>
      <c r="AI320" s="96"/>
      <c r="AJ320" s="94"/>
      <c r="AK320" s="214"/>
      <c r="AL320" s="213"/>
      <c r="AM320" s="82"/>
      <c r="AN320" s="213"/>
      <c r="AO320" s="82"/>
      <c r="AP320" s="213"/>
      <c r="AQ320" s="82"/>
      <c r="AR320" s="13">
        <f t="shared" si="161"/>
        <v>3.1999999999999999E-5</v>
      </c>
      <c r="AS320" s="13">
        <f t="shared" si="162"/>
        <v>0</v>
      </c>
      <c r="AT320" s="13"/>
      <c r="AU320" s="160">
        <v>325</v>
      </c>
      <c r="AV320" s="191">
        <f t="shared" si="146"/>
        <v>8.599999999999999E-6</v>
      </c>
      <c r="AW320" s="160">
        <f t="shared" si="163"/>
        <v>0</v>
      </c>
      <c r="AX320" s="219">
        <f t="shared" si="164"/>
        <v>3.1999999999999999E-5</v>
      </c>
      <c r="AY320" s="13">
        <f t="shared" si="167"/>
        <v>0</v>
      </c>
      <c r="AZ320" s="160">
        <v>325</v>
      </c>
      <c r="BA320" s="77">
        <f t="shared" si="147"/>
        <v>7.1999999999999997E-6</v>
      </c>
      <c r="BB320" s="192">
        <f t="shared" si="165"/>
        <v>0</v>
      </c>
      <c r="BC320" s="219">
        <f t="shared" si="168"/>
        <v>3.1999999999999999E-5</v>
      </c>
      <c r="BD320" s="13">
        <f t="shared" si="169"/>
        <v>0</v>
      </c>
      <c r="BE320" s="160">
        <v>325</v>
      </c>
      <c r="BF320" s="77">
        <f t="shared" si="148"/>
        <v>7.1999999999999997E-6</v>
      </c>
      <c r="BG320" s="192">
        <f t="shared" si="166"/>
        <v>0</v>
      </c>
      <c r="BI320" s="120"/>
      <c r="BJ320" s="120"/>
      <c r="BK320" s="160"/>
      <c r="BL320" s="160"/>
      <c r="BM320" s="161" t="str">
        <f t="shared" si="150"/>
        <v/>
      </c>
      <c r="BN320" s="161" t="str">
        <f t="shared" si="170"/>
        <v/>
      </c>
      <c r="BO320" s="161" t="str">
        <f t="shared" si="171"/>
        <v/>
      </c>
      <c r="BP320" s="161" t="str">
        <f t="shared" si="172"/>
        <v/>
      </c>
      <c r="BQ320" s="161" t="str">
        <f t="shared" si="173"/>
        <v/>
      </c>
      <c r="BR320" s="161" t="str">
        <f t="shared" si="152"/>
        <v/>
      </c>
      <c r="BS320" s="161" t="str">
        <f t="shared" si="174"/>
        <v/>
      </c>
      <c r="BT320" s="161" t="str">
        <f t="shared" si="175"/>
        <v/>
      </c>
      <c r="BU320" s="161" t="str">
        <f t="shared" si="153"/>
        <v/>
      </c>
      <c r="BV320" s="161" t="str">
        <f t="shared" si="176"/>
        <v/>
      </c>
      <c r="BW320" s="161" t="str">
        <f t="shared" si="177"/>
        <v/>
      </c>
      <c r="BX320" s="161" t="str">
        <f t="shared" si="178"/>
        <v/>
      </c>
      <c r="BY320" s="148"/>
      <c r="BZ320" s="148"/>
      <c r="CA320" s="148"/>
      <c r="CB320" s="148" t="s">
        <v>149</v>
      </c>
      <c r="CC320" s="148"/>
    </row>
    <row r="321" spans="1:81" ht="14.25" customHeight="1" thickBot="1">
      <c r="A321" s="190">
        <v>311</v>
      </c>
      <c r="B321" s="196"/>
      <c r="C321" s="180"/>
      <c r="D321" s="136"/>
      <c r="E321" s="91" t="s">
        <v>29</v>
      </c>
      <c r="F321" s="187"/>
      <c r="G321" s="188"/>
      <c r="H321" s="188"/>
      <c r="I321" s="188"/>
      <c r="J321" s="188"/>
      <c r="K321" s="18">
        <f t="shared" si="158"/>
        <v>0</v>
      </c>
      <c r="L321" s="187"/>
      <c r="M321" s="118"/>
      <c r="N321" s="336"/>
      <c r="O321" s="342" t="s">
        <v>65</v>
      </c>
      <c r="P321" s="187"/>
      <c r="Q321" s="188"/>
      <c r="R321" s="188"/>
      <c r="S321" s="119"/>
      <c r="T321" s="188"/>
      <c r="U321" s="211">
        <f t="shared" si="159"/>
        <v>0</v>
      </c>
      <c r="V321" s="279"/>
      <c r="W321" s="280"/>
      <c r="X321" s="351"/>
      <c r="Y321" s="209" t="s">
        <v>85</v>
      </c>
      <c r="Z321" s="71"/>
      <c r="AA321" s="321"/>
      <c r="AB321" s="321"/>
      <c r="AC321" s="322"/>
      <c r="AD321" s="188"/>
      <c r="AE321" s="18">
        <f t="shared" si="160"/>
        <v>0</v>
      </c>
      <c r="AF321" s="71"/>
      <c r="AG321" s="322"/>
      <c r="AH321" s="360"/>
      <c r="AI321" s="97"/>
      <c r="AJ321" s="194"/>
      <c r="AK321" s="193"/>
      <c r="AL321" s="205"/>
      <c r="AM321" s="197"/>
      <c r="AN321" s="205"/>
      <c r="AO321" s="197"/>
      <c r="AP321" s="205"/>
      <c r="AQ321" s="197"/>
      <c r="AR321" s="13">
        <f t="shared" si="161"/>
        <v>3.2100000000000001E-5</v>
      </c>
      <c r="AS321" s="13">
        <f t="shared" si="162"/>
        <v>0</v>
      </c>
      <c r="AT321" s="13"/>
      <c r="AU321" s="160">
        <v>326</v>
      </c>
      <c r="AV321" s="191">
        <f t="shared" si="146"/>
        <v>8.4999999999999999E-6</v>
      </c>
      <c r="AW321" s="160">
        <f t="shared" si="163"/>
        <v>0</v>
      </c>
      <c r="AX321" s="219">
        <f t="shared" si="164"/>
        <v>3.2100000000000001E-5</v>
      </c>
      <c r="AY321" s="13">
        <f t="shared" si="167"/>
        <v>0</v>
      </c>
      <c r="AZ321" s="160">
        <v>326</v>
      </c>
      <c r="BA321" s="77">
        <f t="shared" si="147"/>
        <v>7.0999999999999998E-6</v>
      </c>
      <c r="BB321" s="192">
        <f t="shared" si="165"/>
        <v>0</v>
      </c>
      <c r="BC321" s="219">
        <f t="shared" si="168"/>
        <v>3.2100000000000001E-5</v>
      </c>
      <c r="BD321" s="13">
        <f t="shared" si="169"/>
        <v>0</v>
      </c>
      <c r="BE321" s="160">
        <v>326</v>
      </c>
      <c r="BF321" s="77">
        <f t="shared" si="148"/>
        <v>7.0999999999999998E-6</v>
      </c>
      <c r="BG321" s="192">
        <f t="shared" si="166"/>
        <v>0</v>
      </c>
      <c r="BI321" s="120"/>
      <c r="BJ321" s="120"/>
      <c r="BK321" s="160"/>
      <c r="BL321" s="160"/>
      <c r="BM321" s="161" t="str">
        <f t="shared" si="150"/>
        <v/>
      </c>
      <c r="BN321" s="161" t="str">
        <f t="shared" si="170"/>
        <v/>
      </c>
      <c r="BO321" s="161" t="str">
        <f t="shared" si="171"/>
        <v/>
      </c>
      <c r="BP321" s="161" t="str">
        <f t="shared" si="172"/>
        <v/>
      </c>
      <c r="BQ321" s="161" t="str">
        <f t="shared" si="173"/>
        <v/>
      </c>
      <c r="BR321" s="161" t="str">
        <f t="shared" si="152"/>
        <v/>
      </c>
      <c r="BS321" s="161" t="str">
        <f t="shared" si="174"/>
        <v/>
      </c>
      <c r="BT321" s="161" t="str">
        <f t="shared" si="175"/>
        <v/>
      </c>
      <c r="BU321" s="161" t="str">
        <f t="shared" si="153"/>
        <v/>
      </c>
      <c r="BV321" s="161" t="str">
        <f t="shared" si="176"/>
        <v/>
      </c>
      <c r="BW321" s="161" t="str">
        <f t="shared" si="177"/>
        <v/>
      </c>
      <c r="BX321" s="161" t="str">
        <f t="shared" si="178"/>
        <v/>
      </c>
      <c r="BY321" s="148"/>
      <c r="BZ321" s="148"/>
      <c r="CA321" s="148"/>
      <c r="CB321" s="148" t="s">
        <v>149</v>
      </c>
      <c r="CC321" s="148"/>
    </row>
    <row r="322" spans="1:81" ht="14.25" customHeight="1" thickBot="1">
      <c r="A322" s="190">
        <v>312</v>
      </c>
      <c r="B322" s="78"/>
      <c r="C322" s="181"/>
      <c r="D322" s="86"/>
      <c r="E322" s="92" t="s">
        <v>29</v>
      </c>
      <c r="F322" s="88"/>
      <c r="G322" s="93"/>
      <c r="H322" s="93"/>
      <c r="I322" s="93"/>
      <c r="J322" s="93"/>
      <c r="K322" s="81">
        <f t="shared" si="158"/>
        <v>0</v>
      </c>
      <c r="L322" s="88"/>
      <c r="M322" s="85"/>
      <c r="N322" s="337"/>
      <c r="O322" s="343" t="s">
        <v>65</v>
      </c>
      <c r="P322" s="88"/>
      <c r="Q322" s="93"/>
      <c r="R322" s="93"/>
      <c r="S322" s="89"/>
      <c r="T322" s="93"/>
      <c r="U322" s="212">
        <f t="shared" si="159"/>
        <v>0</v>
      </c>
      <c r="V322" s="281"/>
      <c r="W322" s="282"/>
      <c r="X322" s="352"/>
      <c r="Y322" s="210" t="s">
        <v>85</v>
      </c>
      <c r="Z322" s="72"/>
      <c r="AA322" s="323"/>
      <c r="AB322" s="323"/>
      <c r="AC322" s="324"/>
      <c r="AD322" s="93"/>
      <c r="AE322" s="81">
        <f t="shared" si="160"/>
        <v>0</v>
      </c>
      <c r="AF322" s="72"/>
      <c r="AG322" s="324"/>
      <c r="AH322" s="361"/>
      <c r="AI322" s="98"/>
      <c r="AJ322" s="95"/>
      <c r="AK322" s="215"/>
      <c r="AL322" s="206"/>
      <c r="AM322" s="83"/>
      <c r="AN322" s="206"/>
      <c r="AO322" s="83"/>
      <c r="AP322" s="206"/>
      <c r="AQ322" s="83"/>
      <c r="AR322" s="13">
        <f t="shared" si="161"/>
        <v>3.2199999999999997E-5</v>
      </c>
      <c r="AS322" s="13">
        <f t="shared" si="162"/>
        <v>0</v>
      </c>
      <c r="AT322" s="13"/>
      <c r="AU322" s="160">
        <v>327</v>
      </c>
      <c r="AV322" s="191">
        <f t="shared" si="146"/>
        <v>8.3999999999999992E-6</v>
      </c>
      <c r="AW322" s="160">
        <f t="shared" si="163"/>
        <v>0</v>
      </c>
      <c r="AX322" s="219">
        <f t="shared" si="164"/>
        <v>3.2199999999999997E-5</v>
      </c>
      <c r="AY322" s="13">
        <f t="shared" si="167"/>
        <v>0</v>
      </c>
      <c r="AZ322" s="160">
        <v>327</v>
      </c>
      <c r="BA322" s="77">
        <f t="shared" si="147"/>
        <v>6.9999999999999999E-6</v>
      </c>
      <c r="BB322" s="192">
        <f t="shared" si="165"/>
        <v>0</v>
      </c>
      <c r="BC322" s="219">
        <f t="shared" si="168"/>
        <v>3.2199999999999997E-5</v>
      </c>
      <c r="BD322" s="13">
        <f t="shared" si="169"/>
        <v>0</v>
      </c>
      <c r="BE322" s="160">
        <v>327</v>
      </c>
      <c r="BF322" s="77">
        <f t="shared" si="148"/>
        <v>6.9999999999999999E-6</v>
      </c>
      <c r="BG322" s="192">
        <f t="shared" si="166"/>
        <v>0</v>
      </c>
      <c r="BI322" s="120"/>
      <c r="BJ322" s="120"/>
      <c r="BK322" s="160"/>
      <c r="BL322" s="160"/>
      <c r="BM322" s="161" t="str">
        <f t="shared" si="150"/>
        <v/>
      </c>
      <c r="BN322" s="161" t="str">
        <f t="shared" si="170"/>
        <v/>
      </c>
      <c r="BO322" s="161" t="str">
        <f t="shared" si="171"/>
        <v/>
      </c>
      <c r="BP322" s="161" t="str">
        <f t="shared" si="172"/>
        <v/>
      </c>
      <c r="BQ322" s="161" t="str">
        <f t="shared" si="173"/>
        <v/>
      </c>
      <c r="BR322" s="161" t="str">
        <f t="shared" si="152"/>
        <v/>
      </c>
      <c r="BS322" s="161" t="str">
        <f t="shared" si="174"/>
        <v/>
      </c>
      <c r="BT322" s="161" t="str">
        <f t="shared" si="175"/>
        <v/>
      </c>
      <c r="BU322" s="161" t="str">
        <f t="shared" si="153"/>
        <v/>
      </c>
      <c r="BV322" s="161" t="str">
        <f t="shared" si="176"/>
        <v/>
      </c>
      <c r="BW322" s="161" t="str">
        <f t="shared" si="177"/>
        <v/>
      </c>
      <c r="BX322" s="161" t="str">
        <f t="shared" si="178"/>
        <v/>
      </c>
      <c r="BY322" s="148"/>
      <c r="BZ322" s="148"/>
      <c r="CA322" s="148"/>
      <c r="CB322" s="148" t="s">
        <v>149</v>
      </c>
      <c r="CC322" s="148"/>
    </row>
    <row r="323" spans="1:81" ht="14.25" customHeight="1" thickBot="1">
      <c r="A323" s="190">
        <v>313</v>
      </c>
      <c r="B323" s="79"/>
      <c r="C323" s="179"/>
      <c r="D323" s="137"/>
      <c r="E323" s="198" t="s">
        <v>29</v>
      </c>
      <c r="F323" s="199"/>
      <c r="G323" s="200"/>
      <c r="H323" s="200"/>
      <c r="I323" s="200"/>
      <c r="J323" s="200"/>
      <c r="K323" s="201">
        <f t="shared" si="158"/>
        <v>0</v>
      </c>
      <c r="L323" s="189"/>
      <c r="M323" s="84"/>
      <c r="N323" s="335"/>
      <c r="O323" s="341" t="s">
        <v>65</v>
      </c>
      <c r="P323" s="189"/>
      <c r="Q323" s="326"/>
      <c r="R323" s="326"/>
      <c r="S323" s="87"/>
      <c r="T323" s="207"/>
      <c r="U323" s="225">
        <f t="shared" si="159"/>
        <v>0</v>
      </c>
      <c r="V323" s="277"/>
      <c r="W323" s="278"/>
      <c r="X323" s="350"/>
      <c r="Y323" s="208" t="s">
        <v>147</v>
      </c>
      <c r="Z323" s="11"/>
      <c r="AA323" s="207"/>
      <c r="AB323" s="207"/>
      <c r="AC323" s="3"/>
      <c r="AD323" s="207"/>
      <c r="AE323" s="226">
        <f t="shared" si="160"/>
        <v>0</v>
      </c>
      <c r="AF323" s="11"/>
      <c r="AG323" s="3"/>
      <c r="AH323" s="359"/>
      <c r="AI323" s="96"/>
      <c r="AJ323" s="94"/>
      <c r="AK323" s="214"/>
      <c r="AL323" s="213"/>
      <c r="AM323" s="82"/>
      <c r="AN323" s="213"/>
      <c r="AO323" s="82"/>
      <c r="AP323" s="213"/>
      <c r="AQ323" s="82"/>
      <c r="AR323" s="13">
        <f t="shared" si="161"/>
        <v>3.2299999999999999E-5</v>
      </c>
      <c r="AS323" s="13">
        <f t="shared" si="162"/>
        <v>0</v>
      </c>
      <c r="AT323" s="13"/>
      <c r="AU323" s="160">
        <v>328</v>
      </c>
      <c r="AV323" s="191">
        <f t="shared" si="146"/>
        <v>8.3000000000000002E-6</v>
      </c>
      <c r="AW323" s="160">
        <f t="shared" si="163"/>
        <v>0</v>
      </c>
      <c r="AX323" s="219">
        <f t="shared" si="164"/>
        <v>3.2299999999999999E-5</v>
      </c>
      <c r="AY323" s="13">
        <f t="shared" si="167"/>
        <v>0</v>
      </c>
      <c r="AZ323" s="160">
        <v>328</v>
      </c>
      <c r="BA323" s="77">
        <f t="shared" si="147"/>
        <v>6.9E-6</v>
      </c>
      <c r="BB323" s="192">
        <f t="shared" si="165"/>
        <v>0</v>
      </c>
      <c r="BC323" s="219">
        <f t="shared" si="168"/>
        <v>3.2299999999999999E-5</v>
      </c>
      <c r="BD323" s="13">
        <f t="shared" si="169"/>
        <v>0</v>
      </c>
      <c r="BE323" s="160">
        <v>328</v>
      </c>
      <c r="BF323" s="77">
        <f t="shared" si="148"/>
        <v>6.9E-6</v>
      </c>
      <c r="BG323" s="192">
        <f t="shared" si="166"/>
        <v>0</v>
      </c>
      <c r="BI323" s="120"/>
      <c r="BJ323" s="120"/>
      <c r="BK323" s="160"/>
      <c r="BL323" s="160"/>
      <c r="BM323" s="161" t="str">
        <f t="shared" si="150"/>
        <v/>
      </c>
      <c r="BN323" s="161" t="str">
        <f t="shared" si="170"/>
        <v/>
      </c>
      <c r="BO323" s="161" t="str">
        <f t="shared" si="171"/>
        <v/>
      </c>
      <c r="BP323" s="161" t="str">
        <f t="shared" si="172"/>
        <v/>
      </c>
      <c r="BQ323" s="161" t="str">
        <f t="shared" si="173"/>
        <v/>
      </c>
      <c r="BR323" s="161" t="str">
        <f t="shared" si="152"/>
        <v/>
      </c>
      <c r="BS323" s="161" t="str">
        <f t="shared" si="174"/>
        <v/>
      </c>
      <c r="BT323" s="161" t="str">
        <f t="shared" si="175"/>
        <v/>
      </c>
      <c r="BU323" s="161" t="str">
        <f t="shared" si="153"/>
        <v/>
      </c>
      <c r="BV323" s="161" t="str">
        <f t="shared" si="176"/>
        <v/>
      </c>
      <c r="BW323" s="161" t="str">
        <f t="shared" si="177"/>
        <v/>
      </c>
      <c r="BX323" s="161" t="str">
        <f t="shared" si="178"/>
        <v/>
      </c>
      <c r="BY323" s="148"/>
      <c r="BZ323" s="148"/>
      <c r="CA323" s="148"/>
      <c r="CB323" s="148" t="s">
        <v>149</v>
      </c>
      <c r="CC323" s="148"/>
    </row>
    <row r="324" spans="1:81" ht="14.25" customHeight="1" thickBot="1">
      <c r="A324" s="190">
        <v>314</v>
      </c>
      <c r="B324" s="196"/>
      <c r="C324" s="180"/>
      <c r="D324" s="136"/>
      <c r="E324" s="91" t="s">
        <v>29</v>
      </c>
      <c r="F324" s="187"/>
      <c r="G324" s="188"/>
      <c r="H324" s="188"/>
      <c r="I324" s="188"/>
      <c r="J324" s="188"/>
      <c r="K324" s="18">
        <f t="shared" si="158"/>
        <v>0</v>
      </c>
      <c r="L324" s="187"/>
      <c r="M324" s="118"/>
      <c r="N324" s="336"/>
      <c r="O324" s="342" t="s">
        <v>65</v>
      </c>
      <c r="P324" s="187"/>
      <c r="Q324" s="188"/>
      <c r="R324" s="188"/>
      <c r="S324" s="119"/>
      <c r="T324" s="188"/>
      <c r="U324" s="211">
        <f t="shared" si="159"/>
        <v>0</v>
      </c>
      <c r="V324" s="279"/>
      <c r="W324" s="280"/>
      <c r="X324" s="351"/>
      <c r="Y324" s="209" t="s">
        <v>85</v>
      </c>
      <c r="Z324" s="71"/>
      <c r="AA324" s="321"/>
      <c r="AB324" s="321"/>
      <c r="AC324" s="322"/>
      <c r="AD324" s="188"/>
      <c r="AE324" s="18">
        <f t="shared" si="160"/>
        <v>0</v>
      </c>
      <c r="AF324" s="71"/>
      <c r="AG324" s="322"/>
      <c r="AH324" s="360"/>
      <c r="AI324" s="97"/>
      <c r="AJ324" s="194"/>
      <c r="AK324" s="193"/>
      <c r="AL324" s="205"/>
      <c r="AM324" s="197"/>
      <c r="AN324" s="205"/>
      <c r="AO324" s="197"/>
      <c r="AP324" s="205"/>
      <c r="AQ324" s="197"/>
      <c r="AR324" s="13">
        <f t="shared" si="161"/>
        <v>3.2400000000000001E-5</v>
      </c>
      <c r="AS324" s="13">
        <f t="shared" si="162"/>
        <v>0</v>
      </c>
      <c r="AT324" s="13"/>
      <c r="AU324" s="160">
        <v>329</v>
      </c>
      <c r="AV324" s="191">
        <f t="shared" si="146"/>
        <v>8.1999999999999994E-6</v>
      </c>
      <c r="AW324" s="160">
        <f t="shared" si="163"/>
        <v>0</v>
      </c>
      <c r="AX324" s="219">
        <f t="shared" si="164"/>
        <v>3.2400000000000001E-5</v>
      </c>
      <c r="AY324" s="13">
        <f t="shared" si="167"/>
        <v>0</v>
      </c>
      <c r="AZ324" s="160">
        <v>329</v>
      </c>
      <c r="BA324" s="77">
        <f t="shared" si="147"/>
        <v>6.7999999999999993E-6</v>
      </c>
      <c r="BB324" s="192">
        <f t="shared" si="165"/>
        <v>0</v>
      </c>
      <c r="BC324" s="219">
        <f t="shared" si="168"/>
        <v>3.2400000000000001E-5</v>
      </c>
      <c r="BD324" s="13">
        <f t="shared" si="169"/>
        <v>0</v>
      </c>
      <c r="BE324" s="160">
        <v>329</v>
      </c>
      <c r="BF324" s="77">
        <f t="shared" si="148"/>
        <v>6.7999999999999993E-6</v>
      </c>
      <c r="BG324" s="192">
        <f t="shared" si="166"/>
        <v>0</v>
      </c>
      <c r="BI324" s="120"/>
      <c r="BJ324" s="120"/>
      <c r="BK324" s="160"/>
      <c r="BL324" s="160"/>
      <c r="BM324" s="161" t="str">
        <f t="shared" si="150"/>
        <v/>
      </c>
      <c r="BN324" s="161" t="str">
        <f t="shared" si="170"/>
        <v/>
      </c>
      <c r="BO324" s="161" t="str">
        <f t="shared" si="171"/>
        <v/>
      </c>
      <c r="BP324" s="161" t="str">
        <f t="shared" si="172"/>
        <v/>
      </c>
      <c r="BQ324" s="161" t="str">
        <f t="shared" si="173"/>
        <v/>
      </c>
      <c r="BR324" s="161" t="str">
        <f t="shared" si="152"/>
        <v/>
      </c>
      <c r="BS324" s="161" t="str">
        <f t="shared" si="174"/>
        <v/>
      </c>
      <c r="BT324" s="161" t="str">
        <f t="shared" si="175"/>
        <v/>
      </c>
      <c r="BU324" s="161" t="str">
        <f t="shared" si="153"/>
        <v/>
      </c>
      <c r="BV324" s="161" t="str">
        <f t="shared" si="176"/>
        <v/>
      </c>
      <c r="BW324" s="161" t="str">
        <f t="shared" si="177"/>
        <v/>
      </c>
      <c r="BX324" s="161" t="str">
        <f t="shared" si="178"/>
        <v/>
      </c>
      <c r="BY324" s="148"/>
      <c r="BZ324" s="148"/>
      <c r="CA324" s="148"/>
      <c r="CB324" s="148" t="s">
        <v>149</v>
      </c>
      <c r="CC324" s="148"/>
    </row>
    <row r="325" spans="1:81" ht="14.25" customHeight="1" thickBot="1">
      <c r="A325" s="190">
        <v>315</v>
      </c>
      <c r="B325" s="78"/>
      <c r="C325" s="181"/>
      <c r="D325" s="86"/>
      <c r="E325" s="92" t="s">
        <v>29</v>
      </c>
      <c r="F325" s="88"/>
      <c r="G325" s="93"/>
      <c r="H325" s="93"/>
      <c r="I325" s="93"/>
      <c r="J325" s="93"/>
      <c r="K325" s="81">
        <f t="shared" si="158"/>
        <v>0</v>
      </c>
      <c r="L325" s="88"/>
      <c r="M325" s="85"/>
      <c r="N325" s="337"/>
      <c r="O325" s="343" t="s">
        <v>65</v>
      </c>
      <c r="P325" s="88"/>
      <c r="Q325" s="93"/>
      <c r="R325" s="93"/>
      <c r="S325" s="89"/>
      <c r="T325" s="93"/>
      <c r="U325" s="212">
        <f t="shared" si="159"/>
        <v>0</v>
      </c>
      <c r="V325" s="281"/>
      <c r="W325" s="282"/>
      <c r="X325" s="352"/>
      <c r="Y325" s="210" t="s">
        <v>85</v>
      </c>
      <c r="Z325" s="72"/>
      <c r="AA325" s="323"/>
      <c r="AB325" s="323"/>
      <c r="AC325" s="324"/>
      <c r="AD325" s="93"/>
      <c r="AE325" s="81">
        <f t="shared" si="160"/>
        <v>0</v>
      </c>
      <c r="AF325" s="72"/>
      <c r="AG325" s="324"/>
      <c r="AH325" s="361"/>
      <c r="AI325" s="98"/>
      <c r="AJ325" s="95"/>
      <c r="AK325" s="215"/>
      <c r="AL325" s="206"/>
      <c r="AM325" s="83"/>
      <c r="AN325" s="206"/>
      <c r="AO325" s="83"/>
      <c r="AP325" s="206"/>
      <c r="AQ325" s="83"/>
      <c r="AR325" s="13">
        <f t="shared" si="161"/>
        <v>3.2499999999999997E-5</v>
      </c>
      <c r="AS325" s="13">
        <f t="shared" si="162"/>
        <v>0</v>
      </c>
      <c r="AT325" s="13"/>
      <c r="AU325" s="160">
        <v>330</v>
      </c>
      <c r="AV325" s="191">
        <f t="shared" si="146"/>
        <v>8.1000000000000004E-6</v>
      </c>
      <c r="AW325" s="160">
        <f t="shared" si="163"/>
        <v>0</v>
      </c>
      <c r="AX325" s="219">
        <f t="shared" si="164"/>
        <v>3.2499999999999997E-5</v>
      </c>
      <c r="AY325" s="13">
        <f t="shared" si="167"/>
        <v>0</v>
      </c>
      <c r="AZ325" s="160">
        <v>330</v>
      </c>
      <c r="BA325" s="77">
        <f t="shared" si="147"/>
        <v>6.6999999999999994E-6</v>
      </c>
      <c r="BB325" s="192">
        <f t="shared" si="165"/>
        <v>0</v>
      </c>
      <c r="BC325" s="219">
        <f t="shared" si="168"/>
        <v>3.2499999999999997E-5</v>
      </c>
      <c r="BD325" s="13">
        <f t="shared" si="169"/>
        <v>0</v>
      </c>
      <c r="BE325" s="160">
        <v>330</v>
      </c>
      <c r="BF325" s="77">
        <f t="shared" si="148"/>
        <v>6.6999999999999994E-6</v>
      </c>
      <c r="BG325" s="192">
        <f t="shared" si="166"/>
        <v>0</v>
      </c>
      <c r="BI325" s="120"/>
      <c r="BJ325" s="120"/>
      <c r="BK325" s="160"/>
      <c r="BL325" s="160"/>
      <c r="BM325" s="161" t="str">
        <f t="shared" si="150"/>
        <v/>
      </c>
      <c r="BN325" s="161" t="str">
        <f t="shared" si="170"/>
        <v/>
      </c>
      <c r="BO325" s="161" t="str">
        <f t="shared" si="171"/>
        <v/>
      </c>
      <c r="BP325" s="161" t="str">
        <f t="shared" si="172"/>
        <v/>
      </c>
      <c r="BQ325" s="161" t="str">
        <f t="shared" si="173"/>
        <v/>
      </c>
      <c r="BR325" s="161" t="str">
        <f t="shared" si="152"/>
        <v/>
      </c>
      <c r="BS325" s="161" t="str">
        <f t="shared" si="174"/>
        <v/>
      </c>
      <c r="BT325" s="161" t="str">
        <f t="shared" si="175"/>
        <v/>
      </c>
      <c r="BU325" s="161" t="str">
        <f t="shared" si="153"/>
        <v/>
      </c>
      <c r="BV325" s="161" t="str">
        <f t="shared" si="176"/>
        <v/>
      </c>
      <c r="BW325" s="161" t="str">
        <f t="shared" si="177"/>
        <v/>
      </c>
      <c r="BX325" s="161" t="str">
        <f t="shared" si="178"/>
        <v/>
      </c>
      <c r="BY325" s="148"/>
      <c r="BZ325" s="148"/>
      <c r="CA325" s="148"/>
      <c r="CB325" s="148" t="s">
        <v>149</v>
      </c>
      <c r="CC325" s="148"/>
    </row>
    <row r="326" spans="1:81" ht="14.25" customHeight="1" thickBot="1">
      <c r="A326" s="190">
        <v>316</v>
      </c>
      <c r="B326" s="79"/>
      <c r="C326" s="179"/>
      <c r="D326" s="137"/>
      <c r="E326" s="198" t="s">
        <v>29</v>
      </c>
      <c r="F326" s="199"/>
      <c r="G326" s="200"/>
      <c r="H326" s="200"/>
      <c r="I326" s="200"/>
      <c r="J326" s="200"/>
      <c r="K326" s="201">
        <f t="shared" si="158"/>
        <v>0</v>
      </c>
      <c r="L326" s="189"/>
      <c r="M326" s="84"/>
      <c r="N326" s="335"/>
      <c r="O326" s="341" t="s">
        <v>65</v>
      </c>
      <c r="P326" s="189"/>
      <c r="Q326" s="326"/>
      <c r="R326" s="326"/>
      <c r="S326" s="87"/>
      <c r="T326" s="207"/>
      <c r="U326" s="225">
        <f t="shared" si="159"/>
        <v>0</v>
      </c>
      <c r="V326" s="277"/>
      <c r="W326" s="278"/>
      <c r="X326" s="350"/>
      <c r="Y326" s="208" t="s">
        <v>147</v>
      </c>
      <c r="Z326" s="11"/>
      <c r="AA326" s="207"/>
      <c r="AB326" s="207"/>
      <c r="AC326" s="3"/>
      <c r="AD326" s="207"/>
      <c r="AE326" s="226">
        <f t="shared" si="160"/>
        <v>0</v>
      </c>
      <c r="AF326" s="11"/>
      <c r="AG326" s="3"/>
      <c r="AH326" s="359"/>
      <c r="AI326" s="96"/>
      <c r="AJ326" s="94"/>
      <c r="AK326" s="214"/>
      <c r="AL326" s="213"/>
      <c r="AM326" s="82"/>
      <c r="AN326" s="213"/>
      <c r="AO326" s="82"/>
      <c r="AP326" s="213"/>
      <c r="AQ326" s="82"/>
      <c r="AR326" s="13">
        <f t="shared" si="161"/>
        <v>3.26E-5</v>
      </c>
      <c r="AS326" s="13">
        <f t="shared" si="162"/>
        <v>0</v>
      </c>
      <c r="AT326" s="13"/>
      <c r="AU326" s="160">
        <v>331</v>
      </c>
      <c r="AV326" s="191">
        <f t="shared" si="146"/>
        <v>7.9999999999999996E-6</v>
      </c>
      <c r="AW326" s="160">
        <f t="shared" si="163"/>
        <v>0</v>
      </c>
      <c r="AX326" s="219">
        <f t="shared" si="164"/>
        <v>3.26E-5</v>
      </c>
      <c r="AY326" s="13">
        <f t="shared" si="167"/>
        <v>0</v>
      </c>
      <c r="AZ326" s="160">
        <v>331</v>
      </c>
      <c r="BA326" s="77">
        <f t="shared" si="147"/>
        <v>6.5999999999999995E-6</v>
      </c>
      <c r="BB326" s="192">
        <f t="shared" si="165"/>
        <v>0</v>
      </c>
      <c r="BC326" s="219">
        <f t="shared" si="168"/>
        <v>3.26E-5</v>
      </c>
      <c r="BD326" s="13">
        <f t="shared" si="169"/>
        <v>0</v>
      </c>
      <c r="BE326" s="160">
        <v>331</v>
      </c>
      <c r="BF326" s="77">
        <f t="shared" si="148"/>
        <v>6.5999999999999995E-6</v>
      </c>
      <c r="BG326" s="192">
        <f t="shared" si="166"/>
        <v>0</v>
      </c>
      <c r="BI326" s="120"/>
      <c r="BJ326" s="120"/>
      <c r="BK326" s="160"/>
      <c r="BL326" s="160"/>
      <c r="BM326" s="161" t="str">
        <f t="shared" si="150"/>
        <v/>
      </c>
      <c r="BN326" s="161" t="str">
        <f t="shared" si="170"/>
        <v/>
      </c>
      <c r="BO326" s="161" t="str">
        <f t="shared" si="171"/>
        <v/>
      </c>
      <c r="BP326" s="161" t="str">
        <f t="shared" si="172"/>
        <v/>
      </c>
      <c r="BQ326" s="161" t="str">
        <f t="shared" si="173"/>
        <v/>
      </c>
      <c r="BR326" s="161" t="str">
        <f t="shared" si="152"/>
        <v/>
      </c>
      <c r="BS326" s="161" t="str">
        <f t="shared" si="174"/>
        <v/>
      </c>
      <c r="BT326" s="161" t="str">
        <f t="shared" si="175"/>
        <v/>
      </c>
      <c r="BU326" s="161" t="str">
        <f t="shared" si="153"/>
        <v/>
      </c>
      <c r="BV326" s="161" t="str">
        <f t="shared" si="176"/>
        <v/>
      </c>
      <c r="BW326" s="161" t="str">
        <f t="shared" si="177"/>
        <v/>
      </c>
      <c r="BX326" s="161" t="str">
        <f t="shared" si="178"/>
        <v/>
      </c>
      <c r="BY326" s="148"/>
      <c r="BZ326" s="148"/>
      <c r="CA326" s="148"/>
      <c r="CB326" s="148" t="s">
        <v>149</v>
      </c>
      <c r="CC326" s="148"/>
    </row>
    <row r="327" spans="1:81" ht="14.25" customHeight="1" thickBot="1">
      <c r="A327" s="190">
        <v>317</v>
      </c>
      <c r="B327" s="196"/>
      <c r="C327" s="180"/>
      <c r="D327" s="136"/>
      <c r="E327" s="91" t="s">
        <v>29</v>
      </c>
      <c r="F327" s="187"/>
      <c r="G327" s="188"/>
      <c r="H327" s="188"/>
      <c r="I327" s="188"/>
      <c r="J327" s="188"/>
      <c r="K327" s="18">
        <f t="shared" si="158"/>
        <v>0</v>
      </c>
      <c r="L327" s="187"/>
      <c r="M327" s="118"/>
      <c r="N327" s="336"/>
      <c r="O327" s="342" t="s">
        <v>65</v>
      </c>
      <c r="P327" s="187"/>
      <c r="Q327" s="188"/>
      <c r="R327" s="188"/>
      <c r="S327" s="119"/>
      <c r="T327" s="188"/>
      <c r="U327" s="211">
        <f t="shared" si="159"/>
        <v>0</v>
      </c>
      <c r="V327" s="279"/>
      <c r="W327" s="280"/>
      <c r="X327" s="351"/>
      <c r="Y327" s="209" t="s">
        <v>85</v>
      </c>
      <c r="Z327" s="71"/>
      <c r="AA327" s="321"/>
      <c r="AB327" s="321"/>
      <c r="AC327" s="322"/>
      <c r="AD327" s="188"/>
      <c r="AE327" s="18">
        <f t="shared" si="160"/>
        <v>0</v>
      </c>
      <c r="AF327" s="71"/>
      <c r="AG327" s="322"/>
      <c r="AH327" s="360"/>
      <c r="AI327" s="97"/>
      <c r="AJ327" s="194"/>
      <c r="AK327" s="193"/>
      <c r="AL327" s="205"/>
      <c r="AM327" s="197"/>
      <c r="AN327" s="205"/>
      <c r="AO327" s="197"/>
      <c r="AP327" s="205"/>
      <c r="AQ327" s="197"/>
      <c r="AR327" s="13">
        <f t="shared" si="161"/>
        <v>3.2699999999999995E-5</v>
      </c>
      <c r="AS327" s="13">
        <f t="shared" si="162"/>
        <v>0</v>
      </c>
      <c r="AT327" s="13"/>
      <c r="AU327" s="160">
        <v>332</v>
      </c>
      <c r="AV327" s="191">
        <f t="shared" si="146"/>
        <v>7.8999999999999989E-6</v>
      </c>
      <c r="AW327" s="160">
        <f t="shared" si="163"/>
        <v>0</v>
      </c>
      <c r="AX327" s="219">
        <f t="shared" si="164"/>
        <v>3.2699999999999995E-5</v>
      </c>
      <c r="AY327" s="13">
        <f t="shared" si="167"/>
        <v>0</v>
      </c>
      <c r="AZ327" s="160">
        <v>332</v>
      </c>
      <c r="BA327" s="77">
        <f t="shared" si="147"/>
        <v>6.4999999999999996E-6</v>
      </c>
      <c r="BB327" s="192">
        <f t="shared" si="165"/>
        <v>0</v>
      </c>
      <c r="BC327" s="219">
        <f t="shared" si="168"/>
        <v>3.2699999999999995E-5</v>
      </c>
      <c r="BD327" s="13">
        <f t="shared" si="169"/>
        <v>0</v>
      </c>
      <c r="BE327" s="160">
        <v>332</v>
      </c>
      <c r="BF327" s="77">
        <f t="shared" si="148"/>
        <v>6.4999999999999996E-6</v>
      </c>
      <c r="BG327" s="192">
        <f t="shared" si="166"/>
        <v>0</v>
      </c>
      <c r="BI327" s="120"/>
      <c r="BJ327" s="120"/>
      <c r="BK327" s="160"/>
      <c r="BL327" s="160"/>
      <c r="BM327" s="161" t="str">
        <f t="shared" si="150"/>
        <v/>
      </c>
      <c r="BN327" s="161" t="str">
        <f t="shared" si="170"/>
        <v/>
      </c>
      <c r="BO327" s="161" t="str">
        <f t="shared" si="171"/>
        <v/>
      </c>
      <c r="BP327" s="161" t="str">
        <f t="shared" si="172"/>
        <v/>
      </c>
      <c r="BQ327" s="161" t="str">
        <f t="shared" si="173"/>
        <v/>
      </c>
      <c r="BR327" s="161" t="str">
        <f t="shared" si="152"/>
        <v/>
      </c>
      <c r="BS327" s="161" t="str">
        <f t="shared" si="174"/>
        <v/>
      </c>
      <c r="BT327" s="161" t="str">
        <f t="shared" si="175"/>
        <v/>
      </c>
      <c r="BU327" s="161" t="str">
        <f t="shared" si="153"/>
        <v/>
      </c>
      <c r="BV327" s="161" t="str">
        <f t="shared" si="176"/>
        <v/>
      </c>
      <c r="BW327" s="161" t="str">
        <f t="shared" si="177"/>
        <v/>
      </c>
      <c r="BX327" s="161" t="str">
        <f t="shared" si="178"/>
        <v/>
      </c>
      <c r="BY327" s="148"/>
      <c r="BZ327" s="148"/>
      <c r="CA327" s="148"/>
      <c r="CB327" s="148" t="s">
        <v>149</v>
      </c>
      <c r="CC327" s="148"/>
    </row>
    <row r="328" spans="1:81" ht="14.25" customHeight="1" thickBot="1">
      <c r="A328" s="190">
        <v>318</v>
      </c>
      <c r="B328" s="78"/>
      <c r="C328" s="181"/>
      <c r="D328" s="86"/>
      <c r="E328" s="92" t="s">
        <v>29</v>
      </c>
      <c r="F328" s="88"/>
      <c r="G328" s="93"/>
      <c r="H328" s="93"/>
      <c r="I328" s="93"/>
      <c r="J328" s="93"/>
      <c r="K328" s="81">
        <f t="shared" si="158"/>
        <v>0</v>
      </c>
      <c r="L328" s="88"/>
      <c r="M328" s="85"/>
      <c r="N328" s="337"/>
      <c r="O328" s="343" t="s">
        <v>65</v>
      </c>
      <c r="P328" s="88"/>
      <c r="Q328" s="93"/>
      <c r="R328" s="93"/>
      <c r="S328" s="89"/>
      <c r="T328" s="93"/>
      <c r="U328" s="212">
        <f t="shared" si="159"/>
        <v>0</v>
      </c>
      <c r="V328" s="281"/>
      <c r="W328" s="282"/>
      <c r="X328" s="352"/>
      <c r="Y328" s="210" t="s">
        <v>85</v>
      </c>
      <c r="Z328" s="72"/>
      <c r="AA328" s="323"/>
      <c r="AB328" s="323"/>
      <c r="AC328" s="324"/>
      <c r="AD328" s="93"/>
      <c r="AE328" s="81">
        <f t="shared" si="160"/>
        <v>0</v>
      </c>
      <c r="AF328" s="72"/>
      <c r="AG328" s="324"/>
      <c r="AH328" s="361"/>
      <c r="AI328" s="98"/>
      <c r="AJ328" s="95"/>
      <c r="AK328" s="215"/>
      <c r="AL328" s="206"/>
      <c r="AM328" s="83"/>
      <c r="AN328" s="206"/>
      <c r="AO328" s="83"/>
      <c r="AP328" s="206"/>
      <c r="AQ328" s="83"/>
      <c r="AR328" s="13">
        <f t="shared" si="161"/>
        <v>3.2799999999999998E-5</v>
      </c>
      <c r="AS328" s="13">
        <f t="shared" si="162"/>
        <v>0</v>
      </c>
      <c r="AT328" s="13"/>
      <c r="AU328" s="160">
        <v>333</v>
      </c>
      <c r="AV328" s="191">
        <f t="shared" si="146"/>
        <v>7.7999999999999999E-6</v>
      </c>
      <c r="AW328" s="160">
        <f t="shared" si="163"/>
        <v>0</v>
      </c>
      <c r="AX328" s="219">
        <f t="shared" si="164"/>
        <v>3.2799999999999998E-5</v>
      </c>
      <c r="AY328" s="13">
        <f t="shared" si="167"/>
        <v>0</v>
      </c>
      <c r="AZ328" s="160">
        <v>333</v>
      </c>
      <c r="BA328" s="77">
        <f t="shared" si="147"/>
        <v>6.3999999999999997E-6</v>
      </c>
      <c r="BB328" s="192">
        <f t="shared" si="165"/>
        <v>0</v>
      </c>
      <c r="BC328" s="219">
        <f t="shared" si="168"/>
        <v>3.2799999999999998E-5</v>
      </c>
      <c r="BD328" s="13">
        <f t="shared" si="169"/>
        <v>0</v>
      </c>
      <c r="BE328" s="160">
        <v>333</v>
      </c>
      <c r="BF328" s="77">
        <f t="shared" si="148"/>
        <v>6.3999999999999997E-6</v>
      </c>
      <c r="BG328" s="192">
        <f t="shared" si="166"/>
        <v>0</v>
      </c>
      <c r="BI328" s="120"/>
      <c r="BJ328" s="120"/>
      <c r="BK328" s="160"/>
      <c r="BL328" s="160"/>
      <c r="BM328" s="161" t="str">
        <f t="shared" si="150"/>
        <v/>
      </c>
      <c r="BN328" s="161" t="str">
        <f t="shared" si="170"/>
        <v/>
      </c>
      <c r="BO328" s="161" t="str">
        <f t="shared" si="171"/>
        <v/>
      </c>
      <c r="BP328" s="161" t="str">
        <f t="shared" si="172"/>
        <v/>
      </c>
      <c r="BQ328" s="161" t="str">
        <f t="shared" si="173"/>
        <v/>
      </c>
      <c r="BR328" s="161" t="str">
        <f t="shared" si="152"/>
        <v/>
      </c>
      <c r="BS328" s="161" t="str">
        <f t="shared" si="174"/>
        <v/>
      </c>
      <c r="BT328" s="161" t="str">
        <f t="shared" si="175"/>
        <v/>
      </c>
      <c r="BU328" s="161" t="str">
        <f t="shared" si="153"/>
        <v/>
      </c>
      <c r="BV328" s="161" t="str">
        <f t="shared" si="176"/>
        <v/>
      </c>
      <c r="BW328" s="161" t="str">
        <f t="shared" si="177"/>
        <v/>
      </c>
      <c r="BX328" s="161" t="str">
        <f t="shared" si="178"/>
        <v/>
      </c>
      <c r="BY328" s="148"/>
      <c r="BZ328" s="148"/>
      <c r="CA328" s="148"/>
      <c r="CB328" s="148" t="s">
        <v>149</v>
      </c>
      <c r="CC328" s="148"/>
    </row>
    <row r="329" spans="1:81" ht="14.25" customHeight="1" thickBot="1">
      <c r="A329" s="190">
        <v>319</v>
      </c>
      <c r="B329" s="79"/>
      <c r="C329" s="179"/>
      <c r="D329" s="137"/>
      <c r="E329" s="198" t="s">
        <v>29</v>
      </c>
      <c r="F329" s="199"/>
      <c r="G329" s="200"/>
      <c r="H329" s="200"/>
      <c r="I329" s="200"/>
      <c r="J329" s="200"/>
      <c r="K329" s="201">
        <f t="shared" si="158"/>
        <v>0</v>
      </c>
      <c r="L329" s="189"/>
      <c r="M329" s="84"/>
      <c r="N329" s="335"/>
      <c r="O329" s="341" t="s">
        <v>65</v>
      </c>
      <c r="P329" s="189"/>
      <c r="Q329" s="326"/>
      <c r="R329" s="326"/>
      <c r="S329" s="87"/>
      <c r="T329" s="207"/>
      <c r="U329" s="225">
        <f t="shared" si="159"/>
        <v>0</v>
      </c>
      <c r="V329" s="277"/>
      <c r="W329" s="278"/>
      <c r="X329" s="350"/>
      <c r="Y329" s="208" t="s">
        <v>147</v>
      </c>
      <c r="Z329" s="11"/>
      <c r="AA329" s="207"/>
      <c r="AB329" s="207"/>
      <c r="AC329" s="3"/>
      <c r="AD329" s="207"/>
      <c r="AE329" s="226">
        <f t="shared" si="160"/>
        <v>0</v>
      </c>
      <c r="AF329" s="11"/>
      <c r="AG329" s="3"/>
      <c r="AH329" s="359"/>
      <c r="AI329" s="96"/>
      <c r="AJ329" s="94"/>
      <c r="AK329" s="214"/>
      <c r="AL329" s="213"/>
      <c r="AM329" s="82"/>
      <c r="AN329" s="213"/>
      <c r="AO329" s="82"/>
      <c r="AP329" s="213"/>
      <c r="AQ329" s="82"/>
      <c r="AR329" s="13">
        <f t="shared" si="161"/>
        <v>3.29E-5</v>
      </c>
      <c r="AS329" s="13">
        <f t="shared" si="162"/>
        <v>0</v>
      </c>
      <c r="AT329" s="13"/>
      <c r="AU329" s="160">
        <v>334</v>
      </c>
      <c r="AV329" s="191">
        <f t="shared" si="146"/>
        <v>7.6999999999999991E-6</v>
      </c>
      <c r="AW329" s="160">
        <f t="shared" si="163"/>
        <v>0</v>
      </c>
      <c r="AX329" s="219">
        <f t="shared" si="164"/>
        <v>3.29E-5</v>
      </c>
      <c r="AY329" s="13">
        <f t="shared" si="167"/>
        <v>0</v>
      </c>
      <c r="AZ329" s="160">
        <v>334</v>
      </c>
      <c r="BA329" s="77">
        <f t="shared" si="147"/>
        <v>6.2999999999999998E-6</v>
      </c>
      <c r="BB329" s="192">
        <f t="shared" si="165"/>
        <v>0</v>
      </c>
      <c r="BC329" s="219">
        <f t="shared" si="168"/>
        <v>3.29E-5</v>
      </c>
      <c r="BD329" s="13">
        <f t="shared" si="169"/>
        <v>0</v>
      </c>
      <c r="BE329" s="160">
        <v>334</v>
      </c>
      <c r="BF329" s="77">
        <f t="shared" si="148"/>
        <v>6.2999999999999998E-6</v>
      </c>
      <c r="BG329" s="192">
        <f t="shared" si="166"/>
        <v>0</v>
      </c>
      <c r="BI329" s="120"/>
      <c r="BJ329" s="120"/>
      <c r="BK329" s="160"/>
      <c r="BL329" s="160"/>
      <c r="BM329" s="161" t="str">
        <f t="shared" si="150"/>
        <v/>
      </c>
      <c r="BN329" s="161" t="str">
        <f t="shared" si="170"/>
        <v/>
      </c>
      <c r="BO329" s="161" t="str">
        <f t="shared" si="171"/>
        <v/>
      </c>
      <c r="BP329" s="161" t="str">
        <f t="shared" si="172"/>
        <v/>
      </c>
      <c r="BQ329" s="161" t="str">
        <f t="shared" si="173"/>
        <v/>
      </c>
      <c r="BR329" s="161" t="str">
        <f t="shared" si="152"/>
        <v/>
      </c>
      <c r="BS329" s="161" t="str">
        <f t="shared" si="174"/>
        <v/>
      </c>
      <c r="BT329" s="161" t="str">
        <f t="shared" si="175"/>
        <v/>
      </c>
      <c r="BU329" s="161" t="str">
        <f t="shared" si="153"/>
        <v/>
      </c>
      <c r="BV329" s="161" t="str">
        <f t="shared" si="176"/>
        <v/>
      </c>
      <c r="BW329" s="161" t="str">
        <f t="shared" si="177"/>
        <v/>
      </c>
      <c r="BX329" s="161" t="str">
        <f t="shared" si="178"/>
        <v/>
      </c>
      <c r="BY329" s="148"/>
      <c r="BZ329" s="148"/>
      <c r="CA329" s="148"/>
      <c r="CB329" s="148" t="s">
        <v>149</v>
      </c>
      <c r="CC329" s="148"/>
    </row>
    <row r="330" spans="1:81" ht="14.25" customHeight="1" thickBot="1">
      <c r="A330" s="190">
        <v>320</v>
      </c>
      <c r="B330" s="196"/>
      <c r="C330" s="180"/>
      <c r="D330" s="136"/>
      <c r="E330" s="91" t="s">
        <v>29</v>
      </c>
      <c r="F330" s="187"/>
      <c r="G330" s="188"/>
      <c r="H330" s="188"/>
      <c r="I330" s="188"/>
      <c r="J330" s="188"/>
      <c r="K330" s="18">
        <f t="shared" si="158"/>
        <v>0</v>
      </c>
      <c r="L330" s="187"/>
      <c r="M330" s="118"/>
      <c r="N330" s="336"/>
      <c r="O330" s="342" t="s">
        <v>65</v>
      </c>
      <c r="P330" s="187"/>
      <c r="Q330" s="188"/>
      <c r="R330" s="188"/>
      <c r="S330" s="119"/>
      <c r="T330" s="188"/>
      <c r="U330" s="211">
        <f t="shared" si="159"/>
        <v>0</v>
      </c>
      <c r="V330" s="279"/>
      <c r="W330" s="280"/>
      <c r="X330" s="351"/>
      <c r="Y330" s="209" t="s">
        <v>85</v>
      </c>
      <c r="Z330" s="71"/>
      <c r="AA330" s="321"/>
      <c r="AB330" s="321"/>
      <c r="AC330" s="322"/>
      <c r="AD330" s="188"/>
      <c r="AE330" s="18">
        <f t="shared" si="160"/>
        <v>0</v>
      </c>
      <c r="AF330" s="71"/>
      <c r="AG330" s="322"/>
      <c r="AH330" s="360"/>
      <c r="AI330" s="97"/>
      <c r="AJ330" s="194"/>
      <c r="AK330" s="193"/>
      <c r="AL330" s="205"/>
      <c r="AM330" s="197"/>
      <c r="AN330" s="205"/>
      <c r="AO330" s="197"/>
      <c r="AP330" s="205"/>
      <c r="AQ330" s="197"/>
      <c r="AR330" s="13">
        <f t="shared" si="161"/>
        <v>3.2999999999999996E-5</v>
      </c>
      <c r="AS330" s="13">
        <f t="shared" si="162"/>
        <v>0</v>
      </c>
      <c r="AT330" s="13"/>
      <c r="AU330" s="160">
        <v>335</v>
      </c>
      <c r="AV330" s="191">
        <f t="shared" si="146"/>
        <v>7.6000000000000001E-6</v>
      </c>
      <c r="AW330" s="160">
        <f t="shared" si="163"/>
        <v>0</v>
      </c>
      <c r="AX330" s="219">
        <f t="shared" si="164"/>
        <v>3.2999999999999996E-5</v>
      </c>
      <c r="AY330" s="13">
        <f t="shared" si="167"/>
        <v>0</v>
      </c>
      <c r="AZ330" s="160">
        <v>335</v>
      </c>
      <c r="BA330" s="77">
        <f t="shared" si="147"/>
        <v>6.1999999999999999E-6</v>
      </c>
      <c r="BB330" s="192">
        <f t="shared" si="165"/>
        <v>0</v>
      </c>
      <c r="BC330" s="219">
        <f t="shared" si="168"/>
        <v>3.2999999999999996E-5</v>
      </c>
      <c r="BD330" s="13">
        <f t="shared" si="169"/>
        <v>0</v>
      </c>
      <c r="BE330" s="160">
        <v>335</v>
      </c>
      <c r="BF330" s="77">
        <f t="shared" si="148"/>
        <v>6.1999999999999999E-6</v>
      </c>
      <c r="BG330" s="192">
        <f t="shared" si="166"/>
        <v>0</v>
      </c>
      <c r="BI330" s="120"/>
      <c r="BJ330" s="120"/>
      <c r="BK330" s="160"/>
      <c r="BL330" s="160"/>
      <c r="BM330" s="161" t="str">
        <f t="shared" si="150"/>
        <v/>
      </c>
      <c r="BN330" s="161" t="str">
        <f t="shared" si="170"/>
        <v/>
      </c>
      <c r="BO330" s="161" t="str">
        <f t="shared" si="171"/>
        <v/>
      </c>
      <c r="BP330" s="161" t="str">
        <f t="shared" si="172"/>
        <v/>
      </c>
      <c r="BQ330" s="161" t="str">
        <f t="shared" si="173"/>
        <v/>
      </c>
      <c r="BR330" s="161" t="str">
        <f t="shared" si="152"/>
        <v/>
      </c>
      <c r="BS330" s="161" t="str">
        <f t="shared" si="174"/>
        <v/>
      </c>
      <c r="BT330" s="161" t="str">
        <f t="shared" si="175"/>
        <v/>
      </c>
      <c r="BU330" s="161" t="str">
        <f t="shared" si="153"/>
        <v/>
      </c>
      <c r="BV330" s="161" t="str">
        <f t="shared" si="176"/>
        <v/>
      </c>
      <c r="BW330" s="161" t="str">
        <f t="shared" si="177"/>
        <v/>
      </c>
      <c r="BX330" s="161" t="str">
        <f t="shared" si="178"/>
        <v/>
      </c>
      <c r="BY330" s="148"/>
      <c r="BZ330" s="148"/>
      <c r="CA330" s="148"/>
      <c r="CB330" s="148" t="s">
        <v>149</v>
      </c>
      <c r="CC330" s="148"/>
    </row>
    <row r="331" spans="1:81" ht="14.25" customHeight="1" thickBot="1">
      <c r="A331" s="190">
        <v>321</v>
      </c>
      <c r="B331" s="78"/>
      <c r="C331" s="181"/>
      <c r="D331" s="86"/>
      <c r="E331" s="92" t="s">
        <v>29</v>
      </c>
      <c r="F331" s="88"/>
      <c r="G331" s="93"/>
      <c r="H331" s="93"/>
      <c r="I331" s="93"/>
      <c r="J331" s="93"/>
      <c r="K331" s="81">
        <f t="shared" si="158"/>
        <v>0</v>
      </c>
      <c r="L331" s="88"/>
      <c r="M331" s="85"/>
      <c r="N331" s="337"/>
      <c r="O331" s="343" t="s">
        <v>65</v>
      </c>
      <c r="P331" s="88"/>
      <c r="Q331" s="93"/>
      <c r="R331" s="93"/>
      <c r="S331" s="89"/>
      <c r="T331" s="93"/>
      <c r="U331" s="212">
        <f t="shared" si="159"/>
        <v>0</v>
      </c>
      <c r="V331" s="281"/>
      <c r="W331" s="282"/>
      <c r="X331" s="352"/>
      <c r="Y331" s="210" t="s">
        <v>85</v>
      </c>
      <c r="Z331" s="72"/>
      <c r="AA331" s="323"/>
      <c r="AB331" s="323"/>
      <c r="AC331" s="324"/>
      <c r="AD331" s="93"/>
      <c r="AE331" s="81">
        <f t="shared" si="160"/>
        <v>0</v>
      </c>
      <c r="AF331" s="72"/>
      <c r="AG331" s="324"/>
      <c r="AH331" s="361"/>
      <c r="AI331" s="98"/>
      <c r="AJ331" s="95"/>
      <c r="AK331" s="215"/>
      <c r="AL331" s="206"/>
      <c r="AM331" s="83"/>
      <c r="AN331" s="206"/>
      <c r="AO331" s="83"/>
      <c r="AP331" s="206"/>
      <c r="AQ331" s="83"/>
      <c r="AR331" s="13">
        <f t="shared" si="161"/>
        <v>3.3099999999999998E-5</v>
      </c>
      <c r="AS331" s="13">
        <f t="shared" si="162"/>
        <v>0</v>
      </c>
      <c r="AT331" s="13"/>
      <c r="AU331" s="160">
        <v>336</v>
      </c>
      <c r="AV331" s="191">
        <f t="shared" ref="AV331:AV394" si="179">IFERROR(LARGE($AR$11:$AR$396,AU331),"")</f>
        <v>7.4999999999999993E-6</v>
      </c>
      <c r="AW331" s="160">
        <f t="shared" si="163"/>
        <v>0</v>
      </c>
      <c r="AX331" s="219">
        <f t="shared" si="164"/>
        <v>3.3099999999999998E-5</v>
      </c>
      <c r="AY331" s="13">
        <f t="shared" si="167"/>
        <v>0</v>
      </c>
      <c r="AZ331" s="160">
        <v>336</v>
      </c>
      <c r="BA331" s="77">
        <f t="shared" ref="BA331:BA394" si="180">IFERROR(LARGE($AX$11:$AX$396,AZ331),"")</f>
        <v>6.1E-6</v>
      </c>
      <c r="BB331" s="192">
        <f t="shared" si="165"/>
        <v>0</v>
      </c>
      <c r="BC331" s="219">
        <f t="shared" si="168"/>
        <v>3.3099999999999998E-5</v>
      </c>
      <c r="BD331" s="13">
        <f t="shared" si="169"/>
        <v>0</v>
      </c>
      <c r="BE331" s="160">
        <v>336</v>
      </c>
      <c r="BF331" s="77">
        <f t="shared" ref="BF331:BF394" si="181">IFERROR(LARGE($BC$11:$BC$396,BE331),"")</f>
        <v>6.1E-6</v>
      </c>
      <c r="BG331" s="192">
        <f t="shared" si="166"/>
        <v>0</v>
      </c>
      <c r="BI331" s="120"/>
      <c r="BJ331" s="120"/>
      <c r="BK331" s="160"/>
      <c r="BL331" s="160"/>
      <c r="BM331" s="161" t="str">
        <f t="shared" si="150"/>
        <v/>
      </c>
      <c r="BN331" s="161" t="str">
        <f t="shared" si="170"/>
        <v/>
      </c>
      <c r="BO331" s="161" t="str">
        <f t="shared" si="171"/>
        <v/>
      </c>
      <c r="BP331" s="161" t="str">
        <f t="shared" si="172"/>
        <v/>
      </c>
      <c r="BQ331" s="161" t="str">
        <f t="shared" si="173"/>
        <v/>
      </c>
      <c r="BR331" s="161" t="str">
        <f t="shared" ref="BR331:BR380" si="182">MID($BK331,7,1)</f>
        <v/>
      </c>
      <c r="BS331" s="161" t="str">
        <f t="shared" si="174"/>
        <v/>
      </c>
      <c r="BT331" s="161" t="str">
        <f t="shared" si="175"/>
        <v/>
      </c>
      <c r="BU331" s="161" t="str">
        <f t="shared" si="153"/>
        <v/>
      </c>
      <c r="BV331" s="161" t="str">
        <f t="shared" si="176"/>
        <v/>
      </c>
      <c r="BW331" s="161" t="str">
        <f t="shared" si="177"/>
        <v/>
      </c>
      <c r="BX331" s="161" t="str">
        <f t="shared" si="178"/>
        <v/>
      </c>
      <c r="BY331" s="148"/>
      <c r="BZ331" s="148"/>
      <c r="CA331" s="148"/>
      <c r="CB331" s="148" t="s">
        <v>149</v>
      </c>
      <c r="CC331" s="148"/>
    </row>
    <row r="332" spans="1:81" ht="14.25" customHeight="1" thickBot="1">
      <c r="A332" s="190">
        <v>322</v>
      </c>
      <c r="B332" s="79"/>
      <c r="C332" s="179"/>
      <c r="D332" s="137"/>
      <c r="E332" s="198" t="s">
        <v>29</v>
      </c>
      <c r="F332" s="199"/>
      <c r="G332" s="200"/>
      <c r="H332" s="200"/>
      <c r="I332" s="200"/>
      <c r="J332" s="200"/>
      <c r="K332" s="201">
        <f t="shared" si="158"/>
        <v>0</v>
      </c>
      <c r="L332" s="189"/>
      <c r="M332" s="84"/>
      <c r="N332" s="335"/>
      <c r="O332" s="341" t="s">
        <v>65</v>
      </c>
      <c r="P332" s="189"/>
      <c r="Q332" s="326"/>
      <c r="R332" s="326"/>
      <c r="S332" s="87"/>
      <c r="T332" s="207"/>
      <c r="U332" s="225">
        <f t="shared" si="159"/>
        <v>0</v>
      </c>
      <c r="V332" s="277"/>
      <c r="W332" s="278"/>
      <c r="X332" s="350"/>
      <c r="Y332" s="208" t="s">
        <v>147</v>
      </c>
      <c r="Z332" s="11"/>
      <c r="AA332" s="207"/>
      <c r="AB332" s="207"/>
      <c r="AC332" s="3"/>
      <c r="AD332" s="207"/>
      <c r="AE332" s="226">
        <f t="shared" si="160"/>
        <v>0</v>
      </c>
      <c r="AF332" s="11"/>
      <c r="AG332" s="3"/>
      <c r="AH332" s="359"/>
      <c r="AI332" s="96"/>
      <c r="AJ332" s="94"/>
      <c r="AK332" s="214"/>
      <c r="AL332" s="213"/>
      <c r="AM332" s="82"/>
      <c r="AN332" s="213"/>
      <c r="AO332" s="82"/>
      <c r="AP332" s="213"/>
      <c r="AQ332" s="82"/>
      <c r="AR332" s="13">
        <f t="shared" si="161"/>
        <v>3.3200000000000001E-5</v>
      </c>
      <c r="AS332" s="13">
        <f t="shared" si="162"/>
        <v>0</v>
      </c>
      <c r="AT332" s="13"/>
      <c r="AU332" s="160">
        <v>337</v>
      </c>
      <c r="AV332" s="191">
        <f t="shared" si="179"/>
        <v>7.3999999999999995E-6</v>
      </c>
      <c r="AW332" s="160">
        <f t="shared" si="163"/>
        <v>0</v>
      </c>
      <c r="AX332" s="219">
        <f t="shared" si="164"/>
        <v>3.3200000000000001E-5</v>
      </c>
      <c r="AY332" s="13">
        <f t="shared" si="167"/>
        <v>0</v>
      </c>
      <c r="AZ332" s="160">
        <v>337</v>
      </c>
      <c r="BA332" s="77">
        <f t="shared" si="180"/>
        <v>6.0000000000000002E-6</v>
      </c>
      <c r="BB332" s="192">
        <f t="shared" si="165"/>
        <v>0</v>
      </c>
      <c r="BC332" s="219">
        <f t="shared" si="168"/>
        <v>3.3200000000000001E-5</v>
      </c>
      <c r="BD332" s="13">
        <f t="shared" si="169"/>
        <v>0</v>
      </c>
      <c r="BE332" s="160">
        <v>337</v>
      </c>
      <c r="BF332" s="77">
        <f t="shared" si="181"/>
        <v>6.0000000000000002E-6</v>
      </c>
      <c r="BG332" s="192">
        <f t="shared" si="166"/>
        <v>0</v>
      </c>
      <c r="BI332" s="120"/>
      <c r="BJ332" s="120"/>
      <c r="BK332" s="160"/>
      <c r="BL332" s="160"/>
      <c r="BM332" s="161" t="str">
        <f t="shared" ref="BM332:BM385" si="183">MID($BK332,12,1)</f>
        <v/>
      </c>
      <c r="BN332" s="161" t="str">
        <f t="shared" si="170"/>
        <v/>
      </c>
      <c r="BO332" s="161" t="str">
        <f t="shared" si="171"/>
        <v/>
      </c>
      <c r="BP332" s="161" t="str">
        <f t="shared" si="172"/>
        <v/>
      </c>
      <c r="BQ332" s="161" t="str">
        <f t="shared" si="173"/>
        <v/>
      </c>
      <c r="BR332" s="161" t="str">
        <f t="shared" si="182"/>
        <v/>
      </c>
      <c r="BS332" s="161" t="str">
        <f t="shared" si="174"/>
        <v/>
      </c>
      <c r="BT332" s="161" t="str">
        <f t="shared" si="175"/>
        <v/>
      </c>
      <c r="BU332" s="161" t="str">
        <f t="shared" ref="BU332:BU375" si="184">MID($BK332,4,1)</f>
        <v/>
      </c>
      <c r="BV332" s="161" t="str">
        <f t="shared" si="176"/>
        <v/>
      </c>
      <c r="BW332" s="161" t="str">
        <f t="shared" si="177"/>
        <v/>
      </c>
      <c r="BX332" s="161" t="str">
        <f t="shared" si="178"/>
        <v/>
      </c>
      <c r="BY332" s="148"/>
      <c r="BZ332" s="148"/>
      <c r="CA332" s="148"/>
      <c r="CB332" s="148" t="s">
        <v>149</v>
      </c>
      <c r="CC332" s="148"/>
    </row>
    <row r="333" spans="1:81" ht="14.25" customHeight="1" thickBot="1">
      <c r="A333" s="190">
        <v>323</v>
      </c>
      <c r="B333" s="196"/>
      <c r="C333" s="180"/>
      <c r="D333" s="136"/>
      <c r="E333" s="91" t="s">
        <v>29</v>
      </c>
      <c r="F333" s="187"/>
      <c r="G333" s="188"/>
      <c r="H333" s="188"/>
      <c r="I333" s="188"/>
      <c r="J333" s="188"/>
      <c r="K333" s="18">
        <f t="shared" si="158"/>
        <v>0</v>
      </c>
      <c r="L333" s="187"/>
      <c r="M333" s="118"/>
      <c r="N333" s="336"/>
      <c r="O333" s="342" t="s">
        <v>65</v>
      </c>
      <c r="P333" s="187"/>
      <c r="Q333" s="188"/>
      <c r="R333" s="188"/>
      <c r="S333" s="119"/>
      <c r="T333" s="188"/>
      <c r="U333" s="211">
        <f t="shared" si="159"/>
        <v>0</v>
      </c>
      <c r="V333" s="279"/>
      <c r="W333" s="280"/>
      <c r="X333" s="351"/>
      <c r="Y333" s="209" t="s">
        <v>85</v>
      </c>
      <c r="Z333" s="71"/>
      <c r="AA333" s="321"/>
      <c r="AB333" s="321"/>
      <c r="AC333" s="322"/>
      <c r="AD333" s="188"/>
      <c r="AE333" s="18">
        <f t="shared" si="160"/>
        <v>0</v>
      </c>
      <c r="AF333" s="71"/>
      <c r="AG333" s="322"/>
      <c r="AH333" s="360"/>
      <c r="AI333" s="97"/>
      <c r="AJ333" s="194"/>
      <c r="AK333" s="193"/>
      <c r="AL333" s="205"/>
      <c r="AM333" s="197"/>
      <c r="AN333" s="205"/>
      <c r="AO333" s="197"/>
      <c r="AP333" s="205"/>
      <c r="AQ333" s="197"/>
      <c r="AR333" s="13">
        <f t="shared" si="161"/>
        <v>3.3299999999999996E-5</v>
      </c>
      <c r="AS333" s="13">
        <f t="shared" si="162"/>
        <v>0</v>
      </c>
      <c r="AT333" s="13"/>
      <c r="AU333" s="160">
        <v>338</v>
      </c>
      <c r="AV333" s="191">
        <f t="shared" si="179"/>
        <v>7.2999999999999996E-6</v>
      </c>
      <c r="AW333" s="160">
        <f t="shared" si="163"/>
        <v>0</v>
      </c>
      <c r="AX333" s="219">
        <f t="shared" si="164"/>
        <v>3.3299999999999996E-5</v>
      </c>
      <c r="AY333" s="13">
        <f t="shared" si="167"/>
        <v>0</v>
      </c>
      <c r="AZ333" s="160">
        <v>338</v>
      </c>
      <c r="BA333" s="77">
        <f t="shared" si="180"/>
        <v>5.8999999999999994E-6</v>
      </c>
      <c r="BB333" s="192">
        <f t="shared" si="165"/>
        <v>0</v>
      </c>
      <c r="BC333" s="219">
        <f t="shared" si="168"/>
        <v>3.3299999999999996E-5</v>
      </c>
      <c r="BD333" s="13">
        <f t="shared" si="169"/>
        <v>0</v>
      </c>
      <c r="BE333" s="160">
        <v>338</v>
      </c>
      <c r="BF333" s="77">
        <f t="shared" si="181"/>
        <v>5.8999999999999994E-6</v>
      </c>
      <c r="BG333" s="192">
        <f t="shared" si="166"/>
        <v>0</v>
      </c>
      <c r="BI333" s="120"/>
      <c r="BJ333" s="120"/>
      <c r="BK333" s="160"/>
      <c r="BL333" s="160"/>
      <c r="BM333" s="161" t="str">
        <f t="shared" si="183"/>
        <v/>
      </c>
      <c r="BN333" s="161" t="str">
        <f t="shared" si="170"/>
        <v/>
      </c>
      <c r="BO333" s="161" t="str">
        <f t="shared" si="171"/>
        <v/>
      </c>
      <c r="BP333" s="161" t="str">
        <f t="shared" si="172"/>
        <v/>
      </c>
      <c r="BQ333" s="161" t="str">
        <f t="shared" si="173"/>
        <v/>
      </c>
      <c r="BR333" s="161" t="str">
        <f t="shared" si="182"/>
        <v/>
      </c>
      <c r="BS333" s="161" t="str">
        <f t="shared" si="174"/>
        <v/>
      </c>
      <c r="BT333" s="161" t="str">
        <f t="shared" si="175"/>
        <v/>
      </c>
      <c r="BU333" s="161" t="str">
        <f t="shared" si="184"/>
        <v/>
      </c>
      <c r="BV333" s="161" t="str">
        <f t="shared" si="176"/>
        <v/>
      </c>
      <c r="BW333" s="161" t="str">
        <f t="shared" si="177"/>
        <v/>
      </c>
      <c r="BX333" s="161" t="str">
        <f t="shared" si="178"/>
        <v/>
      </c>
      <c r="BY333" s="148"/>
      <c r="BZ333" s="148"/>
      <c r="CA333" s="148"/>
      <c r="CB333" s="148" t="s">
        <v>149</v>
      </c>
      <c r="CC333" s="148"/>
    </row>
    <row r="334" spans="1:81" ht="14.25" customHeight="1" thickBot="1">
      <c r="A334" s="190">
        <v>324</v>
      </c>
      <c r="B334" s="78"/>
      <c r="C334" s="181"/>
      <c r="D334" s="86"/>
      <c r="E334" s="92" t="s">
        <v>29</v>
      </c>
      <c r="F334" s="88"/>
      <c r="G334" s="93"/>
      <c r="H334" s="93"/>
      <c r="I334" s="93"/>
      <c r="J334" s="93"/>
      <c r="K334" s="81">
        <f t="shared" si="158"/>
        <v>0</v>
      </c>
      <c r="L334" s="88"/>
      <c r="M334" s="85"/>
      <c r="N334" s="337"/>
      <c r="O334" s="343" t="s">
        <v>65</v>
      </c>
      <c r="P334" s="88"/>
      <c r="Q334" s="93"/>
      <c r="R334" s="93"/>
      <c r="S334" s="89"/>
      <c r="T334" s="93"/>
      <c r="U334" s="212">
        <f t="shared" si="159"/>
        <v>0</v>
      </c>
      <c r="V334" s="281"/>
      <c r="W334" s="282"/>
      <c r="X334" s="352"/>
      <c r="Y334" s="210" t="s">
        <v>85</v>
      </c>
      <c r="Z334" s="72"/>
      <c r="AA334" s="323"/>
      <c r="AB334" s="323"/>
      <c r="AC334" s="324"/>
      <c r="AD334" s="93"/>
      <c r="AE334" s="81">
        <f t="shared" si="160"/>
        <v>0</v>
      </c>
      <c r="AF334" s="72"/>
      <c r="AG334" s="324"/>
      <c r="AH334" s="361"/>
      <c r="AI334" s="98"/>
      <c r="AJ334" s="95"/>
      <c r="AK334" s="215"/>
      <c r="AL334" s="206"/>
      <c r="AM334" s="83"/>
      <c r="AN334" s="206"/>
      <c r="AO334" s="83"/>
      <c r="AP334" s="206"/>
      <c r="AQ334" s="83"/>
      <c r="AR334" s="13">
        <f t="shared" si="161"/>
        <v>3.3399999999999999E-5</v>
      </c>
      <c r="AS334" s="13">
        <f t="shared" si="162"/>
        <v>0</v>
      </c>
      <c r="AT334" s="13"/>
      <c r="AU334" s="160">
        <v>339</v>
      </c>
      <c r="AV334" s="191">
        <f t="shared" si="179"/>
        <v>7.1999999999999997E-6</v>
      </c>
      <c r="AW334" s="160">
        <f t="shared" si="163"/>
        <v>0</v>
      </c>
      <c r="AX334" s="219">
        <f t="shared" si="164"/>
        <v>3.3399999999999999E-5</v>
      </c>
      <c r="AY334" s="13">
        <f t="shared" si="167"/>
        <v>0</v>
      </c>
      <c r="AZ334" s="160">
        <v>339</v>
      </c>
      <c r="BA334" s="77">
        <f t="shared" si="180"/>
        <v>5.7999999999999995E-6</v>
      </c>
      <c r="BB334" s="192">
        <f t="shared" si="165"/>
        <v>0</v>
      </c>
      <c r="BC334" s="219">
        <f t="shared" si="168"/>
        <v>3.3399999999999999E-5</v>
      </c>
      <c r="BD334" s="13">
        <f t="shared" si="169"/>
        <v>0</v>
      </c>
      <c r="BE334" s="160">
        <v>339</v>
      </c>
      <c r="BF334" s="77">
        <f t="shared" si="181"/>
        <v>5.7999999999999995E-6</v>
      </c>
      <c r="BG334" s="192">
        <f t="shared" si="166"/>
        <v>0</v>
      </c>
      <c r="BI334" s="120"/>
      <c r="BJ334" s="120"/>
      <c r="BK334" s="160"/>
      <c r="BL334" s="160"/>
      <c r="BM334" s="161" t="str">
        <f t="shared" si="183"/>
        <v/>
      </c>
      <c r="BN334" s="161" t="str">
        <f t="shared" si="170"/>
        <v/>
      </c>
      <c r="BO334" s="161" t="str">
        <f t="shared" si="171"/>
        <v/>
      </c>
      <c r="BP334" s="161" t="str">
        <f t="shared" si="172"/>
        <v/>
      </c>
      <c r="BQ334" s="161" t="str">
        <f t="shared" si="173"/>
        <v/>
      </c>
      <c r="BR334" s="161" t="str">
        <f t="shared" si="182"/>
        <v/>
      </c>
      <c r="BS334" s="161" t="str">
        <f t="shared" si="174"/>
        <v/>
      </c>
      <c r="BT334" s="161" t="str">
        <f t="shared" si="175"/>
        <v/>
      </c>
      <c r="BU334" s="161" t="str">
        <f t="shared" si="184"/>
        <v/>
      </c>
      <c r="BV334" s="161" t="str">
        <f t="shared" si="176"/>
        <v/>
      </c>
      <c r="BW334" s="161" t="str">
        <f t="shared" si="177"/>
        <v/>
      </c>
      <c r="BX334" s="161" t="str">
        <f t="shared" si="178"/>
        <v/>
      </c>
      <c r="BY334" s="148"/>
      <c r="BZ334" s="148"/>
      <c r="CA334" s="148"/>
      <c r="CB334" s="148" t="s">
        <v>149</v>
      </c>
      <c r="CC334" s="148"/>
    </row>
    <row r="335" spans="1:81" ht="14.25" customHeight="1" thickBot="1">
      <c r="A335" s="190">
        <v>325</v>
      </c>
      <c r="B335" s="79"/>
      <c r="C335" s="179"/>
      <c r="D335" s="137"/>
      <c r="E335" s="198" t="s">
        <v>29</v>
      </c>
      <c r="F335" s="199"/>
      <c r="G335" s="200"/>
      <c r="H335" s="200"/>
      <c r="I335" s="200"/>
      <c r="J335" s="200"/>
      <c r="K335" s="201">
        <f t="shared" si="158"/>
        <v>0</v>
      </c>
      <c r="L335" s="189"/>
      <c r="M335" s="84"/>
      <c r="N335" s="335"/>
      <c r="O335" s="341" t="s">
        <v>65</v>
      </c>
      <c r="P335" s="189"/>
      <c r="Q335" s="326"/>
      <c r="R335" s="326"/>
      <c r="S335" s="87"/>
      <c r="T335" s="207"/>
      <c r="U335" s="225">
        <f t="shared" si="159"/>
        <v>0</v>
      </c>
      <c r="V335" s="277"/>
      <c r="W335" s="278"/>
      <c r="X335" s="350"/>
      <c r="Y335" s="208" t="s">
        <v>147</v>
      </c>
      <c r="Z335" s="11"/>
      <c r="AA335" s="207"/>
      <c r="AB335" s="207"/>
      <c r="AC335" s="3"/>
      <c r="AD335" s="207"/>
      <c r="AE335" s="226">
        <f t="shared" si="160"/>
        <v>0</v>
      </c>
      <c r="AF335" s="11"/>
      <c r="AG335" s="3"/>
      <c r="AH335" s="359"/>
      <c r="AI335" s="96"/>
      <c r="AJ335" s="94"/>
      <c r="AK335" s="214"/>
      <c r="AL335" s="213"/>
      <c r="AM335" s="82"/>
      <c r="AN335" s="213"/>
      <c r="AO335" s="82"/>
      <c r="AP335" s="213"/>
      <c r="AQ335" s="82"/>
      <c r="AR335" s="13">
        <f t="shared" si="161"/>
        <v>3.3500000000000001E-5</v>
      </c>
      <c r="AS335" s="13">
        <f t="shared" si="162"/>
        <v>0</v>
      </c>
      <c r="AT335" s="13"/>
      <c r="AU335" s="160">
        <v>340</v>
      </c>
      <c r="AV335" s="191">
        <f t="shared" si="179"/>
        <v>7.0999999999999998E-6</v>
      </c>
      <c r="AW335" s="160">
        <f t="shared" si="163"/>
        <v>0</v>
      </c>
      <c r="AX335" s="219">
        <f t="shared" si="164"/>
        <v>3.3500000000000001E-5</v>
      </c>
      <c r="AY335" s="13">
        <f t="shared" si="167"/>
        <v>0</v>
      </c>
      <c r="AZ335" s="160">
        <v>340</v>
      </c>
      <c r="BA335" s="77">
        <f t="shared" si="180"/>
        <v>5.6999999999999996E-6</v>
      </c>
      <c r="BB335" s="192">
        <f t="shared" si="165"/>
        <v>0</v>
      </c>
      <c r="BC335" s="219">
        <f t="shared" si="168"/>
        <v>3.3500000000000001E-5</v>
      </c>
      <c r="BD335" s="13">
        <f t="shared" si="169"/>
        <v>0</v>
      </c>
      <c r="BE335" s="160">
        <v>340</v>
      </c>
      <c r="BF335" s="77">
        <f t="shared" si="181"/>
        <v>5.6999999999999996E-6</v>
      </c>
      <c r="BG335" s="192">
        <f t="shared" si="166"/>
        <v>0</v>
      </c>
      <c r="BI335" s="120"/>
      <c r="BJ335" s="120"/>
      <c r="BK335" s="160"/>
      <c r="BL335" s="160"/>
      <c r="BM335" s="161" t="str">
        <f t="shared" si="183"/>
        <v/>
      </c>
      <c r="BN335" s="161" t="str">
        <f t="shared" si="170"/>
        <v/>
      </c>
      <c r="BO335" s="161" t="str">
        <f t="shared" si="171"/>
        <v/>
      </c>
      <c r="BP335" s="161" t="str">
        <f t="shared" si="172"/>
        <v/>
      </c>
      <c r="BQ335" s="161" t="str">
        <f t="shared" si="173"/>
        <v/>
      </c>
      <c r="BR335" s="161" t="str">
        <f t="shared" si="182"/>
        <v/>
      </c>
      <c r="BS335" s="161" t="str">
        <f t="shared" si="174"/>
        <v/>
      </c>
      <c r="BT335" s="161" t="str">
        <f t="shared" si="175"/>
        <v/>
      </c>
      <c r="BU335" s="161" t="str">
        <f t="shared" si="184"/>
        <v/>
      </c>
      <c r="BV335" s="161" t="str">
        <f t="shared" si="176"/>
        <v/>
      </c>
      <c r="BW335" s="161" t="str">
        <f t="shared" si="177"/>
        <v/>
      </c>
      <c r="BX335" s="161" t="str">
        <f t="shared" si="178"/>
        <v/>
      </c>
      <c r="BY335" s="148"/>
      <c r="BZ335" s="148"/>
      <c r="CA335" s="148"/>
      <c r="CB335" s="148" t="s">
        <v>149</v>
      </c>
      <c r="CC335" s="148"/>
    </row>
    <row r="336" spans="1:81" ht="14.25" customHeight="1" thickBot="1">
      <c r="A336" s="190">
        <v>326</v>
      </c>
      <c r="B336" s="196"/>
      <c r="C336" s="180"/>
      <c r="D336" s="136"/>
      <c r="E336" s="91" t="s">
        <v>29</v>
      </c>
      <c r="F336" s="187"/>
      <c r="G336" s="188"/>
      <c r="H336" s="188"/>
      <c r="I336" s="188"/>
      <c r="J336" s="188"/>
      <c r="K336" s="18">
        <f t="shared" si="158"/>
        <v>0</v>
      </c>
      <c r="L336" s="187"/>
      <c r="M336" s="118"/>
      <c r="N336" s="336"/>
      <c r="O336" s="342" t="s">
        <v>65</v>
      </c>
      <c r="P336" s="187"/>
      <c r="Q336" s="188"/>
      <c r="R336" s="188"/>
      <c r="S336" s="119"/>
      <c r="T336" s="188"/>
      <c r="U336" s="211">
        <f t="shared" si="159"/>
        <v>0</v>
      </c>
      <c r="V336" s="279"/>
      <c r="W336" s="280"/>
      <c r="X336" s="351"/>
      <c r="Y336" s="209" t="s">
        <v>85</v>
      </c>
      <c r="Z336" s="71"/>
      <c r="AA336" s="321"/>
      <c r="AB336" s="321"/>
      <c r="AC336" s="322"/>
      <c r="AD336" s="188"/>
      <c r="AE336" s="18">
        <f t="shared" si="160"/>
        <v>0</v>
      </c>
      <c r="AF336" s="71"/>
      <c r="AG336" s="322"/>
      <c r="AH336" s="360"/>
      <c r="AI336" s="97"/>
      <c r="AJ336" s="194"/>
      <c r="AK336" s="193"/>
      <c r="AL336" s="205"/>
      <c r="AM336" s="197"/>
      <c r="AN336" s="205"/>
      <c r="AO336" s="197"/>
      <c r="AP336" s="205"/>
      <c r="AQ336" s="197"/>
      <c r="AR336" s="13">
        <f t="shared" si="161"/>
        <v>3.3599999999999997E-5</v>
      </c>
      <c r="AS336" s="13">
        <f t="shared" si="162"/>
        <v>0</v>
      </c>
      <c r="AT336" s="13"/>
      <c r="AU336" s="160">
        <v>341</v>
      </c>
      <c r="AV336" s="191">
        <f t="shared" si="179"/>
        <v>6.9999999999999999E-6</v>
      </c>
      <c r="AW336" s="160">
        <f t="shared" si="163"/>
        <v>0</v>
      </c>
      <c r="AX336" s="219">
        <f t="shared" si="164"/>
        <v>3.3599999999999997E-5</v>
      </c>
      <c r="AY336" s="13">
        <f t="shared" si="167"/>
        <v>0</v>
      </c>
      <c r="AZ336" s="160">
        <v>341</v>
      </c>
      <c r="BA336" s="77">
        <f t="shared" si="180"/>
        <v>5.5999999999999997E-6</v>
      </c>
      <c r="BB336" s="192">
        <f t="shared" si="165"/>
        <v>0</v>
      </c>
      <c r="BC336" s="219">
        <f t="shared" si="168"/>
        <v>3.3599999999999997E-5</v>
      </c>
      <c r="BD336" s="13">
        <f t="shared" si="169"/>
        <v>0</v>
      </c>
      <c r="BE336" s="160">
        <v>341</v>
      </c>
      <c r="BF336" s="77">
        <f t="shared" si="181"/>
        <v>5.5999999999999997E-6</v>
      </c>
      <c r="BG336" s="192">
        <f t="shared" si="166"/>
        <v>0</v>
      </c>
      <c r="BI336" s="120"/>
      <c r="BJ336" s="120"/>
      <c r="BK336" s="160"/>
      <c r="BL336" s="160"/>
      <c r="BM336" s="161" t="str">
        <f t="shared" si="183"/>
        <v/>
      </c>
      <c r="BN336" s="161" t="str">
        <f t="shared" si="170"/>
        <v/>
      </c>
      <c r="BO336" s="161" t="str">
        <f t="shared" si="171"/>
        <v/>
      </c>
      <c r="BP336" s="161" t="str">
        <f t="shared" si="172"/>
        <v/>
      </c>
      <c r="BQ336" s="161" t="str">
        <f t="shared" si="173"/>
        <v/>
      </c>
      <c r="BR336" s="161" t="str">
        <f t="shared" si="182"/>
        <v/>
      </c>
      <c r="BS336" s="161" t="str">
        <f t="shared" si="174"/>
        <v/>
      </c>
      <c r="BT336" s="161" t="str">
        <f t="shared" si="175"/>
        <v/>
      </c>
      <c r="BU336" s="161" t="str">
        <f t="shared" si="184"/>
        <v/>
      </c>
      <c r="BV336" s="161" t="str">
        <f t="shared" si="176"/>
        <v/>
      </c>
      <c r="BW336" s="161" t="str">
        <f t="shared" si="177"/>
        <v/>
      </c>
      <c r="BX336" s="161" t="str">
        <f t="shared" si="178"/>
        <v/>
      </c>
      <c r="BY336" s="148"/>
      <c r="BZ336" s="148"/>
      <c r="CA336" s="148"/>
      <c r="CB336" s="148" t="s">
        <v>149</v>
      </c>
      <c r="CC336" s="148"/>
    </row>
    <row r="337" spans="1:81" ht="14.25" customHeight="1" thickBot="1">
      <c r="A337" s="190">
        <v>327</v>
      </c>
      <c r="B337" s="78"/>
      <c r="C337" s="181"/>
      <c r="D337" s="86"/>
      <c r="E337" s="92" t="s">
        <v>29</v>
      </c>
      <c r="F337" s="88"/>
      <c r="G337" s="93"/>
      <c r="H337" s="93"/>
      <c r="I337" s="93"/>
      <c r="J337" s="93"/>
      <c r="K337" s="81">
        <f t="shared" si="158"/>
        <v>0</v>
      </c>
      <c r="L337" s="88"/>
      <c r="M337" s="85"/>
      <c r="N337" s="337"/>
      <c r="O337" s="343" t="s">
        <v>65</v>
      </c>
      <c r="P337" s="88"/>
      <c r="Q337" s="93"/>
      <c r="R337" s="93"/>
      <c r="S337" s="89"/>
      <c r="T337" s="93"/>
      <c r="U337" s="212">
        <f t="shared" si="159"/>
        <v>0</v>
      </c>
      <c r="V337" s="281"/>
      <c r="W337" s="282"/>
      <c r="X337" s="352"/>
      <c r="Y337" s="210" t="s">
        <v>85</v>
      </c>
      <c r="Z337" s="72"/>
      <c r="AA337" s="323"/>
      <c r="AB337" s="323"/>
      <c r="AC337" s="324"/>
      <c r="AD337" s="93"/>
      <c r="AE337" s="81">
        <f t="shared" si="160"/>
        <v>0</v>
      </c>
      <c r="AF337" s="72"/>
      <c r="AG337" s="324"/>
      <c r="AH337" s="361"/>
      <c r="AI337" s="98"/>
      <c r="AJ337" s="95"/>
      <c r="AK337" s="215"/>
      <c r="AL337" s="206"/>
      <c r="AM337" s="83"/>
      <c r="AN337" s="206"/>
      <c r="AO337" s="83"/>
      <c r="AP337" s="206"/>
      <c r="AQ337" s="83"/>
      <c r="AR337" s="13">
        <f t="shared" si="161"/>
        <v>3.3699999999999999E-5</v>
      </c>
      <c r="AS337" s="13">
        <f t="shared" si="162"/>
        <v>0</v>
      </c>
      <c r="AT337" s="13"/>
      <c r="AU337" s="160">
        <v>342</v>
      </c>
      <c r="AV337" s="191">
        <f t="shared" si="179"/>
        <v>6.9E-6</v>
      </c>
      <c r="AW337" s="160">
        <f t="shared" si="163"/>
        <v>0</v>
      </c>
      <c r="AX337" s="219">
        <f t="shared" si="164"/>
        <v>3.3699999999999999E-5</v>
      </c>
      <c r="AY337" s="13">
        <f t="shared" si="167"/>
        <v>0</v>
      </c>
      <c r="AZ337" s="160">
        <v>342</v>
      </c>
      <c r="BA337" s="77">
        <f t="shared" si="180"/>
        <v>5.4999999999999999E-6</v>
      </c>
      <c r="BB337" s="192">
        <f t="shared" si="165"/>
        <v>0</v>
      </c>
      <c r="BC337" s="219">
        <f t="shared" si="168"/>
        <v>3.3699999999999999E-5</v>
      </c>
      <c r="BD337" s="13">
        <f t="shared" si="169"/>
        <v>0</v>
      </c>
      <c r="BE337" s="160">
        <v>342</v>
      </c>
      <c r="BF337" s="77">
        <f t="shared" si="181"/>
        <v>5.4999999999999999E-6</v>
      </c>
      <c r="BG337" s="192">
        <f t="shared" si="166"/>
        <v>0</v>
      </c>
      <c r="BI337" s="120"/>
      <c r="BJ337" s="120"/>
      <c r="BK337" s="160"/>
      <c r="BL337" s="160"/>
      <c r="BM337" s="161" t="str">
        <f t="shared" si="183"/>
        <v/>
      </c>
      <c r="BN337" s="161" t="str">
        <f t="shared" si="170"/>
        <v/>
      </c>
      <c r="BO337" s="161" t="str">
        <f t="shared" si="171"/>
        <v/>
      </c>
      <c r="BP337" s="161" t="str">
        <f t="shared" si="172"/>
        <v/>
      </c>
      <c r="BQ337" s="161" t="str">
        <f t="shared" si="173"/>
        <v/>
      </c>
      <c r="BR337" s="161" t="str">
        <f t="shared" si="182"/>
        <v/>
      </c>
      <c r="BS337" s="161" t="str">
        <f t="shared" si="174"/>
        <v/>
      </c>
      <c r="BT337" s="161" t="str">
        <f t="shared" si="175"/>
        <v/>
      </c>
      <c r="BU337" s="161" t="str">
        <f t="shared" si="184"/>
        <v/>
      </c>
      <c r="BV337" s="161" t="str">
        <f t="shared" si="176"/>
        <v/>
      </c>
      <c r="BW337" s="161" t="str">
        <f t="shared" si="177"/>
        <v/>
      </c>
      <c r="BX337" s="161" t="str">
        <f t="shared" si="178"/>
        <v/>
      </c>
      <c r="BY337" s="148"/>
      <c r="BZ337" s="148"/>
      <c r="CA337" s="148"/>
      <c r="CB337" s="148" t="s">
        <v>149</v>
      </c>
      <c r="CC337" s="148"/>
    </row>
    <row r="338" spans="1:81" ht="14.25" customHeight="1" thickBot="1">
      <c r="A338" s="190">
        <v>328</v>
      </c>
      <c r="B338" s="79"/>
      <c r="C338" s="179"/>
      <c r="D338" s="137"/>
      <c r="E338" s="198" t="s">
        <v>29</v>
      </c>
      <c r="F338" s="199"/>
      <c r="G338" s="200"/>
      <c r="H338" s="200"/>
      <c r="I338" s="200"/>
      <c r="J338" s="200"/>
      <c r="K338" s="201">
        <f t="shared" si="158"/>
        <v>0</v>
      </c>
      <c r="L338" s="189"/>
      <c r="M338" s="84"/>
      <c r="N338" s="335"/>
      <c r="O338" s="341" t="s">
        <v>65</v>
      </c>
      <c r="P338" s="189"/>
      <c r="Q338" s="326"/>
      <c r="R338" s="326"/>
      <c r="S338" s="87"/>
      <c r="T338" s="207"/>
      <c r="U338" s="225">
        <f t="shared" si="159"/>
        <v>0</v>
      </c>
      <c r="V338" s="277"/>
      <c r="W338" s="278"/>
      <c r="X338" s="350"/>
      <c r="Y338" s="208" t="s">
        <v>147</v>
      </c>
      <c r="Z338" s="11"/>
      <c r="AA338" s="207"/>
      <c r="AB338" s="207"/>
      <c r="AC338" s="3"/>
      <c r="AD338" s="207"/>
      <c r="AE338" s="226">
        <f t="shared" si="160"/>
        <v>0</v>
      </c>
      <c r="AF338" s="11"/>
      <c r="AG338" s="3"/>
      <c r="AH338" s="359"/>
      <c r="AI338" s="96"/>
      <c r="AJ338" s="94"/>
      <c r="AK338" s="214"/>
      <c r="AL338" s="213"/>
      <c r="AM338" s="82"/>
      <c r="AN338" s="213"/>
      <c r="AO338" s="82"/>
      <c r="AP338" s="213"/>
      <c r="AQ338" s="82"/>
      <c r="AR338" s="13">
        <f t="shared" si="161"/>
        <v>3.3800000000000002E-5</v>
      </c>
      <c r="AS338" s="13">
        <f t="shared" si="162"/>
        <v>0</v>
      </c>
      <c r="AT338" s="13"/>
      <c r="AU338" s="160">
        <v>343</v>
      </c>
      <c r="AV338" s="191">
        <f t="shared" si="179"/>
        <v>6.7999999999999993E-6</v>
      </c>
      <c r="AW338" s="160">
        <f t="shared" si="163"/>
        <v>0</v>
      </c>
      <c r="AX338" s="219">
        <f t="shared" si="164"/>
        <v>3.3800000000000002E-5</v>
      </c>
      <c r="AY338" s="13">
        <f t="shared" si="167"/>
        <v>0</v>
      </c>
      <c r="AZ338" s="160">
        <v>343</v>
      </c>
      <c r="BA338" s="77">
        <f t="shared" si="180"/>
        <v>5.4E-6</v>
      </c>
      <c r="BB338" s="192">
        <f t="shared" si="165"/>
        <v>0</v>
      </c>
      <c r="BC338" s="219">
        <f t="shared" si="168"/>
        <v>3.3800000000000002E-5</v>
      </c>
      <c r="BD338" s="13">
        <f t="shared" si="169"/>
        <v>0</v>
      </c>
      <c r="BE338" s="160">
        <v>343</v>
      </c>
      <c r="BF338" s="77">
        <f t="shared" si="181"/>
        <v>5.4E-6</v>
      </c>
      <c r="BG338" s="192">
        <f t="shared" si="166"/>
        <v>0</v>
      </c>
      <c r="BI338" s="120"/>
      <c r="BJ338" s="120"/>
      <c r="BK338" s="160"/>
      <c r="BL338" s="160"/>
      <c r="BM338" s="161" t="str">
        <f t="shared" si="183"/>
        <v/>
      </c>
      <c r="BN338" s="161" t="str">
        <f t="shared" si="170"/>
        <v/>
      </c>
      <c r="BO338" s="161" t="str">
        <f t="shared" si="171"/>
        <v/>
      </c>
      <c r="BP338" s="161" t="str">
        <f t="shared" si="172"/>
        <v/>
      </c>
      <c r="BQ338" s="161" t="str">
        <f t="shared" si="173"/>
        <v/>
      </c>
      <c r="BR338" s="161" t="str">
        <f t="shared" si="182"/>
        <v/>
      </c>
      <c r="BS338" s="161" t="str">
        <f t="shared" si="174"/>
        <v/>
      </c>
      <c r="BT338" s="161" t="str">
        <f t="shared" si="175"/>
        <v/>
      </c>
      <c r="BU338" s="161" t="str">
        <f t="shared" si="184"/>
        <v/>
      </c>
      <c r="BV338" s="161" t="str">
        <f t="shared" si="176"/>
        <v/>
      </c>
      <c r="BW338" s="161" t="str">
        <f t="shared" si="177"/>
        <v/>
      </c>
      <c r="BX338" s="161" t="str">
        <f t="shared" si="178"/>
        <v/>
      </c>
      <c r="BY338" s="148"/>
      <c r="BZ338" s="148"/>
      <c r="CA338" s="148"/>
      <c r="CB338" s="148" t="s">
        <v>149</v>
      </c>
      <c r="CC338" s="148"/>
    </row>
    <row r="339" spans="1:81" ht="14.25" customHeight="1" thickBot="1">
      <c r="A339" s="190">
        <v>329</v>
      </c>
      <c r="B339" s="196"/>
      <c r="C339" s="180"/>
      <c r="D339" s="136"/>
      <c r="E339" s="91" t="s">
        <v>29</v>
      </c>
      <c r="F339" s="187"/>
      <c r="G339" s="188"/>
      <c r="H339" s="188"/>
      <c r="I339" s="188"/>
      <c r="J339" s="188"/>
      <c r="K339" s="18">
        <f t="shared" si="158"/>
        <v>0</v>
      </c>
      <c r="L339" s="187"/>
      <c r="M339" s="118"/>
      <c r="N339" s="336"/>
      <c r="O339" s="342" t="s">
        <v>65</v>
      </c>
      <c r="P339" s="187"/>
      <c r="Q339" s="188"/>
      <c r="R339" s="188"/>
      <c r="S339" s="119"/>
      <c r="T339" s="188"/>
      <c r="U339" s="211">
        <f t="shared" si="159"/>
        <v>0</v>
      </c>
      <c r="V339" s="279"/>
      <c r="W339" s="280"/>
      <c r="X339" s="351"/>
      <c r="Y339" s="209" t="s">
        <v>85</v>
      </c>
      <c r="Z339" s="71"/>
      <c r="AA339" s="321"/>
      <c r="AB339" s="321"/>
      <c r="AC339" s="322"/>
      <c r="AD339" s="188"/>
      <c r="AE339" s="18">
        <f t="shared" si="160"/>
        <v>0</v>
      </c>
      <c r="AF339" s="71"/>
      <c r="AG339" s="322"/>
      <c r="AH339" s="360"/>
      <c r="AI339" s="97"/>
      <c r="AJ339" s="194"/>
      <c r="AK339" s="193"/>
      <c r="AL339" s="205"/>
      <c r="AM339" s="197"/>
      <c r="AN339" s="205"/>
      <c r="AO339" s="197"/>
      <c r="AP339" s="205"/>
      <c r="AQ339" s="197"/>
      <c r="AR339" s="13">
        <f t="shared" si="161"/>
        <v>3.3899999999999997E-5</v>
      </c>
      <c r="AS339" s="13">
        <f t="shared" si="162"/>
        <v>0</v>
      </c>
      <c r="AT339" s="13"/>
      <c r="AU339" s="160">
        <v>344</v>
      </c>
      <c r="AV339" s="191">
        <f t="shared" si="179"/>
        <v>6.6999999999999994E-6</v>
      </c>
      <c r="AW339" s="160">
        <f t="shared" si="163"/>
        <v>0</v>
      </c>
      <c r="AX339" s="219">
        <f t="shared" si="164"/>
        <v>3.3899999999999997E-5</v>
      </c>
      <c r="AY339" s="13">
        <f t="shared" si="167"/>
        <v>0</v>
      </c>
      <c r="AZ339" s="160">
        <v>344</v>
      </c>
      <c r="BA339" s="77">
        <f t="shared" si="180"/>
        <v>5.3000000000000001E-6</v>
      </c>
      <c r="BB339" s="192">
        <f t="shared" si="165"/>
        <v>0</v>
      </c>
      <c r="BC339" s="219">
        <f t="shared" si="168"/>
        <v>3.3899999999999997E-5</v>
      </c>
      <c r="BD339" s="13">
        <f t="shared" si="169"/>
        <v>0</v>
      </c>
      <c r="BE339" s="160">
        <v>344</v>
      </c>
      <c r="BF339" s="77">
        <f t="shared" si="181"/>
        <v>5.3000000000000001E-6</v>
      </c>
      <c r="BG339" s="192">
        <f t="shared" si="166"/>
        <v>0</v>
      </c>
      <c r="BI339" s="120"/>
      <c r="BJ339" s="120"/>
      <c r="BK339" s="160"/>
      <c r="BL339" s="160"/>
      <c r="BM339" s="161" t="str">
        <f t="shared" si="183"/>
        <v/>
      </c>
      <c r="BN339" s="161" t="str">
        <f t="shared" si="170"/>
        <v/>
      </c>
      <c r="BO339" s="161" t="str">
        <f t="shared" si="171"/>
        <v/>
      </c>
      <c r="BP339" s="161" t="str">
        <f t="shared" si="172"/>
        <v/>
      </c>
      <c r="BQ339" s="161" t="str">
        <f t="shared" si="173"/>
        <v/>
      </c>
      <c r="BR339" s="161" t="str">
        <f t="shared" si="182"/>
        <v/>
      </c>
      <c r="BS339" s="161" t="str">
        <f t="shared" si="174"/>
        <v/>
      </c>
      <c r="BT339" s="161" t="str">
        <f t="shared" si="175"/>
        <v/>
      </c>
      <c r="BU339" s="161" t="str">
        <f t="shared" si="184"/>
        <v/>
      </c>
      <c r="BV339" s="161" t="str">
        <f t="shared" si="176"/>
        <v/>
      </c>
      <c r="BW339" s="161" t="str">
        <f t="shared" si="177"/>
        <v/>
      </c>
      <c r="BX339" s="161" t="str">
        <f t="shared" si="178"/>
        <v/>
      </c>
      <c r="BY339" s="148"/>
      <c r="BZ339" s="148"/>
      <c r="CA339" s="148"/>
      <c r="CB339" s="148" t="s">
        <v>149</v>
      </c>
      <c r="CC339" s="148"/>
    </row>
    <row r="340" spans="1:81" ht="14.25" customHeight="1" thickBot="1">
      <c r="A340" s="190">
        <v>330</v>
      </c>
      <c r="B340" s="78"/>
      <c r="C340" s="181"/>
      <c r="D340" s="86"/>
      <c r="E340" s="92" t="s">
        <v>29</v>
      </c>
      <c r="F340" s="88"/>
      <c r="G340" s="93"/>
      <c r="H340" s="93"/>
      <c r="I340" s="93"/>
      <c r="J340" s="93"/>
      <c r="K340" s="81">
        <f t="shared" si="158"/>
        <v>0</v>
      </c>
      <c r="L340" s="88"/>
      <c r="M340" s="85"/>
      <c r="N340" s="337"/>
      <c r="O340" s="343" t="s">
        <v>65</v>
      </c>
      <c r="P340" s="88"/>
      <c r="Q340" s="93"/>
      <c r="R340" s="93"/>
      <c r="S340" s="89"/>
      <c r="T340" s="93"/>
      <c r="U340" s="212">
        <f t="shared" si="159"/>
        <v>0</v>
      </c>
      <c r="V340" s="281"/>
      <c r="W340" s="282"/>
      <c r="X340" s="352"/>
      <c r="Y340" s="210" t="s">
        <v>85</v>
      </c>
      <c r="Z340" s="72"/>
      <c r="AA340" s="323"/>
      <c r="AB340" s="323"/>
      <c r="AC340" s="324"/>
      <c r="AD340" s="93"/>
      <c r="AE340" s="81">
        <f t="shared" si="160"/>
        <v>0</v>
      </c>
      <c r="AF340" s="72"/>
      <c r="AG340" s="324"/>
      <c r="AH340" s="361"/>
      <c r="AI340" s="98"/>
      <c r="AJ340" s="95"/>
      <c r="AK340" s="215"/>
      <c r="AL340" s="206"/>
      <c r="AM340" s="83"/>
      <c r="AN340" s="206"/>
      <c r="AO340" s="83"/>
      <c r="AP340" s="206"/>
      <c r="AQ340" s="83"/>
      <c r="AR340" s="13">
        <f t="shared" si="161"/>
        <v>3.4E-5</v>
      </c>
      <c r="AS340" s="13">
        <f t="shared" si="162"/>
        <v>0</v>
      </c>
      <c r="AT340" s="13"/>
      <c r="AU340" s="160">
        <v>345</v>
      </c>
      <c r="AV340" s="191">
        <f t="shared" si="179"/>
        <v>6.5999999999999995E-6</v>
      </c>
      <c r="AW340" s="160">
        <f t="shared" si="163"/>
        <v>0</v>
      </c>
      <c r="AX340" s="219">
        <f t="shared" si="164"/>
        <v>3.4E-5</v>
      </c>
      <c r="AY340" s="13">
        <f t="shared" si="167"/>
        <v>0</v>
      </c>
      <c r="AZ340" s="160">
        <v>345</v>
      </c>
      <c r="BA340" s="77">
        <f t="shared" si="180"/>
        <v>5.1999999999999993E-6</v>
      </c>
      <c r="BB340" s="192">
        <f t="shared" si="165"/>
        <v>0</v>
      </c>
      <c r="BC340" s="219">
        <f t="shared" si="168"/>
        <v>3.4E-5</v>
      </c>
      <c r="BD340" s="13">
        <f t="shared" si="169"/>
        <v>0</v>
      </c>
      <c r="BE340" s="160">
        <v>345</v>
      </c>
      <c r="BF340" s="77">
        <f t="shared" si="181"/>
        <v>5.1999999999999993E-6</v>
      </c>
      <c r="BG340" s="192">
        <f t="shared" si="166"/>
        <v>0</v>
      </c>
      <c r="BI340" s="120"/>
      <c r="BJ340" s="120"/>
      <c r="BK340" s="160"/>
      <c r="BL340" s="160"/>
      <c r="BM340" s="161" t="str">
        <f t="shared" si="183"/>
        <v/>
      </c>
      <c r="BN340" s="161" t="str">
        <f t="shared" si="170"/>
        <v/>
      </c>
      <c r="BO340" s="161" t="str">
        <f t="shared" si="171"/>
        <v/>
      </c>
      <c r="BP340" s="161" t="str">
        <f t="shared" si="172"/>
        <v/>
      </c>
      <c r="BQ340" s="161" t="str">
        <f t="shared" si="173"/>
        <v/>
      </c>
      <c r="BR340" s="161" t="str">
        <f t="shared" si="182"/>
        <v/>
      </c>
      <c r="BS340" s="161" t="str">
        <f t="shared" si="174"/>
        <v/>
      </c>
      <c r="BT340" s="161" t="str">
        <f t="shared" si="175"/>
        <v/>
      </c>
      <c r="BU340" s="161" t="str">
        <f t="shared" si="184"/>
        <v/>
      </c>
      <c r="BV340" s="161" t="str">
        <f t="shared" si="176"/>
        <v/>
      </c>
      <c r="BW340" s="161" t="str">
        <f t="shared" si="177"/>
        <v/>
      </c>
      <c r="BX340" s="161" t="str">
        <f t="shared" si="178"/>
        <v/>
      </c>
      <c r="BY340" s="148"/>
      <c r="BZ340" s="148"/>
      <c r="CA340" s="148"/>
      <c r="CB340" s="148" t="s">
        <v>149</v>
      </c>
      <c r="CC340" s="148"/>
    </row>
    <row r="341" spans="1:81" ht="14.25" customHeight="1" thickBot="1">
      <c r="A341" s="190">
        <v>331</v>
      </c>
      <c r="B341" s="79"/>
      <c r="C341" s="179"/>
      <c r="D341" s="137"/>
      <c r="E341" s="198" t="s">
        <v>29</v>
      </c>
      <c r="F341" s="199"/>
      <c r="G341" s="200"/>
      <c r="H341" s="200"/>
      <c r="I341" s="200"/>
      <c r="J341" s="200"/>
      <c r="K341" s="201">
        <f t="shared" si="158"/>
        <v>0</v>
      </c>
      <c r="L341" s="189"/>
      <c r="M341" s="84"/>
      <c r="N341" s="335"/>
      <c r="O341" s="341" t="s">
        <v>65</v>
      </c>
      <c r="P341" s="189"/>
      <c r="Q341" s="326"/>
      <c r="R341" s="326"/>
      <c r="S341" s="87"/>
      <c r="T341" s="207"/>
      <c r="U341" s="225">
        <f t="shared" si="159"/>
        <v>0</v>
      </c>
      <c r="V341" s="277"/>
      <c r="W341" s="278"/>
      <c r="X341" s="350"/>
      <c r="Y341" s="208" t="s">
        <v>147</v>
      </c>
      <c r="Z341" s="11"/>
      <c r="AA341" s="207"/>
      <c r="AB341" s="207"/>
      <c r="AC341" s="3"/>
      <c r="AD341" s="207"/>
      <c r="AE341" s="226">
        <f t="shared" si="160"/>
        <v>0</v>
      </c>
      <c r="AF341" s="11"/>
      <c r="AG341" s="3"/>
      <c r="AH341" s="359"/>
      <c r="AI341" s="96"/>
      <c r="AJ341" s="94"/>
      <c r="AK341" s="214"/>
      <c r="AL341" s="213"/>
      <c r="AM341" s="82"/>
      <c r="AN341" s="213"/>
      <c r="AO341" s="82"/>
      <c r="AP341" s="213"/>
      <c r="AQ341" s="82"/>
      <c r="AR341" s="13">
        <f t="shared" si="161"/>
        <v>3.4099999999999995E-5</v>
      </c>
      <c r="AS341" s="13">
        <f t="shared" si="162"/>
        <v>0</v>
      </c>
      <c r="AT341" s="13"/>
      <c r="AU341" s="160">
        <v>346</v>
      </c>
      <c r="AV341" s="191">
        <f t="shared" si="179"/>
        <v>6.4999999999999996E-6</v>
      </c>
      <c r="AW341" s="160">
        <f t="shared" si="163"/>
        <v>0</v>
      </c>
      <c r="AX341" s="219">
        <f t="shared" si="164"/>
        <v>3.4099999999999995E-5</v>
      </c>
      <c r="AY341" s="13">
        <f t="shared" si="167"/>
        <v>0</v>
      </c>
      <c r="AZ341" s="160">
        <v>346</v>
      </c>
      <c r="BA341" s="77">
        <f t="shared" si="180"/>
        <v>5.0999999999999995E-6</v>
      </c>
      <c r="BB341" s="192">
        <f t="shared" si="165"/>
        <v>0</v>
      </c>
      <c r="BC341" s="219">
        <f t="shared" si="168"/>
        <v>3.4099999999999995E-5</v>
      </c>
      <c r="BD341" s="13">
        <f t="shared" si="169"/>
        <v>0</v>
      </c>
      <c r="BE341" s="160">
        <v>346</v>
      </c>
      <c r="BF341" s="77">
        <f t="shared" si="181"/>
        <v>5.0999999999999995E-6</v>
      </c>
      <c r="BG341" s="192">
        <f t="shared" si="166"/>
        <v>0</v>
      </c>
      <c r="BI341" s="120"/>
      <c r="BJ341" s="120"/>
      <c r="BK341" s="160"/>
      <c r="BL341" s="160"/>
      <c r="BM341" s="161" t="str">
        <f t="shared" si="183"/>
        <v/>
      </c>
      <c r="BN341" s="161" t="str">
        <f t="shared" si="170"/>
        <v/>
      </c>
      <c r="BO341" s="161" t="str">
        <f t="shared" si="171"/>
        <v/>
      </c>
      <c r="BP341" s="161" t="str">
        <f t="shared" si="172"/>
        <v/>
      </c>
      <c r="BQ341" s="161" t="str">
        <f t="shared" si="173"/>
        <v/>
      </c>
      <c r="BR341" s="161" t="str">
        <f t="shared" si="182"/>
        <v/>
      </c>
      <c r="BS341" s="161" t="str">
        <f t="shared" si="174"/>
        <v/>
      </c>
      <c r="BT341" s="161" t="str">
        <f t="shared" si="175"/>
        <v/>
      </c>
      <c r="BU341" s="161" t="str">
        <f t="shared" si="184"/>
        <v/>
      </c>
      <c r="BV341" s="161" t="str">
        <f t="shared" si="176"/>
        <v/>
      </c>
      <c r="BW341" s="161" t="str">
        <f t="shared" si="177"/>
        <v/>
      </c>
      <c r="BX341" s="161" t="str">
        <f t="shared" si="178"/>
        <v/>
      </c>
      <c r="BY341" s="148"/>
      <c r="BZ341" s="148"/>
      <c r="CA341" s="148"/>
      <c r="CB341" s="148" t="s">
        <v>149</v>
      </c>
      <c r="CC341" s="148"/>
    </row>
    <row r="342" spans="1:81" ht="14.25" customHeight="1" thickBot="1">
      <c r="A342" s="190">
        <v>332</v>
      </c>
      <c r="B342" s="196"/>
      <c r="C342" s="180"/>
      <c r="D342" s="136"/>
      <c r="E342" s="91" t="s">
        <v>29</v>
      </c>
      <c r="F342" s="187"/>
      <c r="G342" s="188"/>
      <c r="H342" s="188"/>
      <c r="I342" s="188"/>
      <c r="J342" s="188"/>
      <c r="K342" s="18">
        <f t="shared" si="158"/>
        <v>0</v>
      </c>
      <c r="L342" s="187"/>
      <c r="M342" s="118"/>
      <c r="N342" s="336"/>
      <c r="O342" s="342" t="s">
        <v>65</v>
      </c>
      <c r="P342" s="187"/>
      <c r="Q342" s="188"/>
      <c r="R342" s="188"/>
      <c r="S342" s="119"/>
      <c r="T342" s="188"/>
      <c r="U342" s="211">
        <f t="shared" si="159"/>
        <v>0</v>
      </c>
      <c r="V342" s="279"/>
      <c r="W342" s="280"/>
      <c r="X342" s="351"/>
      <c r="Y342" s="209" t="s">
        <v>85</v>
      </c>
      <c r="Z342" s="71"/>
      <c r="AA342" s="321"/>
      <c r="AB342" s="321"/>
      <c r="AC342" s="322"/>
      <c r="AD342" s="188"/>
      <c r="AE342" s="18">
        <f t="shared" si="160"/>
        <v>0</v>
      </c>
      <c r="AF342" s="71"/>
      <c r="AG342" s="322"/>
      <c r="AH342" s="360"/>
      <c r="AI342" s="97"/>
      <c r="AJ342" s="194"/>
      <c r="AK342" s="193"/>
      <c r="AL342" s="205"/>
      <c r="AM342" s="197"/>
      <c r="AN342" s="205"/>
      <c r="AO342" s="197"/>
      <c r="AP342" s="205"/>
      <c r="AQ342" s="197"/>
      <c r="AR342" s="13">
        <f t="shared" si="161"/>
        <v>3.4199999999999998E-5</v>
      </c>
      <c r="AS342" s="13">
        <f t="shared" si="162"/>
        <v>0</v>
      </c>
      <c r="AT342" s="13"/>
      <c r="AU342" s="160">
        <v>347</v>
      </c>
      <c r="AV342" s="191">
        <f t="shared" si="179"/>
        <v>6.3999999999999997E-6</v>
      </c>
      <c r="AW342" s="160">
        <f t="shared" si="163"/>
        <v>0</v>
      </c>
      <c r="AX342" s="219">
        <f t="shared" si="164"/>
        <v>3.4199999999999998E-5</v>
      </c>
      <c r="AY342" s="13">
        <f t="shared" si="167"/>
        <v>0</v>
      </c>
      <c r="AZ342" s="160">
        <v>347</v>
      </c>
      <c r="BA342" s="77">
        <f t="shared" si="180"/>
        <v>4.9999999999999996E-6</v>
      </c>
      <c r="BB342" s="192">
        <f t="shared" si="165"/>
        <v>0</v>
      </c>
      <c r="BC342" s="219">
        <f t="shared" si="168"/>
        <v>3.4199999999999998E-5</v>
      </c>
      <c r="BD342" s="13">
        <f t="shared" si="169"/>
        <v>0</v>
      </c>
      <c r="BE342" s="160">
        <v>347</v>
      </c>
      <c r="BF342" s="77">
        <f t="shared" si="181"/>
        <v>4.9999999999999996E-6</v>
      </c>
      <c r="BG342" s="192">
        <f t="shared" si="166"/>
        <v>0</v>
      </c>
      <c r="BI342" s="120"/>
      <c r="BJ342" s="120"/>
      <c r="BK342" s="160"/>
      <c r="BL342" s="160"/>
      <c r="BM342" s="161" t="str">
        <f t="shared" si="183"/>
        <v/>
      </c>
      <c r="BN342" s="161" t="str">
        <f t="shared" si="170"/>
        <v/>
      </c>
      <c r="BO342" s="161" t="str">
        <f t="shared" si="171"/>
        <v/>
      </c>
      <c r="BP342" s="161" t="str">
        <f t="shared" si="172"/>
        <v/>
      </c>
      <c r="BQ342" s="161" t="str">
        <f t="shared" si="173"/>
        <v/>
      </c>
      <c r="BR342" s="161" t="str">
        <f t="shared" si="182"/>
        <v/>
      </c>
      <c r="BS342" s="161" t="str">
        <f t="shared" si="174"/>
        <v/>
      </c>
      <c r="BT342" s="161" t="str">
        <f t="shared" si="175"/>
        <v/>
      </c>
      <c r="BU342" s="161" t="str">
        <f t="shared" si="184"/>
        <v/>
      </c>
      <c r="BV342" s="161" t="str">
        <f t="shared" si="176"/>
        <v/>
      </c>
      <c r="BW342" s="161" t="str">
        <f t="shared" si="177"/>
        <v/>
      </c>
      <c r="BX342" s="161" t="str">
        <f t="shared" si="178"/>
        <v/>
      </c>
      <c r="BY342" s="148"/>
      <c r="BZ342" s="148"/>
      <c r="CA342" s="148"/>
      <c r="CB342" s="148" t="s">
        <v>149</v>
      </c>
      <c r="CC342" s="148"/>
    </row>
    <row r="343" spans="1:81" ht="14.25" customHeight="1" thickBot="1">
      <c r="A343" s="190">
        <v>333</v>
      </c>
      <c r="B343" s="78"/>
      <c r="C343" s="181"/>
      <c r="D343" s="86"/>
      <c r="E343" s="92" t="s">
        <v>29</v>
      </c>
      <c r="F343" s="88"/>
      <c r="G343" s="93"/>
      <c r="H343" s="93"/>
      <c r="I343" s="93"/>
      <c r="J343" s="93"/>
      <c r="K343" s="81">
        <f t="shared" si="158"/>
        <v>0</v>
      </c>
      <c r="L343" s="88"/>
      <c r="M343" s="85"/>
      <c r="N343" s="337"/>
      <c r="O343" s="343" t="s">
        <v>65</v>
      </c>
      <c r="P343" s="88"/>
      <c r="Q343" s="93"/>
      <c r="R343" s="93"/>
      <c r="S343" s="89"/>
      <c r="T343" s="93"/>
      <c r="U343" s="212">
        <f t="shared" si="159"/>
        <v>0</v>
      </c>
      <c r="V343" s="281"/>
      <c r="W343" s="282"/>
      <c r="X343" s="352"/>
      <c r="Y343" s="210" t="s">
        <v>85</v>
      </c>
      <c r="Z343" s="72"/>
      <c r="AA343" s="323"/>
      <c r="AB343" s="323"/>
      <c r="AC343" s="324"/>
      <c r="AD343" s="93"/>
      <c r="AE343" s="81">
        <f t="shared" si="160"/>
        <v>0</v>
      </c>
      <c r="AF343" s="72"/>
      <c r="AG343" s="324"/>
      <c r="AH343" s="361"/>
      <c r="AI343" s="98"/>
      <c r="AJ343" s="95"/>
      <c r="AK343" s="215"/>
      <c r="AL343" s="206"/>
      <c r="AM343" s="83"/>
      <c r="AN343" s="206"/>
      <c r="AO343" s="83"/>
      <c r="AP343" s="206"/>
      <c r="AQ343" s="83"/>
      <c r="AR343" s="13">
        <f t="shared" si="161"/>
        <v>3.43E-5</v>
      </c>
      <c r="AS343" s="13">
        <f t="shared" si="162"/>
        <v>0</v>
      </c>
      <c r="AT343" s="13"/>
      <c r="AU343" s="160">
        <v>348</v>
      </c>
      <c r="AV343" s="191">
        <f t="shared" si="179"/>
        <v>6.2999999999999998E-6</v>
      </c>
      <c r="AW343" s="160">
        <f t="shared" si="163"/>
        <v>0</v>
      </c>
      <c r="AX343" s="219">
        <f t="shared" si="164"/>
        <v>3.43E-5</v>
      </c>
      <c r="AY343" s="13">
        <f t="shared" si="167"/>
        <v>0</v>
      </c>
      <c r="AZ343" s="160">
        <v>348</v>
      </c>
      <c r="BA343" s="77">
        <f t="shared" si="180"/>
        <v>4.8999999999999997E-6</v>
      </c>
      <c r="BB343" s="192">
        <f t="shared" si="165"/>
        <v>0</v>
      </c>
      <c r="BC343" s="219">
        <f t="shared" si="168"/>
        <v>3.43E-5</v>
      </c>
      <c r="BD343" s="13">
        <f t="shared" si="169"/>
        <v>0</v>
      </c>
      <c r="BE343" s="160">
        <v>348</v>
      </c>
      <c r="BF343" s="77">
        <f t="shared" si="181"/>
        <v>4.8999999999999997E-6</v>
      </c>
      <c r="BG343" s="192">
        <f t="shared" si="166"/>
        <v>0</v>
      </c>
      <c r="BI343" s="120"/>
      <c r="BJ343" s="120"/>
      <c r="BK343" s="160"/>
      <c r="BL343" s="160"/>
      <c r="BM343" s="161" t="str">
        <f t="shared" si="183"/>
        <v/>
      </c>
      <c r="BN343" s="161" t="str">
        <f t="shared" si="170"/>
        <v/>
      </c>
      <c r="BO343" s="161" t="str">
        <f t="shared" si="171"/>
        <v/>
      </c>
      <c r="BP343" s="161" t="str">
        <f t="shared" si="172"/>
        <v/>
      </c>
      <c r="BQ343" s="161" t="str">
        <f t="shared" si="173"/>
        <v/>
      </c>
      <c r="BR343" s="161" t="str">
        <f t="shared" si="182"/>
        <v/>
      </c>
      <c r="BS343" s="161" t="str">
        <f t="shared" si="174"/>
        <v/>
      </c>
      <c r="BT343" s="161" t="str">
        <f t="shared" si="175"/>
        <v/>
      </c>
      <c r="BU343" s="161" t="str">
        <f t="shared" si="184"/>
        <v/>
      </c>
      <c r="BV343" s="161" t="str">
        <f t="shared" si="176"/>
        <v/>
      </c>
      <c r="BW343" s="161" t="str">
        <f t="shared" si="177"/>
        <v/>
      </c>
      <c r="BX343" s="161" t="str">
        <f t="shared" si="178"/>
        <v/>
      </c>
      <c r="BY343" s="148"/>
      <c r="BZ343" s="148"/>
      <c r="CA343" s="148"/>
      <c r="CB343" s="148" t="s">
        <v>149</v>
      </c>
      <c r="CC343" s="148"/>
    </row>
    <row r="344" spans="1:81" ht="14.25" customHeight="1" thickBot="1">
      <c r="A344" s="190">
        <v>334</v>
      </c>
      <c r="B344" s="79"/>
      <c r="C344" s="179"/>
      <c r="D344" s="137"/>
      <c r="E344" s="198" t="s">
        <v>29</v>
      </c>
      <c r="F344" s="199"/>
      <c r="G344" s="200"/>
      <c r="H344" s="200"/>
      <c r="I344" s="200"/>
      <c r="J344" s="200"/>
      <c r="K344" s="201">
        <f t="shared" si="158"/>
        <v>0</v>
      </c>
      <c r="L344" s="189"/>
      <c r="M344" s="84"/>
      <c r="N344" s="335"/>
      <c r="O344" s="341" t="s">
        <v>65</v>
      </c>
      <c r="P344" s="189"/>
      <c r="Q344" s="326"/>
      <c r="R344" s="326"/>
      <c r="S344" s="87"/>
      <c r="T344" s="207"/>
      <c r="U344" s="225">
        <f t="shared" si="159"/>
        <v>0</v>
      </c>
      <c r="V344" s="277"/>
      <c r="W344" s="278"/>
      <c r="X344" s="350"/>
      <c r="Y344" s="208" t="s">
        <v>147</v>
      </c>
      <c r="Z344" s="11"/>
      <c r="AA344" s="207"/>
      <c r="AB344" s="207"/>
      <c r="AC344" s="3"/>
      <c r="AD344" s="207"/>
      <c r="AE344" s="226">
        <f t="shared" si="160"/>
        <v>0</v>
      </c>
      <c r="AF344" s="11"/>
      <c r="AG344" s="3"/>
      <c r="AH344" s="359"/>
      <c r="AI344" s="96"/>
      <c r="AJ344" s="94"/>
      <c r="AK344" s="214"/>
      <c r="AL344" s="213"/>
      <c r="AM344" s="82"/>
      <c r="AN344" s="213"/>
      <c r="AO344" s="82"/>
      <c r="AP344" s="213"/>
      <c r="AQ344" s="82"/>
      <c r="AR344" s="13">
        <f t="shared" si="161"/>
        <v>3.4399999999999996E-5</v>
      </c>
      <c r="AS344" s="13">
        <f t="shared" si="162"/>
        <v>0</v>
      </c>
      <c r="AT344" s="13"/>
      <c r="AU344" s="160">
        <v>349</v>
      </c>
      <c r="AV344" s="191">
        <f t="shared" si="179"/>
        <v>6.1999999999999999E-6</v>
      </c>
      <c r="AW344" s="160">
        <f t="shared" si="163"/>
        <v>0</v>
      </c>
      <c r="AX344" s="219">
        <f t="shared" si="164"/>
        <v>3.4399999999999996E-5</v>
      </c>
      <c r="AY344" s="13">
        <f t="shared" si="167"/>
        <v>0</v>
      </c>
      <c r="AZ344" s="160">
        <v>349</v>
      </c>
      <c r="BA344" s="77">
        <f t="shared" si="180"/>
        <v>4.7999999999999998E-6</v>
      </c>
      <c r="BB344" s="192">
        <f t="shared" si="165"/>
        <v>0</v>
      </c>
      <c r="BC344" s="219">
        <f t="shared" si="168"/>
        <v>3.4399999999999996E-5</v>
      </c>
      <c r="BD344" s="13">
        <f t="shared" si="169"/>
        <v>0</v>
      </c>
      <c r="BE344" s="160">
        <v>349</v>
      </c>
      <c r="BF344" s="77">
        <f t="shared" si="181"/>
        <v>4.7999999999999998E-6</v>
      </c>
      <c r="BG344" s="192">
        <f t="shared" si="166"/>
        <v>0</v>
      </c>
      <c r="BI344" s="120"/>
      <c r="BJ344" s="120"/>
      <c r="BK344" s="160"/>
      <c r="BL344" s="160"/>
      <c r="BM344" s="161" t="str">
        <f t="shared" si="183"/>
        <v/>
      </c>
      <c r="BN344" s="161" t="str">
        <f t="shared" si="170"/>
        <v/>
      </c>
      <c r="BO344" s="161" t="str">
        <f t="shared" si="171"/>
        <v/>
      </c>
      <c r="BP344" s="161" t="str">
        <f t="shared" si="172"/>
        <v/>
      </c>
      <c r="BQ344" s="161" t="str">
        <f t="shared" si="173"/>
        <v/>
      </c>
      <c r="BR344" s="161" t="str">
        <f t="shared" si="182"/>
        <v/>
      </c>
      <c r="BS344" s="161" t="str">
        <f t="shared" si="174"/>
        <v/>
      </c>
      <c r="BT344" s="161" t="str">
        <f t="shared" si="175"/>
        <v/>
      </c>
      <c r="BU344" s="161" t="str">
        <f t="shared" si="184"/>
        <v/>
      </c>
      <c r="BV344" s="161" t="str">
        <f t="shared" si="176"/>
        <v/>
      </c>
      <c r="BW344" s="161" t="str">
        <f t="shared" si="177"/>
        <v/>
      </c>
      <c r="BX344" s="161" t="str">
        <f t="shared" si="178"/>
        <v/>
      </c>
      <c r="BY344" s="148"/>
      <c r="BZ344" s="148"/>
      <c r="CA344" s="148"/>
      <c r="CB344" s="148" t="s">
        <v>149</v>
      </c>
      <c r="CC344" s="148"/>
    </row>
    <row r="345" spans="1:81" ht="14.25" customHeight="1" thickBot="1">
      <c r="A345" s="190">
        <v>335</v>
      </c>
      <c r="B345" s="196"/>
      <c r="C345" s="180"/>
      <c r="D345" s="136"/>
      <c r="E345" s="91" t="s">
        <v>29</v>
      </c>
      <c r="F345" s="187"/>
      <c r="G345" s="188"/>
      <c r="H345" s="188"/>
      <c r="I345" s="188"/>
      <c r="J345" s="188"/>
      <c r="K345" s="18">
        <f t="shared" si="158"/>
        <v>0</v>
      </c>
      <c r="L345" s="187"/>
      <c r="M345" s="118"/>
      <c r="N345" s="336"/>
      <c r="O345" s="342" t="s">
        <v>65</v>
      </c>
      <c r="P345" s="187"/>
      <c r="Q345" s="188"/>
      <c r="R345" s="188"/>
      <c r="S345" s="119"/>
      <c r="T345" s="188"/>
      <c r="U345" s="211">
        <f t="shared" si="159"/>
        <v>0</v>
      </c>
      <c r="V345" s="279"/>
      <c r="W345" s="280"/>
      <c r="X345" s="351"/>
      <c r="Y345" s="209" t="s">
        <v>85</v>
      </c>
      <c r="Z345" s="71"/>
      <c r="AA345" s="321"/>
      <c r="AB345" s="321"/>
      <c r="AC345" s="322"/>
      <c r="AD345" s="188"/>
      <c r="AE345" s="18">
        <f t="shared" si="160"/>
        <v>0</v>
      </c>
      <c r="AF345" s="71"/>
      <c r="AG345" s="322"/>
      <c r="AH345" s="360"/>
      <c r="AI345" s="97"/>
      <c r="AJ345" s="194"/>
      <c r="AK345" s="193"/>
      <c r="AL345" s="205"/>
      <c r="AM345" s="197"/>
      <c r="AN345" s="205"/>
      <c r="AO345" s="197"/>
      <c r="AP345" s="205"/>
      <c r="AQ345" s="197"/>
      <c r="AR345" s="13">
        <f t="shared" si="161"/>
        <v>3.4499999999999998E-5</v>
      </c>
      <c r="AS345" s="13">
        <f t="shared" si="162"/>
        <v>0</v>
      </c>
      <c r="AT345" s="13"/>
      <c r="AU345" s="160">
        <v>350</v>
      </c>
      <c r="AV345" s="191">
        <f t="shared" si="179"/>
        <v>6.1E-6</v>
      </c>
      <c r="AW345" s="160">
        <f t="shared" si="163"/>
        <v>0</v>
      </c>
      <c r="AX345" s="219">
        <f t="shared" si="164"/>
        <v>3.4499999999999998E-5</v>
      </c>
      <c r="AY345" s="13">
        <f t="shared" si="167"/>
        <v>0</v>
      </c>
      <c r="AZ345" s="160">
        <v>350</v>
      </c>
      <c r="BA345" s="77">
        <f t="shared" si="180"/>
        <v>4.6999999999999999E-6</v>
      </c>
      <c r="BB345" s="192">
        <f t="shared" si="165"/>
        <v>0</v>
      </c>
      <c r="BC345" s="219">
        <f t="shared" si="168"/>
        <v>3.4499999999999998E-5</v>
      </c>
      <c r="BD345" s="13">
        <f t="shared" si="169"/>
        <v>0</v>
      </c>
      <c r="BE345" s="160">
        <v>350</v>
      </c>
      <c r="BF345" s="77">
        <f t="shared" si="181"/>
        <v>4.6999999999999999E-6</v>
      </c>
      <c r="BG345" s="192">
        <f t="shared" si="166"/>
        <v>0</v>
      </c>
      <c r="BI345" s="120"/>
      <c r="BJ345" s="120"/>
      <c r="BK345" s="160"/>
      <c r="BL345" s="160"/>
      <c r="BM345" s="161" t="str">
        <f t="shared" si="183"/>
        <v/>
      </c>
      <c r="BN345" s="161" t="str">
        <f t="shared" si="170"/>
        <v/>
      </c>
      <c r="BO345" s="161" t="str">
        <f t="shared" si="171"/>
        <v/>
      </c>
      <c r="BP345" s="161" t="str">
        <f t="shared" si="172"/>
        <v/>
      </c>
      <c r="BQ345" s="161" t="str">
        <f t="shared" si="173"/>
        <v/>
      </c>
      <c r="BR345" s="161" t="str">
        <f t="shared" si="182"/>
        <v/>
      </c>
      <c r="BS345" s="161" t="str">
        <f t="shared" si="174"/>
        <v/>
      </c>
      <c r="BT345" s="161" t="str">
        <f t="shared" si="175"/>
        <v/>
      </c>
      <c r="BU345" s="161" t="str">
        <f t="shared" si="184"/>
        <v/>
      </c>
      <c r="BV345" s="161" t="str">
        <f t="shared" si="176"/>
        <v/>
      </c>
      <c r="BW345" s="161" t="str">
        <f t="shared" si="177"/>
        <v/>
      </c>
      <c r="BX345" s="161" t="str">
        <f t="shared" si="178"/>
        <v/>
      </c>
      <c r="BY345" s="148"/>
      <c r="BZ345" s="148"/>
      <c r="CA345" s="148"/>
      <c r="CB345" s="148" t="s">
        <v>149</v>
      </c>
      <c r="CC345" s="148"/>
    </row>
    <row r="346" spans="1:81" ht="14.25" customHeight="1" thickBot="1">
      <c r="A346" s="190">
        <v>336</v>
      </c>
      <c r="B346" s="78"/>
      <c r="C346" s="181"/>
      <c r="D346" s="86"/>
      <c r="E346" s="92" t="s">
        <v>29</v>
      </c>
      <c r="F346" s="88"/>
      <c r="G346" s="93"/>
      <c r="H346" s="93"/>
      <c r="I346" s="93"/>
      <c r="J346" s="93"/>
      <c r="K346" s="81">
        <f t="shared" si="158"/>
        <v>0</v>
      </c>
      <c r="L346" s="88"/>
      <c r="M346" s="85"/>
      <c r="N346" s="337"/>
      <c r="O346" s="343" t="s">
        <v>65</v>
      </c>
      <c r="P346" s="88"/>
      <c r="Q346" s="93"/>
      <c r="R346" s="93"/>
      <c r="S346" s="89"/>
      <c r="T346" s="93"/>
      <c r="U346" s="212">
        <f t="shared" si="159"/>
        <v>0</v>
      </c>
      <c r="V346" s="281"/>
      <c r="W346" s="282"/>
      <c r="X346" s="352"/>
      <c r="Y346" s="210" t="s">
        <v>85</v>
      </c>
      <c r="Z346" s="72"/>
      <c r="AA346" s="323"/>
      <c r="AB346" s="323"/>
      <c r="AC346" s="324"/>
      <c r="AD346" s="93"/>
      <c r="AE346" s="81">
        <f t="shared" si="160"/>
        <v>0</v>
      </c>
      <c r="AF346" s="72"/>
      <c r="AG346" s="324"/>
      <c r="AH346" s="361"/>
      <c r="AI346" s="98"/>
      <c r="AJ346" s="95"/>
      <c r="AK346" s="215"/>
      <c r="AL346" s="206"/>
      <c r="AM346" s="83"/>
      <c r="AN346" s="206"/>
      <c r="AO346" s="83"/>
      <c r="AP346" s="206"/>
      <c r="AQ346" s="83"/>
      <c r="AR346" s="13">
        <f t="shared" si="161"/>
        <v>3.4600000000000001E-5</v>
      </c>
      <c r="AS346" s="13">
        <f t="shared" si="162"/>
        <v>0</v>
      </c>
      <c r="AT346" s="13"/>
      <c r="AU346" s="160">
        <v>351</v>
      </c>
      <c r="AV346" s="191">
        <f t="shared" si="179"/>
        <v>6.0000000000000002E-6</v>
      </c>
      <c r="AW346" s="160">
        <f t="shared" si="163"/>
        <v>0</v>
      </c>
      <c r="AX346" s="219">
        <f t="shared" si="164"/>
        <v>3.4600000000000001E-5</v>
      </c>
      <c r="AY346" s="13">
        <f t="shared" si="167"/>
        <v>0</v>
      </c>
      <c r="AZ346" s="160">
        <v>351</v>
      </c>
      <c r="BA346" s="77">
        <f t="shared" si="180"/>
        <v>4.6E-6</v>
      </c>
      <c r="BB346" s="192">
        <f t="shared" si="165"/>
        <v>0</v>
      </c>
      <c r="BC346" s="219">
        <f t="shared" si="168"/>
        <v>3.4600000000000001E-5</v>
      </c>
      <c r="BD346" s="13">
        <f t="shared" si="169"/>
        <v>0</v>
      </c>
      <c r="BE346" s="160">
        <v>351</v>
      </c>
      <c r="BF346" s="77">
        <f t="shared" si="181"/>
        <v>4.6E-6</v>
      </c>
      <c r="BG346" s="192">
        <f t="shared" si="166"/>
        <v>0</v>
      </c>
      <c r="BI346" s="120"/>
      <c r="BJ346" s="120"/>
      <c r="BK346" s="160"/>
      <c r="BL346" s="160"/>
      <c r="BM346" s="161" t="str">
        <f t="shared" si="183"/>
        <v/>
      </c>
      <c r="BN346" s="161" t="str">
        <f t="shared" si="170"/>
        <v/>
      </c>
      <c r="BO346" s="161" t="str">
        <f t="shared" si="171"/>
        <v/>
      </c>
      <c r="BP346" s="161" t="str">
        <f t="shared" si="172"/>
        <v/>
      </c>
      <c r="BQ346" s="161" t="str">
        <f t="shared" si="173"/>
        <v/>
      </c>
      <c r="BR346" s="161" t="str">
        <f t="shared" si="182"/>
        <v/>
      </c>
      <c r="BS346" s="161" t="str">
        <f t="shared" si="174"/>
        <v/>
      </c>
      <c r="BT346" s="161" t="str">
        <f t="shared" si="175"/>
        <v/>
      </c>
      <c r="BU346" s="161" t="str">
        <f t="shared" si="184"/>
        <v/>
      </c>
      <c r="BV346" s="161" t="str">
        <f t="shared" si="176"/>
        <v/>
      </c>
      <c r="BW346" s="161" t="str">
        <f t="shared" si="177"/>
        <v/>
      </c>
      <c r="BX346" s="161" t="str">
        <f t="shared" si="178"/>
        <v/>
      </c>
      <c r="BY346" s="148"/>
      <c r="BZ346" s="148"/>
      <c r="CA346" s="148"/>
      <c r="CB346" s="148" t="s">
        <v>149</v>
      </c>
      <c r="CC346" s="148"/>
    </row>
    <row r="347" spans="1:81" ht="14.25" customHeight="1" thickBot="1">
      <c r="A347" s="190">
        <v>337</v>
      </c>
      <c r="B347" s="79"/>
      <c r="C347" s="179"/>
      <c r="D347" s="137"/>
      <c r="E347" s="198" t="s">
        <v>29</v>
      </c>
      <c r="F347" s="199"/>
      <c r="G347" s="200"/>
      <c r="H347" s="200"/>
      <c r="I347" s="200"/>
      <c r="J347" s="200"/>
      <c r="K347" s="201">
        <f t="shared" si="158"/>
        <v>0</v>
      </c>
      <c r="L347" s="189"/>
      <c r="M347" s="84"/>
      <c r="N347" s="335"/>
      <c r="O347" s="341" t="s">
        <v>65</v>
      </c>
      <c r="P347" s="189"/>
      <c r="Q347" s="326"/>
      <c r="R347" s="326"/>
      <c r="S347" s="87"/>
      <c r="T347" s="207"/>
      <c r="U347" s="225">
        <f t="shared" si="159"/>
        <v>0</v>
      </c>
      <c r="V347" s="277"/>
      <c r="W347" s="278"/>
      <c r="X347" s="350"/>
      <c r="Y347" s="208" t="s">
        <v>147</v>
      </c>
      <c r="Z347" s="11"/>
      <c r="AA347" s="207"/>
      <c r="AB347" s="207"/>
      <c r="AC347" s="3"/>
      <c r="AD347" s="207"/>
      <c r="AE347" s="226">
        <f t="shared" si="160"/>
        <v>0</v>
      </c>
      <c r="AF347" s="11"/>
      <c r="AG347" s="3"/>
      <c r="AH347" s="359"/>
      <c r="AI347" s="96"/>
      <c r="AJ347" s="94"/>
      <c r="AK347" s="214"/>
      <c r="AL347" s="213"/>
      <c r="AM347" s="82"/>
      <c r="AN347" s="213"/>
      <c r="AO347" s="82"/>
      <c r="AP347" s="213"/>
      <c r="AQ347" s="82"/>
      <c r="AR347" s="13">
        <f t="shared" si="161"/>
        <v>3.4699999999999996E-5</v>
      </c>
      <c r="AS347" s="13">
        <f t="shared" si="162"/>
        <v>0</v>
      </c>
      <c r="AT347" s="13"/>
      <c r="AU347" s="160">
        <v>352</v>
      </c>
      <c r="AV347" s="191">
        <f t="shared" si="179"/>
        <v>5.8999999999999994E-6</v>
      </c>
      <c r="AW347" s="160">
        <f t="shared" si="163"/>
        <v>0</v>
      </c>
      <c r="AX347" s="219">
        <f t="shared" si="164"/>
        <v>3.4699999999999996E-5</v>
      </c>
      <c r="AY347" s="13">
        <f t="shared" si="167"/>
        <v>0</v>
      </c>
      <c r="AZ347" s="160">
        <v>352</v>
      </c>
      <c r="BA347" s="77">
        <f t="shared" si="180"/>
        <v>4.5000000000000001E-6</v>
      </c>
      <c r="BB347" s="192">
        <f t="shared" si="165"/>
        <v>0</v>
      </c>
      <c r="BC347" s="219">
        <f t="shared" si="168"/>
        <v>3.4699999999999996E-5</v>
      </c>
      <c r="BD347" s="13">
        <f t="shared" si="169"/>
        <v>0</v>
      </c>
      <c r="BE347" s="160">
        <v>352</v>
      </c>
      <c r="BF347" s="77">
        <f t="shared" si="181"/>
        <v>4.5000000000000001E-6</v>
      </c>
      <c r="BG347" s="192">
        <f t="shared" si="166"/>
        <v>0</v>
      </c>
      <c r="BI347" s="120"/>
      <c r="BJ347" s="120"/>
      <c r="BK347" s="160"/>
      <c r="BL347" s="160"/>
      <c r="BM347" s="161" t="str">
        <f t="shared" si="183"/>
        <v/>
      </c>
      <c r="BN347" s="161" t="str">
        <f t="shared" si="170"/>
        <v/>
      </c>
      <c r="BO347" s="161" t="str">
        <f t="shared" si="171"/>
        <v/>
      </c>
      <c r="BP347" s="161" t="str">
        <f t="shared" si="172"/>
        <v/>
      </c>
      <c r="BQ347" s="161" t="str">
        <f t="shared" si="173"/>
        <v/>
      </c>
      <c r="BR347" s="161" t="str">
        <f t="shared" si="182"/>
        <v/>
      </c>
      <c r="BS347" s="161" t="str">
        <f t="shared" si="174"/>
        <v/>
      </c>
      <c r="BT347" s="161" t="str">
        <f t="shared" si="175"/>
        <v/>
      </c>
      <c r="BU347" s="161" t="str">
        <f t="shared" si="184"/>
        <v/>
      </c>
      <c r="BV347" s="161" t="str">
        <f t="shared" si="176"/>
        <v/>
      </c>
      <c r="BW347" s="161" t="str">
        <f t="shared" si="177"/>
        <v/>
      </c>
      <c r="BX347" s="161" t="str">
        <f t="shared" si="178"/>
        <v/>
      </c>
      <c r="BY347" s="148"/>
      <c r="BZ347" s="148"/>
      <c r="CA347" s="148"/>
      <c r="CB347" s="148" t="s">
        <v>149</v>
      </c>
      <c r="CC347" s="148"/>
    </row>
    <row r="348" spans="1:81" ht="14.25" customHeight="1" thickBot="1">
      <c r="A348" s="190">
        <v>338</v>
      </c>
      <c r="B348" s="196"/>
      <c r="C348" s="180"/>
      <c r="D348" s="136"/>
      <c r="E348" s="91" t="s">
        <v>29</v>
      </c>
      <c r="F348" s="187"/>
      <c r="G348" s="188"/>
      <c r="H348" s="188"/>
      <c r="I348" s="188"/>
      <c r="J348" s="188"/>
      <c r="K348" s="18">
        <f t="shared" si="158"/>
        <v>0</v>
      </c>
      <c r="L348" s="187"/>
      <c r="M348" s="118"/>
      <c r="N348" s="336"/>
      <c r="O348" s="342" t="s">
        <v>65</v>
      </c>
      <c r="P348" s="187"/>
      <c r="Q348" s="188"/>
      <c r="R348" s="188"/>
      <c r="S348" s="119"/>
      <c r="T348" s="188"/>
      <c r="U348" s="211">
        <f t="shared" si="159"/>
        <v>0</v>
      </c>
      <c r="V348" s="279"/>
      <c r="W348" s="280"/>
      <c r="X348" s="351"/>
      <c r="Y348" s="209" t="s">
        <v>85</v>
      </c>
      <c r="Z348" s="71"/>
      <c r="AA348" s="321"/>
      <c r="AB348" s="321"/>
      <c r="AC348" s="322"/>
      <c r="AD348" s="188"/>
      <c r="AE348" s="18">
        <f t="shared" si="160"/>
        <v>0</v>
      </c>
      <c r="AF348" s="71"/>
      <c r="AG348" s="322"/>
      <c r="AH348" s="360"/>
      <c r="AI348" s="97"/>
      <c r="AJ348" s="194"/>
      <c r="AK348" s="193"/>
      <c r="AL348" s="205"/>
      <c r="AM348" s="197"/>
      <c r="AN348" s="205"/>
      <c r="AO348" s="197"/>
      <c r="AP348" s="205"/>
      <c r="AQ348" s="197"/>
      <c r="AR348" s="13">
        <f t="shared" si="161"/>
        <v>3.4799999999999999E-5</v>
      </c>
      <c r="AS348" s="13">
        <f t="shared" si="162"/>
        <v>0</v>
      </c>
      <c r="AT348" s="13"/>
      <c r="AU348" s="160">
        <v>353</v>
      </c>
      <c r="AV348" s="191">
        <f t="shared" si="179"/>
        <v>5.7999999999999995E-6</v>
      </c>
      <c r="AW348" s="160">
        <f t="shared" si="163"/>
        <v>0</v>
      </c>
      <c r="AX348" s="219">
        <f t="shared" si="164"/>
        <v>3.4799999999999999E-5</v>
      </c>
      <c r="AY348" s="13">
        <f t="shared" si="167"/>
        <v>0</v>
      </c>
      <c r="AZ348" s="160">
        <v>353</v>
      </c>
      <c r="BA348" s="77">
        <f t="shared" si="180"/>
        <v>4.4000000000000002E-6</v>
      </c>
      <c r="BB348" s="192">
        <f t="shared" si="165"/>
        <v>0</v>
      </c>
      <c r="BC348" s="219">
        <f t="shared" si="168"/>
        <v>3.4799999999999999E-5</v>
      </c>
      <c r="BD348" s="13">
        <f t="shared" si="169"/>
        <v>0</v>
      </c>
      <c r="BE348" s="160">
        <v>353</v>
      </c>
      <c r="BF348" s="77">
        <f t="shared" si="181"/>
        <v>4.4000000000000002E-6</v>
      </c>
      <c r="BG348" s="192">
        <f t="shared" si="166"/>
        <v>0</v>
      </c>
      <c r="BI348" s="120"/>
      <c r="BJ348" s="120"/>
      <c r="BK348" s="160"/>
      <c r="BL348" s="160"/>
      <c r="BM348" s="161" t="str">
        <f t="shared" si="183"/>
        <v/>
      </c>
      <c r="BN348" s="161" t="str">
        <f t="shared" si="170"/>
        <v/>
      </c>
      <c r="BO348" s="161" t="str">
        <f t="shared" si="171"/>
        <v/>
      </c>
      <c r="BP348" s="161" t="str">
        <f t="shared" si="172"/>
        <v/>
      </c>
      <c r="BQ348" s="161" t="str">
        <f t="shared" si="173"/>
        <v/>
      </c>
      <c r="BR348" s="161" t="str">
        <f t="shared" si="182"/>
        <v/>
      </c>
      <c r="BS348" s="161" t="str">
        <f t="shared" si="174"/>
        <v/>
      </c>
      <c r="BT348" s="161" t="str">
        <f t="shared" si="175"/>
        <v/>
      </c>
      <c r="BU348" s="161" t="str">
        <f t="shared" si="184"/>
        <v/>
      </c>
      <c r="BV348" s="161" t="str">
        <f t="shared" si="176"/>
        <v/>
      </c>
      <c r="BW348" s="161" t="str">
        <f t="shared" si="177"/>
        <v/>
      </c>
      <c r="BX348" s="161" t="str">
        <f t="shared" si="178"/>
        <v/>
      </c>
      <c r="BY348" s="148"/>
      <c r="BZ348" s="148"/>
      <c r="CA348" s="148"/>
      <c r="CB348" s="148" t="s">
        <v>149</v>
      </c>
      <c r="CC348" s="148"/>
    </row>
    <row r="349" spans="1:81" ht="14.25" customHeight="1" thickBot="1">
      <c r="A349" s="190">
        <v>339</v>
      </c>
      <c r="B349" s="78"/>
      <c r="C349" s="181"/>
      <c r="D349" s="86"/>
      <c r="E349" s="92" t="s">
        <v>29</v>
      </c>
      <c r="F349" s="88"/>
      <c r="G349" s="93"/>
      <c r="H349" s="93"/>
      <c r="I349" s="93"/>
      <c r="J349" s="93"/>
      <c r="K349" s="81">
        <f t="shared" si="158"/>
        <v>0</v>
      </c>
      <c r="L349" s="88"/>
      <c r="M349" s="85"/>
      <c r="N349" s="337"/>
      <c r="O349" s="343" t="s">
        <v>65</v>
      </c>
      <c r="P349" s="88"/>
      <c r="Q349" s="93"/>
      <c r="R349" s="93"/>
      <c r="S349" s="89"/>
      <c r="T349" s="93"/>
      <c r="U349" s="212">
        <f t="shared" si="159"/>
        <v>0</v>
      </c>
      <c r="V349" s="281"/>
      <c r="W349" s="282"/>
      <c r="X349" s="352"/>
      <c r="Y349" s="210" t="s">
        <v>85</v>
      </c>
      <c r="Z349" s="72"/>
      <c r="AA349" s="323"/>
      <c r="AB349" s="323"/>
      <c r="AC349" s="324"/>
      <c r="AD349" s="93"/>
      <c r="AE349" s="81">
        <f t="shared" si="160"/>
        <v>0</v>
      </c>
      <c r="AF349" s="72"/>
      <c r="AG349" s="324"/>
      <c r="AH349" s="361"/>
      <c r="AI349" s="98"/>
      <c r="AJ349" s="95"/>
      <c r="AK349" s="215"/>
      <c r="AL349" s="206"/>
      <c r="AM349" s="83"/>
      <c r="AN349" s="206"/>
      <c r="AO349" s="83"/>
      <c r="AP349" s="206"/>
      <c r="AQ349" s="83"/>
      <c r="AR349" s="13">
        <f t="shared" si="161"/>
        <v>3.4900000000000001E-5</v>
      </c>
      <c r="AS349" s="13">
        <f t="shared" si="162"/>
        <v>0</v>
      </c>
      <c r="AT349" s="13"/>
      <c r="AU349" s="160">
        <v>354</v>
      </c>
      <c r="AV349" s="191">
        <f t="shared" si="179"/>
        <v>5.6999999999999996E-6</v>
      </c>
      <c r="AW349" s="160">
        <f t="shared" si="163"/>
        <v>0</v>
      </c>
      <c r="AX349" s="219">
        <f t="shared" si="164"/>
        <v>3.4900000000000001E-5</v>
      </c>
      <c r="AY349" s="13">
        <f t="shared" si="167"/>
        <v>0</v>
      </c>
      <c r="AZ349" s="160">
        <v>354</v>
      </c>
      <c r="BA349" s="77">
        <f t="shared" si="180"/>
        <v>4.2999999999999995E-6</v>
      </c>
      <c r="BB349" s="192">
        <f t="shared" si="165"/>
        <v>0</v>
      </c>
      <c r="BC349" s="219">
        <f t="shared" si="168"/>
        <v>3.4900000000000001E-5</v>
      </c>
      <c r="BD349" s="13">
        <f t="shared" si="169"/>
        <v>0</v>
      </c>
      <c r="BE349" s="160">
        <v>354</v>
      </c>
      <c r="BF349" s="77">
        <f t="shared" si="181"/>
        <v>4.2999999999999995E-6</v>
      </c>
      <c r="BG349" s="192">
        <f t="shared" si="166"/>
        <v>0</v>
      </c>
      <c r="BI349" s="120"/>
      <c r="BJ349" s="120"/>
      <c r="BK349" s="160"/>
      <c r="BL349" s="160"/>
      <c r="BM349" s="161" t="str">
        <f t="shared" si="183"/>
        <v/>
      </c>
      <c r="BN349" s="161" t="str">
        <f t="shared" si="170"/>
        <v/>
      </c>
      <c r="BO349" s="161" t="str">
        <f t="shared" si="171"/>
        <v/>
      </c>
      <c r="BP349" s="161" t="str">
        <f t="shared" si="172"/>
        <v/>
      </c>
      <c r="BQ349" s="161" t="str">
        <f t="shared" si="173"/>
        <v/>
      </c>
      <c r="BR349" s="161" t="str">
        <f t="shared" si="182"/>
        <v/>
      </c>
      <c r="BS349" s="161" t="str">
        <f t="shared" si="174"/>
        <v/>
      </c>
      <c r="BT349" s="161" t="str">
        <f t="shared" si="175"/>
        <v/>
      </c>
      <c r="BU349" s="161" t="str">
        <f t="shared" si="184"/>
        <v/>
      </c>
      <c r="BV349" s="161" t="str">
        <f t="shared" si="176"/>
        <v/>
      </c>
      <c r="BW349" s="161" t="str">
        <f t="shared" si="177"/>
        <v/>
      </c>
      <c r="BX349" s="161" t="str">
        <f t="shared" si="178"/>
        <v/>
      </c>
      <c r="BY349" s="148"/>
      <c r="BZ349" s="148"/>
      <c r="CA349" s="148"/>
      <c r="CB349" s="148" t="s">
        <v>149</v>
      </c>
      <c r="CC349" s="148"/>
    </row>
    <row r="350" spans="1:81" ht="14.25" customHeight="1" thickBot="1">
      <c r="A350" s="190">
        <v>340</v>
      </c>
      <c r="B350" s="79"/>
      <c r="C350" s="179"/>
      <c r="D350" s="137"/>
      <c r="E350" s="198" t="s">
        <v>29</v>
      </c>
      <c r="F350" s="199"/>
      <c r="G350" s="200"/>
      <c r="H350" s="200"/>
      <c r="I350" s="200"/>
      <c r="J350" s="200"/>
      <c r="K350" s="201">
        <f t="shared" si="158"/>
        <v>0</v>
      </c>
      <c r="L350" s="189"/>
      <c r="M350" s="84"/>
      <c r="N350" s="335"/>
      <c r="O350" s="341" t="s">
        <v>65</v>
      </c>
      <c r="P350" s="189"/>
      <c r="Q350" s="326"/>
      <c r="R350" s="326"/>
      <c r="S350" s="87"/>
      <c r="T350" s="207"/>
      <c r="U350" s="225">
        <f t="shared" si="159"/>
        <v>0</v>
      </c>
      <c r="V350" s="277"/>
      <c r="W350" s="278"/>
      <c r="X350" s="350"/>
      <c r="Y350" s="208" t="s">
        <v>147</v>
      </c>
      <c r="Z350" s="11"/>
      <c r="AA350" s="207"/>
      <c r="AB350" s="207"/>
      <c r="AC350" s="3"/>
      <c r="AD350" s="207"/>
      <c r="AE350" s="226">
        <f t="shared" si="160"/>
        <v>0</v>
      </c>
      <c r="AF350" s="11"/>
      <c r="AG350" s="3"/>
      <c r="AH350" s="359"/>
      <c r="AI350" s="96"/>
      <c r="AJ350" s="94"/>
      <c r="AK350" s="214"/>
      <c r="AL350" s="213"/>
      <c r="AM350" s="82"/>
      <c r="AN350" s="213"/>
      <c r="AO350" s="82"/>
      <c r="AP350" s="213"/>
      <c r="AQ350" s="82"/>
      <c r="AR350" s="13">
        <f t="shared" si="161"/>
        <v>3.4999999999999997E-5</v>
      </c>
      <c r="AS350" s="13">
        <f t="shared" si="162"/>
        <v>0</v>
      </c>
      <c r="AT350" s="13"/>
      <c r="AU350" s="160">
        <v>355</v>
      </c>
      <c r="AV350" s="191">
        <f t="shared" si="179"/>
        <v>5.5999999999999997E-6</v>
      </c>
      <c r="AW350" s="160">
        <f t="shared" si="163"/>
        <v>0</v>
      </c>
      <c r="AX350" s="219">
        <f t="shared" si="164"/>
        <v>3.4999999999999997E-5</v>
      </c>
      <c r="AY350" s="13">
        <f t="shared" si="167"/>
        <v>0</v>
      </c>
      <c r="AZ350" s="160">
        <v>355</v>
      </c>
      <c r="BA350" s="77">
        <f t="shared" si="180"/>
        <v>4.1999999999999996E-6</v>
      </c>
      <c r="BB350" s="192">
        <f t="shared" si="165"/>
        <v>0</v>
      </c>
      <c r="BC350" s="219">
        <f t="shared" si="168"/>
        <v>3.4999999999999997E-5</v>
      </c>
      <c r="BD350" s="13">
        <f t="shared" si="169"/>
        <v>0</v>
      </c>
      <c r="BE350" s="160">
        <v>355</v>
      </c>
      <c r="BF350" s="77">
        <f t="shared" si="181"/>
        <v>4.1999999999999996E-6</v>
      </c>
      <c r="BG350" s="192">
        <f t="shared" si="166"/>
        <v>0</v>
      </c>
      <c r="BI350" s="120"/>
      <c r="BJ350" s="120"/>
      <c r="BK350" s="160"/>
      <c r="BL350" s="160"/>
      <c r="BM350" s="161" t="str">
        <f t="shared" si="183"/>
        <v/>
      </c>
      <c r="BN350" s="161" t="str">
        <f t="shared" si="170"/>
        <v/>
      </c>
      <c r="BO350" s="161" t="str">
        <f t="shared" si="171"/>
        <v/>
      </c>
      <c r="BP350" s="161" t="str">
        <f t="shared" si="172"/>
        <v/>
      </c>
      <c r="BQ350" s="161" t="str">
        <f t="shared" si="173"/>
        <v/>
      </c>
      <c r="BR350" s="161" t="str">
        <f t="shared" si="182"/>
        <v/>
      </c>
      <c r="BS350" s="161" t="str">
        <f t="shared" si="174"/>
        <v/>
      </c>
      <c r="BT350" s="161" t="str">
        <f t="shared" si="175"/>
        <v/>
      </c>
      <c r="BU350" s="161" t="str">
        <f t="shared" si="184"/>
        <v/>
      </c>
      <c r="BV350" s="161" t="str">
        <f t="shared" si="176"/>
        <v/>
      </c>
      <c r="BW350" s="161" t="str">
        <f t="shared" si="177"/>
        <v/>
      </c>
      <c r="BX350" s="161" t="str">
        <f t="shared" si="178"/>
        <v/>
      </c>
      <c r="BY350" s="148"/>
      <c r="BZ350" s="148"/>
      <c r="CA350" s="148"/>
      <c r="CB350" s="148" t="s">
        <v>149</v>
      </c>
      <c r="CC350" s="148"/>
    </row>
    <row r="351" spans="1:81" ht="14.25" customHeight="1" thickBot="1">
      <c r="A351" s="190">
        <v>341</v>
      </c>
      <c r="B351" s="196"/>
      <c r="C351" s="180"/>
      <c r="D351" s="136"/>
      <c r="E351" s="91" t="s">
        <v>29</v>
      </c>
      <c r="F351" s="187"/>
      <c r="G351" s="188"/>
      <c r="H351" s="188"/>
      <c r="I351" s="188"/>
      <c r="J351" s="188"/>
      <c r="K351" s="18">
        <f t="shared" si="158"/>
        <v>0</v>
      </c>
      <c r="L351" s="187"/>
      <c r="M351" s="118"/>
      <c r="N351" s="336"/>
      <c r="O351" s="342" t="s">
        <v>65</v>
      </c>
      <c r="P351" s="187"/>
      <c r="Q351" s="188"/>
      <c r="R351" s="188"/>
      <c r="S351" s="119"/>
      <c r="T351" s="188"/>
      <c r="U351" s="211">
        <f t="shared" si="159"/>
        <v>0</v>
      </c>
      <c r="V351" s="279"/>
      <c r="W351" s="280"/>
      <c r="X351" s="351"/>
      <c r="Y351" s="209" t="s">
        <v>85</v>
      </c>
      <c r="Z351" s="71"/>
      <c r="AA351" s="321"/>
      <c r="AB351" s="321"/>
      <c r="AC351" s="322"/>
      <c r="AD351" s="188"/>
      <c r="AE351" s="18">
        <f t="shared" si="160"/>
        <v>0</v>
      </c>
      <c r="AF351" s="71"/>
      <c r="AG351" s="322"/>
      <c r="AH351" s="360"/>
      <c r="AI351" s="97"/>
      <c r="AJ351" s="194"/>
      <c r="AK351" s="193"/>
      <c r="AL351" s="205"/>
      <c r="AM351" s="197"/>
      <c r="AN351" s="205"/>
      <c r="AO351" s="197"/>
      <c r="AP351" s="205"/>
      <c r="AQ351" s="197"/>
      <c r="AR351" s="13">
        <f t="shared" si="161"/>
        <v>3.5099999999999999E-5</v>
      </c>
      <c r="AS351" s="13">
        <f t="shared" si="162"/>
        <v>0</v>
      </c>
      <c r="AT351" s="13"/>
      <c r="AU351" s="160">
        <v>356</v>
      </c>
      <c r="AV351" s="191">
        <f t="shared" si="179"/>
        <v>5.4999999999999999E-6</v>
      </c>
      <c r="AW351" s="160">
        <f t="shared" si="163"/>
        <v>0</v>
      </c>
      <c r="AX351" s="219">
        <f t="shared" si="164"/>
        <v>3.5099999999999999E-5</v>
      </c>
      <c r="AY351" s="13">
        <f t="shared" si="167"/>
        <v>0</v>
      </c>
      <c r="AZ351" s="160">
        <v>356</v>
      </c>
      <c r="BA351" s="77">
        <f t="shared" si="180"/>
        <v>4.0999999999999997E-6</v>
      </c>
      <c r="BB351" s="192">
        <f t="shared" si="165"/>
        <v>0</v>
      </c>
      <c r="BC351" s="219">
        <f t="shared" si="168"/>
        <v>3.5099999999999999E-5</v>
      </c>
      <c r="BD351" s="13">
        <f t="shared" si="169"/>
        <v>0</v>
      </c>
      <c r="BE351" s="160">
        <v>356</v>
      </c>
      <c r="BF351" s="77">
        <f t="shared" si="181"/>
        <v>4.0999999999999997E-6</v>
      </c>
      <c r="BG351" s="192">
        <f t="shared" si="166"/>
        <v>0</v>
      </c>
      <c r="BI351" s="120"/>
      <c r="BJ351" s="120"/>
      <c r="BK351" s="160"/>
      <c r="BL351" s="160"/>
      <c r="BM351" s="161" t="str">
        <f t="shared" si="183"/>
        <v/>
      </c>
      <c r="BN351" s="161" t="str">
        <f t="shared" si="170"/>
        <v/>
      </c>
      <c r="BO351" s="161" t="str">
        <f t="shared" si="171"/>
        <v/>
      </c>
      <c r="BP351" s="161" t="str">
        <f t="shared" si="172"/>
        <v/>
      </c>
      <c r="BQ351" s="161" t="str">
        <f t="shared" si="173"/>
        <v/>
      </c>
      <c r="BR351" s="161" t="str">
        <f t="shared" si="182"/>
        <v/>
      </c>
      <c r="BS351" s="161" t="str">
        <f t="shared" si="174"/>
        <v/>
      </c>
      <c r="BT351" s="161" t="str">
        <f t="shared" si="175"/>
        <v/>
      </c>
      <c r="BU351" s="161" t="str">
        <f t="shared" si="184"/>
        <v/>
      </c>
      <c r="BV351" s="161" t="str">
        <f t="shared" si="176"/>
        <v/>
      </c>
      <c r="BW351" s="161" t="str">
        <f t="shared" si="177"/>
        <v/>
      </c>
      <c r="BX351" s="161" t="str">
        <f t="shared" si="178"/>
        <v/>
      </c>
      <c r="BY351" s="148"/>
      <c r="BZ351" s="148"/>
      <c r="CA351" s="148"/>
      <c r="CB351" s="148" t="s">
        <v>149</v>
      </c>
      <c r="CC351" s="148"/>
    </row>
    <row r="352" spans="1:81" ht="14.25" customHeight="1" thickBot="1">
      <c r="A352" s="190">
        <v>342</v>
      </c>
      <c r="B352" s="78"/>
      <c r="C352" s="181"/>
      <c r="D352" s="86"/>
      <c r="E352" s="92" t="s">
        <v>29</v>
      </c>
      <c r="F352" s="88"/>
      <c r="G352" s="93"/>
      <c r="H352" s="93"/>
      <c r="I352" s="93"/>
      <c r="J352" s="93"/>
      <c r="K352" s="81">
        <f t="shared" si="158"/>
        <v>0</v>
      </c>
      <c r="L352" s="88"/>
      <c r="M352" s="85"/>
      <c r="N352" s="337"/>
      <c r="O352" s="343" t="s">
        <v>65</v>
      </c>
      <c r="P352" s="88"/>
      <c r="Q352" s="93"/>
      <c r="R352" s="93"/>
      <c r="S352" s="89"/>
      <c r="T352" s="93"/>
      <c r="U352" s="212">
        <f t="shared" si="159"/>
        <v>0</v>
      </c>
      <c r="V352" s="281"/>
      <c r="W352" s="282"/>
      <c r="X352" s="352"/>
      <c r="Y352" s="210" t="s">
        <v>85</v>
      </c>
      <c r="Z352" s="72"/>
      <c r="AA352" s="323"/>
      <c r="AB352" s="323"/>
      <c r="AC352" s="324"/>
      <c r="AD352" s="93"/>
      <c r="AE352" s="81">
        <f t="shared" si="160"/>
        <v>0</v>
      </c>
      <c r="AF352" s="72"/>
      <c r="AG352" s="324"/>
      <c r="AH352" s="361"/>
      <c r="AI352" s="98"/>
      <c r="AJ352" s="95"/>
      <c r="AK352" s="215"/>
      <c r="AL352" s="206"/>
      <c r="AM352" s="83"/>
      <c r="AN352" s="206"/>
      <c r="AO352" s="83"/>
      <c r="AP352" s="206"/>
      <c r="AQ352" s="83"/>
      <c r="AR352" s="13">
        <f t="shared" si="161"/>
        <v>3.5200000000000002E-5</v>
      </c>
      <c r="AS352" s="13">
        <f t="shared" si="162"/>
        <v>0</v>
      </c>
      <c r="AT352" s="13"/>
      <c r="AU352" s="160">
        <v>357</v>
      </c>
      <c r="AV352" s="191">
        <f t="shared" si="179"/>
        <v>5.4E-6</v>
      </c>
      <c r="AW352" s="160">
        <f t="shared" si="163"/>
        <v>0</v>
      </c>
      <c r="AX352" s="219">
        <f t="shared" si="164"/>
        <v>3.5200000000000002E-5</v>
      </c>
      <c r="AY352" s="13">
        <f t="shared" si="167"/>
        <v>0</v>
      </c>
      <c r="AZ352" s="160">
        <v>357</v>
      </c>
      <c r="BA352" s="77">
        <f t="shared" si="180"/>
        <v>3.9999999999999998E-6</v>
      </c>
      <c r="BB352" s="192">
        <f t="shared" si="165"/>
        <v>0</v>
      </c>
      <c r="BC352" s="219">
        <f t="shared" si="168"/>
        <v>3.5200000000000002E-5</v>
      </c>
      <c r="BD352" s="13">
        <f t="shared" si="169"/>
        <v>0</v>
      </c>
      <c r="BE352" s="160">
        <v>357</v>
      </c>
      <c r="BF352" s="77">
        <f t="shared" si="181"/>
        <v>3.9999999999999998E-6</v>
      </c>
      <c r="BG352" s="192">
        <f t="shared" si="166"/>
        <v>0</v>
      </c>
      <c r="BI352" s="120"/>
      <c r="BJ352" s="120"/>
      <c r="BK352" s="160"/>
      <c r="BL352" s="160"/>
      <c r="BM352" s="161" t="str">
        <f t="shared" si="183"/>
        <v/>
      </c>
      <c r="BN352" s="161" t="str">
        <f t="shared" si="170"/>
        <v/>
      </c>
      <c r="BO352" s="161" t="str">
        <f t="shared" si="171"/>
        <v/>
      </c>
      <c r="BP352" s="161" t="str">
        <f t="shared" si="172"/>
        <v/>
      </c>
      <c r="BQ352" s="161" t="str">
        <f t="shared" si="173"/>
        <v/>
      </c>
      <c r="BR352" s="161" t="str">
        <f t="shared" si="182"/>
        <v/>
      </c>
      <c r="BS352" s="161" t="str">
        <f t="shared" si="174"/>
        <v/>
      </c>
      <c r="BT352" s="161" t="str">
        <f t="shared" si="175"/>
        <v/>
      </c>
      <c r="BU352" s="161" t="str">
        <f t="shared" si="184"/>
        <v/>
      </c>
      <c r="BV352" s="161" t="str">
        <f t="shared" si="176"/>
        <v/>
      </c>
      <c r="BW352" s="161" t="str">
        <f t="shared" si="177"/>
        <v/>
      </c>
      <c r="BX352" s="161" t="str">
        <f t="shared" si="178"/>
        <v/>
      </c>
      <c r="BY352" s="148"/>
      <c r="BZ352" s="148"/>
      <c r="CA352" s="148"/>
      <c r="CB352" s="148" t="s">
        <v>149</v>
      </c>
      <c r="CC352" s="148"/>
    </row>
    <row r="353" spans="1:81" ht="14.25" customHeight="1" thickBot="1">
      <c r="A353" s="190">
        <v>343</v>
      </c>
      <c r="B353" s="79"/>
      <c r="C353" s="179"/>
      <c r="D353" s="137"/>
      <c r="E353" s="198" t="s">
        <v>29</v>
      </c>
      <c r="F353" s="199"/>
      <c r="G353" s="200"/>
      <c r="H353" s="200"/>
      <c r="I353" s="200"/>
      <c r="J353" s="200"/>
      <c r="K353" s="201">
        <f t="shared" si="158"/>
        <v>0</v>
      </c>
      <c r="L353" s="189"/>
      <c r="M353" s="84"/>
      <c r="N353" s="335"/>
      <c r="O353" s="341" t="s">
        <v>65</v>
      </c>
      <c r="P353" s="189"/>
      <c r="Q353" s="326"/>
      <c r="R353" s="326"/>
      <c r="S353" s="87"/>
      <c r="T353" s="207"/>
      <c r="U353" s="225">
        <f t="shared" si="159"/>
        <v>0</v>
      </c>
      <c r="V353" s="277"/>
      <c r="W353" s="278"/>
      <c r="X353" s="350"/>
      <c r="Y353" s="208" t="s">
        <v>147</v>
      </c>
      <c r="Z353" s="11"/>
      <c r="AA353" s="207"/>
      <c r="AB353" s="207"/>
      <c r="AC353" s="3"/>
      <c r="AD353" s="207"/>
      <c r="AE353" s="226">
        <f t="shared" si="160"/>
        <v>0</v>
      </c>
      <c r="AF353" s="11"/>
      <c r="AG353" s="3"/>
      <c r="AH353" s="359"/>
      <c r="AI353" s="96"/>
      <c r="AJ353" s="94"/>
      <c r="AK353" s="214"/>
      <c r="AL353" s="213"/>
      <c r="AM353" s="82"/>
      <c r="AN353" s="213"/>
      <c r="AO353" s="82"/>
      <c r="AP353" s="213"/>
      <c r="AQ353" s="82"/>
      <c r="AR353" s="13">
        <f t="shared" si="161"/>
        <v>3.5299999999999997E-5</v>
      </c>
      <c r="AS353" s="13">
        <f t="shared" si="162"/>
        <v>0</v>
      </c>
      <c r="AT353" s="13"/>
      <c r="AU353" s="160">
        <v>358</v>
      </c>
      <c r="AV353" s="191">
        <f t="shared" si="179"/>
        <v>5.3000000000000001E-6</v>
      </c>
      <c r="AW353" s="160">
        <f t="shared" si="163"/>
        <v>0</v>
      </c>
      <c r="AX353" s="219">
        <f t="shared" si="164"/>
        <v>3.5299999999999997E-5</v>
      </c>
      <c r="AY353" s="13">
        <f t="shared" si="167"/>
        <v>0</v>
      </c>
      <c r="AZ353" s="160">
        <v>358</v>
      </c>
      <c r="BA353" s="77">
        <f t="shared" si="180"/>
        <v>3.8999999999999999E-6</v>
      </c>
      <c r="BB353" s="192">
        <f t="shared" si="165"/>
        <v>0</v>
      </c>
      <c r="BC353" s="219">
        <f t="shared" si="168"/>
        <v>3.5299999999999997E-5</v>
      </c>
      <c r="BD353" s="13">
        <f t="shared" si="169"/>
        <v>0</v>
      </c>
      <c r="BE353" s="160">
        <v>358</v>
      </c>
      <c r="BF353" s="77">
        <f t="shared" si="181"/>
        <v>3.8999999999999999E-6</v>
      </c>
      <c r="BG353" s="192">
        <f t="shared" si="166"/>
        <v>0</v>
      </c>
      <c r="BI353" s="120"/>
      <c r="BJ353" s="120"/>
      <c r="BK353" s="160"/>
      <c r="BL353" s="160"/>
      <c r="BM353" s="161" t="str">
        <f t="shared" si="183"/>
        <v/>
      </c>
      <c r="BN353" s="161" t="str">
        <f t="shared" si="170"/>
        <v/>
      </c>
      <c r="BO353" s="161" t="str">
        <f t="shared" si="171"/>
        <v/>
      </c>
      <c r="BP353" s="161" t="str">
        <f t="shared" si="172"/>
        <v/>
      </c>
      <c r="BQ353" s="161" t="str">
        <f t="shared" si="173"/>
        <v/>
      </c>
      <c r="BR353" s="161" t="str">
        <f t="shared" si="182"/>
        <v/>
      </c>
      <c r="BS353" s="161" t="str">
        <f t="shared" si="174"/>
        <v/>
      </c>
      <c r="BT353" s="161" t="str">
        <f t="shared" si="175"/>
        <v/>
      </c>
      <c r="BU353" s="161" t="str">
        <f t="shared" si="184"/>
        <v/>
      </c>
      <c r="BV353" s="161" t="str">
        <f t="shared" si="176"/>
        <v/>
      </c>
      <c r="BW353" s="161" t="str">
        <f t="shared" si="177"/>
        <v/>
      </c>
      <c r="BX353" s="161" t="str">
        <f t="shared" si="178"/>
        <v/>
      </c>
      <c r="BY353" s="148"/>
      <c r="BZ353" s="148"/>
      <c r="CA353" s="148"/>
      <c r="CB353" s="148" t="s">
        <v>149</v>
      </c>
      <c r="CC353" s="148"/>
    </row>
    <row r="354" spans="1:81" ht="14.25" customHeight="1" thickBot="1">
      <c r="A354" s="190">
        <v>344</v>
      </c>
      <c r="B354" s="196"/>
      <c r="C354" s="180"/>
      <c r="D354" s="136"/>
      <c r="E354" s="91" t="s">
        <v>29</v>
      </c>
      <c r="F354" s="187"/>
      <c r="G354" s="188"/>
      <c r="H354" s="188"/>
      <c r="I354" s="188"/>
      <c r="J354" s="188"/>
      <c r="K354" s="18">
        <f t="shared" si="158"/>
        <v>0</v>
      </c>
      <c r="L354" s="187"/>
      <c r="M354" s="118"/>
      <c r="N354" s="336"/>
      <c r="O354" s="342" t="s">
        <v>65</v>
      </c>
      <c r="P354" s="187"/>
      <c r="Q354" s="188"/>
      <c r="R354" s="188"/>
      <c r="S354" s="119"/>
      <c r="T354" s="188"/>
      <c r="U354" s="211">
        <f t="shared" si="159"/>
        <v>0</v>
      </c>
      <c r="V354" s="279"/>
      <c r="W354" s="280"/>
      <c r="X354" s="351"/>
      <c r="Y354" s="209" t="s">
        <v>85</v>
      </c>
      <c r="Z354" s="71"/>
      <c r="AA354" s="321"/>
      <c r="AB354" s="321"/>
      <c r="AC354" s="322"/>
      <c r="AD354" s="188"/>
      <c r="AE354" s="18">
        <f t="shared" si="160"/>
        <v>0</v>
      </c>
      <c r="AF354" s="71"/>
      <c r="AG354" s="322"/>
      <c r="AH354" s="360"/>
      <c r="AI354" s="97"/>
      <c r="AJ354" s="194"/>
      <c r="AK354" s="193"/>
      <c r="AL354" s="205"/>
      <c r="AM354" s="197"/>
      <c r="AN354" s="205"/>
      <c r="AO354" s="197"/>
      <c r="AP354" s="205"/>
      <c r="AQ354" s="197"/>
      <c r="AR354" s="13">
        <f t="shared" si="161"/>
        <v>3.54E-5</v>
      </c>
      <c r="AS354" s="13">
        <f t="shared" si="162"/>
        <v>0</v>
      </c>
      <c r="AT354" s="13"/>
      <c r="AU354" s="160">
        <v>359</v>
      </c>
      <c r="AV354" s="191">
        <f t="shared" si="179"/>
        <v>5.1999999999999993E-6</v>
      </c>
      <c r="AW354" s="160">
        <f t="shared" si="163"/>
        <v>0</v>
      </c>
      <c r="AX354" s="219">
        <f t="shared" si="164"/>
        <v>3.54E-5</v>
      </c>
      <c r="AY354" s="13">
        <f t="shared" si="167"/>
        <v>0</v>
      </c>
      <c r="AZ354" s="160">
        <v>359</v>
      </c>
      <c r="BA354" s="77">
        <f t="shared" si="180"/>
        <v>3.8E-6</v>
      </c>
      <c r="BB354" s="192">
        <f t="shared" si="165"/>
        <v>0</v>
      </c>
      <c r="BC354" s="219">
        <f t="shared" si="168"/>
        <v>3.54E-5</v>
      </c>
      <c r="BD354" s="13">
        <f t="shared" si="169"/>
        <v>0</v>
      </c>
      <c r="BE354" s="160">
        <v>359</v>
      </c>
      <c r="BF354" s="77">
        <f t="shared" si="181"/>
        <v>3.8E-6</v>
      </c>
      <c r="BG354" s="192">
        <f t="shared" si="166"/>
        <v>0</v>
      </c>
      <c r="BI354" s="120"/>
      <c r="BJ354" s="120"/>
      <c r="BK354" s="160"/>
      <c r="BL354" s="160"/>
      <c r="BM354" s="161" t="str">
        <f t="shared" si="183"/>
        <v/>
      </c>
      <c r="BN354" s="161" t="str">
        <f t="shared" si="170"/>
        <v/>
      </c>
      <c r="BO354" s="161" t="str">
        <f t="shared" si="171"/>
        <v/>
      </c>
      <c r="BP354" s="161" t="str">
        <f t="shared" si="172"/>
        <v/>
      </c>
      <c r="BQ354" s="161" t="str">
        <f t="shared" si="173"/>
        <v/>
      </c>
      <c r="BR354" s="161" t="str">
        <f t="shared" si="182"/>
        <v/>
      </c>
      <c r="BS354" s="161" t="str">
        <f t="shared" si="174"/>
        <v/>
      </c>
      <c r="BT354" s="161" t="str">
        <f t="shared" si="175"/>
        <v/>
      </c>
      <c r="BU354" s="161" t="str">
        <f t="shared" si="184"/>
        <v/>
      </c>
      <c r="BV354" s="161" t="str">
        <f t="shared" si="176"/>
        <v/>
      </c>
      <c r="BW354" s="161" t="str">
        <f t="shared" si="177"/>
        <v/>
      </c>
      <c r="BX354" s="161" t="str">
        <f t="shared" si="178"/>
        <v/>
      </c>
      <c r="BY354" s="148"/>
      <c r="BZ354" s="148"/>
      <c r="CA354" s="148"/>
      <c r="CB354" s="148" t="s">
        <v>149</v>
      </c>
      <c r="CC354" s="148"/>
    </row>
    <row r="355" spans="1:81" ht="14.25" customHeight="1" thickBot="1">
      <c r="A355" s="190">
        <v>345</v>
      </c>
      <c r="B355" s="78"/>
      <c r="C355" s="181"/>
      <c r="D355" s="86"/>
      <c r="E355" s="92" t="s">
        <v>29</v>
      </c>
      <c r="F355" s="88"/>
      <c r="G355" s="93"/>
      <c r="H355" s="93"/>
      <c r="I355" s="93"/>
      <c r="J355" s="93"/>
      <c r="K355" s="81">
        <f t="shared" si="158"/>
        <v>0</v>
      </c>
      <c r="L355" s="88"/>
      <c r="M355" s="85"/>
      <c r="N355" s="337"/>
      <c r="O355" s="343" t="s">
        <v>65</v>
      </c>
      <c r="P355" s="88"/>
      <c r="Q355" s="93"/>
      <c r="R355" s="93"/>
      <c r="S355" s="89"/>
      <c r="T355" s="93"/>
      <c r="U355" s="212">
        <f t="shared" si="159"/>
        <v>0</v>
      </c>
      <c r="V355" s="281"/>
      <c r="W355" s="282"/>
      <c r="X355" s="352"/>
      <c r="Y355" s="210" t="s">
        <v>85</v>
      </c>
      <c r="Z355" s="72"/>
      <c r="AA355" s="323"/>
      <c r="AB355" s="323"/>
      <c r="AC355" s="324"/>
      <c r="AD355" s="93"/>
      <c r="AE355" s="81">
        <f t="shared" si="160"/>
        <v>0</v>
      </c>
      <c r="AF355" s="72"/>
      <c r="AG355" s="324"/>
      <c r="AH355" s="361"/>
      <c r="AI355" s="98"/>
      <c r="AJ355" s="95"/>
      <c r="AK355" s="215"/>
      <c r="AL355" s="206"/>
      <c r="AM355" s="83"/>
      <c r="AN355" s="206"/>
      <c r="AO355" s="83"/>
      <c r="AP355" s="206"/>
      <c r="AQ355" s="83"/>
      <c r="AR355" s="13">
        <f t="shared" si="161"/>
        <v>3.5499999999999996E-5</v>
      </c>
      <c r="AS355" s="13">
        <f t="shared" si="162"/>
        <v>0</v>
      </c>
      <c r="AT355" s="13"/>
      <c r="AU355" s="160">
        <v>360</v>
      </c>
      <c r="AV355" s="191">
        <f t="shared" si="179"/>
        <v>5.0999999999999995E-6</v>
      </c>
      <c r="AW355" s="160">
        <f t="shared" si="163"/>
        <v>0</v>
      </c>
      <c r="AX355" s="219">
        <f t="shared" si="164"/>
        <v>3.5499999999999996E-5</v>
      </c>
      <c r="AY355" s="13">
        <f t="shared" si="167"/>
        <v>0</v>
      </c>
      <c r="AZ355" s="160">
        <v>360</v>
      </c>
      <c r="BA355" s="77">
        <f t="shared" si="180"/>
        <v>3.6999999999999997E-6</v>
      </c>
      <c r="BB355" s="192">
        <f t="shared" si="165"/>
        <v>0</v>
      </c>
      <c r="BC355" s="219">
        <f t="shared" si="168"/>
        <v>3.5499999999999996E-5</v>
      </c>
      <c r="BD355" s="13">
        <f t="shared" si="169"/>
        <v>0</v>
      </c>
      <c r="BE355" s="160">
        <v>360</v>
      </c>
      <c r="BF355" s="77">
        <f t="shared" si="181"/>
        <v>3.6999999999999997E-6</v>
      </c>
      <c r="BG355" s="192">
        <f t="shared" si="166"/>
        <v>0</v>
      </c>
      <c r="BI355" s="120"/>
      <c r="BJ355" s="120"/>
      <c r="BK355" s="160"/>
      <c r="BL355" s="160"/>
      <c r="BM355" s="161" t="str">
        <f t="shared" si="183"/>
        <v/>
      </c>
      <c r="BN355" s="161" t="str">
        <f t="shared" si="170"/>
        <v/>
      </c>
      <c r="BO355" s="161" t="str">
        <f t="shared" si="171"/>
        <v/>
      </c>
      <c r="BP355" s="161" t="str">
        <f t="shared" si="172"/>
        <v/>
      </c>
      <c r="BQ355" s="161" t="str">
        <f t="shared" si="173"/>
        <v/>
      </c>
      <c r="BR355" s="161" t="str">
        <f t="shared" si="182"/>
        <v/>
      </c>
      <c r="BS355" s="161" t="str">
        <f t="shared" si="174"/>
        <v/>
      </c>
      <c r="BT355" s="161" t="str">
        <f t="shared" si="175"/>
        <v/>
      </c>
      <c r="BU355" s="161" t="str">
        <f t="shared" si="184"/>
        <v/>
      </c>
      <c r="BV355" s="161" t="str">
        <f t="shared" si="176"/>
        <v/>
      </c>
      <c r="BW355" s="161" t="str">
        <f t="shared" si="177"/>
        <v/>
      </c>
      <c r="BX355" s="161" t="str">
        <f t="shared" si="178"/>
        <v/>
      </c>
      <c r="BY355" s="148"/>
      <c r="BZ355" s="148"/>
      <c r="CA355" s="148"/>
      <c r="CB355" s="148" t="s">
        <v>149</v>
      </c>
      <c r="CC355" s="148"/>
    </row>
    <row r="356" spans="1:81" ht="14.25" customHeight="1" thickBot="1">
      <c r="A356" s="190">
        <v>346</v>
      </c>
      <c r="B356" s="79"/>
      <c r="C356" s="179"/>
      <c r="D356" s="137"/>
      <c r="E356" s="198" t="s">
        <v>29</v>
      </c>
      <c r="F356" s="199"/>
      <c r="G356" s="200"/>
      <c r="H356" s="200"/>
      <c r="I356" s="200"/>
      <c r="J356" s="200"/>
      <c r="K356" s="201">
        <f t="shared" si="158"/>
        <v>0</v>
      </c>
      <c r="L356" s="189"/>
      <c r="M356" s="84"/>
      <c r="N356" s="335"/>
      <c r="O356" s="341" t="s">
        <v>65</v>
      </c>
      <c r="P356" s="189"/>
      <c r="Q356" s="326"/>
      <c r="R356" s="326"/>
      <c r="S356" s="87"/>
      <c r="T356" s="207"/>
      <c r="U356" s="225">
        <f t="shared" si="159"/>
        <v>0</v>
      </c>
      <c r="V356" s="277"/>
      <c r="W356" s="278"/>
      <c r="X356" s="350"/>
      <c r="Y356" s="208" t="s">
        <v>147</v>
      </c>
      <c r="Z356" s="11"/>
      <c r="AA356" s="207"/>
      <c r="AB356" s="207"/>
      <c r="AC356" s="3"/>
      <c r="AD356" s="207"/>
      <c r="AE356" s="226">
        <f t="shared" si="160"/>
        <v>0</v>
      </c>
      <c r="AF356" s="11"/>
      <c r="AG356" s="3"/>
      <c r="AH356" s="359"/>
      <c r="AI356" s="96"/>
      <c r="AJ356" s="94"/>
      <c r="AK356" s="214"/>
      <c r="AL356" s="213"/>
      <c r="AM356" s="82"/>
      <c r="AN356" s="213"/>
      <c r="AO356" s="82"/>
      <c r="AP356" s="213"/>
      <c r="AQ356" s="82"/>
      <c r="AR356" s="13">
        <f t="shared" si="161"/>
        <v>3.5599999999999998E-5</v>
      </c>
      <c r="AS356" s="13">
        <f t="shared" si="162"/>
        <v>0</v>
      </c>
      <c r="AT356" s="13"/>
      <c r="AU356" s="160">
        <v>361</v>
      </c>
      <c r="AV356" s="191">
        <f t="shared" si="179"/>
        <v>4.9999999999999996E-6</v>
      </c>
      <c r="AW356" s="160">
        <f t="shared" si="163"/>
        <v>0</v>
      </c>
      <c r="AX356" s="219">
        <f t="shared" si="164"/>
        <v>3.5599999999999998E-5</v>
      </c>
      <c r="AY356" s="13">
        <f t="shared" si="167"/>
        <v>0</v>
      </c>
      <c r="AZ356" s="160">
        <v>361</v>
      </c>
      <c r="BA356" s="77">
        <f t="shared" si="180"/>
        <v>3.5999999999999998E-6</v>
      </c>
      <c r="BB356" s="192">
        <f t="shared" si="165"/>
        <v>0</v>
      </c>
      <c r="BC356" s="219">
        <f t="shared" si="168"/>
        <v>3.5599999999999998E-5</v>
      </c>
      <c r="BD356" s="13">
        <f t="shared" si="169"/>
        <v>0</v>
      </c>
      <c r="BE356" s="160">
        <v>361</v>
      </c>
      <c r="BF356" s="77">
        <f t="shared" si="181"/>
        <v>3.5999999999999998E-6</v>
      </c>
      <c r="BG356" s="192">
        <f t="shared" si="166"/>
        <v>0</v>
      </c>
      <c r="BI356" s="120"/>
      <c r="BJ356" s="120"/>
      <c r="BK356" s="160"/>
      <c r="BL356" s="160"/>
      <c r="BM356" s="161" t="str">
        <f t="shared" si="183"/>
        <v/>
      </c>
      <c r="BN356" s="161" t="str">
        <f t="shared" si="170"/>
        <v/>
      </c>
      <c r="BO356" s="161" t="str">
        <f t="shared" si="171"/>
        <v/>
      </c>
      <c r="BP356" s="161" t="str">
        <f t="shared" si="172"/>
        <v/>
      </c>
      <c r="BQ356" s="161" t="str">
        <f t="shared" si="173"/>
        <v/>
      </c>
      <c r="BR356" s="161" t="str">
        <f t="shared" si="182"/>
        <v/>
      </c>
      <c r="BS356" s="161" t="str">
        <f t="shared" si="174"/>
        <v/>
      </c>
      <c r="BT356" s="161" t="str">
        <f t="shared" si="175"/>
        <v/>
      </c>
      <c r="BU356" s="161" t="str">
        <f t="shared" si="184"/>
        <v/>
      </c>
      <c r="BV356" s="161" t="str">
        <f t="shared" si="176"/>
        <v/>
      </c>
      <c r="BW356" s="161" t="str">
        <f t="shared" si="177"/>
        <v/>
      </c>
      <c r="BX356" s="161" t="str">
        <f t="shared" si="178"/>
        <v/>
      </c>
      <c r="BY356" s="148"/>
      <c r="BZ356" s="148"/>
      <c r="CA356" s="148"/>
      <c r="CB356" s="148" t="s">
        <v>149</v>
      </c>
      <c r="CC356" s="148"/>
    </row>
    <row r="357" spans="1:81" ht="14.25" customHeight="1" thickBot="1">
      <c r="A357" s="190">
        <v>347</v>
      </c>
      <c r="B357" s="196"/>
      <c r="C357" s="180"/>
      <c r="D357" s="136"/>
      <c r="E357" s="91" t="s">
        <v>29</v>
      </c>
      <c r="F357" s="187"/>
      <c r="G357" s="188"/>
      <c r="H357" s="188"/>
      <c r="I357" s="188"/>
      <c r="J357" s="188"/>
      <c r="K357" s="18">
        <f t="shared" si="158"/>
        <v>0</v>
      </c>
      <c r="L357" s="187"/>
      <c r="M357" s="118"/>
      <c r="N357" s="336"/>
      <c r="O357" s="342" t="s">
        <v>65</v>
      </c>
      <c r="P357" s="187"/>
      <c r="Q357" s="188"/>
      <c r="R357" s="188"/>
      <c r="S357" s="119"/>
      <c r="T357" s="188"/>
      <c r="U357" s="211">
        <f t="shared" si="159"/>
        <v>0</v>
      </c>
      <c r="V357" s="279"/>
      <c r="W357" s="280"/>
      <c r="X357" s="351"/>
      <c r="Y357" s="209" t="s">
        <v>85</v>
      </c>
      <c r="Z357" s="71"/>
      <c r="AA357" s="321"/>
      <c r="AB357" s="321"/>
      <c r="AC357" s="322"/>
      <c r="AD357" s="188"/>
      <c r="AE357" s="18">
        <f t="shared" si="160"/>
        <v>0</v>
      </c>
      <c r="AF357" s="71"/>
      <c r="AG357" s="322"/>
      <c r="AH357" s="360"/>
      <c r="AI357" s="97"/>
      <c r="AJ357" s="194"/>
      <c r="AK357" s="193"/>
      <c r="AL357" s="205"/>
      <c r="AM357" s="197"/>
      <c r="AN357" s="205"/>
      <c r="AO357" s="197"/>
      <c r="AP357" s="205"/>
      <c r="AQ357" s="197"/>
      <c r="AR357" s="13">
        <f t="shared" si="161"/>
        <v>3.57E-5</v>
      </c>
      <c r="AS357" s="13">
        <f t="shared" si="162"/>
        <v>0</v>
      </c>
      <c r="AT357" s="13"/>
      <c r="AU357" s="160">
        <v>362</v>
      </c>
      <c r="AV357" s="191">
        <f t="shared" si="179"/>
        <v>4.8999999999999997E-6</v>
      </c>
      <c r="AW357" s="160">
        <f t="shared" si="163"/>
        <v>0</v>
      </c>
      <c r="AX357" s="219">
        <f t="shared" si="164"/>
        <v>3.57E-5</v>
      </c>
      <c r="AY357" s="13">
        <f t="shared" si="167"/>
        <v>0</v>
      </c>
      <c r="AZ357" s="160">
        <v>362</v>
      </c>
      <c r="BA357" s="77">
        <f t="shared" si="180"/>
        <v>3.4999999999999999E-6</v>
      </c>
      <c r="BB357" s="192">
        <f t="shared" si="165"/>
        <v>0</v>
      </c>
      <c r="BC357" s="219">
        <f t="shared" si="168"/>
        <v>3.57E-5</v>
      </c>
      <c r="BD357" s="13">
        <f t="shared" si="169"/>
        <v>0</v>
      </c>
      <c r="BE357" s="160">
        <v>362</v>
      </c>
      <c r="BF357" s="77">
        <f t="shared" si="181"/>
        <v>3.4999999999999999E-6</v>
      </c>
      <c r="BG357" s="192">
        <f t="shared" si="166"/>
        <v>0</v>
      </c>
      <c r="BI357" s="120"/>
      <c r="BJ357" s="120"/>
      <c r="BK357" s="160"/>
      <c r="BL357" s="160"/>
      <c r="BM357" s="161" t="str">
        <f t="shared" si="183"/>
        <v/>
      </c>
      <c r="BN357" s="161" t="str">
        <f t="shared" si="170"/>
        <v/>
      </c>
      <c r="BO357" s="161" t="str">
        <f t="shared" si="171"/>
        <v/>
      </c>
      <c r="BP357" s="161" t="str">
        <f t="shared" si="172"/>
        <v/>
      </c>
      <c r="BQ357" s="161" t="str">
        <f t="shared" si="173"/>
        <v/>
      </c>
      <c r="BR357" s="161" t="str">
        <f t="shared" si="182"/>
        <v/>
      </c>
      <c r="BS357" s="161" t="str">
        <f t="shared" si="174"/>
        <v/>
      </c>
      <c r="BT357" s="161" t="str">
        <f t="shared" si="175"/>
        <v/>
      </c>
      <c r="BU357" s="161" t="str">
        <f t="shared" si="184"/>
        <v/>
      </c>
      <c r="BV357" s="161" t="str">
        <f t="shared" si="176"/>
        <v/>
      </c>
      <c r="BW357" s="161" t="str">
        <f t="shared" si="177"/>
        <v/>
      </c>
      <c r="BX357" s="161" t="str">
        <f t="shared" si="178"/>
        <v/>
      </c>
      <c r="BY357" s="148"/>
      <c r="BZ357" s="148"/>
      <c r="CA357" s="148"/>
      <c r="CB357" s="148" t="s">
        <v>149</v>
      </c>
      <c r="CC357" s="148"/>
    </row>
    <row r="358" spans="1:81" ht="14.25" customHeight="1" thickBot="1">
      <c r="A358" s="190">
        <v>348</v>
      </c>
      <c r="B358" s="78"/>
      <c r="C358" s="181"/>
      <c r="D358" s="86"/>
      <c r="E358" s="92" t="s">
        <v>29</v>
      </c>
      <c r="F358" s="88"/>
      <c r="G358" s="93"/>
      <c r="H358" s="93"/>
      <c r="I358" s="93"/>
      <c r="J358" s="93"/>
      <c r="K358" s="81">
        <f t="shared" si="158"/>
        <v>0</v>
      </c>
      <c r="L358" s="88"/>
      <c r="M358" s="85"/>
      <c r="N358" s="337"/>
      <c r="O358" s="343" t="s">
        <v>65</v>
      </c>
      <c r="P358" s="88"/>
      <c r="Q358" s="93"/>
      <c r="R358" s="93"/>
      <c r="S358" s="89"/>
      <c r="T358" s="93"/>
      <c r="U358" s="212">
        <f t="shared" si="159"/>
        <v>0</v>
      </c>
      <c r="V358" s="281"/>
      <c r="W358" s="282"/>
      <c r="X358" s="352"/>
      <c r="Y358" s="210" t="s">
        <v>85</v>
      </c>
      <c r="Z358" s="72"/>
      <c r="AA358" s="323"/>
      <c r="AB358" s="323"/>
      <c r="AC358" s="324"/>
      <c r="AD358" s="93"/>
      <c r="AE358" s="81">
        <f t="shared" si="160"/>
        <v>0</v>
      </c>
      <c r="AF358" s="72"/>
      <c r="AG358" s="324"/>
      <c r="AH358" s="361"/>
      <c r="AI358" s="98"/>
      <c r="AJ358" s="95"/>
      <c r="AK358" s="215"/>
      <c r="AL358" s="206"/>
      <c r="AM358" s="83"/>
      <c r="AN358" s="206"/>
      <c r="AO358" s="83"/>
      <c r="AP358" s="206"/>
      <c r="AQ358" s="83"/>
      <c r="AR358" s="13">
        <f t="shared" si="161"/>
        <v>3.5799999999999996E-5</v>
      </c>
      <c r="AS358" s="13">
        <f t="shared" si="162"/>
        <v>0</v>
      </c>
      <c r="AT358" s="13"/>
      <c r="AU358" s="160">
        <v>363</v>
      </c>
      <c r="AV358" s="191">
        <f t="shared" si="179"/>
        <v>4.7999999999999998E-6</v>
      </c>
      <c r="AW358" s="160">
        <f t="shared" si="163"/>
        <v>0</v>
      </c>
      <c r="AX358" s="219">
        <f t="shared" si="164"/>
        <v>3.5799999999999996E-5</v>
      </c>
      <c r="AY358" s="13">
        <f t="shared" si="167"/>
        <v>0</v>
      </c>
      <c r="AZ358" s="160">
        <v>363</v>
      </c>
      <c r="BA358" s="77">
        <f t="shared" si="180"/>
        <v>3.3999999999999996E-6</v>
      </c>
      <c r="BB358" s="192">
        <f t="shared" si="165"/>
        <v>0</v>
      </c>
      <c r="BC358" s="219">
        <f t="shared" si="168"/>
        <v>3.5799999999999996E-5</v>
      </c>
      <c r="BD358" s="13">
        <f t="shared" si="169"/>
        <v>0</v>
      </c>
      <c r="BE358" s="160">
        <v>363</v>
      </c>
      <c r="BF358" s="77">
        <f t="shared" si="181"/>
        <v>3.3999999999999996E-6</v>
      </c>
      <c r="BG358" s="192">
        <f t="shared" si="166"/>
        <v>0</v>
      </c>
      <c r="BI358" s="120"/>
      <c r="BJ358" s="120"/>
      <c r="BK358" s="160"/>
      <c r="BL358" s="160"/>
      <c r="BM358" s="161" t="str">
        <f t="shared" si="183"/>
        <v/>
      </c>
      <c r="BN358" s="161" t="str">
        <f t="shared" si="170"/>
        <v/>
      </c>
      <c r="BO358" s="161" t="str">
        <f t="shared" si="171"/>
        <v/>
      </c>
      <c r="BP358" s="161" t="str">
        <f t="shared" si="172"/>
        <v/>
      </c>
      <c r="BQ358" s="161" t="str">
        <f t="shared" si="173"/>
        <v/>
      </c>
      <c r="BR358" s="161" t="str">
        <f t="shared" si="182"/>
        <v/>
      </c>
      <c r="BS358" s="161" t="str">
        <f t="shared" si="174"/>
        <v/>
      </c>
      <c r="BT358" s="161" t="str">
        <f t="shared" si="175"/>
        <v/>
      </c>
      <c r="BU358" s="161" t="str">
        <f t="shared" si="184"/>
        <v/>
      </c>
      <c r="BV358" s="161" t="str">
        <f t="shared" si="176"/>
        <v/>
      </c>
      <c r="BW358" s="161" t="str">
        <f t="shared" si="177"/>
        <v/>
      </c>
      <c r="BX358" s="161" t="str">
        <f t="shared" si="178"/>
        <v/>
      </c>
      <c r="BY358" s="148"/>
      <c r="BZ358" s="148"/>
      <c r="CA358" s="148"/>
      <c r="CB358" s="148" t="s">
        <v>149</v>
      </c>
      <c r="CC358" s="148"/>
    </row>
    <row r="359" spans="1:81" ht="14.25" customHeight="1" thickBot="1">
      <c r="A359" s="190">
        <v>349</v>
      </c>
      <c r="B359" s="79"/>
      <c r="C359" s="179"/>
      <c r="D359" s="137"/>
      <c r="E359" s="198" t="s">
        <v>29</v>
      </c>
      <c r="F359" s="199"/>
      <c r="G359" s="200"/>
      <c r="H359" s="200"/>
      <c r="I359" s="200"/>
      <c r="J359" s="200"/>
      <c r="K359" s="201">
        <f t="shared" si="158"/>
        <v>0</v>
      </c>
      <c r="L359" s="189"/>
      <c r="M359" s="84"/>
      <c r="N359" s="335"/>
      <c r="O359" s="341" t="s">
        <v>65</v>
      </c>
      <c r="P359" s="189"/>
      <c r="Q359" s="326"/>
      <c r="R359" s="326"/>
      <c r="S359" s="87"/>
      <c r="T359" s="207"/>
      <c r="U359" s="225">
        <f t="shared" si="159"/>
        <v>0</v>
      </c>
      <c r="V359" s="277"/>
      <c r="W359" s="278"/>
      <c r="X359" s="350"/>
      <c r="Y359" s="208" t="s">
        <v>147</v>
      </c>
      <c r="Z359" s="11"/>
      <c r="AA359" s="207"/>
      <c r="AB359" s="207"/>
      <c r="AC359" s="3"/>
      <c r="AD359" s="207"/>
      <c r="AE359" s="226">
        <f t="shared" si="160"/>
        <v>0</v>
      </c>
      <c r="AF359" s="11"/>
      <c r="AG359" s="3"/>
      <c r="AH359" s="359"/>
      <c r="AI359" s="96"/>
      <c r="AJ359" s="94"/>
      <c r="AK359" s="214"/>
      <c r="AL359" s="213"/>
      <c r="AM359" s="82"/>
      <c r="AN359" s="213"/>
      <c r="AO359" s="82"/>
      <c r="AP359" s="213"/>
      <c r="AQ359" s="82"/>
      <c r="AR359" s="13">
        <f t="shared" si="161"/>
        <v>3.5899999999999998E-5</v>
      </c>
      <c r="AS359" s="13">
        <f t="shared" si="162"/>
        <v>0</v>
      </c>
      <c r="AT359" s="13"/>
      <c r="AU359" s="160">
        <v>364</v>
      </c>
      <c r="AV359" s="191">
        <f t="shared" si="179"/>
        <v>4.6999999999999999E-6</v>
      </c>
      <c r="AW359" s="160">
        <f t="shared" si="163"/>
        <v>0</v>
      </c>
      <c r="AX359" s="219">
        <f t="shared" si="164"/>
        <v>3.5899999999999998E-5</v>
      </c>
      <c r="AY359" s="13">
        <f t="shared" si="167"/>
        <v>0</v>
      </c>
      <c r="AZ359" s="160">
        <v>364</v>
      </c>
      <c r="BA359" s="77">
        <f t="shared" si="180"/>
        <v>3.2999999999999997E-6</v>
      </c>
      <c r="BB359" s="192">
        <f t="shared" si="165"/>
        <v>0</v>
      </c>
      <c r="BC359" s="219">
        <f t="shared" si="168"/>
        <v>3.5899999999999998E-5</v>
      </c>
      <c r="BD359" s="13">
        <f t="shared" si="169"/>
        <v>0</v>
      </c>
      <c r="BE359" s="160">
        <v>364</v>
      </c>
      <c r="BF359" s="77">
        <f t="shared" si="181"/>
        <v>3.2999999999999997E-6</v>
      </c>
      <c r="BG359" s="192">
        <f t="shared" si="166"/>
        <v>0</v>
      </c>
      <c r="BI359" s="120"/>
      <c r="BJ359" s="120"/>
      <c r="BK359" s="160"/>
      <c r="BL359" s="160"/>
      <c r="BM359" s="161" t="str">
        <f t="shared" si="183"/>
        <v/>
      </c>
      <c r="BN359" s="161" t="str">
        <f t="shared" si="170"/>
        <v/>
      </c>
      <c r="BO359" s="161" t="str">
        <f t="shared" si="171"/>
        <v/>
      </c>
      <c r="BP359" s="161" t="str">
        <f t="shared" si="172"/>
        <v/>
      </c>
      <c r="BQ359" s="161" t="str">
        <f t="shared" si="173"/>
        <v/>
      </c>
      <c r="BR359" s="161" t="str">
        <f t="shared" si="182"/>
        <v/>
      </c>
      <c r="BS359" s="161" t="str">
        <f t="shared" si="174"/>
        <v/>
      </c>
      <c r="BT359" s="161" t="str">
        <f t="shared" si="175"/>
        <v/>
      </c>
      <c r="BU359" s="161" t="str">
        <f t="shared" si="184"/>
        <v/>
      </c>
      <c r="BV359" s="161" t="str">
        <f t="shared" si="176"/>
        <v/>
      </c>
      <c r="BW359" s="161" t="str">
        <f t="shared" si="177"/>
        <v/>
      </c>
      <c r="BX359" s="161" t="str">
        <f t="shared" si="178"/>
        <v/>
      </c>
      <c r="BY359" s="148"/>
      <c r="BZ359" s="148"/>
      <c r="CA359" s="148"/>
      <c r="CB359" s="148" t="s">
        <v>149</v>
      </c>
      <c r="CC359" s="148"/>
    </row>
    <row r="360" spans="1:81" ht="14.25" customHeight="1" thickBot="1">
      <c r="A360" s="190">
        <v>350</v>
      </c>
      <c r="B360" s="196"/>
      <c r="C360" s="180"/>
      <c r="D360" s="136"/>
      <c r="E360" s="91" t="s">
        <v>29</v>
      </c>
      <c r="F360" s="187"/>
      <c r="G360" s="188"/>
      <c r="H360" s="188"/>
      <c r="I360" s="188"/>
      <c r="J360" s="188"/>
      <c r="K360" s="18">
        <f t="shared" si="158"/>
        <v>0</v>
      </c>
      <c r="L360" s="187"/>
      <c r="M360" s="118"/>
      <c r="N360" s="336"/>
      <c r="O360" s="342" t="s">
        <v>65</v>
      </c>
      <c r="P360" s="187"/>
      <c r="Q360" s="188"/>
      <c r="R360" s="188"/>
      <c r="S360" s="119"/>
      <c r="T360" s="188"/>
      <c r="U360" s="211">
        <f t="shared" si="159"/>
        <v>0</v>
      </c>
      <c r="V360" s="279"/>
      <c r="W360" s="280"/>
      <c r="X360" s="351"/>
      <c r="Y360" s="209" t="s">
        <v>85</v>
      </c>
      <c r="Z360" s="71"/>
      <c r="AA360" s="321"/>
      <c r="AB360" s="321"/>
      <c r="AC360" s="322"/>
      <c r="AD360" s="188"/>
      <c r="AE360" s="18">
        <f t="shared" si="160"/>
        <v>0</v>
      </c>
      <c r="AF360" s="71"/>
      <c r="AG360" s="322"/>
      <c r="AH360" s="360"/>
      <c r="AI360" s="97"/>
      <c r="AJ360" s="194"/>
      <c r="AK360" s="193"/>
      <c r="AL360" s="205"/>
      <c r="AM360" s="197"/>
      <c r="AN360" s="205"/>
      <c r="AO360" s="197"/>
      <c r="AP360" s="205"/>
      <c r="AQ360" s="197"/>
      <c r="AR360" s="13">
        <f t="shared" si="161"/>
        <v>3.6000000000000001E-5</v>
      </c>
      <c r="AS360" s="13">
        <f t="shared" si="162"/>
        <v>0</v>
      </c>
      <c r="AT360" s="13"/>
      <c r="AU360" s="160">
        <v>365</v>
      </c>
      <c r="AV360" s="191">
        <f t="shared" si="179"/>
        <v>4.6E-6</v>
      </c>
      <c r="AW360" s="160">
        <f t="shared" si="163"/>
        <v>0</v>
      </c>
      <c r="AX360" s="219">
        <f t="shared" si="164"/>
        <v>3.6000000000000001E-5</v>
      </c>
      <c r="AY360" s="13">
        <f t="shared" si="167"/>
        <v>0</v>
      </c>
      <c r="AZ360" s="160">
        <v>365</v>
      </c>
      <c r="BA360" s="77">
        <f t="shared" si="180"/>
        <v>3.1999999999999999E-6</v>
      </c>
      <c r="BB360" s="192">
        <f t="shared" si="165"/>
        <v>0</v>
      </c>
      <c r="BC360" s="219">
        <f t="shared" si="168"/>
        <v>3.6000000000000001E-5</v>
      </c>
      <c r="BD360" s="13">
        <f t="shared" si="169"/>
        <v>0</v>
      </c>
      <c r="BE360" s="160">
        <v>365</v>
      </c>
      <c r="BF360" s="77">
        <f t="shared" si="181"/>
        <v>3.1999999999999999E-6</v>
      </c>
      <c r="BG360" s="192">
        <f t="shared" si="166"/>
        <v>0</v>
      </c>
      <c r="BI360" s="120"/>
      <c r="BJ360" s="120"/>
      <c r="BK360" s="160"/>
      <c r="BL360" s="160"/>
      <c r="BM360" s="161" t="str">
        <f t="shared" si="183"/>
        <v/>
      </c>
      <c r="BN360" s="161" t="str">
        <f t="shared" si="170"/>
        <v/>
      </c>
      <c r="BO360" s="161" t="str">
        <f t="shared" si="171"/>
        <v/>
      </c>
      <c r="BP360" s="161" t="str">
        <f t="shared" si="172"/>
        <v/>
      </c>
      <c r="BQ360" s="161" t="str">
        <f t="shared" si="173"/>
        <v/>
      </c>
      <c r="BR360" s="161" t="str">
        <f t="shared" si="182"/>
        <v/>
      </c>
      <c r="BS360" s="161" t="str">
        <f t="shared" si="174"/>
        <v/>
      </c>
      <c r="BT360" s="161" t="str">
        <f t="shared" si="175"/>
        <v/>
      </c>
      <c r="BU360" s="161" t="str">
        <f t="shared" si="184"/>
        <v/>
      </c>
      <c r="BV360" s="161" t="str">
        <f t="shared" si="176"/>
        <v/>
      </c>
      <c r="BW360" s="161" t="str">
        <f t="shared" si="177"/>
        <v/>
      </c>
      <c r="BX360" s="161" t="str">
        <f t="shared" si="178"/>
        <v/>
      </c>
      <c r="BY360" s="148"/>
      <c r="BZ360" s="148"/>
      <c r="CA360" s="148"/>
      <c r="CB360" s="148" t="s">
        <v>149</v>
      </c>
      <c r="CC360" s="148"/>
    </row>
    <row r="361" spans="1:81" ht="14.25" customHeight="1" thickBot="1">
      <c r="A361" s="190">
        <v>351</v>
      </c>
      <c r="B361" s="78"/>
      <c r="C361" s="181"/>
      <c r="D361" s="86"/>
      <c r="E361" s="92" t="s">
        <v>29</v>
      </c>
      <c r="F361" s="88"/>
      <c r="G361" s="93"/>
      <c r="H361" s="93"/>
      <c r="I361" s="93"/>
      <c r="J361" s="93"/>
      <c r="K361" s="81">
        <f t="shared" si="158"/>
        <v>0</v>
      </c>
      <c r="L361" s="88"/>
      <c r="M361" s="85"/>
      <c r="N361" s="337"/>
      <c r="O361" s="343" t="s">
        <v>65</v>
      </c>
      <c r="P361" s="88"/>
      <c r="Q361" s="93"/>
      <c r="R361" s="93"/>
      <c r="S361" s="89"/>
      <c r="T361" s="93"/>
      <c r="U361" s="212">
        <f t="shared" si="159"/>
        <v>0</v>
      </c>
      <c r="V361" s="281"/>
      <c r="W361" s="282"/>
      <c r="X361" s="352"/>
      <c r="Y361" s="210" t="s">
        <v>85</v>
      </c>
      <c r="Z361" s="72"/>
      <c r="AA361" s="323"/>
      <c r="AB361" s="323"/>
      <c r="AC361" s="324"/>
      <c r="AD361" s="93"/>
      <c r="AE361" s="81">
        <f t="shared" si="160"/>
        <v>0</v>
      </c>
      <c r="AF361" s="72"/>
      <c r="AG361" s="324"/>
      <c r="AH361" s="361"/>
      <c r="AI361" s="98"/>
      <c r="AJ361" s="95"/>
      <c r="AK361" s="215"/>
      <c r="AL361" s="206"/>
      <c r="AM361" s="83"/>
      <c r="AN361" s="206"/>
      <c r="AO361" s="83"/>
      <c r="AP361" s="206"/>
      <c r="AQ361" s="83"/>
      <c r="AR361" s="13">
        <f t="shared" si="161"/>
        <v>3.6099999999999997E-5</v>
      </c>
      <c r="AS361" s="13">
        <f t="shared" si="162"/>
        <v>0</v>
      </c>
      <c r="AT361" s="13"/>
      <c r="AU361" s="160">
        <v>366</v>
      </c>
      <c r="AV361" s="191">
        <f t="shared" si="179"/>
        <v>4.5000000000000001E-6</v>
      </c>
      <c r="AW361" s="160">
        <f t="shared" si="163"/>
        <v>0</v>
      </c>
      <c r="AX361" s="219">
        <f t="shared" si="164"/>
        <v>3.6099999999999997E-5</v>
      </c>
      <c r="AY361" s="13">
        <f t="shared" si="167"/>
        <v>0</v>
      </c>
      <c r="AZ361" s="160">
        <v>366</v>
      </c>
      <c r="BA361" s="77">
        <f t="shared" si="180"/>
        <v>3.1E-6</v>
      </c>
      <c r="BB361" s="192">
        <f t="shared" si="165"/>
        <v>0</v>
      </c>
      <c r="BC361" s="219">
        <f t="shared" si="168"/>
        <v>3.6099999999999997E-5</v>
      </c>
      <c r="BD361" s="13">
        <f t="shared" si="169"/>
        <v>0</v>
      </c>
      <c r="BE361" s="160">
        <v>366</v>
      </c>
      <c r="BF361" s="77">
        <f t="shared" si="181"/>
        <v>3.1E-6</v>
      </c>
      <c r="BG361" s="192">
        <f t="shared" si="166"/>
        <v>0</v>
      </c>
      <c r="BI361" s="120"/>
      <c r="BJ361" s="120"/>
      <c r="BK361" s="160"/>
      <c r="BL361" s="160"/>
      <c r="BM361" s="161" t="str">
        <f t="shared" si="183"/>
        <v/>
      </c>
      <c r="BN361" s="161" t="str">
        <f t="shared" si="170"/>
        <v/>
      </c>
      <c r="BO361" s="161" t="str">
        <f t="shared" si="171"/>
        <v/>
      </c>
      <c r="BP361" s="161" t="str">
        <f t="shared" si="172"/>
        <v/>
      </c>
      <c r="BQ361" s="161" t="str">
        <f t="shared" si="173"/>
        <v/>
      </c>
      <c r="BR361" s="161" t="str">
        <f t="shared" si="182"/>
        <v/>
      </c>
      <c r="BS361" s="161" t="str">
        <f t="shared" si="174"/>
        <v/>
      </c>
      <c r="BT361" s="161" t="str">
        <f t="shared" si="175"/>
        <v/>
      </c>
      <c r="BU361" s="161" t="str">
        <f t="shared" si="184"/>
        <v/>
      </c>
      <c r="BV361" s="161" t="str">
        <f t="shared" si="176"/>
        <v/>
      </c>
      <c r="BW361" s="161" t="str">
        <f t="shared" si="177"/>
        <v/>
      </c>
      <c r="BX361" s="161" t="str">
        <f t="shared" si="178"/>
        <v/>
      </c>
      <c r="BY361" s="148"/>
      <c r="BZ361" s="148"/>
      <c r="CA361" s="148"/>
      <c r="CB361" s="148" t="s">
        <v>149</v>
      </c>
      <c r="CC361" s="148"/>
    </row>
    <row r="362" spans="1:81" ht="14.25" customHeight="1" thickBot="1">
      <c r="A362" s="190">
        <v>352</v>
      </c>
      <c r="B362" s="79"/>
      <c r="C362" s="179"/>
      <c r="D362" s="137"/>
      <c r="E362" s="198" t="s">
        <v>29</v>
      </c>
      <c r="F362" s="199"/>
      <c r="G362" s="200"/>
      <c r="H362" s="200"/>
      <c r="I362" s="200"/>
      <c r="J362" s="200"/>
      <c r="K362" s="201">
        <f t="shared" si="158"/>
        <v>0</v>
      </c>
      <c r="L362" s="189"/>
      <c r="M362" s="84"/>
      <c r="N362" s="335"/>
      <c r="O362" s="341" t="s">
        <v>65</v>
      </c>
      <c r="P362" s="189"/>
      <c r="Q362" s="326"/>
      <c r="R362" s="326"/>
      <c r="S362" s="87"/>
      <c r="T362" s="207"/>
      <c r="U362" s="225">
        <f t="shared" si="159"/>
        <v>0</v>
      </c>
      <c r="V362" s="277"/>
      <c r="W362" s="278"/>
      <c r="X362" s="350"/>
      <c r="Y362" s="208" t="s">
        <v>147</v>
      </c>
      <c r="Z362" s="11"/>
      <c r="AA362" s="207"/>
      <c r="AB362" s="207"/>
      <c r="AC362" s="3"/>
      <c r="AD362" s="207"/>
      <c r="AE362" s="226">
        <f t="shared" si="160"/>
        <v>0</v>
      </c>
      <c r="AF362" s="11"/>
      <c r="AG362" s="3"/>
      <c r="AH362" s="359"/>
      <c r="AI362" s="96"/>
      <c r="AJ362" s="94"/>
      <c r="AK362" s="214"/>
      <c r="AL362" s="213"/>
      <c r="AM362" s="82"/>
      <c r="AN362" s="213"/>
      <c r="AO362" s="82"/>
      <c r="AP362" s="213"/>
      <c r="AQ362" s="82"/>
      <c r="AR362" s="13">
        <f t="shared" si="161"/>
        <v>3.6199999999999999E-5</v>
      </c>
      <c r="AS362" s="13">
        <f t="shared" si="162"/>
        <v>0</v>
      </c>
      <c r="AT362" s="13"/>
      <c r="AU362" s="160">
        <v>367</v>
      </c>
      <c r="AV362" s="191">
        <f t="shared" si="179"/>
        <v>4.4000000000000002E-6</v>
      </c>
      <c r="AW362" s="160">
        <f t="shared" si="163"/>
        <v>0</v>
      </c>
      <c r="AX362" s="219">
        <f t="shared" si="164"/>
        <v>3.6199999999999999E-5</v>
      </c>
      <c r="AY362" s="13">
        <f t="shared" si="167"/>
        <v>0</v>
      </c>
      <c r="AZ362" s="160">
        <v>367</v>
      </c>
      <c r="BA362" s="77">
        <f t="shared" si="180"/>
        <v>3.0000000000000001E-6</v>
      </c>
      <c r="BB362" s="192">
        <f t="shared" si="165"/>
        <v>0</v>
      </c>
      <c r="BC362" s="219">
        <f t="shared" si="168"/>
        <v>3.6199999999999999E-5</v>
      </c>
      <c r="BD362" s="13">
        <f t="shared" si="169"/>
        <v>0</v>
      </c>
      <c r="BE362" s="160">
        <v>367</v>
      </c>
      <c r="BF362" s="77">
        <f t="shared" si="181"/>
        <v>3.0000000000000001E-6</v>
      </c>
      <c r="BG362" s="192">
        <f t="shared" si="166"/>
        <v>0</v>
      </c>
      <c r="BI362" s="120"/>
      <c r="BJ362" s="120"/>
      <c r="BK362" s="160"/>
      <c r="BL362" s="160"/>
      <c r="BM362" s="161" t="str">
        <f t="shared" si="183"/>
        <v/>
      </c>
      <c r="BN362" s="161" t="str">
        <f t="shared" si="170"/>
        <v/>
      </c>
      <c r="BO362" s="161" t="str">
        <f t="shared" si="171"/>
        <v/>
      </c>
      <c r="BP362" s="161" t="str">
        <f t="shared" si="172"/>
        <v/>
      </c>
      <c r="BQ362" s="161" t="str">
        <f t="shared" si="173"/>
        <v/>
      </c>
      <c r="BR362" s="161" t="str">
        <f t="shared" si="182"/>
        <v/>
      </c>
      <c r="BS362" s="161" t="str">
        <f t="shared" si="174"/>
        <v/>
      </c>
      <c r="BT362" s="161" t="str">
        <f t="shared" si="175"/>
        <v/>
      </c>
      <c r="BU362" s="161" t="str">
        <f t="shared" si="184"/>
        <v/>
      </c>
      <c r="BV362" s="161" t="str">
        <f t="shared" si="176"/>
        <v/>
      </c>
      <c r="BW362" s="161" t="str">
        <f t="shared" si="177"/>
        <v/>
      </c>
      <c r="BX362" s="161" t="str">
        <f t="shared" si="178"/>
        <v/>
      </c>
      <c r="BY362" s="148"/>
      <c r="BZ362" s="148"/>
      <c r="CA362" s="148"/>
      <c r="CB362" s="148" t="s">
        <v>149</v>
      </c>
      <c r="CC362" s="148"/>
    </row>
    <row r="363" spans="1:81" ht="14.25" customHeight="1" thickBot="1">
      <c r="A363" s="190">
        <v>353</v>
      </c>
      <c r="B363" s="196"/>
      <c r="C363" s="180"/>
      <c r="D363" s="136"/>
      <c r="E363" s="91" t="s">
        <v>29</v>
      </c>
      <c r="F363" s="187"/>
      <c r="G363" s="188"/>
      <c r="H363" s="188"/>
      <c r="I363" s="188"/>
      <c r="J363" s="188"/>
      <c r="K363" s="18">
        <f t="shared" si="158"/>
        <v>0</v>
      </c>
      <c r="L363" s="187"/>
      <c r="M363" s="118"/>
      <c r="N363" s="336"/>
      <c r="O363" s="342" t="s">
        <v>65</v>
      </c>
      <c r="P363" s="187"/>
      <c r="Q363" s="188"/>
      <c r="R363" s="188"/>
      <c r="S363" s="119"/>
      <c r="T363" s="188"/>
      <c r="U363" s="211">
        <f t="shared" si="159"/>
        <v>0</v>
      </c>
      <c r="V363" s="279"/>
      <c r="W363" s="280"/>
      <c r="X363" s="351"/>
      <c r="Y363" s="209" t="s">
        <v>85</v>
      </c>
      <c r="Z363" s="71"/>
      <c r="AA363" s="321"/>
      <c r="AB363" s="321"/>
      <c r="AC363" s="322"/>
      <c r="AD363" s="188"/>
      <c r="AE363" s="18">
        <f t="shared" si="160"/>
        <v>0</v>
      </c>
      <c r="AF363" s="71"/>
      <c r="AG363" s="322"/>
      <c r="AH363" s="360"/>
      <c r="AI363" s="97"/>
      <c r="AJ363" s="194"/>
      <c r="AK363" s="193"/>
      <c r="AL363" s="205"/>
      <c r="AM363" s="197"/>
      <c r="AN363" s="205"/>
      <c r="AO363" s="197"/>
      <c r="AP363" s="205"/>
      <c r="AQ363" s="197"/>
      <c r="AR363" s="13">
        <f t="shared" si="161"/>
        <v>3.6300000000000001E-5</v>
      </c>
      <c r="AS363" s="13">
        <f t="shared" si="162"/>
        <v>0</v>
      </c>
      <c r="AT363" s="13"/>
      <c r="AU363" s="160">
        <v>368</v>
      </c>
      <c r="AV363" s="191">
        <f t="shared" si="179"/>
        <v>4.2999999999999995E-6</v>
      </c>
      <c r="AW363" s="160">
        <f t="shared" si="163"/>
        <v>0</v>
      </c>
      <c r="AX363" s="219">
        <f t="shared" si="164"/>
        <v>3.6300000000000001E-5</v>
      </c>
      <c r="AY363" s="13">
        <f t="shared" si="167"/>
        <v>0</v>
      </c>
      <c r="AZ363" s="160">
        <v>368</v>
      </c>
      <c r="BA363" s="77">
        <f t="shared" si="180"/>
        <v>2.8999999999999998E-6</v>
      </c>
      <c r="BB363" s="192">
        <f t="shared" si="165"/>
        <v>0</v>
      </c>
      <c r="BC363" s="219">
        <f t="shared" si="168"/>
        <v>3.6300000000000001E-5</v>
      </c>
      <c r="BD363" s="13">
        <f t="shared" si="169"/>
        <v>0</v>
      </c>
      <c r="BE363" s="160">
        <v>368</v>
      </c>
      <c r="BF363" s="77">
        <f t="shared" si="181"/>
        <v>2.8999999999999998E-6</v>
      </c>
      <c r="BG363" s="192">
        <f t="shared" si="166"/>
        <v>0</v>
      </c>
      <c r="BI363" s="120"/>
      <c r="BJ363" s="120"/>
      <c r="BK363" s="160"/>
      <c r="BL363" s="160"/>
      <c r="BM363" s="161" t="str">
        <f t="shared" si="183"/>
        <v/>
      </c>
      <c r="BN363" s="161" t="str">
        <f t="shared" si="170"/>
        <v/>
      </c>
      <c r="BO363" s="161" t="str">
        <f t="shared" si="171"/>
        <v/>
      </c>
      <c r="BP363" s="161" t="str">
        <f t="shared" si="172"/>
        <v/>
      </c>
      <c r="BQ363" s="161" t="str">
        <f t="shared" si="173"/>
        <v/>
      </c>
      <c r="BR363" s="161" t="str">
        <f t="shared" si="182"/>
        <v/>
      </c>
      <c r="BS363" s="161" t="str">
        <f t="shared" si="174"/>
        <v/>
      </c>
      <c r="BT363" s="161" t="str">
        <f t="shared" si="175"/>
        <v/>
      </c>
      <c r="BU363" s="161" t="str">
        <f t="shared" si="184"/>
        <v/>
      </c>
      <c r="BV363" s="161" t="str">
        <f t="shared" si="176"/>
        <v/>
      </c>
      <c r="BW363" s="161" t="str">
        <f t="shared" si="177"/>
        <v/>
      </c>
      <c r="BX363" s="161" t="str">
        <f t="shared" si="178"/>
        <v/>
      </c>
      <c r="BY363" s="148"/>
      <c r="BZ363" s="148"/>
      <c r="CA363" s="148"/>
      <c r="CB363" s="148" t="s">
        <v>149</v>
      </c>
      <c r="CC363" s="148"/>
    </row>
    <row r="364" spans="1:81" ht="14.25" customHeight="1" thickBot="1">
      <c r="A364" s="190">
        <v>354</v>
      </c>
      <c r="B364" s="78"/>
      <c r="C364" s="181"/>
      <c r="D364" s="86"/>
      <c r="E364" s="92" t="s">
        <v>29</v>
      </c>
      <c r="F364" s="88"/>
      <c r="G364" s="93"/>
      <c r="H364" s="93"/>
      <c r="I364" s="93"/>
      <c r="J364" s="93"/>
      <c r="K364" s="81">
        <f t="shared" si="158"/>
        <v>0</v>
      </c>
      <c r="L364" s="88"/>
      <c r="M364" s="85"/>
      <c r="N364" s="337"/>
      <c r="O364" s="343" t="s">
        <v>65</v>
      </c>
      <c r="P364" s="88"/>
      <c r="Q364" s="93"/>
      <c r="R364" s="93"/>
      <c r="S364" s="89"/>
      <c r="T364" s="93"/>
      <c r="U364" s="212">
        <f t="shared" si="159"/>
        <v>0</v>
      </c>
      <c r="V364" s="281"/>
      <c r="W364" s="282"/>
      <c r="X364" s="352"/>
      <c r="Y364" s="210" t="s">
        <v>85</v>
      </c>
      <c r="Z364" s="72"/>
      <c r="AA364" s="323"/>
      <c r="AB364" s="323"/>
      <c r="AC364" s="324"/>
      <c r="AD364" s="93"/>
      <c r="AE364" s="81">
        <f t="shared" si="160"/>
        <v>0</v>
      </c>
      <c r="AF364" s="72"/>
      <c r="AG364" s="324"/>
      <c r="AH364" s="361"/>
      <c r="AI364" s="98"/>
      <c r="AJ364" s="95"/>
      <c r="AK364" s="215"/>
      <c r="AL364" s="206"/>
      <c r="AM364" s="83"/>
      <c r="AN364" s="206"/>
      <c r="AO364" s="83"/>
      <c r="AP364" s="206"/>
      <c r="AQ364" s="83"/>
      <c r="AR364" s="13">
        <f t="shared" si="161"/>
        <v>3.6399999999999997E-5</v>
      </c>
      <c r="AS364" s="13">
        <f t="shared" si="162"/>
        <v>0</v>
      </c>
      <c r="AT364" s="13"/>
      <c r="AU364" s="160">
        <v>369</v>
      </c>
      <c r="AV364" s="191">
        <f t="shared" si="179"/>
        <v>4.1999999999999996E-6</v>
      </c>
      <c r="AW364" s="160">
        <f t="shared" si="163"/>
        <v>0</v>
      </c>
      <c r="AX364" s="219">
        <f t="shared" si="164"/>
        <v>3.6399999999999997E-5</v>
      </c>
      <c r="AY364" s="13">
        <f t="shared" si="167"/>
        <v>0</v>
      </c>
      <c r="AZ364" s="160">
        <v>369</v>
      </c>
      <c r="BA364" s="77">
        <f t="shared" si="180"/>
        <v>2.7999999999999999E-6</v>
      </c>
      <c r="BB364" s="192">
        <f t="shared" si="165"/>
        <v>0</v>
      </c>
      <c r="BC364" s="219">
        <f t="shared" si="168"/>
        <v>3.6399999999999997E-5</v>
      </c>
      <c r="BD364" s="13">
        <f t="shared" si="169"/>
        <v>0</v>
      </c>
      <c r="BE364" s="160">
        <v>369</v>
      </c>
      <c r="BF364" s="77">
        <f t="shared" si="181"/>
        <v>2.7999999999999999E-6</v>
      </c>
      <c r="BG364" s="192">
        <f t="shared" si="166"/>
        <v>0</v>
      </c>
      <c r="BI364" s="120"/>
      <c r="BJ364" s="120"/>
      <c r="BK364" s="160"/>
      <c r="BL364" s="160"/>
      <c r="BM364" s="161" t="str">
        <f t="shared" si="183"/>
        <v/>
      </c>
      <c r="BN364" s="161" t="str">
        <f t="shared" si="170"/>
        <v/>
      </c>
      <c r="BO364" s="161" t="str">
        <f t="shared" si="171"/>
        <v/>
      </c>
      <c r="BP364" s="161" t="str">
        <f t="shared" si="172"/>
        <v/>
      </c>
      <c r="BQ364" s="161" t="str">
        <f t="shared" si="173"/>
        <v/>
      </c>
      <c r="BR364" s="161" t="str">
        <f t="shared" si="182"/>
        <v/>
      </c>
      <c r="BS364" s="161" t="str">
        <f t="shared" si="174"/>
        <v/>
      </c>
      <c r="BT364" s="161" t="str">
        <f t="shared" si="175"/>
        <v/>
      </c>
      <c r="BU364" s="161" t="str">
        <f t="shared" si="184"/>
        <v/>
      </c>
      <c r="BV364" s="161" t="str">
        <f t="shared" si="176"/>
        <v/>
      </c>
      <c r="BW364" s="161" t="str">
        <f t="shared" si="177"/>
        <v/>
      </c>
      <c r="BX364" s="161" t="str">
        <f t="shared" si="178"/>
        <v/>
      </c>
      <c r="BY364" s="148"/>
      <c r="BZ364" s="148"/>
      <c r="CA364" s="148"/>
      <c r="CB364" s="148" t="s">
        <v>149</v>
      </c>
      <c r="CC364" s="148"/>
    </row>
    <row r="365" spans="1:81" ht="14.25" customHeight="1" thickBot="1">
      <c r="A365" s="190">
        <v>355</v>
      </c>
      <c r="B365" s="79"/>
      <c r="C365" s="179"/>
      <c r="D365" s="137"/>
      <c r="E365" s="198" t="s">
        <v>29</v>
      </c>
      <c r="F365" s="199"/>
      <c r="G365" s="200"/>
      <c r="H365" s="200"/>
      <c r="I365" s="200"/>
      <c r="J365" s="200"/>
      <c r="K365" s="201">
        <f t="shared" si="158"/>
        <v>0</v>
      </c>
      <c r="L365" s="189"/>
      <c r="M365" s="84"/>
      <c r="N365" s="335"/>
      <c r="O365" s="341" t="s">
        <v>65</v>
      </c>
      <c r="P365" s="189"/>
      <c r="Q365" s="326"/>
      <c r="R365" s="326"/>
      <c r="S365" s="87"/>
      <c r="T365" s="207"/>
      <c r="U365" s="225">
        <f t="shared" si="159"/>
        <v>0</v>
      </c>
      <c r="V365" s="277"/>
      <c r="W365" s="278"/>
      <c r="X365" s="350"/>
      <c r="Y365" s="208" t="s">
        <v>147</v>
      </c>
      <c r="Z365" s="11"/>
      <c r="AA365" s="207"/>
      <c r="AB365" s="207"/>
      <c r="AC365" s="3"/>
      <c r="AD365" s="207"/>
      <c r="AE365" s="226">
        <f t="shared" si="160"/>
        <v>0</v>
      </c>
      <c r="AF365" s="11"/>
      <c r="AG365" s="3"/>
      <c r="AH365" s="359"/>
      <c r="AI365" s="96"/>
      <c r="AJ365" s="94"/>
      <c r="AK365" s="214"/>
      <c r="AL365" s="213"/>
      <c r="AM365" s="82"/>
      <c r="AN365" s="213"/>
      <c r="AO365" s="82"/>
      <c r="AP365" s="213"/>
      <c r="AQ365" s="82"/>
      <c r="AR365" s="13">
        <f t="shared" si="161"/>
        <v>3.65E-5</v>
      </c>
      <c r="AS365" s="13">
        <f t="shared" si="162"/>
        <v>0</v>
      </c>
      <c r="AT365" s="13"/>
      <c r="AU365" s="160">
        <v>370</v>
      </c>
      <c r="AV365" s="191">
        <f t="shared" si="179"/>
        <v>4.0999999999999997E-6</v>
      </c>
      <c r="AW365" s="160">
        <f t="shared" si="163"/>
        <v>0</v>
      </c>
      <c r="AX365" s="219">
        <f t="shared" si="164"/>
        <v>3.65E-5</v>
      </c>
      <c r="AY365" s="13">
        <f t="shared" si="167"/>
        <v>0</v>
      </c>
      <c r="AZ365" s="160">
        <v>370</v>
      </c>
      <c r="BA365" s="77">
        <f t="shared" si="180"/>
        <v>2.7E-6</v>
      </c>
      <c r="BB365" s="192">
        <f t="shared" si="165"/>
        <v>0</v>
      </c>
      <c r="BC365" s="219">
        <f t="shared" si="168"/>
        <v>3.65E-5</v>
      </c>
      <c r="BD365" s="13">
        <f t="shared" si="169"/>
        <v>0</v>
      </c>
      <c r="BE365" s="160">
        <v>370</v>
      </c>
      <c r="BF365" s="77">
        <f t="shared" si="181"/>
        <v>2.7E-6</v>
      </c>
      <c r="BG365" s="192">
        <f t="shared" si="166"/>
        <v>0</v>
      </c>
      <c r="BI365" s="120"/>
      <c r="BJ365" s="120"/>
      <c r="BK365" s="160"/>
      <c r="BL365" s="160"/>
      <c r="BM365" s="161" t="str">
        <f t="shared" si="183"/>
        <v/>
      </c>
      <c r="BN365" s="161" t="str">
        <f t="shared" si="170"/>
        <v/>
      </c>
      <c r="BO365" s="161" t="str">
        <f t="shared" si="171"/>
        <v/>
      </c>
      <c r="BP365" s="161" t="str">
        <f t="shared" si="172"/>
        <v/>
      </c>
      <c r="BQ365" s="161" t="str">
        <f t="shared" si="173"/>
        <v/>
      </c>
      <c r="BR365" s="161" t="str">
        <f t="shared" si="182"/>
        <v/>
      </c>
      <c r="BS365" s="161" t="str">
        <f t="shared" si="174"/>
        <v/>
      </c>
      <c r="BT365" s="161" t="str">
        <f t="shared" si="175"/>
        <v/>
      </c>
      <c r="BU365" s="161" t="str">
        <f t="shared" si="184"/>
        <v/>
      </c>
      <c r="BV365" s="161" t="str">
        <f t="shared" si="176"/>
        <v/>
      </c>
      <c r="BW365" s="161" t="str">
        <f t="shared" si="177"/>
        <v/>
      </c>
      <c r="BX365" s="161" t="str">
        <f t="shared" si="178"/>
        <v/>
      </c>
      <c r="BY365" s="148"/>
      <c r="BZ365" s="148"/>
      <c r="CA365" s="148"/>
      <c r="CB365" s="148" t="s">
        <v>149</v>
      </c>
      <c r="CC365" s="148"/>
    </row>
    <row r="366" spans="1:81" ht="14.25" customHeight="1" thickBot="1">
      <c r="A366" s="190">
        <v>356</v>
      </c>
      <c r="B366" s="196"/>
      <c r="C366" s="180"/>
      <c r="D366" s="136"/>
      <c r="E366" s="91" t="s">
        <v>29</v>
      </c>
      <c r="F366" s="187"/>
      <c r="G366" s="188"/>
      <c r="H366" s="188"/>
      <c r="I366" s="188"/>
      <c r="J366" s="188"/>
      <c r="K366" s="18">
        <f t="shared" si="158"/>
        <v>0</v>
      </c>
      <c r="L366" s="187"/>
      <c r="M366" s="118"/>
      <c r="N366" s="336"/>
      <c r="O366" s="342" t="s">
        <v>65</v>
      </c>
      <c r="P366" s="187"/>
      <c r="Q366" s="188"/>
      <c r="R366" s="188"/>
      <c r="S366" s="119"/>
      <c r="T366" s="188"/>
      <c r="U366" s="211">
        <f t="shared" si="159"/>
        <v>0</v>
      </c>
      <c r="V366" s="279"/>
      <c r="W366" s="280"/>
      <c r="X366" s="351"/>
      <c r="Y366" s="209" t="s">
        <v>85</v>
      </c>
      <c r="Z366" s="71"/>
      <c r="AA366" s="321"/>
      <c r="AB366" s="321"/>
      <c r="AC366" s="322"/>
      <c r="AD366" s="188"/>
      <c r="AE366" s="18">
        <f t="shared" si="160"/>
        <v>0</v>
      </c>
      <c r="AF366" s="71"/>
      <c r="AG366" s="322"/>
      <c r="AH366" s="360"/>
      <c r="AI366" s="97"/>
      <c r="AJ366" s="194"/>
      <c r="AK366" s="193"/>
      <c r="AL366" s="205"/>
      <c r="AM366" s="197"/>
      <c r="AN366" s="205"/>
      <c r="AO366" s="197"/>
      <c r="AP366" s="205"/>
      <c r="AQ366" s="197"/>
      <c r="AR366" s="13">
        <f t="shared" si="161"/>
        <v>3.6599999999999995E-5</v>
      </c>
      <c r="AS366" s="13">
        <f t="shared" si="162"/>
        <v>0</v>
      </c>
      <c r="AT366" s="13"/>
      <c r="AU366" s="160">
        <v>371</v>
      </c>
      <c r="AV366" s="191">
        <f t="shared" si="179"/>
        <v>3.9999999999999998E-6</v>
      </c>
      <c r="AW366" s="160">
        <f t="shared" si="163"/>
        <v>0</v>
      </c>
      <c r="AX366" s="219">
        <f t="shared" si="164"/>
        <v>3.6599999999999995E-5</v>
      </c>
      <c r="AY366" s="13">
        <f t="shared" si="167"/>
        <v>0</v>
      </c>
      <c r="AZ366" s="160">
        <v>371</v>
      </c>
      <c r="BA366" s="77">
        <f t="shared" si="180"/>
        <v>2.5999999999999997E-6</v>
      </c>
      <c r="BB366" s="192">
        <f t="shared" si="165"/>
        <v>0</v>
      </c>
      <c r="BC366" s="219">
        <f t="shared" si="168"/>
        <v>3.6599999999999995E-5</v>
      </c>
      <c r="BD366" s="13">
        <f t="shared" si="169"/>
        <v>0</v>
      </c>
      <c r="BE366" s="160">
        <v>371</v>
      </c>
      <c r="BF366" s="77">
        <f t="shared" si="181"/>
        <v>2.5999999999999997E-6</v>
      </c>
      <c r="BG366" s="192">
        <f t="shared" si="166"/>
        <v>0</v>
      </c>
      <c r="BI366" s="120"/>
      <c r="BJ366" s="120"/>
      <c r="BK366" s="160"/>
      <c r="BL366" s="160"/>
      <c r="BM366" s="161" t="str">
        <f t="shared" si="183"/>
        <v/>
      </c>
      <c r="BN366" s="161" t="str">
        <f t="shared" si="170"/>
        <v/>
      </c>
      <c r="BO366" s="161" t="str">
        <f t="shared" si="171"/>
        <v/>
      </c>
      <c r="BP366" s="161" t="str">
        <f t="shared" si="172"/>
        <v/>
      </c>
      <c r="BQ366" s="161" t="str">
        <f t="shared" si="173"/>
        <v/>
      </c>
      <c r="BR366" s="161" t="str">
        <f t="shared" si="182"/>
        <v/>
      </c>
      <c r="BS366" s="161" t="str">
        <f t="shared" si="174"/>
        <v/>
      </c>
      <c r="BT366" s="161" t="str">
        <f t="shared" si="175"/>
        <v/>
      </c>
      <c r="BU366" s="161" t="str">
        <f t="shared" si="184"/>
        <v/>
      </c>
      <c r="BV366" s="161" t="str">
        <f t="shared" si="176"/>
        <v/>
      </c>
      <c r="BW366" s="161" t="str">
        <f t="shared" si="177"/>
        <v/>
      </c>
      <c r="BX366" s="161" t="str">
        <f t="shared" si="178"/>
        <v/>
      </c>
      <c r="BY366" s="148"/>
      <c r="BZ366" s="148"/>
      <c r="CA366" s="148"/>
      <c r="CB366" s="148" t="s">
        <v>149</v>
      </c>
      <c r="CC366" s="148"/>
    </row>
    <row r="367" spans="1:81" ht="14.25" customHeight="1" thickBot="1">
      <c r="A367" s="190">
        <v>357</v>
      </c>
      <c r="B367" s="78"/>
      <c r="C367" s="181"/>
      <c r="D367" s="86"/>
      <c r="E367" s="92" t="s">
        <v>29</v>
      </c>
      <c r="F367" s="88"/>
      <c r="G367" s="93"/>
      <c r="H367" s="93"/>
      <c r="I367" s="93"/>
      <c r="J367" s="93"/>
      <c r="K367" s="81">
        <f t="shared" si="158"/>
        <v>0</v>
      </c>
      <c r="L367" s="88"/>
      <c r="M367" s="85"/>
      <c r="N367" s="337"/>
      <c r="O367" s="343" t="s">
        <v>65</v>
      </c>
      <c r="P367" s="88"/>
      <c r="Q367" s="93"/>
      <c r="R367" s="93"/>
      <c r="S367" s="89"/>
      <c r="T367" s="93"/>
      <c r="U367" s="212">
        <f t="shared" si="159"/>
        <v>0</v>
      </c>
      <c r="V367" s="281"/>
      <c r="W367" s="282"/>
      <c r="X367" s="352"/>
      <c r="Y367" s="210" t="s">
        <v>85</v>
      </c>
      <c r="Z367" s="72"/>
      <c r="AA367" s="323"/>
      <c r="AB367" s="323"/>
      <c r="AC367" s="324"/>
      <c r="AD367" s="93"/>
      <c r="AE367" s="81">
        <f t="shared" si="160"/>
        <v>0</v>
      </c>
      <c r="AF367" s="72"/>
      <c r="AG367" s="324"/>
      <c r="AH367" s="361"/>
      <c r="AI367" s="98"/>
      <c r="AJ367" s="95"/>
      <c r="AK367" s="215"/>
      <c r="AL367" s="206"/>
      <c r="AM367" s="83"/>
      <c r="AN367" s="206"/>
      <c r="AO367" s="83"/>
      <c r="AP367" s="206"/>
      <c r="AQ367" s="83"/>
      <c r="AR367" s="13">
        <f t="shared" si="161"/>
        <v>3.6699999999999998E-5</v>
      </c>
      <c r="AS367" s="13">
        <f t="shared" si="162"/>
        <v>0</v>
      </c>
      <c r="AT367" s="13"/>
      <c r="AU367" s="160">
        <v>372</v>
      </c>
      <c r="AV367" s="191">
        <f t="shared" si="179"/>
        <v>3.8999999999999999E-6</v>
      </c>
      <c r="AW367" s="160">
        <f t="shared" si="163"/>
        <v>0</v>
      </c>
      <c r="AX367" s="219">
        <f t="shared" si="164"/>
        <v>3.6699999999999998E-5</v>
      </c>
      <c r="AY367" s="13">
        <f t="shared" si="167"/>
        <v>0</v>
      </c>
      <c r="AZ367" s="160">
        <v>372</v>
      </c>
      <c r="BA367" s="77">
        <f t="shared" si="180"/>
        <v>2.4999999999999998E-6</v>
      </c>
      <c r="BB367" s="192">
        <f t="shared" si="165"/>
        <v>0</v>
      </c>
      <c r="BC367" s="219">
        <f t="shared" si="168"/>
        <v>3.6699999999999998E-5</v>
      </c>
      <c r="BD367" s="13">
        <f t="shared" si="169"/>
        <v>0</v>
      </c>
      <c r="BE367" s="160">
        <v>372</v>
      </c>
      <c r="BF367" s="77">
        <f t="shared" si="181"/>
        <v>2.4999999999999998E-6</v>
      </c>
      <c r="BG367" s="192">
        <f t="shared" si="166"/>
        <v>0</v>
      </c>
      <c r="BI367" s="120"/>
      <c r="BJ367" s="120"/>
      <c r="BK367" s="160"/>
      <c r="BL367" s="160"/>
      <c r="BM367" s="161" t="str">
        <f t="shared" si="183"/>
        <v/>
      </c>
      <c r="BN367" s="161" t="str">
        <f t="shared" si="170"/>
        <v/>
      </c>
      <c r="BO367" s="161" t="str">
        <f t="shared" si="171"/>
        <v/>
      </c>
      <c r="BP367" s="161" t="str">
        <f t="shared" si="172"/>
        <v/>
      </c>
      <c r="BQ367" s="161" t="str">
        <f t="shared" si="173"/>
        <v/>
      </c>
      <c r="BR367" s="161" t="str">
        <f t="shared" si="182"/>
        <v/>
      </c>
      <c r="BS367" s="161" t="str">
        <f t="shared" si="174"/>
        <v/>
      </c>
      <c r="BT367" s="161" t="str">
        <f t="shared" si="175"/>
        <v/>
      </c>
      <c r="BU367" s="161" t="str">
        <f t="shared" si="184"/>
        <v/>
      </c>
      <c r="BV367" s="161" t="str">
        <f t="shared" si="176"/>
        <v/>
      </c>
      <c r="BW367" s="161" t="str">
        <f t="shared" si="177"/>
        <v/>
      </c>
      <c r="BX367" s="161" t="str">
        <f t="shared" si="178"/>
        <v/>
      </c>
      <c r="BY367" s="148"/>
      <c r="BZ367" s="148"/>
      <c r="CA367" s="148"/>
      <c r="CB367" s="148" t="s">
        <v>149</v>
      </c>
      <c r="CC367" s="148"/>
    </row>
    <row r="368" spans="1:81" ht="14.25" customHeight="1" thickBot="1">
      <c r="A368" s="190">
        <v>358</v>
      </c>
      <c r="B368" s="79"/>
      <c r="C368" s="179"/>
      <c r="D368" s="137"/>
      <c r="E368" s="198" t="s">
        <v>29</v>
      </c>
      <c r="F368" s="199"/>
      <c r="G368" s="200"/>
      <c r="H368" s="200"/>
      <c r="I368" s="200"/>
      <c r="J368" s="200"/>
      <c r="K368" s="201">
        <f t="shared" si="158"/>
        <v>0</v>
      </c>
      <c r="L368" s="189"/>
      <c r="M368" s="84"/>
      <c r="N368" s="335"/>
      <c r="O368" s="341" t="s">
        <v>65</v>
      </c>
      <c r="P368" s="189"/>
      <c r="Q368" s="326"/>
      <c r="R368" s="326"/>
      <c r="S368" s="87"/>
      <c r="T368" s="207"/>
      <c r="U368" s="225">
        <f t="shared" si="159"/>
        <v>0</v>
      </c>
      <c r="V368" s="277"/>
      <c r="W368" s="278"/>
      <c r="X368" s="350"/>
      <c r="Y368" s="208" t="s">
        <v>147</v>
      </c>
      <c r="Z368" s="11"/>
      <c r="AA368" s="207"/>
      <c r="AB368" s="207"/>
      <c r="AC368" s="3"/>
      <c r="AD368" s="207"/>
      <c r="AE368" s="226">
        <f t="shared" si="160"/>
        <v>0</v>
      </c>
      <c r="AF368" s="11"/>
      <c r="AG368" s="3"/>
      <c r="AH368" s="359"/>
      <c r="AI368" s="96"/>
      <c r="AJ368" s="94"/>
      <c r="AK368" s="214"/>
      <c r="AL368" s="213"/>
      <c r="AM368" s="82"/>
      <c r="AN368" s="213"/>
      <c r="AO368" s="82"/>
      <c r="AP368" s="213"/>
      <c r="AQ368" s="82"/>
      <c r="AR368" s="13">
        <f t="shared" si="161"/>
        <v>3.68E-5</v>
      </c>
      <c r="AS368" s="13">
        <f t="shared" si="162"/>
        <v>0</v>
      </c>
      <c r="AT368" s="13"/>
      <c r="AU368" s="160">
        <v>373</v>
      </c>
      <c r="AV368" s="191">
        <f t="shared" si="179"/>
        <v>3.8E-6</v>
      </c>
      <c r="AW368" s="160">
        <f t="shared" si="163"/>
        <v>0</v>
      </c>
      <c r="AX368" s="219">
        <f t="shared" si="164"/>
        <v>3.68E-5</v>
      </c>
      <c r="AY368" s="13">
        <f t="shared" si="167"/>
        <v>0</v>
      </c>
      <c r="AZ368" s="160">
        <v>373</v>
      </c>
      <c r="BA368" s="77">
        <f t="shared" si="180"/>
        <v>2.3999999999999999E-6</v>
      </c>
      <c r="BB368" s="192" t="str">
        <f t="shared" si="165"/>
        <v>وسام خليل محمد علي المغربي</v>
      </c>
      <c r="BC368" s="219">
        <f t="shared" si="168"/>
        <v>3.68E-5</v>
      </c>
      <c r="BD368" s="13">
        <f t="shared" si="169"/>
        <v>0</v>
      </c>
      <c r="BE368" s="160">
        <v>373</v>
      </c>
      <c r="BF368" s="77">
        <f t="shared" si="181"/>
        <v>2.3999999999999999E-6</v>
      </c>
      <c r="BG368" s="192" t="str">
        <f t="shared" si="166"/>
        <v>وسام خليل محمد علي المغربي</v>
      </c>
      <c r="BI368" s="120"/>
      <c r="BJ368" s="120"/>
      <c r="BK368" s="160"/>
      <c r="BL368" s="160"/>
      <c r="BM368" s="161" t="str">
        <f t="shared" si="183"/>
        <v/>
      </c>
      <c r="BN368" s="161" t="str">
        <f t="shared" si="170"/>
        <v/>
      </c>
      <c r="BO368" s="161" t="str">
        <f t="shared" si="171"/>
        <v/>
      </c>
      <c r="BP368" s="161" t="str">
        <f t="shared" si="172"/>
        <v/>
      </c>
      <c r="BQ368" s="161" t="str">
        <f t="shared" si="173"/>
        <v/>
      </c>
      <c r="BR368" s="161" t="str">
        <f t="shared" si="182"/>
        <v/>
      </c>
      <c r="BS368" s="161" t="str">
        <f t="shared" si="174"/>
        <v/>
      </c>
      <c r="BT368" s="161" t="str">
        <f t="shared" si="175"/>
        <v/>
      </c>
      <c r="BU368" s="161" t="str">
        <f t="shared" si="184"/>
        <v/>
      </c>
      <c r="BV368" s="161" t="str">
        <f t="shared" si="176"/>
        <v/>
      </c>
      <c r="BW368" s="161" t="str">
        <f t="shared" si="177"/>
        <v/>
      </c>
      <c r="BX368" s="161" t="str">
        <f t="shared" si="178"/>
        <v/>
      </c>
      <c r="BY368" s="148"/>
      <c r="BZ368" s="148"/>
      <c r="CA368" s="148"/>
      <c r="CB368" s="148" t="s">
        <v>149</v>
      </c>
      <c r="CC368" s="148"/>
    </row>
    <row r="369" spans="1:81" ht="14.25" customHeight="1" thickBot="1">
      <c r="A369" s="190">
        <v>359</v>
      </c>
      <c r="B369" s="196"/>
      <c r="C369" s="180"/>
      <c r="D369" s="136"/>
      <c r="E369" s="91" t="s">
        <v>29</v>
      </c>
      <c r="F369" s="187"/>
      <c r="G369" s="188"/>
      <c r="H369" s="188"/>
      <c r="I369" s="188"/>
      <c r="J369" s="188"/>
      <c r="K369" s="18">
        <f t="shared" si="158"/>
        <v>0</v>
      </c>
      <c r="L369" s="187"/>
      <c r="M369" s="118"/>
      <c r="N369" s="336"/>
      <c r="O369" s="342" t="s">
        <v>65</v>
      </c>
      <c r="P369" s="187"/>
      <c r="Q369" s="188"/>
      <c r="R369" s="188"/>
      <c r="S369" s="119"/>
      <c r="T369" s="188"/>
      <c r="U369" s="211">
        <f t="shared" si="159"/>
        <v>0</v>
      </c>
      <c r="V369" s="279"/>
      <c r="W369" s="280"/>
      <c r="X369" s="351"/>
      <c r="Y369" s="209" t="s">
        <v>85</v>
      </c>
      <c r="Z369" s="71"/>
      <c r="AA369" s="321"/>
      <c r="AB369" s="321"/>
      <c r="AC369" s="322"/>
      <c r="AD369" s="188"/>
      <c r="AE369" s="18">
        <f t="shared" si="160"/>
        <v>0</v>
      </c>
      <c r="AF369" s="71"/>
      <c r="AG369" s="322"/>
      <c r="AH369" s="360"/>
      <c r="AI369" s="97"/>
      <c r="AJ369" s="194"/>
      <c r="AK369" s="193"/>
      <c r="AL369" s="205"/>
      <c r="AM369" s="197"/>
      <c r="AN369" s="205"/>
      <c r="AO369" s="197"/>
      <c r="AP369" s="205"/>
      <c r="AQ369" s="197"/>
      <c r="AR369" s="13">
        <f t="shared" si="161"/>
        <v>3.6899999999999996E-5</v>
      </c>
      <c r="AS369" s="13">
        <f t="shared" si="162"/>
        <v>0</v>
      </c>
      <c r="AT369" s="13"/>
      <c r="AU369" s="160">
        <v>374</v>
      </c>
      <c r="AV369" s="191">
        <f t="shared" si="179"/>
        <v>3.6999999999999997E-6</v>
      </c>
      <c r="AW369" s="160">
        <f t="shared" si="163"/>
        <v>0</v>
      </c>
      <c r="AX369" s="219">
        <f t="shared" si="164"/>
        <v>3.6899999999999996E-5</v>
      </c>
      <c r="AY369" s="13">
        <f t="shared" si="167"/>
        <v>0</v>
      </c>
      <c r="AZ369" s="160">
        <v>374</v>
      </c>
      <c r="BA369" s="77">
        <f t="shared" si="180"/>
        <v>2.3E-6</v>
      </c>
      <c r="BB369" s="192" t="str">
        <f t="shared" si="165"/>
        <v>نصير نور الدين عبدالله الشاوش</v>
      </c>
      <c r="BC369" s="219">
        <f t="shared" si="168"/>
        <v>3.6899999999999996E-5</v>
      </c>
      <c r="BD369" s="13">
        <f t="shared" si="169"/>
        <v>0</v>
      </c>
      <c r="BE369" s="160">
        <v>374</v>
      </c>
      <c r="BF369" s="77">
        <f t="shared" si="181"/>
        <v>2.3E-6</v>
      </c>
      <c r="BG369" s="192" t="str">
        <f t="shared" si="166"/>
        <v>نصير نور الدين عبدالله الشاوش</v>
      </c>
      <c r="BI369" s="120"/>
      <c r="BJ369" s="120"/>
      <c r="BK369" s="160"/>
      <c r="BL369" s="160"/>
      <c r="BM369" s="161" t="str">
        <f t="shared" si="183"/>
        <v/>
      </c>
      <c r="BN369" s="161" t="str">
        <f t="shared" si="170"/>
        <v/>
      </c>
      <c r="BO369" s="161" t="str">
        <f t="shared" si="171"/>
        <v/>
      </c>
      <c r="BP369" s="161" t="str">
        <f t="shared" si="172"/>
        <v/>
      </c>
      <c r="BQ369" s="161" t="str">
        <f t="shared" si="173"/>
        <v/>
      </c>
      <c r="BR369" s="161" t="str">
        <f t="shared" si="182"/>
        <v/>
      </c>
      <c r="BS369" s="161" t="str">
        <f t="shared" si="174"/>
        <v/>
      </c>
      <c r="BT369" s="161" t="str">
        <f t="shared" si="175"/>
        <v/>
      </c>
      <c r="BU369" s="161" t="str">
        <f t="shared" si="184"/>
        <v/>
      </c>
      <c r="BV369" s="161" t="str">
        <f t="shared" si="176"/>
        <v/>
      </c>
      <c r="BW369" s="161" t="str">
        <f t="shared" si="177"/>
        <v/>
      </c>
      <c r="BX369" s="161" t="str">
        <f t="shared" si="178"/>
        <v/>
      </c>
      <c r="BY369" s="148"/>
      <c r="BZ369" s="148"/>
      <c r="CA369" s="148"/>
      <c r="CB369" s="148" t="s">
        <v>149</v>
      </c>
      <c r="CC369" s="148"/>
    </row>
    <row r="370" spans="1:81" ht="14.25" customHeight="1" thickBot="1">
      <c r="A370" s="190">
        <v>360</v>
      </c>
      <c r="B370" s="78"/>
      <c r="C370" s="181"/>
      <c r="D370" s="86"/>
      <c r="E370" s="92" t="s">
        <v>29</v>
      </c>
      <c r="F370" s="88"/>
      <c r="G370" s="93"/>
      <c r="H370" s="93"/>
      <c r="I370" s="93"/>
      <c r="J370" s="93"/>
      <c r="K370" s="81">
        <f t="shared" si="158"/>
        <v>0</v>
      </c>
      <c r="L370" s="88"/>
      <c r="M370" s="85"/>
      <c r="N370" s="337"/>
      <c r="O370" s="343" t="s">
        <v>65</v>
      </c>
      <c r="P370" s="88"/>
      <c r="Q370" s="93"/>
      <c r="R370" s="93"/>
      <c r="S370" s="89"/>
      <c r="T370" s="93"/>
      <c r="U370" s="212">
        <f t="shared" si="159"/>
        <v>0</v>
      </c>
      <c r="V370" s="281"/>
      <c r="W370" s="282"/>
      <c r="X370" s="352"/>
      <c r="Y370" s="210" t="s">
        <v>85</v>
      </c>
      <c r="Z370" s="72"/>
      <c r="AA370" s="323"/>
      <c r="AB370" s="323"/>
      <c r="AC370" s="324"/>
      <c r="AD370" s="93"/>
      <c r="AE370" s="81">
        <f t="shared" si="160"/>
        <v>0</v>
      </c>
      <c r="AF370" s="72"/>
      <c r="AG370" s="324"/>
      <c r="AH370" s="361"/>
      <c r="AI370" s="98"/>
      <c r="AJ370" s="95"/>
      <c r="AK370" s="215"/>
      <c r="AL370" s="206"/>
      <c r="AM370" s="83"/>
      <c r="AN370" s="206"/>
      <c r="AO370" s="83"/>
      <c r="AP370" s="206"/>
      <c r="AQ370" s="83"/>
      <c r="AR370" s="13">
        <f t="shared" si="161"/>
        <v>3.6999999999999998E-5</v>
      </c>
      <c r="AS370" s="13">
        <f t="shared" si="162"/>
        <v>0</v>
      </c>
      <c r="AT370" s="13"/>
      <c r="AU370" s="160">
        <v>375</v>
      </c>
      <c r="AV370" s="191">
        <f t="shared" si="179"/>
        <v>3.5999999999999998E-6</v>
      </c>
      <c r="AW370" s="160">
        <f t="shared" si="163"/>
        <v>0</v>
      </c>
      <c r="AX370" s="219">
        <f t="shared" si="164"/>
        <v>3.6999999999999998E-5</v>
      </c>
      <c r="AY370" s="13">
        <f t="shared" si="167"/>
        <v>0</v>
      </c>
      <c r="AZ370" s="160">
        <v>375</v>
      </c>
      <c r="BA370" s="77">
        <f t="shared" si="180"/>
        <v>2.2000000000000001E-6</v>
      </c>
      <c r="BB370" s="192" t="str">
        <f t="shared" si="165"/>
        <v>ندى علاء محمد سلطان</v>
      </c>
      <c r="BC370" s="219">
        <f t="shared" si="168"/>
        <v>3.6999999999999998E-5</v>
      </c>
      <c r="BD370" s="13">
        <f t="shared" si="169"/>
        <v>0</v>
      </c>
      <c r="BE370" s="160">
        <v>375</v>
      </c>
      <c r="BF370" s="77">
        <f t="shared" si="181"/>
        <v>2.2000000000000001E-6</v>
      </c>
      <c r="BG370" s="192" t="str">
        <f t="shared" si="166"/>
        <v>ندى علاء محمد سلطان</v>
      </c>
      <c r="BI370" s="120"/>
      <c r="BJ370" s="120"/>
      <c r="BK370" s="160"/>
      <c r="BL370" s="160"/>
      <c r="BM370" s="161" t="str">
        <f t="shared" si="183"/>
        <v/>
      </c>
      <c r="BN370" s="161" t="str">
        <f t="shared" si="170"/>
        <v/>
      </c>
      <c r="BO370" s="161" t="str">
        <f t="shared" si="171"/>
        <v/>
      </c>
      <c r="BP370" s="161" t="str">
        <f t="shared" si="172"/>
        <v/>
      </c>
      <c r="BQ370" s="161" t="str">
        <f t="shared" si="173"/>
        <v/>
      </c>
      <c r="BR370" s="161" t="str">
        <f t="shared" si="182"/>
        <v/>
      </c>
      <c r="BS370" s="161" t="str">
        <f t="shared" si="174"/>
        <v/>
      </c>
      <c r="BT370" s="161" t="str">
        <f t="shared" si="175"/>
        <v/>
      </c>
      <c r="BU370" s="161" t="str">
        <f t="shared" si="184"/>
        <v/>
      </c>
      <c r="BV370" s="161" t="str">
        <f t="shared" si="176"/>
        <v/>
      </c>
      <c r="BW370" s="161" t="str">
        <f t="shared" si="177"/>
        <v/>
      </c>
      <c r="BX370" s="161" t="str">
        <f t="shared" si="178"/>
        <v/>
      </c>
      <c r="BY370" s="148"/>
      <c r="BZ370" s="148"/>
      <c r="CA370" s="148"/>
      <c r="CB370" s="148" t="s">
        <v>149</v>
      </c>
      <c r="CC370" s="148"/>
    </row>
    <row r="371" spans="1:81" ht="14.25" customHeight="1" thickBot="1">
      <c r="A371" s="190">
        <v>361</v>
      </c>
      <c r="B371" s="79"/>
      <c r="C371" s="179"/>
      <c r="D371" s="137"/>
      <c r="E371" s="198" t="s">
        <v>29</v>
      </c>
      <c r="F371" s="199"/>
      <c r="G371" s="200"/>
      <c r="H371" s="200"/>
      <c r="I371" s="200"/>
      <c r="J371" s="200"/>
      <c r="K371" s="201">
        <f t="shared" si="158"/>
        <v>0</v>
      </c>
      <c r="L371" s="189"/>
      <c r="M371" s="84"/>
      <c r="N371" s="335"/>
      <c r="O371" s="341" t="s">
        <v>65</v>
      </c>
      <c r="P371" s="189"/>
      <c r="Q371" s="326"/>
      <c r="R371" s="326"/>
      <c r="S371" s="87"/>
      <c r="T371" s="207"/>
      <c r="U371" s="225">
        <f t="shared" si="159"/>
        <v>0</v>
      </c>
      <c r="V371" s="277"/>
      <c r="W371" s="278"/>
      <c r="X371" s="350"/>
      <c r="Y371" s="208" t="s">
        <v>147</v>
      </c>
      <c r="Z371" s="11"/>
      <c r="AA371" s="207"/>
      <c r="AB371" s="207"/>
      <c r="AC371" s="3"/>
      <c r="AD371" s="207"/>
      <c r="AE371" s="226">
        <f t="shared" si="160"/>
        <v>0</v>
      </c>
      <c r="AF371" s="11"/>
      <c r="AG371" s="3"/>
      <c r="AH371" s="359"/>
      <c r="AI371" s="96"/>
      <c r="AJ371" s="94"/>
      <c r="AK371" s="214"/>
      <c r="AL371" s="213"/>
      <c r="AM371" s="82"/>
      <c r="AN371" s="213"/>
      <c r="AO371" s="82"/>
      <c r="AP371" s="213"/>
      <c r="AQ371" s="82"/>
      <c r="AR371" s="13">
        <f t="shared" si="161"/>
        <v>3.7100000000000001E-5</v>
      </c>
      <c r="AS371" s="13">
        <f t="shared" si="162"/>
        <v>0</v>
      </c>
      <c r="AT371" s="13"/>
      <c r="AU371" s="160">
        <v>376</v>
      </c>
      <c r="AV371" s="191">
        <f t="shared" si="179"/>
        <v>3.4999999999999999E-6</v>
      </c>
      <c r="AW371" s="160">
        <f t="shared" si="163"/>
        <v>0</v>
      </c>
      <c r="AX371" s="219">
        <f t="shared" si="164"/>
        <v>3.7100000000000001E-5</v>
      </c>
      <c r="AY371" s="13">
        <f t="shared" si="167"/>
        <v>0</v>
      </c>
      <c r="AZ371" s="160">
        <v>376</v>
      </c>
      <c r="BA371" s="77">
        <f t="shared" si="180"/>
        <v>2.0999999999999998E-6</v>
      </c>
      <c r="BB371" s="192" t="str">
        <f t="shared" si="165"/>
        <v xml:space="preserve">ميرال صالح محمد  ديماس </v>
      </c>
      <c r="BC371" s="219">
        <f t="shared" si="168"/>
        <v>3.7100000000000001E-5</v>
      </c>
      <c r="BD371" s="13">
        <f t="shared" si="169"/>
        <v>0</v>
      </c>
      <c r="BE371" s="160">
        <v>376</v>
      </c>
      <c r="BF371" s="77">
        <f t="shared" si="181"/>
        <v>2.0999999999999998E-6</v>
      </c>
      <c r="BG371" s="192" t="str">
        <f t="shared" si="166"/>
        <v xml:space="preserve">ميرال صالح محمد  ديماس </v>
      </c>
      <c r="BI371" s="120"/>
      <c r="BJ371" s="120"/>
      <c r="BK371" s="160"/>
      <c r="BL371" s="160"/>
      <c r="BM371" s="161" t="str">
        <f t="shared" si="183"/>
        <v/>
      </c>
      <c r="BN371" s="161" t="str">
        <f t="shared" si="170"/>
        <v/>
      </c>
      <c r="BO371" s="161" t="str">
        <f t="shared" si="171"/>
        <v/>
      </c>
      <c r="BP371" s="161" t="str">
        <f t="shared" si="172"/>
        <v/>
      </c>
      <c r="BQ371" s="161" t="str">
        <f t="shared" si="173"/>
        <v/>
      </c>
      <c r="BR371" s="161" t="str">
        <f t="shared" si="182"/>
        <v/>
      </c>
      <c r="BS371" s="161" t="str">
        <f t="shared" si="174"/>
        <v/>
      </c>
      <c r="BT371" s="161" t="str">
        <f t="shared" si="175"/>
        <v/>
      </c>
      <c r="BU371" s="161" t="str">
        <f t="shared" si="184"/>
        <v/>
      </c>
      <c r="BV371" s="161" t="str">
        <f t="shared" si="176"/>
        <v/>
      </c>
      <c r="BW371" s="161" t="str">
        <f t="shared" si="177"/>
        <v/>
      </c>
      <c r="BX371" s="161" t="str">
        <f t="shared" si="178"/>
        <v/>
      </c>
      <c r="BY371" s="148"/>
      <c r="BZ371" s="148"/>
      <c r="CA371" s="148"/>
      <c r="CB371" s="148" t="s">
        <v>149</v>
      </c>
      <c r="CC371" s="148"/>
    </row>
    <row r="372" spans="1:81" ht="14.25" customHeight="1" thickBot="1">
      <c r="A372" s="190">
        <v>362</v>
      </c>
      <c r="B372" s="196"/>
      <c r="C372" s="180"/>
      <c r="D372" s="136"/>
      <c r="E372" s="91" t="s">
        <v>29</v>
      </c>
      <c r="F372" s="187"/>
      <c r="G372" s="188"/>
      <c r="H372" s="188"/>
      <c r="I372" s="188"/>
      <c r="J372" s="188"/>
      <c r="K372" s="18">
        <f t="shared" si="158"/>
        <v>0</v>
      </c>
      <c r="L372" s="187"/>
      <c r="M372" s="118"/>
      <c r="N372" s="336"/>
      <c r="O372" s="342" t="s">
        <v>65</v>
      </c>
      <c r="P372" s="187"/>
      <c r="Q372" s="188"/>
      <c r="R372" s="188"/>
      <c r="S372" s="119"/>
      <c r="T372" s="188"/>
      <c r="U372" s="211">
        <f t="shared" si="159"/>
        <v>0</v>
      </c>
      <c r="V372" s="279"/>
      <c r="W372" s="280"/>
      <c r="X372" s="351"/>
      <c r="Y372" s="209" t="s">
        <v>85</v>
      </c>
      <c r="Z372" s="71"/>
      <c r="AA372" s="321"/>
      <c r="AB372" s="321"/>
      <c r="AC372" s="322"/>
      <c r="AD372" s="188"/>
      <c r="AE372" s="18">
        <f t="shared" si="160"/>
        <v>0</v>
      </c>
      <c r="AF372" s="71"/>
      <c r="AG372" s="322"/>
      <c r="AH372" s="360"/>
      <c r="AI372" s="97"/>
      <c r="AJ372" s="194"/>
      <c r="AK372" s="193"/>
      <c r="AL372" s="205"/>
      <c r="AM372" s="197"/>
      <c r="AN372" s="205"/>
      <c r="AO372" s="197"/>
      <c r="AP372" s="205"/>
      <c r="AQ372" s="197"/>
      <c r="AR372" s="13">
        <f t="shared" si="161"/>
        <v>3.7199999999999996E-5</v>
      </c>
      <c r="AS372" s="13">
        <f t="shared" si="162"/>
        <v>0</v>
      </c>
      <c r="AT372" s="13"/>
      <c r="AU372" s="160">
        <v>377</v>
      </c>
      <c r="AV372" s="191">
        <f t="shared" si="179"/>
        <v>3.3999999999999996E-6</v>
      </c>
      <c r="AW372" s="160">
        <f t="shared" si="163"/>
        <v>0</v>
      </c>
      <c r="AX372" s="219">
        <f t="shared" si="164"/>
        <v>3.7199999999999996E-5</v>
      </c>
      <c r="AY372" s="13">
        <f t="shared" si="167"/>
        <v>0</v>
      </c>
      <c r="AZ372" s="160">
        <v>377</v>
      </c>
      <c r="BA372" s="77">
        <f t="shared" si="180"/>
        <v>1.9999999999999999E-6</v>
      </c>
      <c r="BB372" s="192" t="str">
        <f t="shared" si="165"/>
        <v>مثاب نورالدين احمد  الديب</v>
      </c>
      <c r="BC372" s="219">
        <f t="shared" si="168"/>
        <v>3.7199999999999996E-5</v>
      </c>
      <c r="BD372" s="13">
        <f t="shared" si="169"/>
        <v>0</v>
      </c>
      <c r="BE372" s="160">
        <v>377</v>
      </c>
      <c r="BF372" s="77">
        <f t="shared" si="181"/>
        <v>1.9999999999999999E-6</v>
      </c>
      <c r="BG372" s="192" t="str">
        <f t="shared" si="166"/>
        <v>مثاب نورالدين احمد  الديب</v>
      </c>
      <c r="BI372" s="120"/>
      <c r="BJ372" s="120"/>
      <c r="BK372" s="160"/>
      <c r="BL372" s="160"/>
      <c r="BM372" s="161" t="str">
        <f t="shared" si="183"/>
        <v/>
      </c>
      <c r="BN372" s="161" t="str">
        <f t="shared" si="170"/>
        <v/>
      </c>
      <c r="BO372" s="161" t="str">
        <f t="shared" si="171"/>
        <v/>
      </c>
      <c r="BP372" s="161" t="str">
        <f t="shared" si="172"/>
        <v/>
      </c>
      <c r="BQ372" s="161" t="str">
        <f t="shared" si="173"/>
        <v/>
      </c>
      <c r="BR372" s="161" t="str">
        <f t="shared" si="182"/>
        <v/>
      </c>
      <c r="BS372" s="161" t="str">
        <f t="shared" si="174"/>
        <v/>
      </c>
      <c r="BT372" s="161" t="str">
        <f t="shared" si="175"/>
        <v/>
      </c>
      <c r="BU372" s="161" t="str">
        <f t="shared" si="184"/>
        <v/>
      </c>
      <c r="BV372" s="161" t="str">
        <f t="shared" si="176"/>
        <v/>
      </c>
      <c r="BW372" s="161" t="str">
        <f t="shared" si="177"/>
        <v/>
      </c>
      <c r="BX372" s="161" t="str">
        <f t="shared" si="178"/>
        <v/>
      </c>
      <c r="BY372" s="148"/>
      <c r="BZ372" s="148"/>
      <c r="CA372" s="148"/>
      <c r="CB372" s="148" t="s">
        <v>149</v>
      </c>
      <c r="CC372" s="148"/>
    </row>
    <row r="373" spans="1:81" ht="14.25" customHeight="1" thickBot="1">
      <c r="A373" s="190">
        <v>363</v>
      </c>
      <c r="B373" s="78"/>
      <c r="C373" s="181"/>
      <c r="D373" s="86"/>
      <c r="E373" s="92" t="s">
        <v>29</v>
      </c>
      <c r="F373" s="88"/>
      <c r="G373" s="93"/>
      <c r="H373" s="93"/>
      <c r="I373" s="93"/>
      <c r="J373" s="93"/>
      <c r="K373" s="81">
        <f t="shared" si="158"/>
        <v>0</v>
      </c>
      <c r="L373" s="88"/>
      <c r="M373" s="85"/>
      <c r="N373" s="337"/>
      <c r="O373" s="343" t="s">
        <v>65</v>
      </c>
      <c r="P373" s="88"/>
      <c r="Q373" s="93"/>
      <c r="R373" s="93"/>
      <c r="S373" s="89"/>
      <c r="T373" s="93"/>
      <c r="U373" s="212">
        <f t="shared" si="159"/>
        <v>0</v>
      </c>
      <c r="V373" s="281"/>
      <c r="W373" s="282"/>
      <c r="X373" s="352"/>
      <c r="Y373" s="210" t="s">
        <v>85</v>
      </c>
      <c r="Z373" s="72"/>
      <c r="AA373" s="323"/>
      <c r="AB373" s="323"/>
      <c r="AC373" s="324"/>
      <c r="AD373" s="93"/>
      <c r="AE373" s="81">
        <f t="shared" si="160"/>
        <v>0</v>
      </c>
      <c r="AF373" s="72"/>
      <c r="AG373" s="324"/>
      <c r="AH373" s="361"/>
      <c r="AI373" s="98"/>
      <c r="AJ373" s="95"/>
      <c r="AK373" s="215"/>
      <c r="AL373" s="206"/>
      <c r="AM373" s="83"/>
      <c r="AN373" s="206"/>
      <c r="AO373" s="83"/>
      <c r="AP373" s="206"/>
      <c r="AQ373" s="83"/>
      <c r="AR373" s="13">
        <f t="shared" si="161"/>
        <v>3.7299999999999999E-5</v>
      </c>
      <c r="AS373" s="13">
        <f t="shared" si="162"/>
        <v>0</v>
      </c>
      <c r="AT373" s="13"/>
      <c r="AU373" s="160">
        <v>378</v>
      </c>
      <c r="AV373" s="191">
        <f t="shared" si="179"/>
        <v>3.2999999999999997E-6</v>
      </c>
      <c r="AW373" s="160">
        <f t="shared" si="163"/>
        <v>0</v>
      </c>
      <c r="AX373" s="219">
        <f t="shared" si="164"/>
        <v>3.7299999999999999E-5</v>
      </c>
      <c r="AY373" s="13">
        <f t="shared" si="167"/>
        <v>0</v>
      </c>
      <c r="AZ373" s="160">
        <v>378</v>
      </c>
      <c r="BA373" s="77">
        <f t="shared" si="180"/>
        <v>1.9E-6</v>
      </c>
      <c r="BB373" s="192" t="str">
        <f t="shared" si="165"/>
        <v>قاسم عبدالمنعم موسي الشيخي</v>
      </c>
      <c r="BC373" s="219">
        <f t="shared" si="168"/>
        <v>3.7299999999999999E-5</v>
      </c>
      <c r="BD373" s="13">
        <f t="shared" si="169"/>
        <v>0</v>
      </c>
      <c r="BE373" s="160">
        <v>378</v>
      </c>
      <c r="BF373" s="77">
        <f t="shared" si="181"/>
        <v>1.9E-6</v>
      </c>
      <c r="BG373" s="192" t="str">
        <f t="shared" si="166"/>
        <v>قاسم عبدالمنعم موسي الشيخي</v>
      </c>
      <c r="BI373" s="120"/>
      <c r="BJ373" s="120"/>
      <c r="BK373" s="160"/>
      <c r="BL373" s="160"/>
      <c r="BM373" s="161" t="str">
        <f t="shared" si="183"/>
        <v/>
      </c>
      <c r="BN373" s="161" t="str">
        <f t="shared" si="170"/>
        <v/>
      </c>
      <c r="BO373" s="161" t="str">
        <f t="shared" si="171"/>
        <v/>
      </c>
      <c r="BP373" s="161" t="str">
        <f t="shared" si="172"/>
        <v/>
      </c>
      <c r="BQ373" s="161" t="str">
        <f t="shared" si="173"/>
        <v/>
      </c>
      <c r="BR373" s="161" t="str">
        <f t="shared" si="182"/>
        <v/>
      </c>
      <c r="BS373" s="161" t="str">
        <f t="shared" si="174"/>
        <v/>
      </c>
      <c r="BT373" s="161" t="str">
        <f t="shared" si="175"/>
        <v/>
      </c>
      <c r="BU373" s="161" t="str">
        <f t="shared" si="184"/>
        <v/>
      </c>
      <c r="BV373" s="161" t="str">
        <f t="shared" si="176"/>
        <v/>
      </c>
      <c r="BW373" s="161" t="str">
        <f t="shared" si="177"/>
        <v/>
      </c>
      <c r="BX373" s="161" t="str">
        <f t="shared" si="178"/>
        <v/>
      </c>
      <c r="BY373" s="148"/>
      <c r="BZ373" s="148"/>
      <c r="CA373" s="148"/>
      <c r="CB373" s="148" t="s">
        <v>149</v>
      </c>
      <c r="CC373" s="148"/>
    </row>
    <row r="374" spans="1:81" ht="14.25" customHeight="1" thickBot="1">
      <c r="A374" s="190">
        <v>364</v>
      </c>
      <c r="B374" s="79"/>
      <c r="C374" s="179"/>
      <c r="D374" s="137"/>
      <c r="E374" s="198" t="s">
        <v>29</v>
      </c>
      <c r="F374" s="199"/>
      <c r="G374" s="200"/>
      <c r="H374" s="200"/>
      <c r="I374" s="200"/>
      <c r="J374" s="200"/>
      <c r="K374" s="201">
        <f t="shared" si="158"/>
        <v>0</v>
      </c>
      <c r="L374" s="189"/>
      <c r="M374" s="84"/>
      <c r="N374" s="335"/>
      <c r="O374" s="341" t="s">
        <v>65</v>
      </c>
      <c r="P374" s="189"/>
      <c r="Q374" s="326"/>
      <c r="R374" s="326"/>
      <c r="S374" s="87"/>
      <c r="T374" s="207"/>
      <c r="U374" s="225">
        <f t="shared" si="159"/>
        <v>0</v>
      </c>
      <c r="V374" s="277"/>
      <c r="W374" s="278"/>
      <c r="X374" s="350"/>
      <c r="Y374" s="208" t="s">
        <v>147</v>
      </c>
      <c r="Z374" s="11"/>
      <c r="AA374" s="207"/>
      <c r="AB374" s="207"/>
      <c r="AC374" s="3"/>
      <c r="AD374" s="207"/>
      <c r="AE374" s="226">
        <f t="shared" si="160"/>
        <v>0</v>
      </c>
      <c r="AF374" s="11"/>
      <c r="AG374" s="3"/>
      <c r="AH374" s="359"/>
      <c r="AI374" s="96"/>
      <c r="AJ374" s="94"/>
      <c r="AK374" s="214"/>
      <c r="AL374" s="213"/>
      <c r="AM374" s="82"/>
      <c r="AN374" s="213"/>
      <c r="AO374" s="82"/>
      <c r="AP374" s="213"/>
      <c r="AQ374" s="82"/>
      <c r="AR374" s="13">
        <f t="shared" si="161"/>
        <v>3.7400000000000001E-5</v>
      </c>
      <c r="AS374" s="13">
        <f t="shared" si="162"/>
        <v>0</v>
      </c>
      <c r="AT374" s="13"/>
      <c r="AU374" s="160">
        <v>379</v>
      </c>
      <c r="AV374" s="191">
        <f t="shared" si="179"/>
        <v>3.1999999999999999E-6</v>
      </c>
      <c r="AW374" s="160">
        <f t="shared" si="163"/>
        <v>0</v>
      </c>
      <c r="AX374" s="219">
        <f t="shared" si="164"/>
        <v>3.7400000000000001E-5</v>
      </c>
      <c r="AY374" s="13">
        <f t="shared" si="167"/>
        <v>0</v>
      </c>
      <c r="AZ374" s="160">
        <v>379</v>
      </c>
      <c r="BA374" s="77">
        <f t="shared" si="180"/>
        <v>1.7999999999999999E-6</v>
      </c>
      <c r="BB374" s="192" t="str">
        <f t="shared" si="165"/>
        <v>عبدالمجيد محمد عبدالمجيد عرابى</v>
      </c>
      <c r="BC374" s="219">
        <f t="shared" si="168"/>
        <v>3.7400000000000001E-5</v>
      </c>
      <c r="BD374" s="13">
        <f t="shared" si="169"/>
        <v>0</v>
      </c>
      <c r="BE374" s="160">
        <v>379</v>
      </c>
      <c r="BF374" s="77">
        <f t="shared" si="181"/>
        <v>1.7999999999999999E-6</v>
      </c>
      <c r="BG374" s="192" t="str">
        <f t="shared" si="166"/>
        <v>عبدالمجيد محمد عبدالمجيد عرابى</v>
      </c>
      <c r="BI374" s="120"/>
      <c r="BJ374" s="120"/>
      <c r="BK374" s="160"/>
      <c r="BL374" s="160"/>
      <c r="BM374" s="161" t="str">
        <f t="shared" si="183"/>
        <v/>
      </c>
      <c r="BN374" s="161" t="str">
        <f t="shared" si="170"/>
        <v/>
      </c>
      <c r="BO374" s="161" t="str">
        <f t="shared" si="171"/>
        <v/>
      </c>
      <c r="BP374" s="161" t="str">
        <f t="shared" si="172"/>
        <v/>
      </c>
      <c r="BQ374" s="161" t="str">
        <f t="shared" si="173"/>
        <v/>
      </c>
      <c r="BR374" s="161" t="str">
        <f t="shared" si="182"/>
        <v/>
      </c>
      <c r="BS374" s="161" t="str">
        <f t="shared" si="174"/>
        <v/>
      </c>
      <c r="BT374" s="161" t="str">
        <f t="shared" si="175"/>
        <v/>
      </c>
      <c r="BU374" s="161" t="str">
        <f t="shared" si="184"/>
        <v/>
      </c>
      <c r="BV374" s="161" t="str">
        <f t="shared" si="176"/>
        <v/>
      </c>
      <c r="BW374" s="161" t="str">
        <f t="shared" si="177"/>
        <v/>
      </c>
      <c r="BX374" s="161" t="str">
        <f t="shared" si="178"/>
        <v/>
      </c>
      <c r="BY374" s="148"/>
      <c r="BZ374" s="148"/>
      <c r="CA374" s="148"/>
      <c r="CB374" s="148" t="s">
        <v>149</v>
      </c>
      <c r="CC374" s="148"/>
    </row>
    <row r="375" spans="1:81" ht="14.25" customHeight="1" thickBot="1">
      <c r="A375" s="190">
        <v>365</v>
      </c>
      <c r="B375" s="196"/>
      <c r="C375" s="180"/>
      <c r="D375" s="136"/>
      <c r="E375" s="91" t="s">
        <v>29</v>
      </c>
      <c r="F375" s="187"/>
      <c r="G375" s="188"/>
      <c r="H375" s="188"/>
      <c r="I375" s="188"/>
      <c r="J375" s="188"/>
      <c r="K375" s="18">
        <f t="shared" si="158"/>
        <v>0</v>
      </c>
      <c r="L375" s="187"/>
      <c r="M375" s="118"/>
      <c r="N375" s="336"/>
      <c r="O375" s="342" t="s">
        <v>65</v>
      </c>
      <c r="P375" s="187"/>
      <c r="Q375" s="188"/>
      <c r="R375" s="188"/>
      <c r="S375" s="119"/>
      <c r="T375" s="188"/>
      <c r="U375" s="211">
        <f t="shared" si="159"/>
        <v>0</v>
      </c>
      <c r="V375" s="279"/>
      <c r="W375" s="280"/>
      <c r="X375" s="351"/>
      <c r="Y375" s="209" t="s">
        <v>85</v>
      </c>
      <c r="Z375" s="71"/>
      <c r="AA375" s="321"/>
      <c r="AB375" s="321"/>
      <c r="AC375" s="322"/>
      <c r="AD375" s="188"/>
      <c r="AE375" s="18">
        <f t="shared" si="160"/>
        <v>0</v>
      </c>
      <c r="AF375" s="71"/>
      <c r="AG375" s="322"/>
      <c r="AH375" s="360"/>
      <c r="AI375" s="97"/>
      <c r="AJ375" s="194"/>
      <c r="AK375" s="193"/>
      <c r="AL375" s="205"/>
      <c r="AM375" s="197"/>
      <c r="AN375" s="205"/>
      <c r="AO375" s="197"/>
      <c r="AP375" s="205"/>
      <c r="AQ375" s="197"/>
      <c r="AR375" s="13">
        <f t="shared" si="161"/>
        <v>3.7499999999999997E-5</v>
      </c>
      <c r="AS375" s="13">
        <f t="shared" si="162"/>
        <v>0</v>
      </c>
      <c r="AT375" s="13"/>
      <c r="AU375" s="160">
        <v>380</v>
      </c>
      <c r="AV375" s="191">
        <f t="shared" si="179"/>
        <v>3.1E-6</v>
      </c>
      <c r="AW375" s="160">
        <f t="shared" si="163"/>
        <v>0</v>
      </c>
      <c r="AX375" s="219">
        <f t="shared" si="164"/>
        <v>3.7499999999999997E-5</v>
      </c>
      <c r="AY375" s="13">
        <f t="shared" si="167"/>
        <v>0</v>
      </c>
      <c r="AZ375" s="160">
        <v>380</v>
      </c>
      <c r="BA375" s="77">
        <f t="shared" si="180"/>
        <v>1.6999999999999998E-6</v>
      </c>
      <c r="BB375" s="192" t="str">
        <f t="shared" si="165"/>
        <v>عبدالرحمن فرج  محمد المغربي</v>
      </c>
      <c r="BC375" s="219">
        <f t="shared" si="168"/>
        <v>3.7499999999999997E-5</v>
      </c>
      <c r="BD375" s="13">
        <f t="shared" si="169"/>
        <v>0</v>
      </c>
      <c r="BE375" s="160">
        <v>380</v>
      </c>
      <c r="BF375" s="77">
        <f t="shared" si="181"/>
        <v>1.6999999999999998E-6</v>
      </c>
      <c r="BG375" s="192" t="str">
        <f t="shared" si="166"/>
        <v>عبدالرحمن فرج  محمد المغربي</v>
      </c>
      <c r="BI375" s="120"/>
      <c r="BJ375" s="120"/>
      <c r="BK375" s="160"/>
      <c r="BL375" s="160"/>
      <c r="BM375" s="161" t="str">
        <f t="shared" si="183"/>
        <v/>
      </c>
      <c r="BN375" s="161" t="str">
        <f t="shared" si="170"/>
        <v/>
      </c>
      <c r="BO375" s="161" t="str">
        <f t="shared" si="171"/>
        <v/>
      </c>
      <c r="BP375" s="161" t="str">
        <f t="shared" si="172"/>
        <v/>
      </c>
      <c r="BQ375" s="161" t="str">
        <f t="shared" si="173"/>
        <v/>
      </c>
      <c r="BR375" s="161" t="str">
        <f t="shared" si="182"/>
        <v/>
      </c>
      <c r="BS375" s="161" t="str">
        <f t="shared" si="174"/>
        <v/>
      </c>
      <c r="BT375" s="161" t="str">
        <f t="shared" si="175"/>
        <v/>
      </c>
      <c r="BU375" s="161" t="str">
        <f t="shared" si="184"/>
        <v/>
      </c>
      <c r="BV375" s="161" t="str">
        <f t="shared" si="176"/>
        <v/>
      </c>
      <c r="BW375" s="161" t="str">
        <f t="shared" si="177"/>
        <v/>
      </c>
      <c r="BX375" s="161" t="str">
        <f t="shared" si="178"/>
        <v/>
      </c>
      <c r="BY375" s="148"/>
      <c r="BZ375" s="148"/>
      <c r="CA375" s="148"/>
      <c r="CB375" s="148" t="s">
        <v>149</v>
      </c>
      <c r="CC375" s="148"/>
    </row>
    <row r="376" spans="1:81" ht="14.25" customHeight="1" thickBot="1">
      <c r="A376" s="190">
        <v>366</v>
      </c>
      <c r="B376" s="78"/>
      <c r="C376" s="181"/>
      <c r="D376" s="86"/>
      <c r="E376" s="92" t="s">
        <v>29</v>
      </c>
      <c r="F376" s="88"/>
      <c r="G376" s="93"/>
      <c r="H376" s="93"/>
      <c r="I376" s="93"/>
      <c r="J376" s="93"/>
      <c r="K376" s="81">
        <f t="shared" si="158"/>
        <v>0</v>
      </c>
      <c r="L376" s="88"/>
      <c r="M376" s="85"/>
      <c r="N376" s="337"/>
      <c r="O376" s="343" t="s">
        <v>65</v>
      </c>
      <c r="P376" s="88"/>
      <c r="Q376" s="93"/>
      <c r="R376" s="93"/>
      <c r="S376" s="89"/>
      <c r="T376" s="93"/>
      <c r="U376" s="212">
        <f t="shared" si="159"/>
        <v>0</v>
      </c>
      <c r="V376" s="281"/>
      <c r="W376" s="282"/>
      <c r="X376" s="352"/>
      <c r="Y376" s="210" t="s">
        <v>85</v>
      </c>
      <c r="Z376" s="72"/>
      <c r="AA376" s="323"/>
      <c r="AB376" s="323"/>
      <c r="AC376" s="324"/>
      <c r="AD376" s="93"/>
      <c r="AE376" s="81">
        <f t="shared" si="160"/>
        <v>0</v>
      </c>
      <c r="AF376" s="72"/>
      <c r="AG376" s="324"/>
      <c r="AH376" s="361"/>
      <c r="AI376" s="98"/>
      <c r="AJ376" s="95"/>
      <c r="AK376" s="215"/>
      <c r="AL376" s="206"/>
      <c r="AM376" s="83"/>
      <c r="AN376" s="206"/>
      <c r="AO376" s="83"/>
      <c r="AP376" s="206"/>
      <c r="AQ376" s="83"/>
      <c r="AR376" s="13">
        <f t="shared" si="161"/>
        <v>3.7599999999999999E-5</v>
      </c>
      <c r="AS376" s="13">
        <f t="shared" si="162"/>
        <v>0</v>
      </c>
      <c r="AT376" s="13"/>
      <c r="AU376" s="160">
        <v>381</v>
      </c>
      <c r="AV376" s="191">
        <f t="shared" si="179"/>
        <v>3.0000000000000001E-6</v>
      </c>
      <c r="AW376" s="160">
        <f t="shared" si="163"/>
        <v>0</v>
      </c>
      <c r="AX376" s="219">
        <f t="shared" si="164"/>
        <v>3.7599999999999999E-5</v>
      </c>
      <c r="AY376" s="13">
        <f t="shared" si="167"/>
        <v>0</v>
      </c>
      <c r="AZ376" s="160">
        <v>381</v>
      </c>
      <c r="BA376" s="77">
        <f t="shared" si="180"/>
        <v>1.5999999999999999E-6</v>
      </c>
      <c r="BB376" s="192" t="str">
        <f t="shared" si="165"/>
        <v>سوزان عبدالباسط اللافى محمد</v>
      </c>
      <c r="BC376" s="219">
        <f t="shared" si="168"/>
        <v>3.7599999999999999E-5</v>
      </c>
      <c r="BD376" s="13">
        <f t="shared" si="169"/>
        <v>0</v>
      </c>
      <c r="BE376" s="160">
        <v>381</v>
      </c>
      <c r="BF376" s="77">
        <f t="shared" si="181"/>
        <v>1.5999999999999999E-6</v>
      </c>
      <c r="BG376" s="192" t="str">
        <f t="shared" si="166"/>
        <v>سوزان عبدالباسط اللافى محمد</v>
      </c>
      <c r="BI376" s="120"/>
      <c r="BJ376" s="120"/>
      <c r="BK376" s="160"/>
      <c r="BL376" s="160"/>
      <c r="BM376" s="161" t="str">
        <f t="shared" si="183"/>
        <v/>
      </c>
      <c r="BN376" s="161" t="str">
        <f t="shared" si="170"/>
        <v/>
      </c>
      <c r="BO376" s="161" t="str">
        <f t="shared" si="171"/>
        <v/>
      </c>
      <c r="BP376" s="161" t="str">
        <f t="shared" si="172"/>
        <v/>
      </c>
      <c r="BQ376" s="161" t="str">
        <f t="shared" si="173"/>
        <v/>
      </c>
      <c r="BR376" s="161" t="str">
        <f t="shared" si="182"/>
        <v/>
      </c>
      <c r="BS376" s="161" t="str">
        <f t="shared" si="174"/>
        <v/>
      </c>
      <c r="BT376" s="161" t="str">
        <f t="shared" si="175"/>
        <v/>
      </c>
      <c r="BU376" s="161" t="str">
        <f t="shared" ref="BU376:BU380" si="185">MID($BK376,4,1)</f>
        <v/>
      </c>
      <c r="BV376" s="161" t="str">
        <f t="shared" si="176"/>
        <v/>
      </c>
      <c r="BW376" s="161" t="str">
        <f t="shared" si="177"/>
        <v/>
      </c>
      <c r="BX376" s="161" t="str">
        <f t="shared" si="178"/>
        <v/>
      </c>
      <c r="BY376" s="148"/>
      <c r="BZ376" s="148"/>
      <c r="CA376" s="148"/>
      <c r="CB376" s="148" t="s">
        <v>149</v>
      </c>
      <c r="CC376" s="148"/>
    </row>
    <row r="377" spans="1:81" ht="14.25" customHeight="1" thickBot="1">
      <c r="A377" s="190">
        <v>367</v>
      </c>
      <c r="B377" s="79"/>
      <c r="C377" s="179"/>
      <c r="D377" s="137"/>
      <c r="E377" s="198" t="s">
        <v>29</v>
      </c>
      <c r="F377" s="199"/>
      <c r="G377" s="200"/>
      <c r="H377" s="200"/>
      <c r="I377" s="200"/>
      <c r="J377" s="200"/>
      <c r="K377" s="201">
        <f t="shared" si="158"/>
        <v>0</v>
      </c>
      <c r="L377" s="189"/>
      <c r="M377" s="84"/>
      <c r="N377" s="335"/>
      <c r="O377" s="341" t="s">
        <v>65</v>
      </c>
      <c r="P377" s="189"/>
      <c r="Q377" s="326"/>
      <c r="R377" s="326"/>
      <c r="S377" s="87"/>
      <c r="T377" s="207"/>
      <c r="U377" s="225">
        <f t="shared" si="159"/>
        <v>0</v>
      </c>
      <c r="V377" s="277"/>
      <c r="W377" s="278"/>
      <c r="X377" s="350"/>
      <c r="Y377" s="208" t="s">
        <v>147</v>
      </c>
      <c r="Z377" s="11"/>
      <c r="AA377" s="207"/>
      <c r="AB377" s="207"/>
      <c r="AC377" s="3"/>
      <c r="AD377" s="207"/>
      <c r="AE377" s="226">
        <f t="shared" si="160"/>
        <v>0</v>
      </c>
      <c r="AF377" s="11"/>
      <c r="AG377" s="3"/>
      <c r="AH377" s="359"/>
      <c r="AI377" s="96"/>
      <c r="AJ377" s="94"/>
      <c r="AK377" s="214"/>
      <c r="AL377" s="213"/>
      <c r="AM377" s="82"/>
      <c r="AN377" s="213"/>
      <c r="AO377" s="82"/>
      <c r="AP377" s="213"/>
      <c r="AQ377" s="82"/>
      <c r="AR377" s="13">
        <f t="shared" si="161"/>
        <v>3.7700000000000002E-5</v>
      </c>
      <c r="AS377" s="13">
        <f t="shared" si="162"/>
        <v>0</v>
      </c>
      <c r="AT377" s="13"/>
      <c r="AU377" s="160">
        <v>382</v>
      </c>
      <c r="AV377" s="191">
        <f t="shared" si="179"/>
        <v>2.8999999999999998E-6</v>
      </c>
      <c r="AW377" s="160">
        <f t="shared" si="163"/>
        <v>0</v>
      </c>
      <c r="AX377" s="219">
        <f t="shared" si="164"/>
        <v>3.7700000000000002E-5</v>
      </c>
      <c r="AY377" s="13">
        <f t="shared" si="167"/>
        <v>0</v>
      </c>
      <c r="AZ377" s="160">
        <v>382</v>
      </c>
      <c r="BA377" s="77">
        <f t="shared" si="180"/>
        <v>1.5E-6</v>
      </c>
      <c r="BB377" s="192" t="str">
        <f t="shared" si="165"/>
        <v>سارة ضياء محمد الترهونى</v>
      </c>
      <c r="BC377" s="219">
        <f t="shared" si="168"/>
        <v>3.7700000000000002E-5</v>
      </c>
      <c r="BD377" s="13">
        <f t="shared" si="169"/>
        <v>0</v>
      </c>
      <c r="BE377" s="160">
        <v>382</v>
      </c>
      <c r="BF377" s="77">
        <f t="shared" si="181"/>
        <v>1.5E-6</v>
      </c>
      <c r="BG377" s="192" t="str">
        <f t="shared" si="166"/>
        <v>سارة ضياء محمد الترهونى</v>
      </c>
      <c r="BI377" s="120"/>
      <c r="BJ377" s="120"/>
      <c r="BK377" s="160"/>
      <c r="BL377" s="160"/>
      <c r="BM377" s="161" t="str">
        <f t="shared" si="183"/>
        <v/>
      </c>
      <c r="BN377" s="161" t="str">
        <f t="shared" si="170"/>
        <v/>
      </c>
      <c r="BO377" s="161" t="str">
        <f t="shared" si="171"/>
        <v/>
      </c>
      <c r="BP377" s="161" t="str">
        <f t="shared" si="172"/>
        <v/>
      </c>
      <c r="BQ377" s="161" t="str">
        <f t="shared" si="173"/>
        <v/>
      </c>
      <c r="BR377" s="161" t="str">
        <f t="shared" si="182"/>
        <v/>
      </c>
      <c r="BS377" s="161" t="str">
        <f t="shared" si="174"/>
        <v/>
      </c>
      <c r="BT377" s="161" t="str">
        <f t="shared" si="175"/>
        <v/>
      </c>
      <c r="BU377" s="161" t="str">
        <f t="shared" si="185"/>
        <v/>
      </c>
      <c r="BV377" s="161" t="str">
        <f t="shared" si="176"/>
        <v/>
      </c>
      <c r="BW377" s="161" t="str">
        <f t="shared" si="177"/>
        <v/>
      </c>
      <c r="BX377" s="161" t="str">
        <f t="shared" si="178"/>
        <v/>
      </c>
      <c r="BY377" s="148"/>
      <c r="BZ377" s="148"/>
      <c r="CA377" s="148"/>
      <c r="CB377" s="148" t="s">
        <v>149</v>
      </c>
      <c r="CC377" s="148"/>
    </row>
    <row r="378" spans="1:81" ht="14.25" customHeight="1" thickBot="1">
      <c r="A378" s="190">
        <v>368</v>
      </c>
      <c r="B378" s="196"/>
      <c r="C378" s="180"/>
      <c r="D378" s="136"/>
      <c r="E378" s="91" t="s">
        <v>29</v>
      </c>
      <c r="F378" s="187"/>
      <c r="G378" s="188"/>
      <c r="H378" s="188"/>
      <c r="I378" s="188"/>
      <c r="J378" s="188"/>
      <c r="K378" s="18">
        <f t="shared" si="158"/>
        <v>0</v>
      </c>
      <c r="L378" s="187"/>
      <c r="M378" s="118"/>
      <c r="N378" s="336"/>
      <c r="O378" s="342" t="s">
        <v>65</v>
      </c>
      <c r="P378" s="187"/>
      <c r="Q378" s="188"/>
      <c r="R378" s="188"/>
      <c r="S378" s="119"/>
      <c r="T378" s="188"/>
      <c r="U378" s="211">
        <f t="shared" si="159"/>
        <v>0</v>
      </c>
      <c r="V378" s="279"/>
      <c r="W378" s="280"/>
      <c r="X378" s="351"/>
      <c r="Y378" s="209" t="s">
        <v>85</v>
      </c>
      <c r="Z378" s="71"/>
      <c r="AA378" s="321"/>
      <c r="AB378" s="321"/>
      <c r="AC378" s="322"/>
      <c r="AD378" s="188"/>
      <c r="AE378" s="18">
        <f t="shared" si="160"/>
        <v>0</v>
      </c>
      <c r="AF378" s="71"/>
      <c r="AG378" s="322"/>
      <c r="AH378" s="360"/>
      <c r="AI378" s="97"/>
      <c r="AJ378" s="194"/>
      <c r="AK378" s="193"/>
      <c r="AL378" s="205"/>
      <c r="AM378" s="197"/>
      <c r="AN378" s="205"/>
      <c r="AO378" s="197"/>
      <c r="AP378" s="205"/>
      <c r="AQ378" s="197"/>
      <c r="AR378" s="13">
        <f t="shared" si="161"/>
        <v>3.7799999999999997E-5</v>
      </c>
      <c r="AS378" s="13">
        <f t="shared" si="162"/>
        <v>0</v>
      </c>
      <c r="AT378" s="13"/>
      <c r="AU378" s="160">
        <v>383</v>
      </c>
      <c r="AV378" s="191">
        <f t="shared" si="179"/>
        <v>2.7999999999999999E-6</v>
      </c>
      <c r="AW378" s="160">
        <f t="shared" si="163"/>
        <v>0</v>
      </c>
      <c r="AX378" s="219">
        <f t="shared" si="164"/>
        <v>3.7799999999999997E-5</v>
      </c>
      <c r="AY378" s="13">
        <f t="shared" si="167"/>
        <v>0</v>
      </c>
      <c r="AZ378" s="160">
        <v>383</v>
      </c>
      <c r="BA378" s="77">
        <f t="shared" si="180"/>
        <v>1.3999999999999999E-6</v>
      </c>
      <c r="BB378" s="192" t="str">
        <f t="shared" si="165"/>
        <v>زكريا محمد علي علي</v>
      </c>
      <c r="BC378" s="219">
        <f t="shared" si="168"/>
        <v>3.7799999999999997E-5</v>
      </c>
      <c r="BD378" s="13">
        <f t="shared" si="169"/>
        <v>0</v>
      </c>
      <c r="BE378" s="160">
        <v>383</v>
      </c>
      <c r="BF378" s="77">
        <f t="shared" si="181"/>
        <v>1.3999999999999999E-6</v>
      </c>
      <c r="BG378" s="192" t="str">
        <f t="shared" si="166"/>
        <v>زكريا محمد علي علي</v>
      </c>
      <c r="BI378" s="120"/>
      <c r="BJ378" s="120"/>
      <c r="BK378" s="160"/>
      <c r="BL378" s="160"/>
      <c r="BM378" s="161" t="str">
        <f t="shared" si="183"/>
        <v/>
      </c>
      <c r="BN378" s="161" t="str">
        <f t="shared" si="170"/>
        <v/>
      </c>
      <c r="BO378" s="161" t="str">
        <f t="shared" si="171"/>
        <v/>
      </c>
      <c r="BP378" s="161" t="str">
        <f t="shared" si="172"/>
        <v/>
      </c>
      <c r="BQ378" s="161" t="str">
        <f t="shared" si="173"/>
        <v/>
      </c>
      <c r="BR378" s="161" t="str">
        <f t="shared" si="182"/>
        <v/>
      </c>
      <c r="BS378" s="161" t="str">
        <f t="shared" si="174"/>
        <v/>
      </c>
      <c r="BT378" s="161" t="str">
        <f t="shared" si="175"/>
        <v/>
      </c>
      <c r="BU378" s="161" t="str">
        <f t="shared" si="185"/>
        <v/>
      </c>
      <c r="BV378" s="161" t="str">
        <f t="shared" si="176"/>
        <v/>
      </c>
      <c r="BW378" s="161" t="str">
        <f t="shared" si="177"/>
        <v/>
      </c>
      <c r="BX378" s="161" t="str">
        <f t="shared" si="178"/>
        <v/>
      </c>
      <c r="BY378" s="148"/>
      <c r="BZ378" s="148"/>
      <c r="CA378" s="148"/>
      <c r="CB378" s="148" t="s">
        <v>149</v>
      </c>
      <c r="CC378" s="148"/>
    </row>
    <row r="379" spans="1:81" ht="14.25" customHeight="1" thickBot="1">
      <c r="A379" s="190">
        <v>369</v>
      </c>
      <c r="B379" s="78"/>
      <c r="C379" s="181"/>
      <c r="D379" s="86"/>
      <c r="E379" s="92" t="s">
        <v>29</v>
      </c>
      <c r="F379" s="88"/>
      <c r="G379" s="93"/>
      <c r="H379" s="93"/>
      <c r="I379" s="93"/>
      <c r="J379" s="93"/>
      <c r="K379" s="81">
        <f t="shared" si="158"/>
        <v>0</v>
      </c>
      <c r="L379" s="88"/>
      <c r="M379" s="85"/>
      <c r="N379" s="337"/>
      <c r="O379" s="343" t="s">
        <v>65</v>
      </c>
      <c r="P379" s="88"/>
      <c r="Q379" s="93"/>
      <c r="R379" s="93"/>
      <c r="S379" s="89"/>
      <c r="T379" s="93"/>
      <c r="U379" s="212">
        <f t="shared" si="159"/>
        <v>0</v>
      </c>
      <c r="V379" s="281"/>
      <c r="W379" s="282"/>
      <c r="X379" s="352"/>
      <c r="Y379" s="210" t="s">
        <v>85</v>
      </c>
      <c r="Z379" s="72"/>
      <c r="AA379" s="323"/>
      <c r="AB379" s="323"/>
      <c r="AC379" s="324"/>
      <c r="AD379" s="93"/>
      <c r="AE379" s="81">
        <f t="shared" si="160"/>
        <v>0</v>
      </c>
      <c r="AF379" s="72"/>
      <c r="AG379" s="324"/>
      <c r="AH379" s="361"/>
      <c r="AI379" s="98"/>
      <c r="AJ379" s="95"/>
      <c r="AK379" s="215"/>
      <c r="AL379" s="206"/>
      <c r="AM379" s="83"/>
      <c r="AN379" s="206"/>
      <c r="AO379" s="83"/>
      <c r="AP379" s="206"/>
      <c r="AQ379" s="83"/>
      <c r="AR379" s="13">
        <f t="shared" si="161"/>
        <v>3.79E-5</v>
      </c>
      <c r="AS379" s="13">
        <f t="shared" si="162"/>
        <v>0</v>
      </c>
      <c r="AT379" s="13"/>
      <c r="AU379" s="160">
        <v>384</v>
      </c>
      <c r="AV379" s="191">
        <f t="shared" si="179"/>
        <v>2.7E-6</v>
      </c>
      <c r="AW379" s="160">
        <f t="shared" si="163"/>
        <v>0</v>
      </c>
      <c r="AX379" s="219">
        <f t="shared" si="164"/>
        <v>3.79E-5</v>
      </c>
      <c r="AY379" s="13">
        <f t="shared" si="167"/>
        <v>0</v>
      </c>
      <c r="AZ379" s="160">
        <v>384</v>
      </c>
      <c r="BA379" s="77">
        <f t="shared" si="180"/>
        <v>1.2999999999999998E-6</v>
      </c>
      <c r="BB379" s="192" t="str">
        <f t="shared" si="165"/>
        <v>رؤى عبدالحميد سيد ابوبكر عبداللطيف</v>
      </c>
      <c r="BC379" s="219">
        <f t="shared" si="168"/>
        <v>3.79E-5</v>
      </c>
      <c r="BD379" s="13">
        <f t="shared" si="169"/>
        <v>0</v>
      </c>
      <c r="BE379" s="160">
        <v>384</v>
      </c>
      <c r="BF379" s="77">
        <f t="shared" si="181"/>
        <v>1.2999999999999998E-6</v>
      </c>
      <c r="BG379" s="192" t="str">
        <f t="shared" si="166"/>
        <v>رؤى عبدالحميد سيد ابوبكر عبداللطيف</v>
      </c>
      <c r="BI379" s="120"/>
      <c r="BJ379" s="120"/>
      <c r="BK379" s="160"/>
      <c r="BL379" s="160"/>
      <c r="BM379" s="161" t="str">
        <f t="shared" si="183"/>
        <v/>
      </c>
      <c r="BN379" s="161" t="str">
        <f t="shared" si="170"/>
        <v/>
      </c>
      <c r="BO379" s="161" t="str">
        <f t="shared" si="171"/>
        <v/>
      </c>
      <c r="BP379" s="161" t="str">
        <f t="shared" si="172"/>
        <v/>
      </c>
      <c r="BQ379" s="161" t="str">
        <f t="shared" si="173"/>
        <v/>
      </c>
      <c r="BR379" s="161" t="str">
        <f t="shared" si="182"/>
        <v/>
      </c>
      <c r="BS379" s="161" t="str">
        <f t="shared" si="174"/>
        <v/>
      </c>
      <c r="BT379" s="161" t="str">
        <f t="shared" si="175"/>
        <v/>
      </c>
      <c r="BU379" s="161" t="str">
        <f t="shared" si="185"/>
        <v/>
      </c>
      <c r="BV379" s="161" t="str">
        <f t="shared" si="176"/>
        <v/>
      </c>
      <c r="BW379" s="161" t="str">
        <f t="shared" si="177"/>
        <v/>
      </c>
      <c r="BX379" s="161" t="str">
        <f t="shared" si="178"/>
        <v/>
      </c>
      <c r="BY379" s="148"/>
      <c r="BZ379" s="148"/>
      <c r="CA379" s="148"/>
      <c r="CB379" s="148" t="s">
        <v>149</v>
      </c>
      <c r="CC379" s="148"/>
    </row>
    <row r="380" spans="1:81" ht="14.25" customHeight="1" thickBot="1">
      <c r="A380" s="190">
        <v>370</v>
      </c>
      <c r="B380" s="79"/>
      <c r="C380" s="179"/>
      <c r="D380" s="137"/>
      <c r="E380" s="198" t="s">
        <v>29</v>
      </c>
      <c r="F380" s="199"/>
      <c r="G380" s="200"/>
      <c r="H380" s="200"/>
      <c r="I380" s="200"/>
      <c r="J380" s="200"/>
      <c r="K380" s="201">
        <f t="shared" ref="K380:K395" si="186">SUM(F380:J380)</f>
        <v>0</v>
      </c>
      <c r="L380" s="189"/>
      <c r="M380" s="84"/>
      <c r="N380" s="335"/>
      <c r="O380" s="341" t="s">
        <v>65</v>
      </c>
      <c r="P380" s="189"/>
      <c r="Q380" s="326"/>
      <c r="R380" s="326"/>
      <c r="S380" s="87"/>
      <c r="T380" s="207"/>
      <c r="U380" s="225">
        <f t="shared" ref="U380:U396" si="187">SUM(P380:T380)</f>
        <v>0</v>
      </c>
      <c r="V380" s="277"/>
      <c r="W380" s="278"/>
      <c r="X380" s="350"/>
      <c r="Y380" s="208" t="s">
        <v>147</v>
      </c>
      <c r="Z380" s="11"/>
      <c r="AA380" s="207"/>
      <c r="AB380" s="207"/>
      <c r="AC380" s="3"/>
      <c r="AD380" s="207"/>
      <c r="AE380" s="226">
        <f t="shared" ref="AE380:AE396" si="188">SUM(Z380:AD380)</f>
        <v>0</v>
      </c>
      <c r="AF380" s="11"/>
      <c r="AG380" s="3"/>
      <c r="AH380" s="359"/>
      <c r="AI380" s="96"/>
      <c r="AJ380" s="94"/>
      <c r="AK380" s="214"/>
      <c r="AL380" s="213"/>
      <c r="AM380" s="82"/>
      <c r="AN380" s="213"/>
      <c r="AO380" s="82"/>
      <c r="AP380" s="213"/>
      <c r="AQ380" s="82"/>
      <c r="AR380" s="13">
        <f t="shared" ref="AR380:AR396" si="189">K380+ROW()*0.0000001</f>
        <v>3.7999999999999995E-5</v>
      </c>
      <c r="AS380" s="13">
        <f t="shared" ref="AS380:AS396" si="190">B380</f>
        <v>0</v>
      </c>
      <c r="AT380" s="13"/>
      <c r="AU380" s="160">
        <v>385</v>
      </c>
      <c r="AV380" s="191">
        <f t="shared" si="179"/>
        <v>2.5999999999999997E-6</v>
      </c>
      <c r="AW380" s="160">
        <f t="shared" ref="AW380:AW395" si="191">IFERROR(VLOOKUP(AV380,الترتيب1,2,0),"")</f>
        <v>0</v>
      </c>
      <c r="AX380" s="219">
        <f t="shared" ref="AX380:AX396" si="192">U380+ROW()*0.0000001</f>
        <v>3.7999999999999995E-5</v>
      </c>
      <c r="AY380" s="13">
        <f t="shared" si="167"/>
        <v>0</v>
      </c>
      <c r="AZ380" s="160">
        <v>385</v>
      </c>
      <c r="BA380" s="77">
        <f t="shared" si="180"/>
        <v>1.1999999999999999E-6</v>
      </c>
      <c r="BB380" s="192" t="str">
        <f t="shared" ref="BB380:BB395" si="193">IFERROR(VLOOKUP(BA380,الترتيب2,2,0),"")</f>
        <v>ديالا علي حمد القبائلي</v>
      </c>
      <c r="BC380" s="219">
        <f t="shared" si="168"/>
        <v>3.7999999999999995E-5</v>
      </c>
      <c r="BD380" s="13">
        <f t="shared" si="169"/>
        <v>0</v>
      </c>
      <c r="BE380" s="160">
        <v>385</v>
      </c>
      <c r="BF380" s="77">
        <f t="shared" si="181"/>
        <v>1.1999999999999999E-6</v>
      </c>
      <c r="BG380" s="192" t="str">
        <f t="shared" ref="BG380:BG395" si="194">IFERROR(VLOOKUP(BF380,الترتيب3,2,0),"")</f>
        <v>ديالا علي حمد القبائلي</v>
      </c>
      <c r="BI380" s="120"/>
      <c r="BJ380" s="120"/>
      <c r="BK380" s="160"/>
      <c r="BL380" s="160"/>
      <c r="BM380" s="161" t="str">
        <f t="shared" si="183"/>
        <v/>
      </c>
      <c r="BN380" s="161" t="str">
        <f t="shared" si="170"/>
        <v/>
      </c>
      <c r="BO380" s="161" t="str">
        <f t="shared" si="171"/>
        <v/>
      </c>
      <c r="BP380" s="161" t="str">
        <f t="shared" si="172"/>
        <v/>
      </c>
      <c r="BQ380" s="161" t="str">
        <f t="shared" si="173"/>
        <v/>
      </c>
      <c r="BR380" s="161" t="str">
        <f t="shared" si="182"/>
        <v/>
      </c>
      <c r="BS380" s="161" t="str">
        <f t="shared" si="174"/>
        <v/>
      </c>
      <c r="BT380" s="161" t="str">
        <f t="shared" si="175"/>
        <v/>
      </c>
      <c r="BU380" s="161" t="str">
        <f t="shared" si="185"/>
        <v/>
      </c>
      <c r="BV380" s="161" t="str">
        <f t="shared" si="176"/>
        <v/>
      </c>
      <c r="BW380" s="161" t="str">
        <f t="shared" si="177"/>
        <v/>
      </c>
      <c r="BX380" s="161" t="str">
        <f t="shared" si="178"/>
        <v/>
      </c>
      <c r="BY380" s="148"/>
      <c r="BZ380" s="148"/>
      <c r="CA380" s="148"/>
      <c r="CB380" s="148" t="s">
        <v>149</v>
      </c>
      <c r="CC380" s="148"/>
    </row>
    <row r="381" spans="1:81" ht="14.25" customHeight="1" thickBot="1">
      <c r="A381" s="190">
        <v>371</v>
      </c>
      <c r="B381" s="196"/>
      <c r="C381" s="180"/>
      <c r="D381" s="136"/>
      <c r="E381" s="91" t="s">
        <v>29</v>
      </c>
      <c r="F381" s="187"/>
      <c r="G381" s="188"/>
      <c r="H381" s="188"/>
      <c r="I381" s="188"/>
      <c r="J381" s="188"/>
      <c r="K381" s="18">
        <f t="shared" si="186"/>
        <v>0</v>
      </c>
      <c r="L381" s="187"/>
      <c r="M381" s="118"/>
      <c r="N381" s="336"/>
      <c r="O381" s="342" t="s">
        <v>65</v>
      </c>
      <c r="P381" s="187"/>
      <c r="Q381" s="188"/>
      <c r="R381" s="188"/>
      <c r="S381" s="119"/>
      <c r="T381" s="188"/>
      <c r="U381" s="211">
        <f t="shared" si="187"/>
        <v>0</v>
      </c>
      <c r="V381" s="279"/>
      <c r="W381" s="280"/>
      <c r="X381" s="351"/>
      <c r="Y381" s="209" t="s">
        <v>85</v>
      </c>
      <c r="Z381" s="71"/>
      <c r="AA381" s="321"/>
      <c r="AB381" s="321"/>
      <c r="AC381" s="322"/>
      <c r="AD381" s="188"/>
      <c r="AE381" s="18">
        <f t="shared" si="188"/>
        <v>0</v>
      </c>
      <c r="AF381" s="71"/>
      <c r="AG381" s="322"/>
      <c r="AH381" s="360"/>
      <c r="AI381" s="97"/>
      <c r="AJ381" s="194"/>
      <c r="AK381" s="193"/>
      <c r="AL381" s="205"/>
      <c r="AM381" s="197"/>
      <c r="AN381" s="205"/>
      <c r="AO381" s="197"/>
      <c r="AP381" s="205"/>
      <c r="AQ381" s="197"/>
      <c r="AR381" s="13">
        <f t="shared" si="189"/>
        <v>3.8099999999999998E-5</v>
      </c>
      <c r="AS381" s="13">
        <f t="shared" si="190"/>
        <v>0</v>
      </c>
      <c r="AT381" s="13"/>
      <c r="AU381" s="160">
        <v>386</v>
      </c>
      <c r="AV381" s="191">
        <f t="shared" si="179"/>
        <v>2.4999999999999998E-6</v>
      </c>
      <c r="AW381" s="160">
        <f t="shared" si="191"/>
        <v>0</v>
      </c>
      <c r="AX381" s="219">
        <f t="shared" si="192"/>
        <v>3.8099999999999998E-5</v>
      </c>
      <c r="AY381" s="13">
        <f t="shared" ref="AY381:AY395" si="195">AS381</f>
        <v>0</v>
      </c>
      <c r="AZ381" s="160">
        <v>386</v>
      </c>
      <c r="BA381" s="77">
        <f t="shared" si="180"/>
        <v>1.1000000000000001E-6</v>
      </c>
      <c r="BB381" s="192" t="str">
        <f t="shared" si="193"/>
        <v xml:space="preserve">الجبير خليل الدوكالي اليونسي </v>
      </c>
      <c r="BC381" s="219">
        <f t="shared" ref="BC381:BC396" si="196">AE381+ROW()*0.0000001</f>
        <v>3.8099999999999998E-5</v>
      </c>
      <c r="BD381" s="13">
        <f t="shared" ref="BD381:BD395" si="197">AY381</f>
        <v>0</v>
      </c>
      <c r="BE381" s="160">
        <v>386</v>
      </c>
      <c r="BF381" s="77">
        <f t="shared" si="181"/>
        <v>1.1000000000000001E-6</v>
      </c>
      <c r="BG381" s="192" t="str">
        <f t="shared" si="194"/>
        <v xml:space="preserve">الجبير خليل الدوكالي اليونسي </v>
      </c>
      <c r="BI381" s="120"/>
      <c r="BJ381" s="120"/>
      <c r="BK381" s="160"/>
      <c r="BL381" s="160"/>
      <c r="BM381" s="161" t="str">
        <f t="shared" si="183"/>
        <v/>
      </c>
      <c r="BN381" s="161" t="str">
        <f t="shared" ref="BN381:BN395" si="198">MID($BK381,11,1)</f>
        <v/>
      </c>
      <c r="BO381" s="161" t="str">
        <f t="shared" ref="BO381:BO395" si="199">MID($BK381,10,1)</f>
        <v/>
      </c>
      <c r="BP381" s="161" t="str">
        <f t="shared" ref="BP381:BP395" si="200">MID($BK381,9,1)</f>
        <v/>
      </c>
      <c r="BQ381" s="161" t="str">
        <f t="shared" ref="BQ381:BQ395" si="201">MID($BK381,8,1)</f>
        <v/>
      </c>
      <c r="BR381" s="161" t="str">
        <f t="shared" ref="BR381:BR395" si="202">MID($BK381,7,1)</f>
        <v/>
      </c>
      <c r="BS381" s="161" t="str">
        <f t="shared" ref="BS381:BS395" si="203">MID($BK381,6,1)</f>
        <v/>
      </c>
      <c r="BT381" s="161" t="str">
        <f t="shared" ref="BT381:BT395" si="204">MID($BK381,5,1)</f>
        <v/>
      </c>
      <c r="BU381" s="161" t="str">
        <f t="shared" ref="BU381:BU395" si="205">MID($BK381,4,1)</f>
        <v/>
      </c>
      <c r="BV381" s="161" t="str">
        <f t="shared" ref="BV381:BV395" si="206">MID($BK381,3,1)</f>
        <v/>
      </c>
      <c r="BW381" s="161" t="str">
        <f t="shared" ref="BW381:BW395" si="207">MID($BK381,2,1)</f>
        <v/>
      </c>
      <c r="BX381" s="161" t="str">
        <f t="shared" ref="BX381:BX395" si="208">MID($BK381,1,1)</f>
        <v/>
      </c>
      <c r="BY381" s="148"/>
      <c r="BZ381" s="148"/>
      <c r="CA381" s="148"/>
      <c r="CB381" s="148" t="s">
        <v>149</v>
      </c>
      <c r="CC381" s="148"/>
    </row>
    <row r="382" spans="1:81" ht="14.25" customHeight="1" thickBot="1">
      <c r="A382" s="190">
        <v>372</v>
      </c>
      <c r="B382" s="78"/>
      <c r="C382" s="181"/>
      <c r="D382" s="86"/>
      <c r="E382" s="92" t="s">
        <v>29</v>
      </c>
      <c r="F382" s="88"/>
      <c r="G382" s="93"/>
      <c r="H382" s="93"/>
      <c r="I382" s="93"/>
      <c r="J382" s="93"/>
      <c r="K382" s="81">
        <f t="shared" si="186"/>
        <v>0</v>
      </c>
      <c r="L382" s="88"/>
      <c r="M382" s="85"/>
      <c r="N382" s="337"/>
      <c r="O382" s="343" t="s">
        <v>65</v>
      </c>
      <c r="P382" s="88"/>
      <c r="Q382" s="93"/>
      <c r="R382" s="93"/>
      <c r="S382" s="89"/>
      <c r="T382" s="93"/>
      <c r="U382" s="212">
        <f t="shared" si="187"/>
        <v>0</v>
      </c>
      <c r="V382" s="281"/>
      <c r="W382" s="282"/>
      <c r="X382" s="352"/>
      <c r="Y382" s="210" t="s">
        <v>85</v>
      </c>
      <c r="Z382" s="72"/>
      <c r="AA382" s="323"/>
      <c r="AB382" s="323"/>
      <c r="AC382" s="324"/>
      <c r="AD382" s="93"/>
      <c r="AE382" s="81">
        <f t="shared" si="188"/>
        <v>0</v>
      </c>
      <c r="AF382" s="72"/>
      <c r="AG382" s="324"/>
      <c r="AH382" s="361"/>
      <c r="AI382" s="98"/>
      <c r="AJ382" s="95"/>
      <c r="AK382" s="215"/>
      <c r="AL382" s="206"/>
      <c r="AM382" s="83"/>
      <c r="AN382" s="206"/>
      <c r="AO382" s="83"/>
      <c r="AP382" s="206"/>
      <c r="AQ382" s="83"/>
      <c r="AR382" s="13">
        <f t="shared" si="189"/>
        <v>3.82E-5</v>
      </c>
      <c r="AS382" s="13">
        <f t="shared" si="190"/>
        <v>0</v>
      </c>
      <c r="AT382" s="13"/>
      <c r="AU382" s="160">
        <v>387</v>
      </c>
      <c r="AV382" s="191" t="str">
        <f t="shared" si="179"/>
        <v/>
      </c>
      <c r="AW382" s="160" t="str">
        <f t="shared" si="191"/>
        <v/>
      </c>
      <c r="AX382" s="219">
        <f t="shared" si="192"/>
        <v>3.82E-5</v>
      </c>
      <c r="AY382" s="13">
        <f t="shared" si="195"/>
        <v>0</v>
      </c>
      <c r="AZ382" s="160">
        <v>387</v>
      </c>
      <c r="BA382" s="77" t="str">
        <f t="shared" si="180"/>
        <v/>
      </c>
      <c r="BB382" s="192" t="str">
        <f t="shared" si="193"/>
        <v/>
      </c>
      <c r="BC382" s="219">
        <f t="shared" si="196"/>
        <v>3.82E-5</v>
      </c>
      <c r="BD382" s="13">
        <f t="shared" si="197"/>
        <v>0</v>
      </c>
      <c r="BE382" s="160">
        <v>387</v>
      </c>
      <c r="BF382" s="77" t="str">
        <f t="shared" si="181"/>
        <v/>
      </c>
      <c r="BG382" s="192" t="str">
        <f t="shared" si="194"/>
        <v/>
      </c>
      <c r="BI382" s="120"/>
      <c r="BJ382" s="120"/>
      <c r="BK382" s="160"/>
      <c r="BL382" s="160"/>
      <c r="BM382" s="161" t="str">
        <f t="shared" si="183"/>
        <v/>
      </c>
      <c r="BN382" s="161" t="str">
        <f t="shared" si="198"/>
        <v/>
      </c>
      <c r="BO382" s="161" t="str">
        <f t="shared" si="199"/>
        <v/>
      </c>
      <c r="BP382" s="161" t="str">
        <f t="shared" si="200"/>
        <v/>
      </c>
      <c r="BQ382" s="161" t="str">
        <f t="shared" si="201"/>
        <v/>
      </c>
      <c r="BR382" s="161" t="str">
        <f t="shared" si="202"/>
        <v/>
      </c>
      <c r="BS382" s="161" t="str">
        <f t="shared" si="203"/>
        <v/>
      </c>
      <c r="BT382" s="161" t="str">
        <f t="shared" si="204"/>
        <v/>
      </c>
      <c r="BU382" s="161" t="str">
        <f t="shared" si="205"/>
        <v/>
      </c>
      <c r="BV382" s="161" t="str">
        <f t="shared" si="206"/>
        <v/>
      </c>
      <c r="BW382" s="161" t="str">
        <f t="shared" si="207"/>
        <v/>
      </c>
      <c r="BX382" s="161" t="str">
        <f t="shared" si="208"/>
        <v/>
      </c>
      <c r="BY382" s="148"/>
      <c r="BZ382" s="148"/>
      <c r="CA382" s="148"/>
      <c r="CB382" s="148" t="s">
        <v>149</v>
      </c>
      <c r="CC382" s="148"/>
    </row>
    <row r="383" spans="1:81" ht="14.25" customHeight="1" thickBot="1">
      <c r="A383" s="190">
        <v>373</v>
      </c>
      <c r="B383" s="79"/>
      <c r="C383" s="179"/>
      <c r="D383" s="137"/>
      <c r="E383" s="198" t="s">
        <v>29</v>
      </c>
      <c r="F383" s="199"/>
      <c r="G383" s="200"/>
      <c r="H383" s="200"/>
      <c r="I383" s="200"/>
      <c r="J383" s="200"/>
      <c r="K383" s="201">
        <f t="shared" si="186"/>
        <v>0</v>
      </c>
      <c r="L383" s="189"/>
      <c r="M383" s="84"/>
      <c r="N383" s="335"/>
      <c r="O383" s="341" t="s">
        <v>65</v>
      </c>
      <c r="P383" s="189"/>
      <c r="Q383" s="326"/>
      <c r="R383" s="326"/>
      <c r="S383" s="87"/>
      <c r="T383" s="207"/>
      <c r="U383" s="225">
        <f t="shared" si="187"/>
        <v>0</v>
      </c>
      <c r="V383" s="277"/>
      <c r="W383" s="278"/>
      <c r="X383" s="350"/>
      <c r="Y383" s="208" t="s">
        <v>147</v>
      </c>
      <c r="Z383" s="11"/>
      <c r="AA383" s="207"/>
      <c r="AB383" s="207"/>
      <c r="AC383" s="3"/>
      <c r="AD383" s="207"/>
      <c r="AE383" s="226">
        <f t="shared" si="188"/>
        <v>0</v>
      </c>
      <c r="AF383" s="11"/>
      <c r="AG383" s="3"/>
      <c r="AH383" s="359"/>
      <c r="AI383" s="96"/>
      <c r="AJ383" s="94"/>
      <c r="AK383" s="214"/>
      <c r="AL383" s="213"/>
      <c r="AM383" s="82"/>
      <c r="AN383" s="213"/>
      <c r="AO383" s="82"/>
      <c r="AP383" s="213"/>
      <c r="AQ383" s="82"/>
      <c r="AR383" s="13">
        <f t="shared" si="189"/>
        <v>3.8299999999999996E-5</v>
      </c>
      <c r="AS383" s="13">
        <f t="shared" si="190"/>
        <v>0</v>
      </c>
      <c r="AT383" s="13"/>
      <c r="AU383" s="160">
        <v>388</v>
      </c>
      <c r="AV383" s="191" t="str">
        <f t="shared" si="179"/>
        <v/>
      </c>
      <c r="AW383" s="160" t="str">
        <f t="shared" si="191"/>
        <v/>
      </c>
      <c r="AX383" s="219">
        <f t="shared" si="192"/>
        <v>3.8299999999999996E-5</v>
      </c>
      <c r="AY383" s="13">
        <f t="shared" si="195"/>
        <v>0</v>
      </c>
      <c r="AZ383" s="160">
        <v>388</v>
      </c>
      <c r="BA383" s="77" t="str">
        <f t="shared" si="180"/>
        <v/>
      </c>
      <c r="BB383" s="192" t="str">
        <f t="shared" si="193"/>
        <v/>
      </c>
      <c r="BC383" s="219">
        <f t="shared" si="196"/>
        <v>3.8299999999999996E-5</v>
      </c>
      <c r="BD383" s="13">
        <f t="shared" si="197"/>
        <v>0</v>
      </c>
      <c r="BE383" s="160">
        <v>388</v>
      </c>
      <c r="BF383" s="77" t="str">
        <f t="shared" si="181"/>
        <v/>
      </c>
      <c r="BG383" s="192" t="str">
        <f t="shared" si="194"/>
        <v/>
      </c>
      <c r="BI383" s="120"/>
      <c r="BJ383" s="120"/>
      <c r="BK383" s="160"/>
      <c r="BL383" s="160"/>
      <c r="BM383" s="161" t="str">
        <f t="shared" si="183"/>
        <v/>
      </c>
      <c r="BN383" s="161" t="str">
        <f t="shared" si="198"/>
        <v/>
      </c>
      <c r="BO383" s="161" t="str">
        <f t="shared" si="199"/>
        <v/>
      </c>
      <c r="BP383" s="161" t="str">
        <f t="shared" si="200"/>
        <v/>
      </c>
      <c r="BQ383" s="161" t="str">
        <f t="shared" si="201"/>
        <v/>
      </c>
      <c r="BR383" s="161" t="str">
        <f t="shared" si="202"/>
        <v/>
      </c>
      <c r="BS383" s="161" t="str">
        <f t="shared" si="203"/>
        <v/>
      </c>
      <c r="BT383" s="161" t="str">
        <f t="shared" si="204"/>
        <v/>
      </c>
      <c r="BU383" s="161" t="str">
        <f t="shared" si="205"/>
        <v/>
      </c>
      <c r="BV383" s="161" t="str">
        <f t="shared" si="206"/>
        <v/>
      </c>
      <c r="BW383" s="161" t="str">
        <f t="shared" si="207"/>
        <v/>
      </c>
      <c r="BX383" s="161" t="str">
        <f t="shared" si="208"/>
        <v/>
      </c>
      <c r="BY383" s="148"/>
      <c r="BZ383" s="148"/>
      <c r="CA383" s="148"/>
      <c r="CB383" s="148" t="s">
        <v>149</v>
      </c>
      <c r="CC383" s="148"/>
    </row>
    <row r="384" spans="1:81" ht="14.25" customHeight="1" thickBot="1">
      <c r="A384" s="190">
        <v>374</v>
      </c>
      <c r="B384" s="196"/>
      <c r="C384" s="180"/>
      <c r="D384" s="136"/>
      <c r="E384" s="91" t="s">
        <v>29</v>
      </c>
      <c r="F384" s="187"/>
      <c r="G384" s="188"/>
      <c r="H384" s="188"/>
      <c r="I384" s="188"/>
      <c r="J384" s="188"/>
      <c r="K384" s="18">
        <f t="shared" si="186"/>
        <v>0</v>
      </c>
      <c r="L384" s="187"/>
      <c r="M384" s="118"/>
      <c r="N384" s="336"/>
      <c r="O384" s="342" t="s">
        <v>65</v>
      </c>
      <c r="P384" s="187"/>
      <c r="Q384" s="188"/>
      <c r="R384" s="188"/>
      <c r="S384" s="119"/>
      <c r="T384" s="188"/>
      <c r="U384" s="211">
        <f t="shared" si="187"/>
        <v>0</v>
      </c>
      <c r="V384" s="279"/>
      <c r="W384" s="280"/>
      <c r="X384" s="351"/>
      <c r="Y384" s="209" t="s">
        <v>85</v>
      </c>
      <c r="Z384" s="71"/>
      <c r="AA384" s="321"/>
      <c r="AB384" s="321"/>
      <c r="AC384" s="322"/>
      <c r="AD384" s="188"/>
      <c r="AE384" s="18">
        <f t="shared" si="188"/>
        <v>0</v>
      </c>
      <c r="AF384" s="71"/>
      <c r="AG384" s="322"/>
      <c r="AH384" s="360"/>
      <c r="AI384" s="97"/>
      <c r="AJ384" s="194"/>
      <c r="AK384" s="193"/>
      <c r="AL384" s="205"/>
      <c r="AM384" s="197"/>
      <c r="AN384" s="205"/>
      <c r="AO384" s="197"/>
      <c r="AP384" s="205"/>
      <c r="AQ384" s="197"/>
      <c r="AR384" s="13">
        <f t="shared" si="189"/>
        <v>3.8399999999999998E-5</v>
      </c>
      <c r="AS384" s="13">
        <f t="shared" si="190"/>
        <v>0</v>
      </c>
      <c r="AT384" s="13"/>
      <c r="AU384" s="160">
        <v>389</v>
      </c>
      <c r="AV384" s="191" t="str">
        <f t="shared" si="179"/>
        <v/>
      </c>
      <c r="AW384" s="160" t="str">
        <f t="shared" si="191"/>
        <v/>
      </c>
      <c r="AX384" s="219">
        <f t="shared" si="192"/>
        <v>3.8399999999999998E-5</v>
      </c>
      <c r="AY384" s="13">
        <f t="shared" si="195"/>
        <v>0</v>
      </c>
      <c r="AZ384" s="160">
        <v>389</v>
      </c>
      <c r="BA384" s="77" t="str">
        <f t="shared" si="180"/>
        <v/>
      </c>
      <c r="BB384" s="192" t="str">
        <f t="shared" si="193"/>
        <v/>
      </c>
      <c r="BC384" s="219">
        <f t="shared" si="196"/>
        <v>3.8399999999999998E-5</v>
      </c>
      <c r="BD384" s="13">
        <f t="shared" si="197"/>
        <v>0</v>
      </c>
      <c r="BE384" s="160">
        <v>389</v>
      </c>
      <c r="BF384" s="77" t="str">
        <f t="shared" si="181"/>
        <v/>
      </c>
      <c r="BG384" s="192" t="str">
        <f t="shared" si="194"/>
        <v/>
      </c>
      <c r="BI384" s="120"/>
      <c r="BJ384" s="120"/>
      <c r="BK384" s="160"/>
      <c r="BL384" s="160"/>
      <c r="BM384" s="161" t="str">
        <f t="shared" si="183"/>
        <v/>
      </c>
      <c r="BN384" s="161" t="str">
        <f t="shared" si="198"/>
        <v/>
      </c>
      <c r="BO384" s="161" t="str">
        <f t="shared" si="199"/>
        <v/>
      </c>
      <c r="BP384" s="161" t="str">
        <f t="shared" si="200"/>
        <v/>
      </c>
      <c r="BQ384" s="161" t="str">
        <f t="shared" si="201"/>
        <v/>
      </c>
      <c r="BR384" s="161" t="str">
        <f t="shared" si="202"/>
        <v/>
      </c>
      <c r="BS384" s="161" t="str">
        <f t="shared" si="203"/>
        <v/>
      </c>
      <c r="BT384" s="161" t="str">
        <f t="shared" si="204"/>
        <v/>
      </c>
      <c r="BU384" s="161" t="str">
        <f t="shared" si="205"/>
        <v/>
      </c>
      <c r="BV384" s="161" t="str">
        <f t="shared" si="206"/>
        <v/>
      </c>
      <c r="BW384" s="161" t="str">
        <f t="shared" si="207"/>
        <v/>
      </c>
      <c r="BX384" s="161" t="str">
        <f t="shared" si="208"/>
        <v/>
      </c>
      <c r="BY384" s="148"/>
      <c r="BZ384" s="148"/>
      <c r="CA384" s="148"/>
      <c r="CB384" s="148" t="s">
        <v>149</v>
      </c>
      <c r="CC384" s="148"/>
    </row>
    <row r="385" spans="1:81" ht="14.25" customHeight="1" thickBot="1">
      <c r="A385" s="190">
        <v>375</v>
      </c>
      <c r="B385" s="78"/>
      <c r="C385" s="181"/>
      <c r="D385" s="86"/>
      <c r="E385" s="92" t="s">
        <v>29</v>
      </c>
      <c r="F385" s="88"/>
      <c r="G385" s="93"/>
      <c r="H385" s="93"/>
      <c r="I385" s="93"/>
      <c r="J385" s="93"/>
      <c r="K385" s="81">
        <f t="shared" si="186"/>
        <v>0</v>
      </c>
      <c r="L385" s="88"/>
      <c r="M385" s="85"/>
      <c r="N385" s="337"/>
      <c r="O385" s="343" t="s">
        <v>65</v>
      </c>
      <c r="P385" s="88"/>
      <c r="Q385" s="93"/>
      <c r="R385" s="93"/>
      <c r="S385" s="89"/>
      <c r="T385" s="93"/>
      <c r="U385" s="212">
        <f t="shared" si="187"/>
        <v>0</v>
      </c>
      <c r="V385" s="281"/>
      <c r="W385" s="282"/>
      <c r="X385" s="352"/>
      <c r="Y385" s="210" t="s">
        <v>85</v>
      </c>
      <c r="Z385" s="72"/>
      <c r="AA385" s="323"/>
      <c r="AB385" s="323"/>
      <c r="AC385" s="324"/>
      <c r="AD385" s="93"/>
      <c r="AE385" s="81">
        <f t="shared" si="188"/>
        <v>0</v>
      </c>
      <c r="AF385" s="72"/>
      <c r="AG385" s="324"/>
      <c r="AH385" s="361"/>
      <c r="AI385" s="98"/>
      <c r="AJ385" s="95"/>
      <c r="AK385" s="215"/>
      <c r="AL385" s="206"/>
      <c r="AM385" s="83"/>
      <c r="AN385" s="206"/>
      <c r="AO385" s="83"/>
      <c r="AP385" s="206"/>
      <c r="AQ385" s="83"/>
      <c r="AR385" s="13">
        <f t="shared" si="189"/>
        <v>3.8500000000000001E-5</v>
      </c>
      <c r="AS385" s="13">
        <f t="shared" si="190"/>
        <v>0</v>
      </c>
      <c r="AT385" s="13"/>
      <c r="AU385" s="160">
        <v>390</v>
      </c>
      <c r="AV385" s="191" t="str">
        <f t="shared" si="179"/>
        <v/>
      </c>
      <c r="AW385" s="160" t="str">
        <f t="shared" si="191"/>
        <v/>
      </c>
      <c r="AX385" s="219">
        <f t="shared" si="192"/>
        <v>3.8500000000000001E-5</v>
      </c>
      <c r="AY385" s="13">
        <f t="shared" si="195"/>
        <v>0</v>
      </c>
      <c r="AZ385" s="160">
        <v>390</v>
      </c>
      <c r="BA385" s="77" t="str">
        <f t="shared" si="180"/>
        <v/>
      </c>
      <c r="BB385" s="192" t="str">
        <f t="shared" si="193"/>
        <v/>
      </c>
      <c r="BC385" s="219">
        <f t="shared" si="196"/>
        <v>3.8500000000000001E-5</v>
      </c>
      <c r="BD385" s="13">
        <f t="shared" si="197"/>
        <v>0</v>
      </c>
      <c r="BE385" s="160">
        <v>390</v>
      </c>
      <c r="BF385" s="77" t="str">
        <f t="shared" si="181"/>
        <v/>
      </c>
      <c r="BG385" s="192" t="str">
        <f t="shared" si="194"/>
        <v/>
      </c>
      <c r="BI385" s="120"/>
      <c r="BJ385" s="120"/>
      <c r="BK385" s="160"/>
      <c r="BL385" s="160"/>
      <c r="BM385" s="161" t="str">
        <f t="shared" si="183"/>
        <v/>
      </c>
      <c r="BN385" s="161" t="str">
        <f t="shared" si="198"/>
        <v/>
      </c>
      <c r="BO385" s="161" t="str">
        <f t="shared" si="199"/>
        <v/>
      </c>
      <c r="BP385" s="161" t="str">
        <f t="shared" si="200"/>
        <v/>
      </c>
      <c r="BQ385" s="161" t="str">
        <f t="shared" si="201"/>
        <v/>
      </c>
      <c r="BR385" s="161" t="str">
        <f t="shared" si="202"/>
        <v/>
      </c>
      <c r="BS385" s="161" t="str">
        <f t="shared" si="203"/>
        <v/>
      </c>
      <c r="BT385" s="161" t="str">
        <f t="shared" si="204"/>
        <v/>
      </c>
      <c r="BU385" s="161" t="str">
        <f t="shared" si="205"/>
        <v/>
      </c>
      <c r="BV385" s="161" t="str">
        <f t="shared" si="206"/>
        <v/>
      </c>
      <c r="BW385" s="161" t="str">
        <f t="shared" si="207"/>
        <v/>
      </c>
      <c r="BX385" s="161" t="str">
        <f t="shared" si="208"/>
        <v/>
      </c>
      <c r="BY385" s="148"/>
      <c r="BZ385" s="148"/>
      <c r="CA385" s="148"/>
      <c r="CB385" s="148" t="s">
        <v>149</v>
      </c>
      <c r="CC385" s="148"/>
    </row>
    <row r="386" spans="1:81" ht="14.25" customHeight="1" thickBot="1">
      <c r="A386" s="190">
        <v>376</v>
      </c>
      <c r="B386" s="79"/>
      <c r="C386" s="179"/>
      <c r="D386" s="137"/>
      <c r="E386" s="198" t="s">
        <v>29</v>
      </c>
      <c r="F386" s="199"/>
      <c r="G386" s="200"/>
      <c r="H386" s="200"/>
      <c r="I386" s="200"/>
      <c r="J386" s="200"/>
      <c r="K386" s="201">
        <f t="shared" si="186"/>
        <v>0</v>
      </c>
      <c r="L386" s="189"/>
      <c r="M386" s="84"/>
      <c r="N386" s="335"/>
      <c r="O386" s="341" t="s">
        <v>65</v>
      </c>
      <c r="P386" s="189"/>
      <c r="Q386" s="326"/>
      <c r="R386" s="326"/>
      <c r="S386" s="87"/>
      <c r="T386" s="207"/>
      <c r="U386" s="225">
        <f t="shared" si="187"/>
        <v>0</v>
      </c>
      <c r="V386" s="277"/>
      <c r="W386" s="278"/>
      <c r="X386" s="350"/>
      <c r="Y386" s="208" t="s">
        <v>147</v>
      </c>
      <c r="Z386" s="11"/>
      <c r="AA386" s="207"/>
      <c r="AB386" s="207"/>
      <c r="AC386" s="3"/>
      <c r="AD386" s="207"/>
      <c r="AE386" s="226">
        <f t="shared" si="188"/>
        <v>0</v>
      </c>
      <c r="AF386" s="11"/>
      <c r="AG386" s="3"/>
      <c r="AH386" s="359"/>
      <c r="AI386" s="96"/>
      <c r="AJ386" s="94"/>
      <c r="AK386" s="214"/>
      <c r="AL386" s="213"/>
      <c r="AM386" s="82"/>
      <c r="AN386" s="213"/>
      <c r="AO386" s="82"/>
      <c r="AP386" s="213"/>
      <c r="AQ386" s="82"/>
      <c r="AR386" s="13">
        <f t="shared" si="189"/>
        <v>3.8599999999999996E-5</v>
      </c>
      <c r="AS386" s="13">
        <f t="shared" si="190"/>
        <v>0</v>
      </c>
      <c r="AT386" s="13"/>
      <c r="AU386" s="160">
        <v>391</v>
      </c>
      <c r="AV386" s="191" t="str">
        <f t="shared" si="179"/>
        <v/>
      </c>
      <c r="AW386" s="160" t="str">
        <f t="shared" si="191"/>
        <v/>
      </c>
      <c r="AX386" s="219">
        <f t="shared" si="192"/>
        <v>3.8599999999999996E-5</v>
      </c>
      <c r="AY386" s="13">
        <f t="shared" si="195"/>
        <v>0</v>
      </c>
      <c r="AZ386" s="160">
        <v>391</v>
      </c>
      <c r="BA386" s="77" t="str">
        <f t="shared" si="180"/>
        <v/>
      </c>
      <c r="BB386" s="192" t="str">
        <f t="shared" si="193"/>
        <v/>
      </c>
      <c r="BC386" s="219">
        <f t="shared" si="196"/>
        <v>3.8599999999999996E-5</v>
      </c>
      <c r="BD386" s="13">
        <f t="shared" si="197"/>
        <v>0</v>
      </c>
      <c r="BE386" s="160">
        <v>391</v>
      </c>
      <c r="BF386" s="77" t="str">
        <f t="shared" si="181"/>
        <v/>
      </c>
      <c r="BG386" s="192" t="str">
        <f t="shared" si="194"/>
        <v/>
      </c>
      <c r="BI386" s="120"/>
      <c r="BJ386" s="120"/>
      <c r="BK386" s="160"/>
      <c r="BL386" s="160"/>
      <c r="BM386" s="161" t="str">
        <f t="shared" ref="BM386:BM395" si="209">MID($BK386,12,1)</f>
        <v/>
      </c>
      <c r="BN386" s="161" t="str">
        <f t="shared" si="198"/>
        <v/>
      </c>
      <c r="BO386" s="161" t="str">
        <f t="shared" si="199"/>
        <v/>
      </c>
      <c r="BP386" s="161" t="str">
        <f t="shared" si="200"/>
        <v/>
      </c>
      <c r="BQ386" s="161" t="str">
        <f t="shared" si="201"/>
        <v/>
      </c>
      <c r="BR386" s="161" t="str">
        <f t="shared" si="202"/>
        <v/>
      </c>
      <c r="BS386" s="161" t="str">
        <f t="shared" si="203"/>
        <v/>
      </c>
      <c r="BT386" s="161" t="str">
        <f t="shared" si="204"/>
        <v/>
      </c>
      <c r="BU386" s="161" t="str">
        <f t="shared" si="205"/>
        <v/>
      </c>
      <c r="BV386" s="161" t="str">
        <f t="shared" si="206"/>
        <v/>
      </c>
      <c r="BW386" s="161" t="str">
        <f t="shared" si="207"/>
        <v/>
      </c>
      <c r="BX386" s="161" t="str">
        <f t="shared" si="208"/>
        <v/>
      </c>
      <c r="BY386" s="148"/>
      <c r="BZ386" s="148"/>
      <c r="CA386" s="148"/>
      <c r="CB386" s="148" t="s">
        <v>149</v>
      </c>
      <c r="CC386" s="148"/>
    </row>
    <row r="387" spans="1:81" ht="14.25" customHeight="1" thickBot="1">
      <c r="A387" s="190">
        <v>377</v>
      </c>
      <c r="B387" s="196"/>
      <c r="C387" s="180"/>
      <c r="D387" s="136"/>
      <c r="E387" s="91" t="s">
        <v>29</v>
      </c>
      <c r="F387" s="187"/>
      <c r="G387" s="188"/>
      <c r="H387" s="188"/>
      <c r="I387" s="188"/>
      <c r="J387" s="188"/>
      <c r="K387" s="18">
        <f t="shared" si="186"/>
        <v>0</v>
      </c>
      <c r="L387" s="187"/>
      <c r="M387" s="118"/>
      <c r="N387" s="336"/>
      <c r="O387" s="342" t="s">
        <v>65</v>
      </c>
      <c r="P387" s="187"/>
      <c r="Q387" s="188"/>
      <c r="R387" s="188"/>
      <c r="S387" s="119"/>
      <c r="T387" s="188"/>
      <c r="U387" s="211">
        <f t="shared" si="187"/>
        <v>0</v>
      </c>
      <c r="V387" s="279"/>
      <c r="W387" s="280"/>
      <c r="X387" s="351"/>
      <c r="Y387" s="209" t="s">
        <v>85</v>
      </c>
      <c r="Z387" s="71"/>
      <c r="AA387" s="321"/>
      <c r="AB387" s="321"/>
      <c r="AC387" s="322"/>
      <c r="AD387" s="188"/>
      <c r="AE387" s="18">
        <f t="shared" si="188"/>
        <v>0</v>
      </c>
      <c r="AF387" s="71"/>
      <c r="AG387" s="322"/>
      <c r="AH387" s="360"/>
      <c r="AI387" s="97"/>
      <c r="AJ387" s="194"/>
      <c r="AK387" s="193"/>
      <c r="AL387" s="205"/>
      <c r="AM387" s="197"/>
      <c r="AN387" s="205"/>
      <c r="AO387" s="197"/>
      <c r="AP387" s="205"/>
      <c r="AQ387" s="197"/>
      <c r="AR387" s="13">
        <f t="shared" si="189"/>
        <v>3.8699999999999999E-5</v>
      </c>
      <c r="AS387" s="13">
        <f t="shared" si="190"/>
        <v>0</v>
      </c>
      <c r="AT387" s="13"/>
      <c r="AU387" s="160">
        <v>392</v>
      </c>
      <c r="AV387" s="191" t="str">
        <f t="shared" si="179"/>
        <v/>
      </c>
      <c r="AW387" s="160" t="str">
        <f t="shared" si="191"/>
        <v/>
      </c>
      <c r="AX387" s="219">
        <f t="shared" si="192"/>
        <v>3.8699999999999999E-5</v>
      </c>
      <c r="AY387" s="13">
        <f t="shared" si="195"/>
        <v>0</v>
      </c>
      <c r="AZ387" s="160">
        <v>392</v>
      </c>
      <c r="BA387" s="77" t="str">
        <f t="shared" si="180"/>
        <v/>
      </c>
      <c r="BB387" s="192" t="str">
        <f t="shared" si="193"/>
        <v/>
      </c>
      <c r="BC387" s="219">
        <f t="shared" si="196"/>
        <v>3.8699999999999999E-5</v>
      </c>
      <c r="BD387" s="13">
        <f t="shared" si="197"/>
        <v>0</v>
      </c>
      <c r="BE387" s="160">
        <v>392</v>
      </c>
      <c r="BF387" s="77" t="str">
        <f t="shared" si="181"/>
        <v/>
      </c>
      <c r="BG387" s="192" t="str">
        <f t="shared" si="194"/>
        <v/>
      </c>
      <c r="BI387" s="120"/>
      <c r="BJ387" s="120"/>
      <c r="BK387" s="160"/>
      <c r="BL387" s="160"/>
      <c r="BM387" s="161" t="str">
        <f t="shared" si="209"/>
        <v/>
      </c>
      <c r="BN387" s="161" t="str">
        <f t="shared" si="198"/>
        <v/>
      </c>
      <c r="BO387" s="161" t="str">
        <f t="shared" si="199"/>
        <v/>
      </c>
      <c r="BP387" s="161" t="str">
        <f t="shared" si="200"/>
        <v/>
      </c>
      <c r="BQ387" s="161" t="str">
        <f t="shared" si="201"/>
        <v/>
      </c>
      <c r="BR387" s="161" t="str">
        <f t="shared" si="202"/>
        <v/>
      </c>
      <c r="BS387" s="161" t="str">
        <f t="shared" si="203"/>
        <v/>
      </c>
      <c r="BT387" s="161" t="str">
        <f t="shared" si="204"/>
        <v/>
      </c>
      <c r="BU387" s="161" t="str">
        <f t="shared" si="205"/>
        <v/>
      </c>
      <c r="BV387" s="161" t="str">
        <f t="shared" si="206"/>
        <v/>
      </c>
      <c r="BW387" s="161" t="str">
        <f t="shared" si="207"/>
        <v/>
      </c>
      <c r="BX387" s="161" t="str">
        <f t="shared" si="208"/>
        <v/>
      </c>
      <c r="BY387" s="148"/>
      <c r="BZ387" s="148"/>
      <c r="CA387" s="148"/>
      <c r="CB387" s="148" t="s">
        <v>149</v>
      </c>
      <c r="CC387" s="148"/>
    </row>
    <row r="388" spans="1:81" ht="14.25" customHeight="1" thickBot="1">
      <c r="A388" s="190">
        <v>378</v>
      </c>
      <c r="B388" s="78"/>
      <c r="C388" s="181"/>
      <c r="D388" s="86"/>
      <c r="E388" s="92" t="s">
        <v>29</v>
      </c>
      <c r="F388" s="88"/>
      <c r="G388" s="93"/>
      <c r="H388" s="93"/>
      <c r="I388" s="93"/>
      <c r="J388" s="93"/>
      <c r="K388" s="81">
        <f t="shared" si="186"/>
        <v>0</v>
      </c>
      <c r="L388" s="88"/>
      <c r="M388" s="85"/>
      <c r="N388" s="337"/>
      <c r="O388" s="343" t="s">
        <v>65</v>
      </c>
      <c r="P388" s="88"/>
      <c r="Q388" s="93"/>
      <c r="R388" s="93"/>
      <c r="S388" s="89"/>
      <c r="T388" s="93"/>
      <c r="U388" s="212">
        <f t="shared" si="187"/>
        <v>0</v>
      </c>
      <c r="V388" s="281"/>
      <c r="W388" s="282"/>
      <c r="X388" s="352"/>
      <c r="Y388" s="210" t="s">
        <v>85</v>
      </c>
      <c r="Z388" s="72"/>
      <c r="AA388" s="323"/>
      <c r="AB388" s="323"/>
      <c r="AC388" s="324"/>
      <c r="AD388" s="93"/>
      <c r="AE388" s="81">
        <f t="shared" si="188"/>
        <v>0</v>
      </c>
      <c r="AF388" s="72"/>
      <c r="AG388" s="324"/>
      <c r="AH388" s="361"/>
      <c r="AI388" s="98"/>
      <c r="AJ388" s="95"/>
      <c r="AK388" s="215"/>
      <c r="AL388" s="206"/>
      <c r="AM388" s="83"/>
      <c r="AN388" s="206"/>
      <c r="AO388" s="83"/>
      <c r="AP388" s="206"/>
      <c r="AQ388" s="83"/>
      <c r="AR388" s="13">
        <f t="shared" si="189"/>
        <v>3.8800000000000001E-5</v>
      </c>
      <c r="AS388" s="13">
        <f t="shared" si="190"/>
        <v>0</v>
      </c>
      <c r="AT388" s="13"/>
      <c r="AU388" s="160">
        <v>393</v>
      </c>
      <c r="AV388" s="191" t="str">
        <f t="shared" si="179"/>
        <v/>
      </c>
      <c r="AW388" s="160" t="str">
        <f t="shared" si="191"/>
        <v/>
      </c>
      <c r="AX388" s="219">
        <f t="shared" si="192"/>
        <v>3.8800000000000001E-5</v>
      </c>
      <c r="AY388" s="13">
        <f t="shared" si="195"/>
        <v>0</v>
      </c>
      <c r="AZ388" s="160">
        <v>393</v>
      </c>
      <c r="BA388" s="77" t="str">
        <f t="shared" si="180"/>
        <v/>
      </c>
      <c r="BB388" s="192" t="str">
        <f t="shared" si="193"/>
        <v/>
      </c>
      <c r="BC388" s="219">
        <f t="shared" si="196"/>
        <v>3.8800000000000001E-5</v>
      </c>
      <c r="BD388" s="13">
        <f t="shared" si="197"/>
        <v>0</v>
      </c>
      <c r="BE388" s="160">
        <v>393</v>
      </c>
      <c r="BF388" s="77" t="str">
        <f t="shared" si="181"/>
        <v/>
      </c>
      <c r="BG388" s="192" t="str">
        <f t="shared" si="194"/>
        <v/>
      </c>
      <c r="BI388" s="120"/>
      <c r="BJ388" s="120"/>
      <c r="BK388" s="160"/>
      <c r="BL388" s="160"/>
      <c r="BM388" s="161" t="str">
        <f t="shared" si="209"/>
        <v/>
      </c>
      <c r="BN388" s="161" t="str">
        <f t="shared" si="198"/>
        <v/>
      </c>
      <c r="BO388" s="161" t="str">
        <f t="shared" si="199"/>
        <v/>
      </c>
      <c r="BP388" s="161" t="str">
        <f t="shared" si="200"/>
        <v/>
      </c>
      <c r="BQ388" s="161" t="str">
        <f t="shared" si="201"/>
        <v/>
      </c>
      <c r="BR388" s="161" t="str">
        <f t="shared" si="202"/>
        <v/>
      </c>
      <c r="BS388" s="161" t="str">
        <f t="shared" si="203"/>
        <v/>
      </c>
      <c r="BT388" s="161" t="str">
        <f t="shared" si="204"/>
        <v/>
      </c>
      <c r="BU388" s="161" t="str">
        <f t="shared" si="205"/>
        <v/>
      </c>
      <c r="BV388" s="161" t="str">
        <f t="shared" si="206"/>
        <v/>
      </c>
      <c r="BW388" s="161" t="str">
        <f t="shared" si="207"/>
        <v/>
      </c>
      <c r="BX388" s="161" t="str">
        <f t="shared" si="208"/>
        <v/>
      </c>
      <c r="BY388" s="148"/>
      <c r="BZ388" s="148"/>
      <c r="CA388" s="148"/>
      <c r="CB388" s="148" t="s">
        <v>149</v>
      </c>
      <c r="CC388" s="148"/>
    </row>
    <row r="389" spans="1:81" ht="14.25" customHeight="1" thickBot="1">
      <c r="A389" s="190">
        <v>379</v>
      </c>
      <c r="B389" s="79"/>
      <c r="C389" s="179"/>
      <c r="D389" s="137"/>
      <c r="E389" s="198" t="s">
        <v>29</v>
      </c>
      <c r="F389" s="199"/>
      <c r="G389" s="200"/>
      <c r="H389" s="200"/>
      <c r="I389" s="200"/>
      <c r="J389" s="200"/>
      <c r="K389" s="201">
        <f t="shared" si="186"/>
        <v>0</v>
      </c>
      <c r="L389" s="189"/>
      <c r="M389" s="84"/>
      <c r="N389" s="335"/>
      <c r="O389" s="341" t="s">
        <v>65</v>
      </c>
      <c r="P389" s="189"/>
      <c r="Q389" s="326"/>
      <c r="R389" s="326"/>
      <c r="S389" s="87"/>
      <c r="T389" s="207"/>
      <c r="U389" s="225">
        <f t="shared" si="187"/>
        <v>0</v>
      </c>
      <c r="V389" s="277"/>
      <c r="W389" s="278"/>
      <c r="X389" s="350"/>
      <c r="Y389" s="208" t="s">
        <v>147</v>
      </c>
      <c r="Z389" s="11"/>
      <c r="AA389" s="207"/>
      <c r="AB389" s="207"/>
      <c r="AC389" s="3"/>
      <c r="AD389" s="207"/>
      <c r="AE389" s="226">
        <f t="shared" si="188"/>
        <v>0</v>
      </c>
      <c r="AF389" s="11"/>
      <c r="AG389" s="3"/>
      <c r="AH389" s="359"/>
      <c r="AI389" s="96"/>
      <c r="AJ389" s="94"/>
      <c r="AK389" s="214"/>
      <c r="AL389" s="213"/>
      <c r="AM389" s="82"/>
      <c r="AN389" s="213"/>
      <c r="AO389" s="82"/>
      <c r="AP389" s="213"/>
      <c r="AQ389" s="82"/>
      <c r="AR389" s="13">
        <f t="shared" si="189"/>
        <v>3.8899999999999997E-5</v>
      </c>
      <c r="AS389" s="13">
        <f t="shared" si="190"/>
        <v>0</v>
      </c>
      <c r="AT389" s="13"/>
      <c r="AU389" s="160">
        <v>394</v>
      </c>
      <c r="AV389" s="191" t="str">
        <f t="shared" si="179"/>
        <v/>
      </c>
      <c r="AW389" s="160" t="str">
        <f t="shared" si="191"/>
        <v/>
      </c>
      <c r="AX389" s="219">
        <f t="shared" si="192"/>
        <v>3.8899999999999997E-5</v>
      </c>
      <c r="AY389" s="13">
        <f t="shared" si="195"/>
        <v>0</v>
      </c>
      <c r="AZ389" s="160">
        <v>394</v>
      </c>
      <c r="BA389" s="77" t="str">
        <f t="shared" si="180"/>
        <v/>
      </c>
      <c r="BB389" s="192" t="str">
        <f t="shared" si="193"/>
        <v/>
      </c>
      <c r="BC389" s="219">
        <f t="shared" si="196"/>
        <v>3.8899999999999997E-5</v>
      </c>
      <c r="BD389" s="13">
        <f t="shared" si="197"/>
        <v>0</v>
      </c>
      <c r="BE389" s="160">
        <v>394</v>
      </c>
      <c r="BF389" s="77" t="str">
        <f t="shared" si="181"/>
        <v/>
      </c>
      <c r="BG389" s="192" t="str">
        <f t="shared" si="194"/>
        <v/>
      </c>
      <c r="BI389" s="120"/>
      <c r="BJ389" s="120"/>
      <c r="BK389" s="160"/>
      <c r="BL389" s="160"/>
      <c r="BM389" s="161" t="str">
        <f t="shared" si="209"/>
        <v/>
      </c>
      <c r="BN389" s="161" t="str">
        <f t="shared" si="198"/>
        <v/>
      </c>
      <c r="BO389" s="161" t="str">
        <f t="shared" si="199"/>
        <v/>
      </c>
      <c r="BP389" s="161" t="str">
        <f t="shared" si="200"/>
        <v/>
      </c>
      <c r="BQ389" s="161" t="str">
        <f t="shared" si="201"/>
        <v/>
      </c>
      <c r="BR389" s="161" t="str">
        <f t="shared" si="202"/>
        <v/>
      </c>
      <c r="BS389" s="161" t="str">
        <f t="shared" si="203"/>
        <v/>
      </c>
      <c r="BT389" s="161" t="str">
        <f t="shared" si="204"/>
        <v/>
      </c>
      <c r="BU389" s="161" t="str">
        <f t="shared" si="205"/>
        <v/>
      </c>
      <c r="BV389" s="161" t="str">
        <f t="shared" si="206"/>
        <v/>
      </c>
      <c r="BW389" s="161" t="str">
        <f t="shared" si="207"/>
        <v/>
      </c>
      <c r="BX389" s="161" t="str">
        <f t="shared" si="208"/>
        <v/>
      </c>
      <c r="BY389" s="148"/>
      <c r="BZ389" s="148"/>
      <c r="CA389" s="148"/>
      <c r="CB389" s="148" t="s">
        <v>149</v>
      </c>
      <c r="CC389" s="148"/>
    </row>
    <row r="390" spans="1:81" ht="14.25" customHeight="1" thickBot="1">
      <c r="A390" s="190">
        <v>380</v>
      </c>
      <c r="B390" s="196"/>
      <c r="C390" s="180"/>
      <c r="D390" s="136"/>
      <c r="E390" s="91" t="s">
        <v>29</v>
      </c>
      <c r="F390" s="187"/>
      <c r="G390" s="188"/>
      <c r="H390" s="188"/>
      <c r="I390" s="188"/>
      <c r="J390" s="188"/>
      <c r="K390" s="18">
        <f t="shared" si="186"/>
        <v>0</v>
      </c>
      <c r="L390" s="187"/>
      <c r="M390" s="118"/>
      <c r="N390" s="336"/>
      <c r="O390" s="342" t="s">
        <v>65</v>
      </c>
      <c r="P390" s="187"/>
      <c r="Q390" s="188"/>
      <c r="R390" s="188"/>
      <c r="S390" s="119"/>
      <c r="T390" s="188"/>
      <c r="U390" s="211">
        <f t="shared" si="187"/>
        <v>0</v>
      </c>
      <c r="V390" s="279"/>
      <c r="W390" s="280"/>
      <c r="X390" s="351"/>
      <c r="Y390" s="209" t="s">
        <v>85</v>
      </c>
      <c r="Z390" s="71"/>
      <c r="AA390" s="321"/>
      <c r="AB390" s="321"/>
      <c r="AC390" s="322"/>
      <c r="AD390" s="188"/>
      <c r="AE390" s="18">
        <f t="shared" si="188"/>
        <v>0</v>
      </c>
      <c r="AF390" s="71"/>
      <c r="AG390" s="322"/>
      <c r="AH390" s="360"/>
      <c r="AI390" s="97"/>
      <c r="AJ390" s="194"/>
      <c r="AK390" s="193"/>
      <c r="AL390" s="205"/>
      <c r="AM390" s="197"/>
      <c r="AN390" s="205"/>
      <c r="AO390" s="197"/>
      <c r="AP390" s="205"/>
      <c r="AQ390" s="197"/>
      <c r="AR390" s="13">
        <f t="shared" si="189"/>
        <v>3.8999999999999999E-5</v>
      </c>
      <c r="AS390" s="13">
        <f t="shared" si="190"/>
        <v>0</v>
      </c>
      <c r="AT390" s="13"/>
      <c r="AU390" s="160">
        <v>395</v>
      </c>
      <c r="AV390" s="191" t="str">
        <f t="shared" si="179"/>
        <v/>
      </c>
      <c r="AW390" s="160" t="str">
        <f t="shared" si="191"/>
        <v/>
      </c>
      <c r="AX390" s="219">
        <f t="shared" si="192"/>
        <v>3.8999999999999999E-5</v>
      </c>
      <c r="AY390" s="13">
        <f t="shared" si="195"/>
        <v>0</v>
      </c>
      <c r="AZ390" s="160">
        <v>395</v>
      </c>
      <c r="BA390" s="77" t="str">
        <f t="shared" si="180"/>
        <v/>
      </c>
      <c r="BB390" s="192" t="str">
        <f t="shared" si="193"/>
        <v/>
      </c>
      <c r="BC390" s="219">
        <f t="shared" si="196"/>
        <v>3.8999999999999999E-5</v>
      </c>
      <c r="BD390" s="13">
        <f t="shared" si="197"/>
        <v>0</v>
      </c>
      <c r="BE390" s="160">
        <v>395</v>
      </c>
      <c r="BF390" s="77" t="str">
        <f t="shared" si="181"/>
        <v/>
      </c>
      <c r="BG390" s="192" t="str">
        <f t="shared" si="194"/>
        <v/>
      </c>
      <c r="BI390" s="120"/>
      <c r="BJ390" s="120"/>
      <c r="BK390" s="160"/>
      <c r="BL390" s="160"/>
      <c r="BM390" s="161" t="str">
        <f t="shared" si="209"/>
        <v/>
      </c>
      <c r="BN390" s="161" t="str">
        <f t="shared" si="198"/>
        <v/>
      </c>
      <c r="BO390" s="161" t="str">
        <f t="shared" si="199"/>
        <v/>
      </c>
      <c r="BP390" s="161" t="str">
        <f t="shared" si="200"/>
        <v/>
      </c>
      <c r="BQ390" s="161" t="str">
        <f t="shared" si="201"/>
        <v/>
      </c>
      <c r="BR390" s="161" t="str">
        <f t="shared" si="202"/>
        <v/>
      </c>
      <c r="BS390" s="161" t="str">
        <f t="shared" si="203"/>
        <v/>
      </c>
      <c r="BT390" s="161" t="str">
        <f t="shared" si="204"/>
        <v/>
      </c>
      <c r="BU390" s="161" t="str">
        <f t="shared" si="205"/>
        <v/>
      </c>
      <c r="BV390" s="161" t="str">
        <f t="shared" si="206"/>
        <v/>
      </c>
      <c r="BW390" s="161" t="str">
        <f t="shared" si="207"/>
        <v/>
      </c>
      <c r="BX390" s="161" t="str">
        <f t="shared" si="208"/>
        <v/>
      </c>
      <c r="BY390" s="148"/>
      <c r="BZ390" s="148"/>
      <c r="CA390" s="148"/>
      <c r="CB390" s="148" t="s">
        <v>149</v>
      </c>
      <c r="CC390" s="148"/>
    </row>
    <row r="391" spans="1:81" ht="14.25" customHeight="1" thickBot="1">
      <c r="A391" s="190">
        <v>381</v>
      </c>
      <c r="B391" s="78"/>
      <c r="C391" s="181"/>
      <c r="D391" s="86"/>
      <c r="E391" s="92" t="s">
        <v>29</v>
      </c>
      <c r="F391" s="88"/>
      <c r="G391" s="93"/>
      <c r="H391" s="93"/>
      <c r="I391" s="93"/>
      <c r="J391" s="93"/>
      <c r="K391" s="81">
        <f t="shared" si="186"/>
        <v>0</v>
      </c>
      <c r="L391" s="88"/>
      <c r="M391" s="85"/>
      <c r="N391" s="337"/>
      <c r="O391" s="343" t="s">
        <v>65</v>
      </c>
      <c r="P391" s="88"/>
      <c r="Q391" s="93"/>
      <c r="R391" s="93"/>
      <c r="S391" s="89"/>
      <c r="T391" s="93"/>
      <c r="U391" s="212">
        <f t="shared" si="187"/>
        <v>0</v>
      </c>
      <c r="V391" s="281"/>
      <c r="W391" s="282"/>
      <c r="X391" s="352"/>
      <c r="Y391" s="210" t="s">
        <v>85</v>
      </c>
      <c r="Z391" s="72"/>
      <c r="AA391" s="323"/>
      <c r="AB391" s="323"/>
      <c r="AC391" s="324"/>
      <c r="AD391" s="93"/>
      <c r="AE391" s="81">
        <f t="shared" si="188"/>
        <v>0</v>
      </c>
      <c r="AF391" s="72"/>
      <c r="AG391" s="324"/>
      <c r="AH391" s="361"/>
      <c r="AI391" s="98"/>
      <c r="AJ391" s="95"/>
      <c r="AK391" s="215"/>
      <c r="AL391" s="206"/>
      <c r="AM391" s="83"/>
      <c r="AN391" s="206"/>
      <c r="AO391" s="83"/>
      <c r="AP391" s="206"/>
      <c r="AQ391" s="83"/>
      <c r="AR391" s="13">
        <f t="shared" si="189"/>
        <v>3.9099999999999995E-5</v>
      </c>
      <c r="AS391" s="13">
        <f t="shared" si="190"/>
        <v>0</v>
      </c>
      <c r="AT391" s="13"/>
      <c r="AU391" s="160">
        <v>396</v>
      </c>
      <c r="AV391" s="191" t="str">
        <f t="shared" si="179"/>
        <v/>
      </c>
      <c r="AW391" s="160" t="str">
        <f t="shared" si="191"/>
        <v/>
      </c>
      <c r="AX391" s="219">
        <f t="shared" si="192"/>
        <v>3.9099999999999995E-5</v>
      </c>
      <c r="AY391" s="13">
        <f t="shared" si="195"/>
        <v>0</v>
      </c>
      <c r="AZ391" s="160">
        <v>396</v>
      </c>
      <c r="BA391" s="77" t="str">
        <f t="shared" si="180"/>
        <v/>
      </c>
      <c r="BB391" s="192" t="str">
        <f t="shared" si="193"/>
        <v/>
      </c>
      <c r="BC391" s="219">
        <f t="shared" si="196"/>
        <v>3.9099999999999995E-5</v>
      </c>
      <c r="BD391" s="13">
        <f t="shared" si="197"/>
        <v>0</v>
      </c>
      <c r="BE391" s="160">
        <v>396</v>
      </c>
      <c r="BF391" s="77" t="str">
        <f t="shared" si="181"/>
        <v/>
      </c>
      <c r="BG391" s="192" t="str">
        <f t="shared" si="194"/>
        <v/>
      </c>
      <c r="BI391" s="120"/>
      <c r="BJ391" s="120"/>
      <c r="BK391" s="160"/>
      <c r="BL391" s="160"/>
      <c r="BM391" s="161" t="str">
        <f t="shared" si="209"/>
        <v/>
      </c>
      <c r="BN391" s="161" t="str">
        <f t="shared" si="198"/>
        <v/>
      </c>
      <c r="BO391" s="161" t="str">
        <f t="shared" si="199"/>
        <v/>
      </c>
      <c r="BP391" s="161" t="str">
        <f t="shared" si="200"/>
        <v/>
      </c>
      <c r="BQ391" s="161" t="str">
        <f t="shared" si="201"/>
        <v/>
      </c>
      <c r="BR391" s="161" t="str">
        <f t="shared" si="202"/>
        <v/>
      </c>
      <c r="BS391" s="161" t="str">
        <f t="shared" si="203"/>
        <v/>
      </c>
      <c r="BT391" s="161" t="str">
        <f t="shared" si="204"/>
        <v/>
      </c>
      <c r="BU391" s="161" t="str">
        <f t="shared" si="205"/>
        <v/>
      </c>
      <c r="BV391" s="161" t="str">
        <f t="shared" si="206"/>
        <v/>
      </c>
      <c r="BW391" s="161" t="str">
        <f t="shared" si="207"/>
        <v/>
      </c>
      <c r="BX391" s="161" t="str">
        <f t="shared" si="208"/>
        <v/>
      </c>
      <c r="BY391" s="148"/>
      <c r="BZ391" s="148"/>
      <c r="CA391" s="148"/>
      <c r="CB391" s="148" t="s">
        <v>149</v>
      </c>
      <c r="CC391" s="148"/>
    </row>
    <row r="392" spans="1:81" ht="14.25" customHeight="1" thickBot="1">
      <c r="A392" s="190">
        <v>382</v>
      </c>
      <c r="B392" s="79"/>
      <c r="C392" s="179"/>
      <c r="D392" s="137"/>
      <c r="E392" s="198" t="s">
        <v>29</v>
      </c>
      <c r="F392" s="199"/>
      <c r="G392" s="200"/>
      <c r="H392" s="200"/>
      <c r="I392" s="200"/>
      <c r="J392" s="200"/>
      <c r="K392" s="201">
        <f t="shared" si="186"/>
        <v>0</v>
      </c>
      <c r="L392" s="189"/>
      <c r="M392" s="84"/>
      <c r="N392" s="335"/>
      <c r="O392" s="341" t="s">
        <v>65</v>
      </c>
      <c r="P392" s="189"/>
      <c r="Q392" s="326"/>
      <c r="R392" s="326"/>
      <c r="S392" s="87"/>
      <c r="T392" s="207"/>
      <c r="U392" s="225">
        <f t="shared" si="187"/>
        <v>0</v>
      </c>
      <c r="V392" s="277"/>
      <c r="W392" s="278"/>
      <c r="X392" s="350"/>
      <c r="Y392" s="208" t="s">
        <v>147</v>
      </c>
      <c r="Z392" s="11"/>
      <c r="AA392" s="207"/>
      <c r="AB392" s="207"/>
      <c r="AC392" s="3"/>
      <c r="AD392" s="207"/>
      <c r="AE392" s="226">
        <f t="shared" si="188"/>
        <v>0</v>
      </c>
      <c r="AF392" s="11"/>
      <c r="AG392" s="3"/>
      <c r="AH392" s="359"/>
      <c r="AI392" s="96"/>
      <c r="AJ392" s="94"/>
      <c r="AK392" s="214"/>
      <c r="AL392" s="213"/>
      <c r="AM392" s="82"/>
      <c r="AN392" s="213"/>
      <c r="AO392" s="82"/>
      <c r="AP392" s="213"/>
      <c r="AQ392" s="82"/>
      <c r="AR392" s="13">
        <f t="shared" si="189"/>
        <v>3.9199999999999997E-5</v>
      </c>
      <c r="AS392" s="13">
        <f t="shared" si="190"/>
        <v>0</v>
      </c>
      <c r="AT392" s="13"/>
      <c r="AU392" s="160">
        <v>397</v>
      </c>
      <c r="AV392" s="191" t="str">
        <f t="shared" si="179"/>
        <v/>
      </c>
      <c r="AW392" s="160" t="str">
        <f t="shared" si="191"/>
        <v/>
      </c>
      <c r="AX392" s="219">
        <f t="shared" si="192"/>
        <v>3.9199999999999997E-5</v>
      </c>
      <c r="AY392" s="13">
        <f t="shared" si="195"/>
        <v>0</v>
      </c>
      <c r="AZ392" s="160">
        <v>397</v>
      </c>
      <c r="BA392" s="77" t="str">
        <f t="shared" si="180"/>
        <v/>
      </c>
      <c r="BB392" s="192" t="str">
        <f t="shared" si="193"/>
        <v/>
      </c>
      <c r="BC392" s="219">
        <f t="shared" si="196"/>
        <v>3.9199999999999997E-5</v>
      </c>
      <c r="BD392" s="13">
        <f t="shared" si="197"/>
        <v>0</v>
      </c>
      <c r="BE392" s="160">
        <v>397</v>
      </c>
      <c r="BF392" s="77" t="str">
        <f t="shared" si="181"/>
        <v/>
      </c>
      <c r="BG392" s="192" t="str">
        <f t="shared" si="194"/>
        <v/>
      </c>
      <c r="BI392" s="120"/>
      <c r="BJ392" s="120"/>
      <c r="BK392" s="160"/>
      <c r="BL392" s="160"/>
      <c r="BM392" s="161" t="str">
        <f t="shared" si="209"/>
        <v/>
      </c>
      <c r="BN392" s="161" t="str">
        <f t="shared" si="198"/>
        <v/>
      </c>
      <c r="BO392" s="161" t="str">
        <f t="shared" si="199"/>
        <v/>
      </c>
      <c r="BP392" s="161" t="str">
        <f t="shared" si="200"/>
        <v/>
      </c>
      <c r="BQ392" s="161" t="str">
        <f t="shared" si="201"/>
        <v/>
      </c>
      <c r="BR392" s="161" t="str">
        <f t="shared" si="202"/>
        <v/>
      </c>
      <c r="BS392" s="161" t="str">
        <f t="shared" si="203"/>
        <v/>
      </c>
      <c r="BT392" s="161" t="str">
        <f t="shared" si="204"/>
        <v/>
      </c>
      <c r="BU392" s="161" t="str">
        <f t="shared" si="205"/>
        <v/>
      </c>
      <c r="BV392" s="161" t="str">
        <f t="shared" si="206"/>
        <v/>
      </c>
      <c r="BW392" s="161" t="str">
        <f t="shared" si="207"/>
        <v/>
      </c>
      <c r="BX392" s="161" t="str">
        <f t="shared" si="208"/>
        <v/>
      </c>
      <c r="BY392" s="148"/>
      <c r="BZ392" s="148"/>
      <c r="CA392" s="148"/>
      <c r="CB392" s="148" t="s">
        <v>149</v>
      </c>
      <c r="CC392" s="148"/>
    </row>
    <row r="393" spans="1:81" ht="14.25" customHeight="1" thickBot="1">
      <c r="A393" s="190">
        <v>383</v>
      </c>
      <c r="B393" s="196"/>
      <c r="C393" s="180"/>
      <c r="D393" s="136"/>
      <c r="E393" s="91" t="s">
        <v>29</v>
      </c>
      <c r="F393" s="187"/>
      <c r="G393" s="188"/>
      <c r="H393" s="188"/>
      <c r="I393" s="188"/>
      <c r="J393" s="188"/>
      <c r="K393" s="18">
        <f t="shared" si="186"/>
        <v>0</v>
      </c>
      <c r="L393" s="187"/>
      <c r="M393" s="118"/>
      <c r="N393" s="336"/>
      <c r="O393" s="342" t="s">
        <v>65</v>
      </c>
      <c r="P393" s="187"/>
      <c r="Q393" s="188"/>
      <c r="R393" s="188"/>
      <c r="S393" s="119"/>
      <c r="T393" s="188"/>
      <c r="U393" s="211">
        <f t="shared" si="187"/>
        <v>0</v>
      </c>
      <c r="V393" s="279"/>
      <c r="W393" s="280"/>
      <c r="X393" s="351"/>
      <c r="Y393" s="209" t="s">
        <v>85</v>
      </c>
      <c r="Z393" s="71"/>
      <c r="AA393" s="321"/>
      <c r="AB393" s="321"/>
      <c r="AC393" s="322"/>
      <c r="AD393" s="188"/>
      <c r="AE393" s="18">
        <f t="shared" si="188"/>
        <v>0</v>
      </c>
      <c r="AF393" s="71"/>
      <c r="AG393" s="322"/>
      <c r="AH393" s="360"/>
      <c r="AI393" s="97"/>
      <c r="AJ393" s="194"/>
      <c r="AK393" s="193"/>
      <c r="AL393" s="205"/>
      <c r="AM393" s="197"/>
      <c r="AN393" s="205"/>
      <c r="AO393" s="197"/>
      <c r="AP393" s="205"/>
      <c r="AQ393" s="197"/>
      <c r="AR393" s="13">
        <f t="shared" si="189"/>
        <v>3.93E-5</v>
      </c>
      <c r="AS393" s="13">
        <f t="shared" si="190"/>
        <v>0</v>
      </c>
      <c r="AT393" s="13"/>
      <c r="AU393" s="160">
        <v>398</v>
      </c>
      <c r="AV393" s="191" t="str">
        <f t="shared" si="179"/>
        <v/>
      </c>
      <c r="AW393" s="160" t="str">
        <f t="shared" si="191"/>
        <v/>
      </c>
      <c r="AX393" s="219">
        <f t="shared" si="192"/>
        <v>3.93E-5</v>
      </c>
      <c r="AY393" s="13">
        <f t="shared" si="195"/>
        <v>0</v>
      </c>
      <c r="AZ393" s="160">
        <v>398</v>
      </c>
      <c r="BA393" s="77" t="str">
        <f t="shared" si="180"/>
        <v/>
      </c>
      <c r="BB393" s="192" t="str">
        <f t="shared" si="193"/>
        <v/>
      </c>
      <c r="BC393" s="219">
        <f t="shared" si="196"/>
        <v>3.93E-5</v>
      </c>
      <c r="BD393" s="13">
        <f t="shared" si="197"/>
        <v>0</v>
      </c>
      <c r="BE393" s="160">
        <v>398</v>
      </c>
      <c r="BF393" s="77" t="str">
        <f t="shared" si="181"/>
        <v/>
      </c>
      <c r="BG393" s="192" t="str">
        <f t="shared" si="194"/>
        <v/>
      </c>
      <c r="BI393" s="120"/>
      <c r="BJ393" s="120"/>
      <c r="BK393" s="160"/>
      <c r="BL393" s="160"/>
      <c r="BM393" s="161" t="str">
        <f t="shared" si="209"/>
        <v/>
      </c>
      <c r="BN393" s="161" t="str">
        <f t="shared" si="198"/>
        <v/>
      </c>
      <c r="BO393" s="161" t="str">
        <f t="shared" si="199"/>
        <v/>
      </c>
      <c r="BP393" s="161" t="str">
        <f t="shared" si="200"/>
        <v/>
      </c>
      <c r="BQ393" s="161" t="str">
        <f t="shared" si="201"/>
        <v/>
      </c>
      <c r="BR393" s="161" t="str">
        <f t="shared" si="202"/>
        <v/>
      </c>
      <c r="BS393" s="161" t="str">
        <f t="shared" si="203"/>
        <v/>
      </c>
      <c r="BT393" s="161" t="str">
        <f t="shared" si="204"/>
        <v/>
      </c>
      <c r="BU393" s="161" t="str">
        <f t="shared" si="205"/>
        <v/>
      </c>
      <c r="BV393" s="161" t="str">
        <f t="shared" si="206"/>
        <v/>
      </c>
      <c r="BW393" s="161" t="str">
        <f t="shared" si="207"/>
        <v/>
      </c>
      <c r="BX393" s="161" t="str">
        <f t="shared" si="208"/>
        <v/>
      </c>
      <c r="BY393" s="148"/>
      <c r="BZ393" s="148"/>
      <c r="CA393" s="148"/>
      <c r="CB393" s="148" t="s">
        <v>149</v>
      </c>
      <c r="CC393" s="148"/>
    </row>
    <row r="394" spans="1:81" ht="14.25" customHeight="1" thickBot="1">
      <c r="A394" s="190">
        <v>384</v>
      </c>
      <c r="B394" s="78"/>
      <c r="C394" s="181"/>
      <c r="D394" s="86"/>
      <c r="E394" s="92" t="s">
        <v>29</v>
      </c>
      <c r="F394" s="88"/>
      <c r="G394" s="93"/>
      <c r="H394" s="93"/>
      <c r="I394" s="93"/>
      <c r="J394" s="93"/>
      <c r="K394" s="81">
        <f t="shared" si="186"/>
        <v>0</v>
      </c>
      <c r="L394" s="88"/>
      <c r="M394" s="85"/>
      <c r="N394" s="337"/>
      <c r="O394" s="343" t="s">
        <v>65</v>
      </c>
      <c r="P394" s="88"/>
      <c r="Q394" s="93"/>
      <c r="R394" s="93"/>
      <c r="S394" s="89"/>
      <c r="T394" s="93"/>
      <c r="U394" s="212">
        <f t="shared" si="187"/>
        <v>0</v>
      </c>
      <c r="V394" s="281"/>
      <c r="W394" s="282"/>
      <c r="X394" s="352"/>
      <c r="Y394" s="210" t="s">
        <v>85</v>
      </c>
      <c r="Z394" s="72"/>
      <c r="AA394" s="323"/>
      <c r="AB394" s="323"/>
      <c r="AC394" s="324"/>
      <c r="AD394" s="93"/>
      <c r="AE394" s="81">
        <f t="shared" si="188"/>
        <v>0</v>
      </c>
      <c r="AF394" s="72"/>
      <c r="AG394" s="324"/>
      <c r="AH394" s="361"/>
      <c r="AI394" s="98"/>
      <c r="AJ394" s="95"/>
      <c r="AK394" s="215"/>
      <c r="AL394" s="206"/>
      <c r="AM394" s="83"/>
      <c r="AN394" s="206"/>
      <c r="AO394" s="83"/>
      <c r="AP394" s="206"/>
      <c r="AQ394" s="83"/>
      <c r="AR394" s="13">
        <f t="shared" si="189"/>
        <v>3.9399999999999995E-5</v>
      </c>
      <c r="AS394" s="13">
        <f t="shared" si="190"/>
        <v>0</v>
      </c>
      <c r="AT394" s="13"/>
      <c r="AU394" s="160">
        <v>399</v>
      </c>
      <c r="AV394" s="191" t="str">
        <f t="shared" si="179"/>
        <v/>
      </c>
      <c r="AW394" s="160" t="str">
        <f t="shared" si="191"/>
        <v/>
      </c>
      <c r="AX394" s="219">
        <f t="shared" si="192"/>
        <v>3.9399999999999995E-5</v>
      </c>
      <c r="AY394" s="13">
        <f t="shared" si="195"/>
        <v>0</v>
      </c>
      <c r="AZ394" s="160">
        <v>399</v>
      </c>
      <c r="BA394" s="77" t="str">
        <f t="shared" si="180"/>
        <v/>
      </c>
      <c r="BB394" s="192" t="str">
        <f t="shared" si="193"/>
        <v/>
      </c>
      <c r="BC394" s="219">
        <f t="shared" si="196"/>
        <v>3.9399999999999995E-5</v>
      </c>
      <c r="BD394" s="13">
        <f t="shared" si="197"/>
        <v>0</v>
      </c>
      <c r="BE394" s="160">
        <v>399</v>
      </c>
      <c r="BF394" s="77" t="str">
        <f t="shared" si="181"/>
        <v/>
      </c>
      <c r="BG394" s="192" t="str">
        <f t="shared" si="194"/>
        <v/>
      </c>
      <c r="BI394" s="120"/>
      <c r="BJ394" s="120"/>
      <c r="BK394" s="160"/>
      <c r="BL394" s="160"/>
      <c r="BM394" s="161" t="str">
        <f t="shared" si="209"/>
        <v/>
      </c>
      <c r="BN394" s="161" t="str">
        <f t="shared" si="198"/>
        <v/>
      </c>
      <c r="BO394" s="161" t="str">
        <f t="shared" si="199"/>
        <v/>
      </c>
      <c r="BP394" s="161" t="str">
        <f t="shared" si="200"/>
        <v/>
      </c>
      <c r="BQ394" s="161" t="str">
        <f t="shared" si="201"/>
        <v/>
      </c>
      <c r="BR394" s="161" t="str">
        <f t="shared" si="202"/>
        <v/>
      </c>
      <c r="BS394" s="161" t="str">
        <f t="shared" si="203"/>
        <v/>
      </c>
      <c r="BT394" s="161" t="str">
        <f t="shared" si="204"/>
        <v/>
      </c>
      <c r="BU394" s="161" t="str">
        <f t="shared" si="205"/>
        <v/>
      </c>
      <c r="BV394" s="161" t="str">
        <f t="shared" si="206"/>
        <v/>
      </c>
      <c r="BW394" s="161" t="str">
        <f t="shared" si="207"/>
        <v/>
      </c>
      <c r="BX394" s="161" t="str">
        <f t="shared" si="208"/>
        <v/>
      </c>
      <c r="BY394" s="148"/>
      <c r="BZ394" s="148"/>
      <c r="CA394" s="148"/>
      <c r="CB394" s="148" t="s">
        <v>149</v>
      </c>
      <c r="CC394" s="148"/>
    </row>
    <row r="395" spans="1:81" ht="14.25" customHeight="1" thickBot="1">
      <c r="A395" s="190">
        <v>385</v>
      </c>
      <c r="B395" s="79"/>
      <c r="C395" s="179"/>
      <c r="D395" s="137"/>
      <c r="E395" s="198" t="s">
        <v>29</v>
      </c>
      <c r="F395" s="199"/>
      <c r="G395" s="200"/>
      <c r="H395" s="200"/>
      <c r="I395" s="200"/>
      <c r="J395" s="200"/>
      <c r="K395" s="201">
        <f t="shared" si="186"/>
        <v>0</v>
      </c>
      <c r="L395" s="189"/>
      <c r="M395" s="84"/>
      <c r="N395" s="335"/>
      <c r="O395" s="341" t="s">
        <v>65</v>
      </c>
      <c r="P395" s="189"/>
      <c r="Q395" s="326"/>
      <c r="R395" s="326"/>
      <c r="S395" s="87"/>
      <c r="T395" s="207"/>
      <c r="U395" s="225">
        <f t="shared" si="187"/>
        <v>0</v>
      </c>
      <c r="V395" s="277"/>
      <c r="W395" s="278"/>
      <c r="X395" s="350"/>
      <c r="Y395" s="208" t="s">
        <v>147</v>
      </c>
      <c r="Z395" s="11"/>
      <c r="AA395" s="207"/>
      <c r="AB395" s="207"/>
      <c r="AC395" s="3"/>
      <c r="AD395" s="207"/>
      <c r="AE395" s="226">
        <f t="shared" si="188"/>
        <v>0</v>
      </c>
      <c r="AF395" s="11"/>
      <c r="AG395" s="3"/>
      <c r="AH395" s="359"/>
      <c r="AI395" s="96"/>
      <c r="AJ395" s="94"/>
      <c r="AK395" s="214"/>
      <c r="AL395" s="213"/>
      <c r="AM395" s="82"/>
      <c r="AN395" s="213"/>
      <c r="AO395" s="82"/>
      <c r="AP395" s="213"/>
      <c r="AQ395" s="82"/>
      <c r="AR395" s="13">
        <f t="shared" si="189"/>
        <v>3.9499999999999998E-5</v>
      </c>
      <c r="AS395" s="13">
        <f t="shared" si="190"/>
        <v>0</v>
      </c>
      <c r="AT395" s="13"/>
      <c r="AU395" s="160">
        <v>400</v>
      </c>
      <c r="AV395" s="191" t="str">
        <f t="shared" ref="AV395" si="210">IFERROR(LARGE($AR$11:$AR$396,AU395),"")</f>
        <v/>
      </c>
      <c r="AW395" s="160" t="str">
        <f t="shared" si="191"/>
        <v/>
      </c>
      <c r="AX395" s="219">
        <f t="shared" si="192"/>
        <v>3.9499999999999998E-5</v>
      </c>
      <c r="AY395" s="13">
        <f t="shared" si="195"/>
        <v>0</v>
      </c>
      <c r="AZ395" s="160">
        <v>400</v>
      </c>
      <c r="BA395" s="77" t="str">
        <f t="shared" ref="BA395" si="211">IFERROR(LARGE($AX$11:$AX$396,AZ395),"")</f>
        <v/>
      </c>
      <c r="BB395" s="192" t="str">
        <f t="shared" si="193"/>
        <v/>
      </c>
      <c r="BC395" s="219">
        <f t="shared" si="196"/>
        <v>3.9499999999999998E-5</v>
      </c>
      <c r="BD395" s="13">
        <f t="shared" si="197"/>
        <v>0</v>
      </c>
      <c r="BE395" s="160">
        <v>400</v>
      </c>
      <c r="BF395" s="77" t="str">
        <f t="shared" ref="BF395" si="212">IFERROR(LARGE($BC$11:$BC$396,BE395),"")</f>
        <v/>
      </c>
      <c r="BG395" s="192" t="str">
        <f t="shared" si="194"/>
        <v/>
      </c>
      <c r="BI395" s="120"/>
      <c r="BJ395" s="120"/>
      <c r="BK395" s="160"/>
      <c r="BL395" s="160"/>
      <c r="BM395" s="161" t="str">
        <f t="shared" si="209"/>
        <v/>
      </c>
      <c r="BN395" s="161" t="str">
        <f t="shared" si="198"/>
        <v/>
      </c>
      <c r="BO395" s="161" t="str">
        <f t="shared" si="199"/>
        <v/>
      </c>
      <c r="BP395" s="161" t="str">
        <f t="shared" si="200"/>
        <v/>
      </c>
      <c r="BQ395" s="161" t="str">
        <f t="shared" si="201"/>
        <v/>
      </c>
      <c r="BR395" s="161" t="str">
        <f t="shared" si="202"/>
        <v/>
      </c>
      <c r="BS395" s="161" t="str">
        <f t="shared" si="203"/>
        <v/>
      </c>
      <c r="BT395" s="161" t="str">
        <f t="shared" si="204"/>
        <v/>
      </c>
      <c r="BU395" s="161" t="str">
        <f t="shared" si="205"/>
        <v/>
      </c>
      <c r="BV395" s="161" t="str">
        <f t="shared" si="206"/>
        <v/>
      </c>
      <c r="BW395" s="161" t="str">
        <f t="shared" si="207"/>
        <v/>
      </c>
      <c r="BX395" s="161" t="str">
        <f t="shared" si="208"/>
        <v/>
      </c>
      <c r="BY395" s="148"/>
      <c r="BZ395" s="148"/>
      <c r="CA395" s="148"/>
      <c r="CB395" s="148" t="s">
        <v>149</v>
      </c>
      <c r="CC395" s="148"/>
    </row>
    <row r="396" spans="1:81">
      <c r="A396" s="190">
        <v>386</v>
      </c>
      <c r="B396" s="196"/>
      <c r="C396" s="180"/>
      <c r="D396" s="136"/>
      <c r="E396" s="91"/>
      <c r="F396" s="187"/>
      <c r="G396" s="188"/>
      <c r="H396" s="188"/>
      <c r="I396" s="188"/>
      <c r="J396" s="188"/>
      <c r="K396" s="18"/>
      <c r="L396" s="187"/>
      <c r="M396" s="118"/>
      <c r="N396" s="336"/>
      <c r="O396" s="342" t="s">
        <v>65</v>
      </c>
      <c r="P396" s="187"/>
      <c r="Q396" s="188"/>
      <c r="R396" s="188"/>
      <c r="S396" s="119"/>
      <c r="T396" s="188"/>
      <c r="U396" s="211">
        <f t="shared" si="187"/>
        <v>0</v>
      </c>
      <c r="V396" s="279"/>
      <c r="W396" s="280"/>
      <c r="X396" s="351"/>
      <c r="Y396" s="209" t="s">
        <v>85</v>
      </c>
      <c r="Z396" s="71"/>
      <c r="AA396" s="321"/>
      <c r="AB396" s="321"/>
      <c r="AC396" s="322"/>
      <c r="AD396" s="188"/>
      <c r="AE396" s="18">
        <f t="shared" si="188"/>
        <v>0</v>
      </c>
      <c r="AF396" s="71"/>
      <c r="AG396" s="322"/>
      <c r="AH396" s="360"/>
      <c r="AI396" s="97"/>
      <c r="AJ396" s="194"/>
      <c r="AK396" s="193"/>
      <c r="AL396" s="205"/>
      <c r="AM396" s="197"/>
      <c r="AN396" s="205"/>
      <c r="AO396" s="197"/>
      <c r="AP396" s="205"/>
      <c r="AQ396" s="197"/>
      <c r="AR396" s="13">
        <f t="shared" si="189"/>
        <v>3.96E-5</v>
      </c>
      <c r="AS396" s="13">
        <f t="shared" si="190"/>
        <v>0</v>
      </c>
      <c r="AT396" s="13"/>
      <c r="AX396" s="219">
        <f t="shared" si="192"/>
        <v>3.96E-5</v>
      </c>
      <c r="BC396" s="219">
        <f t="shared" si="196"/>
        <v>3.96E-5</v>
      </c>
    </row>
  </sheetData>
  <sheetProtection selectLockedCells="1"/>
  <sortState xmlns:xlrd2="http://schemas.microsoft.com/office/spreadsheetml/2017/richdata2" ref="B32:CC40">
    <sortCondition ref="B32"/>
  </sortState>
  <mergeCells count="57">
    <mergeCell ref="A6:A10"/>
    <mergeCell ref="B6:B10"/>
    <mergeCell ref="D6:D10"/>
    <mergeCell ref="AL9:AM9"/>
    <mergeCell ref="L8:L9"/>
    <mergeCell ref="M8:M9"/>
    <mergeCell ref="C6:C10"/>
    <mergeCell ref="R9:R10"/>
    <mergeCell ref="S9:S10"/>
    <mergeCell ref="T9:T10"/>
    <mergeCell ref="AF8:AF9"/>
    <mergeCell ref="AG8:AG9"/>
    <mergeCell ref="Z9:Z10"/>
    <mergeCell ref="W8:W9"/>
    <mergeCell ref="P9:P10"/>
    <mergeCell ref="F9:F10"/>
    <mergeCell ref="BZ6:CA6"/>
    <mergeCell ref="CA7:CB7"/>
    <mergeCell ref="BM9:BX9"/>
    <mergeCell ref="U7:U9"/>
    <mergeCell ref="AE7:AE9"/>
    <mergeCell ref="AA9:AA10"/>
    <mergeCell ref="AB9:AB10"/>
    <mergeCell ref="AP9:AQ9"/>
    <mergeCell ref="Y6:AH6"/>
    <mergeCell ref="BM10:BX10"/>
    <mergeCell ref="BE10:BG10"/>
    <mergeCell ref="AZ10:BB10"/>
    <mergeCell ref="AU10:AW10"/>
    <mergeCell ref="AC9:AC10"/>
    <mergeCell ref="AD9:AD10"/>
    <mergeCell ref="AI6:AK9"/>
    <mergeCell ref="AL6:AQ8"/>
    <mergeCell ref="AN9:AO9"/>
    <mergeCell ref="Q9:Q10"/>
    <mergeCell ref="E6:N6"/>
    <mergeCell ref="N8:N9"/>
    <mergeCell ref="X8:X9"/>
    <mergeCell ref="AH8:AH9"/>
    <mergeCell ref="O6:X6"/>
    <mergeCell ref="K7:K9"/>
    <mergeCell ref="G9:G10"/>
    <mergeCell ref="H9:H10"/>
    <mergeCell ref="I9:I10"/>
    <mergeCell ref="J9:J10"/>
    <mergeCell ref="V8:V9"/>
    <mergeCell ref="BF2:BG2"/>
    <mergeCell ref="B5:C5"/>
    <mergeCell ref="L3:AL3"/>
    <mergeCell ref="D2:M2"/>
    <mergeCell ref="A2:C2"/>
    <mergeCell ref="A3:C3"/>
    <mergeCell ref="A4:C4"/>
    <mergeCell ref="E4:H4"/>
    <mergeCell ref="K4:M4"/>
    <mergeCell ref="E5:AF5"/>
    <mergeCell ref="AI5:AQ5"/>
  </mergeCells>
  <dataValidations count="15">
    <dataValidation type="whole" operator="lessThanOrEqual" allowBlank="1" showInputMessage="1" showErrorMessage="1" sqref="F393:F396 P345:P396 Q395:Q396 R332:R396 S369:S396" xr:uid="{00000000-0002-0000-0500-000000000000}">
      <formula1>$F$8</formula1>
    </dataValidation>
    <dataValidation type="whole" operator="lessThanOrEqual" allowBlank="1" showInputMessage="1" showErrorMessage="1" error="لاتكتب هنا" sqref="G372:G396" xr:uid="{00000000-0002-0000-0500-000001000000}">
      <formula1>$G$8</formula1>
    </dataValidation>
    <dataValidation type="whole" operator="lessThanOrEqual" allowBlank="1" showInputMessage="1" showErrorMessage="1" error="لاتكتب هنا" sqref="H391:H396" xr:uid="{00000000-0002-0000-0500-000002000000}">
      <formula1>$H$8</formula1>
    </dataValidation>
    <dataValidation type="whole" operator="lessThanOrEqual" allowBlank="1" showInputMessage="1" showErrorMessage="1" error="لاتكتب هنا" sqref="I367:I396" xr:uid="{00000000-0002-0000-0500-000003000000}">
      <formula1>$I$8</formula1>
    </dataValidation>
    <dataValidation type="whole" operator="lessThanOrEqual" allowBlank="1" showInputMessage="1" showErrorMessage="1" error="لاتكتب هنا" sqref="AA351:AA396 AC370:AC396 AB393:AB396 Z11:Z396" xr:uid="{00000000-0002-0000-0500-000004000000}">
      <formula1>$Z$8</formula1>
    </dataValidation>
    <dataValidation type="whole" operator="lessThanOrEqual" allowBlank="1" showInputMessage="1" showErrorMessage="1" error="الدرجة اكبر من النهاية الكبرى للفترة" sqref="Q335:Q394 P11:P344 F11:F392" xr:uid="{00000000-0002-0000-0500-000005000000}">
      <formula1>$F$8</formula1>
    </dataValidation>
    <dataValidation type="whole" operator="lessThanOrEqual" allowBlank="1" showInputMessage="1" showErrorMessage="1" error="الدرجة اكبر من النهاية الكبرى للفترة" sqref="G11:G371" xr:uid="{00000000-0002-0000-0500-000006000000}">
      <formula1>$G$8</formula1>
    </dataValidation>
    <dataValidation type="whole" operator="lessThanOrEqual" allowBlank="1" showInputMessage="1" showErrorMessage="1" error=" الدرجة اكبر من النهاية الكبرى للفترة" sqref="H11:H390" xr:uid="{00000000-0002-0000-0500-000007000000}">
      <formula1>$H$8</formula1>
    </dataValidation>
    <dataValidation type="whole" operator="lessThanOrEqual" allowBlank="1" showInputMessage="1" showErrorMessage="1" error=" الدرجة اكبر من النهاية الكبرى للفترة" sqref="I11:I366" xr:uid="{00000000-0002-0000-0500-000008000000}">
      <formula1>$I$8</formula1>
    </dataValidation>
    <dataValidation type="whole" operator="lessThanOrEqual" allowBlank="1" showInputMessage="1" showErrorMessage="1" error="الدرجة اكبر من النهاية الكبرى للفترة" sqref="Q11:Q334" xr:uid="{00000000-0002-0000-0500-000009000000}">
      <formula1>$Q$8</formula1>
    </dataValidation>
    <dataValidation type="whole" operator="lessThanOrEqual" allowBlank="1" showInputMessage="1" showErrorMessage="1" sqref="R11:R331" xr:uid="{00000000-0002-0000-0500-00000A000000}">
      <formula1>$R$8</formula1>
    </dataValidation>
    <dataValidation type="whole" operator="lessThanOrEqual" allowBlank="1" showInputMessage="1" showErrorMessage="1" sqref="S11:S368" xr:uid="{00000000-0002-0000-0500-00000B000000}">
      <formula1>$S$8</formula1>
    </dataValidation>
    <dataValidation type="whole" operator="lessThanOrEqual" allowBlank="1" showInputMessage="1" showErrorMessage="1" error="لاتكتب هنا" sqref="AA11:AA350" xr:uid="{00000000-0002-0000-0500-00000C000000}">
      <formula1>$AA$8</formula1>
    </dataValidation>
    <dataValidation type="whole" operator="lessThanOrEqual" allowBlank="1" showInputMessage="1" showErrorMessage="1" error="لاتكتب هنا" sqref="AB11:AB392" xr:uid="{00000000-0002-0000-0500-00000D000000}">
      <formula1>$AB$8</formula1>
    </dataValidation>
    <dataValidation type="whole" operator="lessThanOrEqual" allowBlank="1" showInputMessage="1" showErrorMessage="1" error="الدرجة اكبر من النهاية الكبرى للفترة" sqref="AC11:AC369" xr:uid="{00000000-0002-0000-0500-00000E000000}">
      <formula1>$AC$8</formula1>
    </dataValidation>
  </dataValidations>
  <pageMargins left="0.23622047244094491" right="0.23622047244094491" top="0.74803149606299213" bottom="0.74803149606299213" header="0.31496062992125984" footer="0.31496062992125984"/>
  <pageSetup paperSize="263" scale="11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النطاقات المسماة</vt:lpstr>
      </vt:variant>
      <vt:variant>
        <vt:i4>11</vt:i4>
      </vt:variant>
    </vt:vector>
  </HeadingPairs>
  <TitlesOfParts>
    <vt:vector size="17" baseType="lpstr">
      <vt:lpstr>بيانات الصحيفة </vt:lpstr>
      <vt:lpstr>الرئيسية</vt:lpstr>
      <vt:lpstr>صحيفة الفترات</vt:lpstr>
      <vt:lpstr>الصحيفة النهائية</vt:lpstr>
      <vt:lpstr>النتيجة النهائية</vt:lpstr>
      <vt:lpstr>ادخال1</vt:lpstr>
      <vt:lpstr>'النتيجة النهائية'!Print_Area</vt:lpstr>
      <vt:lpstr>'بيانات الصحيفة '!Print_Area</vt:lpstr>
      <vt:lpstr>'النتيجة النهائية'!Print_Titles</vt:lpstr>
      <vt:lpstr>اسماء</vt:lpstr>
      <vt:lpstr>الترتيب1</vt:lpstr>
      <vt:lpstr>الترتيب2</vt:lpstr>
      <vt:lpstr>الترتيب3</vt:lpstr>
      <vt:lpstr>عمود1</vt:lpstr>
      <vt:lpstr>عمود2</vt:lpstr>
      <vt:lpstr>مستجد</vt:lpstr>
      <vt:lpstr>مسلسل</vt:lpstr>
    </vt:vector>
  </TitlesOfParts>
  <Company>فراس الصعيو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hp</cp:lastModifiedBy>
  <cp:lastPrinted>2024-12-31T07:11:02Z</cp:lastPrinted>
  <dcterms:created xsi:type="dcterms:W3CDTF">2017-11-27T08:39:05Z</dcterms:created>
  <dcterms:modified xsi:type="dcterms:W3CDTF">2025-12-14T07:05:57Z</dcterms:modified>
</cp:coreProperties>
</file>